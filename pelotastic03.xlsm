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Ex1.xml" ContentType="application/vnd.ms-office.chartex+xml"/>
  <Override PartName="/xl/charts/style8.xml" ContentType="application/vnd.ms-office.chartstyle+xml"/>
  <Override PartName="/xl/charts/colors8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drawings/drawing3.xml" ContentType="application/vnd.openxmlformats-officedocument.drawing+xml"/>
  <Override PartName="/xl/timelines/timeline1.xml" ContentType="application/vnd.ms-excel.timelin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Ex2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razy\Downloads\"/>
    </mc:Choice>
  </mc:AlternateContent>
  <xr:revisionPtr revIDLastSave="0" documentId="13_ncr:1_{3CE54FBF-4C81-4C7D-8CF5-8BD0E26E03B1}" xr6:coauthVersionLast="47" xr6:coauthVersionMax="47" xr10:uidLastSave="{00000000-0000-0000-0000-000000000000}"/>
  <bookViews>
    <workbookView xWindow="0" yWindow="0" windowWidth="31575" windowHeight="21000" xr2:uid="{00000000-000D-0000-FFFF-FFFF00000000}"/>
  </bookViews>
  <sheets>
    <sheet name="Dashboard" sheetId="3" r:id="rId1"/>
    <sheet name="Sheet1" sheetId="4" r:id="rId2"/>
    <sheet name="Pivots" sheetId="2" r:id="rId3"/>
    <sheet name="Sheet4" sheetId="7" r:id="rId4"/>
    <sheet name="workouts" sheetId="1" r:id="rId5"/>
  </sheets>
  <definedNames>
    <definedName name="_xlnm._FilterDatabase" localSheetId="4" hidden="1">workouts!$A$1:$U$4220</definedName>
    <definedName name="_xlchart.v1.0" hidden="1">Sheet4!$D$4:$D$14</definedName>
    <definedName name="_xlchart.v1.1" hidden="1">Sheet4!$E$3</definedName>
    <definedName name="_xlchart.v1.2" hidden="1">Sheet4!$E$4:$E$14</definedName>
    <definedName name="_xlchart.v1.3" hidden="1">Sheet4!$D$4:$D$14</definedName>
    <definedName name="_xlchart.v1.4" hidden="1">Sheet4!$E$3</definedName>
    <definedName name="_xlchart.v1.5" hidden="1">Sheet4!$E$4:$E$14</definedName>
    <definedName name="NativeTimeline_Date">#N/A</definedName>
  </definedNames>
  <calcPr calcId="191029"/>
  <pivotCaches>
    <pivotCache cacheId="0" r:id="rId6"/>
    <pivotCache cacheId="1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7" l="1"/>
  <c r="D6" i="7"/>
  <c r="D7" i="7"/>
  <c r="D8" i="7"/>
  <c r="D9" i="7"/>
  <c r="D10" i="7"/>
  <c r="D11" i="7"/>
  <c r="D12" i="7"/>
  <c r="D13" i="7"/>
  <c r="D14" i="7"/>
  <c r="D4" i="7"/>
  <c r="E5" i="7"/>
  <c r="E6" i="7"/>
  <c r="E7" i="7"/>
  <c r="E8" i="7"/>
  <c r="E9" i="7"/>
  <c r="E10" i="7"/>
  <c r="E11" i="7"/>
  <c r="E14" i="7"/>
  <c r="E12" i="7"/>
  <c r="E13" i="7"/>
  <c r="E4" i="7"/>
  <c r="F33" i="2"/>
  <c r="G33" i="2"/>
  <c r="H33" i="2"/>
  <c r="F34" i="2"/>
  <c r="G34" i="2"/>
  <c r="H34" i="2"/>
  <c r="F35" i="2"/>
  <c r="G35" i="2"/>
  <c r="H35" i="2"/>
  <c r="F36" i="2"/>
  <c r="G36" i="2"/>
  <c r="H36" i="2"/>
  <c r="F37" i="2"/>
  <c r="M22" i="4"/>
  <c r="M32" i="4"/>
  <c r="M23" i="4"/>
  <c r="M24" i="4"/>
  <c r="M30" i="4"/>
  <c r="M25" i="4"/>
  <c r="M26" i="4"/>
  <c r="M27" i="4"/>
  <c r="M31" i="4"/>
  <c r="M28" i="4"/>
  <c r="M29" i="4"/>
  <c r="L22" i="4"/>
  <c r="L32" i="4"/>
  <c r="L23" i="4"/>
  <c r="L24" i="4"/>
  <c r="L25" i="4"/>
  <c r="L26" i="4"/>
  <c r="L27" i="4"/>
  <c r="L28" i="4"/>
  <c r="L29" i="4"/>
  <c r="L30" i="4"/>
  <c r="L31" i="4"/>
  <c r="M21" i="4"/>
  <c r="L21" i="4"/>
  <c r="K22" i="4"/>
  <c r="K23" i="4"/>
  <c r="K24" i="4"/>
  <c r="K25" i="4"/>
  <c r="K26" i="4"/>
  <c r="K32" i="4"/>
  <c r="K27" i="4"/>
  <c r="K28" i="4"/>
  <c r="K29" i="4"/>
  <c r="K30" i="4"/>
  <c r="K31" i="4"/>
  <c r="K21" i="4"/>
  <c r="M5" i="4"/>
  <c r="M6" i="4"/>
  <c r="M15" i="4"/>
  <c r="M7" i="4"/>
  <c r="M8" i="4"/>
  <c r="M9" i="4"/>
  <c r="M10" i="4"/>
  <c r="M13" i="4"/>
  <c r="M11" i="4"/>
  <c r="M12" i="4"/>
  <c r="M14" i="4"/>
  <c r="M4" i="4"/>
  <c r="L4" i="4"/>
  <c r="L5" i="4"/>
  <c r="L14" i="4"/>
  <c r="L6" i="4"/>
  <c r="L7" i="4"/>
  <c r="L15" i="4"/>
  <c r="L8" i="4"/>
  <c r="L9" i="4"/>
  <c r="L10" i="4"/>
  <c r="L11" i="4"/>
  <c r="L12" i="4"/>
  <c r="L13" i="4"/>
  <c r="K15" i="4"/>
  <c r="K5" i="4"/>
  <c r="K6" i="4"/>
  <c r="K7" i="4"/>
  <c r="K8" i="4"/>
  <c r="K9" i="4"/>
  <c r="K10" i="4"/>
  <c r="K11" i="4"/>
  <c r="K14" i="4"/>
  <c r="K12" i="4"/>
  <c r="K13" i="4"/>
  <c r="K4" i="4"/>
  <c r="I36" i="2"/>
  <c r="I35" i="2"/>
  <c r="I33" i="2"/>
  <c r="I34" i="2"/>
  <c r="I37" i="2" l="1"/>
  <c r="J33" i="2" s="1"/>
  <c r="K34" i="2" l="1"/>
  <c r="K35" i="2"/>
  <c r="K36" i="2"/>
  <c r="K33" i="2"/>
  <c r="J35" i="2"/>
  <c r="J36" i="2"/>
  <c r="J34" i="2"/>
</calcChain>
</file>

<file path=xl/sharedStrings.xml><?xml version="1.0" encoding="utf-8"?>
<sst xmlns="http://schemas.openxmlformats.org/spreadsheetml/2006/main" count="37939" uniqueCount="10612">
  <si>
    <t>Workout Timestamp</t>
  </si>
  <si>
    <t>Date</t>
  </si>
  <si>
    <t>Time</t>
  </si>
  <si>
    <t>Weekday</t>
  </si>
  <si>
    <t>Live/On-Demand</t>
  </si>
  <si>
    <t>Instructor Name</t>
  </si>
  <si>
    <t>Length (minutes)</t>
  </si>
  <si>
    <t>Fitness Discipline</t>
  </si>
  <si>
    <t>Type</t>
  </si>
  <si>
    <t>Title</t>
  </si>
  <si>
    <t>Class Timestamp</t>
  </si>
  <si>
    <t>Total Output</t>
  </si>
  <si>
    <t>Avg. Watts</t>
  </si>
  <si>
    <t>Avg. Resistance</t>
  </si>
  <si>
    <t>Avg. Cadence (RPM)</t>
  </si>
  <si>
    <t>Avg. Speed (mph)</t>
  </si>
  <si>
    <t>Distance (mi)</t>
  </si>
  <si>
    <t>Calories Burned</t>
  </si>
  <si>
    <t>Avg. Heartrate</t>
  </si>
  <si>
    <t>Avg. Incline</t>
  </si>
  <si>
    <t>Avg. Pace (min/mi)</t>
  </si>
  <si>
    <t>2018-08-21 16:40 (PST)</t>
  </si>
  <si>
    <t>16:40(PST)</t>
  </si>
  <si>
    <t>Tuesday</t>
  </si>
  <si>
    <t>On Demand</t>
  </si>
  <si>
    <t>Ally Love</t>
  </si>
  <si>
    <t>Cycling</t>
  </si>
  <si>
    <t>Beginner</t>
  </si>
  <si>
    <t>20 min Beginner Ride</t>
  </si>
  <si>
    <t>2018-08-16 11:00 (PST)</t>
  </si>
  <si>
    <t>2018-08-23 14:03 (PST)</t>
  </si>
  <si>
    <t>14:03(PST)</t>
  </si>
  <si>
    <t>Thursday</t>
  </si>
  <si>
    <t>Christine D'Ercole</t>
  </si>
  <si>
    <t>2018-08-22 11:20 (PST)</t>
  </si>
  <si>
    <t>2018-08-30 16:57 (PST)</t>
  </si>
  <si>
    <t>16:57(PST)</t>
  </si>
  <si>
    <t>2018-09-06 16:09 (PST)</t>
  </si>
  <si>
    <t>16:09(PST)</t>
  </si>
  <si>
    <t>Low Impact</t>
  </si>
  <si>
    <t>45 min Low Impact Ride</t>
  </si>
  <si>
    <t>2018-05-25 06:19 (PST)</t>
  </si>
  <si>
    <t>2018-09-06 16:11 (PST)</t>
  </si>
  <si>
    <t>16:11(PST)</t>
  </si>
  <si>
    <t>Music</t>
  </si>
  <si>
    <t>30 min Pop Ride</t>
  </si>
  <si>
    <t>2018-08-28 10:19 (PST)</t>
  </si>
  <si>
    <t>2018-09-06 16:42 (PST)</t>
  </si>
  <si>
    <t>16:42(PST)</t>
  </si>
  <si>
    <t>Stretching</t>
  </si>
  <si>
    <t>Pre &amp; Post-Ride Stretch</t>
  </si>
  <si>
    <t>5 min Post-Ride Stretch</t>
  </si>
  <si>
    <t>2018-08-23 11:37 (PST)</t>
  </si>
  <si>
    <t>2018-09-11 16:19 (PST)</t>
  </si>
  <si>
    <t>16:19(PST)</t>
  </si>
  <si>
    <t>45 min Soul Music Ride</t>
  </si>
  <si>
    <t>2018-09-09 04:49 (PST)</t>
  </si>
  <si>
    <t>2018-09-13 16:28 (PST)</t>
  </si>
  <si>
    <t>16:28(PST)</t>
  </si>
  <si>
    <t>45 min 80s Pop Ride</t>
  </si>
  <si>
    <t>2018-09-11 03:48 (PST)</t>
  </si>
  <si>
    <t>2018-09-17 05:35 (PST)</t>
  </si>
  <si>
    <t>05:35(PST)</t>
  </si>
  <si>
    <t>Monday</t>
  </si>
  <si>
    <t>30 min Hip Hop Ride</t>
  </si>
  <si>
    <t>2018-08-23 10:19 (PST)</t>
  </si>
  <si>
    <t>2018-09-20 16:33 (PST)</t>
  </si>
  <si>
    <t>16:33(PST)</t>
  </si>
  <si>
    <t>2018-09-18 08:19 (PST)</t>
  </si>
  <si>
    <t>2018-09-25 16:22 (PST)</t>
  </si>
  <si>
    <t>16:22(PST)</t>
  </si>
  <si>
    <t>30 min 80s Pop Ride</t>
  </si>
  <si>
    <t>2018-09-09 11:34 (PST)</t>
  </si>
  <si>
    <t>2018-10-02 16:14 (PST)</t>
  </si>
  <si>
    <t>16:14(PST)</t>
  </si>
  <si>
    <t>2018-08-16 10:20 (PST)</t>
  </si>
  <si>
    <t>2018-10-03 13:44 (PST)</t>
  </si>
  <si>
    <t>13:44(PST)</t>
  </si>
  <si>
    <t>Wednesday</t>
  </si>
  <si>
    <t>2018-09-13 10:19 (PST)</t>
  </si>
  <si>
    <t>2018-10-04 16:26 (PST)</t>
  </si>
  <si>
    <t>16:26(PST)</t>
  </si>
  <si>
    <t>2018-07-26 10:19 (PST)</t>
  </si>
  <si>
    <t>2018-10-09 16:19 (PST)</t>
  </si>
  <si>
    <t>45 min 90s Ride</t>
  </si>
  <si>
    <t>2018-08-05 05:19 (PST)</t>
  </si>
  <si>
    <t>2018-10-11 12:14 (PST)</t>
  </si>
  <si>
    <t>12:14(PST)</t>
  </si>
  <si>
    <t>45 min Hip Hop Ride</t>
  </si>
  <si>
    <t>2018-08-01 02:48 (PST)</t>
  </si>
  <si>
    <t>2018-10-16 16:14 (PST)</t>
  </si>
  <si>
    <t>20 min 70s Rock Ride</t>
  </si>
  <si>
    <t>2018-10-16 13:51 (PST)</t>
  </si>
  <si>
    <t>2018-10-30 12:10 (PST)</t>
  </si>
  <si>
    <t>12:10(PST)</t>
  </si>
  <si>
    <t>2018-10-29 07:19 (PST)</t>
  </si>
  <si>
    <t>2018-11-07 15:59 (PST)</t>
  </si>
  <si>
    <t>15:59(PST)</t>
  </si>
  <si>
    <t>2018-11-06 08:19 (PST)</t>
  </si>
  <si>
    <t>2018-11-12 16:24 (PST)</t>
  </si>
  <si>
    <t>16:24(PST)</t>
  </si>
  <si>
    <t>2018-11-19 07:35 (PST)</t>
  </si>
  <si>
    <t>07:35(PST)</t>
  </si>
  <si>
    <t>Theme</t>
  </si>
  <si>
    <t>45 min Feel Good Ride</t>
  </si>
  <si>
    <t>2018-05-06 05:19 (PST)</t>
  </si>
  <si>
    <t>2018-11-20 11:50 (PST)</t>
  </si>
  <si>
    <t>11:50(PST)</t>
  </si>
  <si>
    <t>2018-11-15 10:19 (PST)</t>
  </si>
  <si>
    <t>2018-11-26 12:13 (PST)</t>
  </si>
  <si>
    <t>12:13(PST)</t>
  </si>
  <si>
    <t>2018-11-21 08:20 (PST)</t>
  </si>
  <si>
    <t>2018-11-29 14:29 (PST)</t>
  </si>
  <si>
    <t>14:29(PST)</t>
  </si>
  <si>
    <t>20 min Hip Hop Ride</t>
  </si>
  <si>
    <t>2018-11-28 06:18 (PST)</t>
  </si>
  <si>
    <t>2018-12-10 12:13 (PST)</t>
  </si>
  <si>
    <t>2018-12-05 02:49 (PST)</t>
  </si>
  <si>
    <t>2018-12-11 11:41 (PST)</t>
  </si>
  <si>
    <t>11:41(PST)</t>
  </si>
  <si>
    <t>2018-12-11 08:18 (PST)</t>
  </si>
  <si>
    <t>2018-12-13 15:30 (PST)</t>
  </si>
  <si>
    <t>15:30(PST)</t>
  </si>
  <si>
    <t>2018-12-04 08:19 (PST)</t>
  </si>
  <si>
    <t>2018-12-26 11:20 (PST)</t>
  </si>
  <si>
    <t>11:20(PST)</t>
  </si>
  <si>
    <t>Intervals</t>
  </si>
  <si>
    <t>30 min HIIT Ride</t>
  </si>
  <si>
    <t>2018-12-06 10:19 (PST)</t>
  </si>
  <si>
    <t>2019-01-24 12:18 (PST)</t>
  </si>
  <si>
    <t>12:18(PST)</t>
  </si>
  <si>
    <t>2019-01-24 09:18 (PST)</t>
  </si>
  <si>
    <t>2019-06-06 11:33 (PST)</t>
  </si>
  <si>
    <t>11:33(PST)</t>
  </si>
  <si>
    <t>30 min Feel Good Ride</t>
  </si>
  <si>
    <t>2019-05-04 10:12 (PST)</t>
  </si>
  <si>
    <t>2019-06-11 12:12 (PST)</t>
  </si>
  <si>
    <t>12:12(PST)</t>
  </si>
  <si>
    <t>2019-05-23 09:18 (PST)</t>
  </si>
  <si>
    <t>2019-06-13 12:17 (PST)</t>
  </si>
  <si>
    <t>12:17(PST)</t>
  </si>
  <si>
    <t>30 min Intervals &amp; Arms Ride</t>
  </si>
  <si>
    <t>2019-05-29 21:00 (PST)</t>
  </si>
  <si>
    <t>2019-06-14 11:56 (PST)</t>
  </si>
  <si>
    <t>11:56(PST)</t>
  </si>
  <si>
    <t>Friday</t>
  </si>
  <si>
    <t>45 min Intervals &amp; Arms Ride</t>
  </si>
  <si>
    <t>2019-05-22 17:19 (PST)</t>
  </si>
  <si>
    <t>2019-06-18 12:15 (PST)</t>
  </si>
  <si>
    <t>12:15(PST)</t>
  </si>
  <si>
    <t>2019-05-30 09:17 (PST)</t>
  </si>
  <si>
    <t>2019-06-20 12:14 (PST)</t>
  </si>
  <si>
    <t>2019-05-02 07:18 (PST)</t>
  </si>
  <si>
    <t>2019-06-25 11:53 (PST)</t>
  </si>
  <si>
    <t>11:53(PST)</t>
  </si>
  <si>
    <t>2018-03-29 10:20 (PST)</t>
  </si>
  <si>
    <t>2019-06-27 11:19 (PST)</t>
  </si>
  <si>
    <t>11:19(PST)</t>
  </si>
  <si>
    <t>2019-06-20 09:18 (PST)</t>
  </si>
  <si>
    <t>2019-07-02 15:18 (PST)</t>
  </si>
  <si>
    <t>15:18(PST)</t>
  </si>
  <si>
    <t>2019-06-27 09:18 (PST)</t>
  </si>
  <si>
    <t>2019-07-10 12:18 (PST)</t>
  </si>
  <si>
    <t>2019-07-07 09:34 (PST)</t>
  </si>
  <si>
    <t>2019-07-11 12:02 (PST)</t>
  </si>
  <si>
    <t>12:02(PST)</t>
  </si>
  <si>
    <t>20 min Caribbean Music Ride</t>
  </si>
  <si>
    <t>2019-07-10 06:52 (PST)</t>
  </si>
  <si>
    <t>2019-07-16 12:39 (PST)</t>
  </si>
  <si>
    <t>12:39(PST)</t>
  </si>
  <si>
    <t>Robin Arzon</t>
  </si>
  <si>
    <t>20 min 90s Hip Hop Ride</t>
  </si>
  <si>
    <t>2019-07-10 13:51 (PST)</t>
  </si>
  <si>
    <t>2019-07-18 12:19 (PST)</t>
  </si>
  <si>
    <t>12:19(PST)</t>
  </si>
  <si>
    <t>2019-07-14 11:35 (PST)</t>
  </si>
  <si>
    <t>2019-09-05 12:15 (PST)</t>
  </si>
  <si>
    <t>2019-09-04 03:48 (PST)</t>
  </si>
  <si>
    <t>2019-11-05 06:37 (PST)</t>
  </si>
  <si>
    <t>06:37(PST)</t>
  </si>
  <si>
    <t>Emma Lovewell</t>
  </si>
  <si>
    <t>30 min Halloween Ride</t>
  </si>
  <si>
    <t>2019-10-31 06:17 (PST)</t>
  </si>
  <si>
    <t>2019-11-11 16:26 (PST)</t>
  </si>
  <si>
    <t>2019-11-07 06:18 (PST)</t>
  </si>
  <si>
    <t>2020-01-01 18:01 (PST)</t>
  </si>
  <si>
    <t>18:01(PST)</t>
  </si>
  <si>
    <t>Colleen Saidman Yee</t>
  </si>
  <si>
    <t>Yoga</t>
  </si>
  <si>
    <t>Flow</t>
  </si>
  <si>
    <t>30 min Hip Opener Yoga</t>
  </si>
  <si>
    <t>2018-02-21 12:21 (PST)</t>
  </si>
  <si>
    <t>2020-01-02 20:07 (PST)</t>
  </si>
  <si>
    <t>20:07(PST)</t>
  </si>
  <si>
    <t>Strength</t>
  </si>
  <si>
    <t>Core</t>
  </si>
  <si>
    <t>5 min Core Strength</t>
  </si>
  <si>
    <t>2019-03-19 12:38 (PST)</t>
  </si>
  <si>
    <t>2020-01-02 20:14 (PST)</t>
  </si>
  <si>
    <t>20:14(PST)</t>
  </si>
  <si>
    <t>Anna Greenberg</t>
  </si>
  <si>
    <t>30 min Yoga Flow</t>
  </si>
  <si>
    <t>2019-12-31 08:06 (PST)</t>
  </si>
  <si>
    <t>2020-01-06 18:05 (PST)</t>
  </si>
  <si>
    <t>18:05(PST)</t>
  </si>
  <si>
    <t>2019-05-27 06:00 (PST)</t>
  </si>
  <si>
    <t>2020-01-06 18:13 (PST)</t>
  </si>
  <si>
    <t>18:13(PST)</t>
  </si>
  <si>
    <t>Ross Rayburn</t>
  </si>
  <si>
    <t>2020-01-06 14:49 (PST)</t>
  </si>
  <si>
    <t>2020-01-07 20:14 (PST)</t>
  </si>
  <si>
    <t>10 min Core Strength</t>
  </si>
  <si>
    <t>2019-04-30 12:03 (PST)</t>
  </si>
  <si>
    <t>2020-01-16 20:40 (PST)</t>
  </si>
  <si>
    <t>20:40(PST)</t>
  </si>
  <si>
    <t>Aditi Shah</t>
  </si>
  <si>
    <t>60 min Yoga Flow</t>
  </si>
  <si>
    <t>2019-12-18 14:48 (PST)</t>
  </si>
  <si>
    <t>2020-01-17 07:09 (PST)</t>
  </si>
  <si>
    <t>07:09(PST)</t>
  </si>
  <si>
    <t>2018-10-05 09:56 (PST)</t>
  </si>
  <si>
    <t>2020-01-20 12:08 (PST)</t>
  </si>
  <si>
    <t>12:08(PST)</t>
  </si>
  <si>
    <t>2019-12-31 09:18 (PST)</t>
  </si>
  <si>
    <t>2020-01-28 17:38 (PST)</t>
  </si>
  <si>
    <t>17:38(PST)</t>
  </si>
  <si>
    <t>Full Body Stretch</t>
  </si>
  <si>
    <t>5 min Full Body Stretch</t>
  </si>
  <si>
    <t>2019-05-28 06:00 (PST)</t>
  </si>
  <si>
    <t>2020-01-29 17:08 (PST)</t>
  </si>
  <si>
    <t>17:08(PST)</t>
  </si>
  <si>
    <t>Rebecca Kennedy</t>
  </si>
  <si>
    <t>Full Body</t>
  </si>
  <si>
    <t>30 min Full Body Strength</t>
  </si>
  <si>
    <t>2020-01-24 02:49 (PST)</t>
  </si>
  <si>
    <t>2020-02-03 20:22 (PST)</t>
  </si>
  <si>
    <t>20:22(PST)</t>
  </si>
  <si>
    <t>Kristin McGee</t>
  </si>
  <si>
    <t>Focus Flow</t>
  </si>
  <si>
    <t>30 min Yoga Flow: Hips</t>
  </si>
  <si>
    <t>2020-02-03 16:19 (PST)</t>
  </si>
  <si>
    <t>2020-02-03 20:25 (PST)</t>
  </si>
  <si>
    <t>20:25(PST)</t>
  </si>
  <si>
    <t>Denis Morton</t>
  </si>
  <si>
    <t>45 min Yoga Flow</t>
  </si>
  <si>
    <t>2020-02-02 07:36 (PST)</t>
  </si>
  <si>
    <t>2020-02-04 21:51 (PST)</t>
  </si>
  <si>
    <t>21:51(PST)</t>
  </si>
  <si>
    <t>20 min Yoga Flow</t>
  </si>
  <si>
    <t>2020-01-29 15:31 (PST)</t>
  </si>
  <si>
    <t>2020-02-04 22:15 (PST)</t>
  </si>
  <si>
    <t>22:15(PST)</t>
  </si>
  <si>
    <t>2020-02-05 21:37 (PST)</t>
  </si>
  <si>
    <t>21:37(PST)</t>
  </si>
  <si>
    <t>Slow Flow</t>
  </si>
  <si>
    <t>30 min Slow Flow</t>
  </si>
  <si>
    <t>2020-02-05 16:17 (PST)</t>
  </si>
  <si>
    <t>2020-02-09 19:55 (PST)</t>
  </si>
  <si>
    <t>19:55(PST)</t>
  </si>
  <si>
    <t>Sunday</t>
  </si>
  <si>
    <t>2020-02-09 20:02 (PST)</t>
  </si>
  <si>
    <t>20:02(PST)</t>
  </si>
  <si>
    <t>2020-02-09 07:33 (PST)</t>
  </si>
  <si>
    <t>2020-02-17 19:04 (PST)</t>
  </si>
  <si>
    <t>19:04(PST)</t>
  </si>
  <si>
    <t>2019-05-26 12:19 (PST)</t>
  </si>
  <si>
    <t>2020-03-10 21:13 (PST)</t>
  </si>
  <si>
    <t>21:13(PST)</t>
  </si>
  <si>
    <t>2020-03-10 15:32 (PST)</t>
  </si>
  <si>
    <t>2020-03-10 21:36 (PST)</t>
  </si>
  <si>
    <t>21:36(PST)</t>
  </si>
  <si>
    <t>2020-03-15 20:34 (PST)</t>
  </si>
  <si>
    <t>20:34(PST)</t>
  </si>
  <si>
    <t>2020-03-07 06:17 (PST)</t>
  </si>
  <si>
    <t>2020-03-24 20:11 (PST)</t>
  </si>
  <si>
    <t>20:11(PST)</t>
  </si>
  <si>
    <t>2020-03-24 10:26 (PST)</t>
  </si>
  <si>
    <t>2020-04-05 11:30 (PST)</t>
  </si>
  <si>
    <t>11:30(PST)</t>
  </si>
  <si>
    <t>2020-03-23 10:18 (PST)</t>
  </si>
  <si>
    <t>2020-05-03 16:49 (PST)</t>
  </si>
  <si>
    <t>16:49(PST)</t>
  </si>
  <si>
    <t>30 min Reset</t>
  </si>
  <si>
    <t>2020-02-04 14:48 (PST)</t>
  </si>
  <si>
    <t>2020-05-03 16:50 (PST)</t>
  </si>
  <si>
    <t>16:50(PST)</t>
  </si>
  <si>
    <t>2020-05-03 16:53 (PST)</t>
  </si>
  <si>
    <t>16:53(PST)</t>
  </si>
  <si>
    <t>30 min Yoga Flow: Live from Home</t>
  </si>
  <si>
    <t>2020-04-25 05:55 (PST)</t>
  </si>
  <si>
    <t>2020-10-14 19:14 (PST)</t>
  </si>
  <si>
    <t>19:14(PST)</t>
  </si>
  <si>
    <t>Jess Sims</t>
  </si>
  <si>
    <t>10 min Full Body Stretch</t>
  </si>
  <si>
    <t>2020-10-14 07:00 (PST)</t>
  </si>
  <si>
    <t>2020-10-14 20:03 (PST)</t>
  </si>
  <si>
    <t>20:03(PST)</t>
  </si>
  <si>
    <t>Adrian Williams</t>
  </si>
  <si>
    <t>Lower Body Stretch</t>
  </si>
  <si>
    <t>5 min Lower Body Stretch</t>
  </si>
  <si>
    <t>2020-10-08 07:00 (PST)</t>
  </si>
  <si>
    <t>2020-10-15 19:03 (PST)</t>
  </si>
  <si>
    <t>19:03(PST)</t>
  </si>
  <si>
    <t>2020-10-15 19:15 (PST)</t>
  </si>
  <si>
    <t>19:15(PST)</t>
  </si>
  <si>
    <t>Andy Speer</t>
  </si>
  <si>
    <t>2020-10-10 07:00 (PST)</t>
  </si>
  <si>
    <t>2020-10-16 16:02 (PST)</t>
  </si>
  <si>
    <t>16:02(PST)</t>
  </si>
  <si>
    <t>Becs Gentry</t>
  </si>
  <si>
    <t>Pre-Run Stretch</t>
  </si>
  <si>
    <t>10 min Pre-Run Warm Up</t>
  </si>
  <si>
    <t>2020-10-06 07:00 (PST)</t>
  </si>
  <si>
    <t>2020-10-16 16:57 (PST)</t>
  </si>
  <si>
    <t>Selena Samuela</t>
  </si>
  <si>
    <t>10 min Lower Body Stretch</t>
  </si>
  <si>
    <t>2020-09-16 07:00 (PST)</t>
  </si>
  <si>
    <t>2020-10-19 18:26 (PST)</t>
  </si>
  <si>
    <t>18:26(PST)</t>
  </si>
  <si>
    <t>2020-10-19 19:17 (PST)</t>
  </si>
  <si>
    <t>19:17(PST)</t>
  </si>
  <si>
    <t>2020-10-20 19:00 (PST)</t>
  </si>
  <si>
    <t>19:00(PST)</t>
  </si>
  <si>
    <t>Matt Wilpers</t>
  </si>
  <si>
    <t>5 min Pre-Run Warm Up</t>
  </si>
  <si>
    <t>2020-10-05 07:00 (PST)</t>
  </si>
  <si>
    <t>2020-10-20 19:48 (PST)</t>
  </si>
  <si>
    <t>19:48(PST)</t>
  </si>
  <si>
    <t>Olivia Amato</t>
  </si>
  <si>
    <t>2020-09-05 07:00 (PST)</t>
  </si>
  <si>
    <t>2020-10-21 18:32 (PST)</t>
  </si>
  <si>
    <t>18:32(PST)</t>
  </si>
  <si>
    <t>2020-10-21 07:00 (PST)</t>
  </si>
  <si>
    <t>2020-10-21 19:12 (PST)</t>
  </si>
  <si>
    <t>19:12(PST)</t>
  </si>
  <si>
    <t>Ben Alldis</t>
  </si>
  <si>
    <t>2020-10-19 22:30 (PST)</t>
  </si>
  <si>
    <t>2020-10-23 18:36 (PST)</t>
  </si>
  <si>
    <t>18:36(PST)</t>
  </si>
  <si>
    <t>2020-10-24 08:57 (PST)</t>
  </si>
  <si>
    <t>08:57(PST)</t>
  </si>
  <si>
    <t>Saturday</t>
  </si>
  <si>
    <t>2020-10-24 09:04 (PST)</t>
  </si>
  <si>
    <t>09:04(PST)</t>
  </si>
  <si>
    <t>2020-10-24 09:45 (PST)</t>
  </si>
  <si>
    <t>09:45(PST)</t>
  </si>
  <si>
    <t>2020-10-31 10:35 (PST)</t>
  </si>
  <si>
    <t>10:35(PST)</t>
  </si>
  <si>
    <t>30 min Classic Rock Ride</t>
  </si>
  <si>
    <t>2020-10-29 13:51 (PST)</t>
  </si>
  <si>
    <t>2020-10-31 11:19 (PST)</t>
  </si>
  <si>
    <t>2020-10-18 07:00 (PST)</t>
  </si>
  <si>
    <t>2020-11-01 15:40 (PST)</t>
  </si>
  <si>
    <t>15:40(PST)</t>
  </si>
  <si>
    <t>Tunde Oyeneyin</t>
  </si>
  <si>
    <t>2020-10-24 04:56 (PST)</t>
  </si>
  <si>
    <t>2020-11-01 16:27 (PST)</t>
  </si>
  <si>
    <t>16:27(PST)</t>
  </si>
  <si>
    <t>Cool Down</t>
  </si>
  <si>
    <t>5 min Cool Down Ride</t>
  </si>
  <si>
    <t>2020-10-12 05:30 (PST)</t>
  </si>
  <si>
    <t>2020-11-01 16:41 (PST)</t>
  </si>
  <si>
    <t>16:41(PST)</t>
  </si>
  <si>
    <t>2020-08-16 07:00 (PST)</t>
  </si>
  <si>
    <t>2020-11-03 06:25 (PST)</t>
  </si>
  <si>
    <t>06:25(PST)</t>
  </si>
  <si>
    <t>15 min Low Impact Ride</t>
  </si>
  <si>
    <t>2020-01-30 06:30 (PST)</t>
  </si>
  <si>
    <t>2020-11-03 06:43 (PST)</t>
  </si>
  <si>
    <t>06:43(PST)</t>
  </si>
  <si>
    <t>Power Zone</t>
  </si>
  <si>
    <t>20 min Power Zone Beginner Ride</t>
  </si>
  <si>
    <t>2020-01-30 05:30 (PST)</t>
  </si>
  <si>
    <t>2020-11-04 07:02 (PST)</t>
  </si>
  <si>
    <t>07:02(PST)</t>
  </si>
  <si>
    <t>2020-10-29 02:55 (PST)</t>
  </si>
  <si>
    <t>2020-11-04 07:34 (PST)</t>
  </si>
  <si>
    <t>07:34(PST)</t>
  </si>
  <si>
    <t>2020-07-17 06:00 (PST)</t>
  </si>
  <si>
    <t>2020-11-05 07:03 (PST)</t>
  </si>
  <si>
    <t>07:03(PST)</t>
  </si>
  <si>
    <t>10 min FTP Warm Up Ride</t>
  </si>
  <si>
    <t>2019-12-18 11:23 (PST)</t>
  </si>
  <si>
    <t>2020-11-05 07:15 (PST)</t>
  </si>
  <si>
    <t>07:15(PST)</t>
  </si>
  <si>
    <t>20 min FTP Test Ride</t>
  </si>
  <si>
    <t>2019-12-04 08:00 (PST)</t>
  </si>
  <si>
    <t>2020-11-05 07:39 (PST)</t>
  </si>
  <si>
    <t>07:39(PST)</t>
  </si>
  <si>
    <t>10 min Cool Down Ride</t>
  </si>
  <si>
    <t>2020-07-09 15:33 (PST)</t>
  </si>
  <si>
    <t>2020-11-05 07:52 (PST)</t>
  </si>
  <si>
    <t>07:52(PST)</t>
  </si>
  <si>
    <t>2020-06-15 07:00 (PST)</t>
  </si>
  <si>
    <t>2020-11-06 06:53 (PST)</t>
  </si>
  <si>
    <t>06:53(PST)</t>
  </si>
  <si>
    <t>30 min Power Zone Endurance Ride</t>
  </si>
  <si>
    <t>2020-01-30 04:30 (PST)</t>
  </si>
  <si>
    <t>2020-11-06 07:26 (PST)</t>
  </si>
  <si>
    <t>07:26(PST)</t>
  </si>
  <si>
    <t>2020-11-07 16:56 (PST)</t>
  </si>
  <si>
    <t>16:56(PST)</t>
  </si>
  <si>
    <t>Groove</t>
  </si>
  <si>
    <t>60 min Groove Ride</t>
  </si>
  <si>
    <t>2020-10-18 10:17 (PST)</t>
  </si>
  <si>
    <t>2020-11-07 17:21 (PST)</t>
  </si>
  <si>
    <t>17:21(PST)</t>
  </si>
  <si>
    <t>30 min Low Impact Ride</t>
  </si>
  <si>
    <t>2020-10-23 06:30 (PST)</t>
  </si>
  <si>
    <t>2020-11-07 17:59 (PST)</t>
  </si>
  <si>
    <t>17:59(PST)</t>
  </si>
  <si>
    <t>10 min Yoga Flow: Hips</t>
  </si>
  <si>
    <t>2020-10-21 15:40 (PST)</t>
  </si>
  <si>
    <t>2020-11-08 09:22 (PST)</t>
  </si>
  <si>
    <t>09:22(PST)</t>
  </si>
  <si>
    <t>30 min Flow &amp; Let Go</t>
  </si>
  <si>
    <t>2020-10-15 14:52 (PST)</t>
  </si>
  <si>
    <t>2020-11-09 07:00 (PST)</t>
  </si>
  <si>
    <t>07:00(PST)</t>
  </si>
  <si>
    <t>2020-01-30 07:00 (PST)</t>
  </si>
  <si>
    <t>2020-11-09 07:35 (PST)</t>
  </si>
  <si>
    <t>2020-11-09 18:41 (PST)</t>
  </si>
  <si>
    <t>18:41(PST)</t>
  </si>
  <si>
    <t>Warm Up</t>
  </si>
  <si>
    <t>5 min Lower Body Strength Warm Up</t>
  </si>
  <si>
    <t>2020-11-07 07:00 (PST)</t>
  </si>
  <si>
    <t>2020-11-09 19:04 (PST)</t>
  </si>
  <si>
    <t>Scenic Ride</t>
  </si>
  <si>
    <t>15 min Redwood State Park Scenic Ride</t>
  </si>
  <si>
    <t>2020-11-10 06:50 (PST)</t>
  </si>
  <si>
    <t>06:50(PST)</t>
  </si>
  <si>
    <t>10 min Low Impact Ride</t>
  </si>
  <si>
    <t>2020-11-10 07:02 (PST)</t>
  </si>
  <si>
    <t>30 min Power Zone Ride</t>
  </si>
  <si>
    <t>2020-01-27 07:19 (PST)</t>
  </si>
  <si>
    <t>2020-11-10 07:34 (PST)</t>
  </si>
  <si>
    <t>2020-07-21 06:00 (PST)</t>
  </si>
  <si>
    <t>2020-11-11 10:25 (PST)</t>
  </si>
  <si>
    <t>10:25(PST)</t>
  </si>
  <si>
    <t>45 min Power Zone Endurance Ride</t>
  </si>
  <si>
    <t>2019-12-19 04:47 (PST)</t>
  </si>
  <si>
    <t>2020-11-11 11:12 (PST)</t>
  </si>
  <si>
    <t>11:12(PST)</t>
  </si>
  <si>
    <t>2020-11-12 06:34 (PST)</t>
  </si>
  <si>
    <t>06:34(PST)</t>
  </si>
  <si>
    <t>2020-01-25 14:05 (PST)</t>
  </si>
  <si>
    <t>2020-11-14 08:32 (PST)</t>
  </si>
  <si>
    <t>08:32(PST)</t>
  </si>
  <si>
    <t xml:space="preserve">Alex &amp; Tunde  </t>
  </si>
  <si>
    <t>30 min Beyonce Two for One Ride</t>
  </si>
  <si>
    <t>2020-11-09 16:23 (PST)</t>
  </si>
  <si>
    <t>2020-11-15 13:11 (PST)</t>
  </si>
  <si>
    <t>13:11(PST)</t>
  </si>
  <si>
    <t>2020-01-22 08:18 (PST)</t>
  </si>
  <si>
    <t>2020-11-15 13:42 (PST)</t>
  </si>
  <si>
    <t>13:42(PST)</t>
  </si>
  <si>
    <t>2020-11-02 05:30 (PST)</t>
  </si>
  <si>
    <t>2020-11-15 14:07 (PST)</t>
  </si>
  <si>
    <t>14:07(PST)</t>
  </si>
  <si>
    <t>Chelsea Jackson Roberts</t>
  </si>
  <si>
    <t>30 min Beyonce Yoga Flow</t>
  </si>
  <si>
    <t>2020-11-11 16:20 (PST)</t>
  </si>
  <si>
    <t>2020-11-15 14:43 (PST)</t>
  </si>
  <si>
    <t>14:43(PST)</t>
  </si>
  <si>
    <t>Meditation</t>
  </si>
  <si>
    <t>10 min Beyonce Meditation</t>
  </si>
  <si>
    <t>2020-11-11 16:00 (PST)</t>
  </si>
  <si>
    <t>2020-11-16 06:57 (PST)</t>
  </si>
  <si>
    <t>06:57(PST)</t>
  </si>
  <si>
    <t>30 min 90s Rock Ride</t>
  </si>
  <si>
    <t>2020-11-09 04:23 (PST)</t>
  </si>
  <si>
    <t>2020-11-16 07:28 (PST)</t>
  </si>
  <si>
    <t>07:28(PST)</t>
  </si>
  <si>
    <t>2020-10-08 06:00 (PST)</t>
  </si>
  <si>
    <t>2020-11-16 07:33 (PST)</t>
  </si>
  <si>
    <t>07:33(PST)</t>
  </si>
  <si>
    <t>2020-10-14 06:00 (PST)</t>
  </si>
  <si>
    <t>2020-11-17 06:46 (PST)</t>
  </si>
  <si>
    <t>06:46(PST)</t>
  </si>
  <si>
    <t>45 min Power Zone Ride</t>
  </si>
  <si>
    <t>2020-01-09 04:49 (PST)</t>
  </si>
  <si>
    <t>2020-11-17 07:36 (PST)</t>
  </si>
  <si>
    <t>07:36(PST)</t>
  </si>
  <si>
    <t>20 min Yoga Flow: Hips</t>
  </si>
  <si>
    <t>2020-11-16 14:53 (PST)</t>
  </si>
  <si>
    <t>2020-11-18 06:32 (PST)</t>
  </si>
  <si>
    <t>06:32(PST)</t>
  </si>
  <si>
    <t>2020-01-27 08:18 (PST)</t>
  </si>
  <si>
    <t>2020-11-18 07:04 (PST)</t>
  </si>
  <si>
    <t>07:04(PST)</t>
  </si>
  <si>
    <t>Jess King</t>
  </si>
  <si>
    <t>2020-11-05 06:00 (PST)</t>
  </si>
  <si>
    <t>2020-11-19 06:46 (PST)</t>
  </si>
  <si>
    <t>2020-01-20 07:19 (PST)</t>
  </si>
  <si>
    <t>2020-11-19 19:55 (PST)</t>
  </si>
  <si>
    <t>2020-11-16 06:01 (PST)</t>
  </si>
  <si>
    <t>2020-11-20 18:44 (PST)</t>
  </si>
  <si>
    <t>18:44(PST)</t>
  </si>
  <si>
    <t>60 min Power Zone Endurance Ride</t>
  </si>
  <si>
    <t>2020-02-08 09:35 (PST)</t>
  </si>
  <si>
    <t>2020-11-20 19:47 (PST)</t>
  </si>
  <si>
    <t>19:47(PST)</t>
  </si>
  <si>
    <t>2020-09-21 14:00 (PST)</t>
  </si>
  <si>
    <t>2020-11-21 09:47 (PST)</t>
  </si>
  <si>
    <t>09:47(PST)</t>
  </si>
  <si>
    <t>5 min Warm Up Ride</t>
  </si>
  <si>
    <t>2020-10-29 05:30 (PST)</t>
  </si>
  <si>
    <t>2020-11-21 10:01 (PST)</t>
  </si>
  <si>
    <t>10:01(PST)</t>
  </si>
  <si>
    <t>30 min Sweat Steady Ride</t>
  </si>
  <si>
    <t>2020-10-17 08:51 (PST)</t>
  </si>
  <si>
    <t>2020-11-21 10:32 (PST)</t>
  </si>
  <si>
    <t>10:32(PST)</t>
  </si>
  <si>
    <t>2020-08-21 06:00 (PST)</t>
  </si>
  <si>
    <t>2020-11-21 10:47 (PST)</t>
  </si>
  <si>
    <t>10:47(PST)</t>
  </si>
  <si>
    <t>20 min Slow Flow</t>
  </si>
  <si>
    <t>2020-11-16 15:23 (PST)</t>
  </si>
  <si>
    <t>2020-11-22 09:39 (PST)</t>
  </si>
  <si>
    <t>09:39(PST)</t>
  </si>
  <si>
    <t>2020-11-17 13:54 (PST)</t>
  </si>
  <si>
    <t>2020-11-22 10:25 (PST)</t>
  </si>
  <si>
    <t>2020-11-23 06:15 (PST)</t>
  </si>
  <si>
    <t>06:15(PST)</t>
  </si>
  <si>
    <t>2020-01-13 17:18 (PST)</t>
  </si>
  <si>
    <t>2020-11-23 07:02 (PST)</t>
  </si>
  <si>
    <t>2020-11-24 06:58 (PST)</t>
  </si>
  <si>
    <t>06:58(PST)</t>
  </si>
  <si>
    <t>2020-02-03 08:19 (PST)</t>
  </si>
  <si>
    <t>2020-11-25 06:59 (PST)</t>
  </si>
  <si>
    <t>06:59(PST)</t>
  </si>
  <si>
    <t>15 min FTP Warm Up Ride</t>
  </si>
  <si>
    <t>2020-01-30 05:00 (PST)</t>
  </si>
  <si>
    <t>2020-11-25 07:15 (PST)</t>
  </si>
  <si>
    <t>2020-01-30 06:00 (PST)</t>
  </si>
  <si>
    <t>2020-11-25 07:37 (PST)</t>
  </si>
  <si>
    <t>07:37(PST)</t>
  </si>
  <si>
    <t>2020-11-25 07:42 (PST)</t>
  </si>
  <si>
    <t>07:42(PST)</t>
  </si>
  <si>
    <t>2020-11-26 09:52 (PST)</t>
  </si>
  <si>
    <t>09:52(PST)</t>
  </si>
  <si>
    <t>2020-01-22 15:19 (PST)</t>
  </si>
  <si>
    <t>2020-11-26 10:38 (PST)</t>
  </si>
  <si>
    <t>10:38(PST)</t>
  </si>
  <si>
    <t>2020-07-29 06:00 (PST)</t>
  </si>
  <si>
    <t>2020-11-26 10:51 (PST)</t>
  </si>
  <si>
    <t>10:51(PST)</t>
  </si>
  <si>
    <t>2020-11-26 09:23 (PST)</t>
  </si>
  <si>
    <t>2020-11-27 10:48 (PST)</t>
  </si>
  <si>
    <t>10:48(PST)</t>
  </si>
  <si>
    <t>45 min Power Zone 80s Ride</t>
  </si>
  <si>
    <t>2020-11-24 04:24 (PST)</t>
  </si>
  <si>
    <t>2020-11-27 11:34 (PST)</t>
  </si>
  <si>
    <t>11:34(PST)</t>
  </si>
  <si>
    <t>Hannah Corbin</t>
  </si>
  <si>
    <t>2020-11-18 06:00 (PST)</t>
  </si>
  <si>
    <t>2020-11-30 14:36 (PST)</t>
  </si>
  <si>
    <t>14:36(PST)</t>
  </si>
  <si>
    <t>2020-11-21 04:52 (PST)</t>
  </si>
  <si>
    <t>2020-11-30 15:49 (PST)</t>
  </si>
  <si>
    <t>15:49(PST)</t>
  </si>
  <si>
    <t>2020-11-04 05:59 (PST)</t>
  </si>
  <si>
    <t>2020-11-30 16:01 (PST)</t>
  </si>
  <si>
    <t>16:01(PST)</t>
  </si>
  <si>
    <t>10 min Yoga Flow</t>
  </si>
  <si>
    <t>2020-10-14 15:35 (PST)</t>
  </si>
  <si>
    <t>2020-12-01 07:02 (PST)</t>
  </si>
  <si>
    <t>2020-11-17 04:21 (PST)</t>
  </si>
  <si>
    <t>2020-12-02 06:44 (PST)</t>
  </si>
  <si>
    <t>06:44(PST)</t>
  </si>
  <si>
    <t>2020-11-21 06:23 (PST)</t>
  </si>
  <si>
    <t>2020-12-02 07:15 (PST)</t>
  </si>
  <si>
    <t>2020-10-19 05:30 (PST)</t>
  </si>
  <si>
    <t>2020-12-02 20:48 (PST)</t>
  </si>
  <si>
    <t>20:48(PST)</t>
  </si>
  <si>
    <t>Power</t>
  </si>
  <si>
    <t>45 min Power Yoga</t>
  </si>
  <si>
    <t>2020-11-29 08:00 (PST)</t>
  </si>
  <si>
    <t>2020-12-02 21:36 (PST)</t>
  </si>
  <si>
    <t>Emotions</t>
  </si>
  <si>
    <t>10 min Acceptance Meditation</t>
  </si>
  <si>
    <t>2020-12-01 15:35 (PST)</t>
  </si>
  <si>
    <t>2020-12-03 07:02 (PST)</t>
  </si>
  <si>
    <t>2020-09-15 04:23 (PST)</t>
  </si>
  <si>
    <t>2020-12-04 07:10 (PST)</t>
  </si>
  <si>
    <t>07:10(PST)</t>
  </si>
  <si>
    <t>45 min Power Zone Rock Ride</t>
  </si>
  <si>
    <t>2020-11-29 10:20 (PST)</t>
  </si>
  <si>
    <t>2020-12-04 07:57 (PST)</t>
  </si>
  <si>
    <t>07:57(PST)</t>
  </si>
  <si>
    <t>Sam Yo</t>
  </si>
  <si>
    <t>2020-11-30 22:45 (PST)</t>
  </si>
  <si>
    <t>2020-12-05 10:30 (PST)</t>
  </si>
  <si>
    <t>10:30(PST)</t>
  </si>
  <si>
    <t>30 min Listening Party</t>
  </si>
  <si>
    <t>2020-12-03 13:55 (PST)</t>
  </si>
  <si>
    <t>2020-12-05 11:11 (PST)</t>
  </si>
  <si>
    <t>11:11(PST)</t>
  </si>
  <si>
    <t>30 min Metallica Power Yoga</t>
  </si>
  <si>
    <t>2020-11-18 14:52 (PST)</t>
  </si>
  <si>
    <t>2020-12-05 11:46 (PST)</t>
  </si>
  <si>
    <t>11:46(PST)</t>
  </si>
  <si>
    <t>10 min Gratitude Meditation</t>
  </si>
  <si>
    <t>2020-11-26 10:08 (PST)</t>
  </si>
  <si>
    <t>2020-12-06 12:14 (PST)</t>
  </si>
  <si>
    <t>Bike Bootcamp</t>
  </si>
  <si>
    <t>30 min 90s Hip Hop Bootcamp</t>
  </si>
  <si>
    <t>2020-12-04 04:23 (PST)</t>
  </si>
  <si>
    <t>2020-12-06 12:47 (PST)</t>
  </si>
  <si>
    <t>12:47(PST)</t>
  </si>
  <si>
    <t>2020-07-14 09:04 (PST)</t>
  </si>
  <si>
    <t>2020-12-07 12:16 (PST)</t>
  </si>
  <si>
    <t>12:16(PST)</t>
  </si>
  <si>
    <t>2020-11-11 02:52 (PST)</t>
  </si>
  <si>
    <t>2020-12-08 07:10 (PST)</t>
  </si>
  <si>
    <t>45 min Pop Ride</t>
  </si>
  <si>
    <t>2020-12-01 13:52 (PST)</t>
  </si>
  <si>
    <t>2020-12-08 07:57 (PST)</t>
  </si>
  <si>
    <t>2020-11-30 22:20 (PST)</t>
  </si>
  <si>
    <t>2020-12-09 20:05 (PST)</t>
  </si>
  <si>
    <t>20:05(PST)</t>
  </si>
  <si>
    <t>2020-10-21 02:54 (PST)</t>
  </si>
  <si>
    <t>2020-12-09 20:53 (PST)</t>
  </si>
  <si>
    <t>20:53(PST)</t>
  </si>
  <si>
    <t>2020-11-15 08:35 (PST)</t>
  </si>
  <si>
    <t>2020-12-10 07:16 (PST)</t>
  </si>
  <si>
    <t>07:16(PST)</t>
  </si>
  <si>
    <t>30 min Outkast Ride</t>
  </si>
  <si>
    <t>2020-12-02 16:22 (PST)</t>
  </si>
  <si>
    <t>2020-12-11 07:11 (PST)</t>
  </si>
  <si>
    <t>07:11(PST)</t>
  </si>
  <si>
    <t>Bodyweight</t>
  </si>
  <si>
    <t>45 min Bootcamp: Bodyweight</t>
  </si>
  <si>
    <t>2020-11-23 13:50 (PST)</t>
  </si>
  <si>
    <t>2020-12-12 16:58 (PST)</t>
  </si>
  <si>
    <t>16:58(PST)</t>
  </si>
  <si>
    <t>2020-12-10 22:00 (PST)</t>
  </si>
  <si>
    <t>2020-12-12 17:05 (PST)</t>
  </si>
  <si>
    <t>17:05(PST)</t>
  </si>
  <si>
    <t>20 min Afrobeats Ride</t>
  </si>
  <si>
    <t>2020-12-12 06:24 (PST)</t>
  </si>
  <si>
    <t>2020-12-12 17:33 (PST)</t>
  </si>
  <si>
    <t>17:33(PST)</t>
  </si>
  <si>
    <t>2020-12-10 14:48 (PST)</t>
  </si>
  <si>
    <t>2020-12-13 14:47 (PST)</t>
  </si>
  <si>
    <t>14:47(PST)</t>
  </si>
  <si>
    <t>60 min Power Zone Ride</t>
  </si>
  <si>
    <t>2020-12-12 04:53 (PST)</t>
  </si>
  <si>
    <t>2020-12-13 16:16 (PST)</t>
  </si>
  <si>
    <t>16:16(PST)</t>
  </si>
  <si>
    <t>2020-11-30 14:52 (PST)</t>
  </si>
  <si>
    <t>2020-12-14 07:32 (PST)</t>
  </si>
  <si>
    <t>07:32(PST)</t>
  </si>
  <si>
    <t>20 min 90s Rock Ride</t>
  </si>
  <si>
    <t>2020-12-14 04:19 (PST)</t>
  </si>
  <si>
    <t>2020-12-15 07:13 (PST)</t>
  </si>
  <si>
    <t>07:13(PST)</t>
  </si>
  <si>
    <t>2020-12-08 04:24 (PST)</t>
  </si>
  <si>
    <t>2020-12-15 07:59 (PST)</t>
  </si>
  <si>
    <t>07:59(PST)</t>
  </si>
  <si>
    <t>Leanne Hainsby</t>
  </si>
  <si>
    <t>2020-12-13 08:45 (PST)</t>
  </si>
  <si>
    <t>2020-12-16 06:57 (PST)</t>
  </si>
  <si>
    <t>Body Focus</t>
  </si>
  <si>
    <t>30 min Bootcamp: Core</t>
  </si>
  <si>
    <t>2020-12-11 06:00 (PST)</t>
  </si>
  <si>
    <t>2020-12-16 07:28 (PST)</t>
  </si>
  <si>
    <t>2020-12-13 08:35 (PST)</t>
  </si>
  <si>
    <t>2020-12-16 19:07 (PST)</t>
  </si>
  <si>
    <t>19:07(PST)</t>
  </si>
  <si>
    <t>30 min Elvis Ride</t>
  </si>
  <si>
    <t>2020-12-16 16:26 (PST)</t>
  </si>
  <si>
    <t>2020-12-16 19:41 (PST)</t>
  </si>
  <si>
    <t>19:41(PST)</t>
  </si>
  <si>
    <t>10 min Focus Flow: Hips</t>
  </si>
  <si>
    <t>2020-12-14 07:36 (PST)</t>
  </si>
  <si>
    <t>2020-12-17 18:57 (PST)</t>
  </si>
  <si>
    <t>18:57(PST)</t>
  </si>
  <si>
    <t>2020-12-05 04:51 (PST)</t>
  </si>
  <si>
    <t>2020-12-18 07:01 (PST)</t>
  </si>
  <si>
    <t>07:01(PST)</t>
  </si>
  <si>
    <t>45 min Hip Hop Bootcamp</t>
  </si>
  <si>
    <t>2020-12-15 13:54 (PST)</t>
  </si>
  <si>
    <t>2020-12-19 13:55 (PST)</t>
  </si>
  <si>
    <t>13:55(PST)</t>
  </si>
  <si>
    <t>2020-12-16 02:52 (PST)</t>
  </si>
  <si>
    <t>2020-12-19 14:42 (PST)</t>
  </si>
  <si>
    <t>14:42(PST)</t>
  </si>
  <si>
    <t>2020-12-08 14:34 (PST)</t>
  </si>
  <si>
    <t>2020-12-19 15:00 (PST)</t>
  </si>
  <si>
    <t>15:00(PST)</t>
  </si>
  <si>
    <t>Lower Body</t>
  </si>
  <si>
    <t>10 min Glutes &amp; Legs Strength</t>
  </si>
  <si>
    <t>2020-12-16 22:00 (PST)</t>
  </si>
  <si>
    <t>2020-12-20 12:37 (PST)</t>
  </si>
  <si>
    <t>12:37(PST)</t>
  </si>
  <si>
    <t>30 min Power Zone Classic Rock Ride</t>
  </si>
  <si>
    <t>2020-12-15 04:26 (PST)</t>
  </si>
  <si>
    <t>2020-12-20 13:10 (PST)</t>
  </si>
  <si>
    <t>13:10(PST)</t>
  </si>
  <si>
    <t>Arms &amp; Light Weights</t>
  </si>
  <si>
    <t>10 min Arms Toning</t>
  </si>
  <si>
    <t>2020-07-27 17:05 (PST)</t>
  </si>
  <si>
    <t>2020-12-20 13:25 (PST)</t>
  </si>
  <si>
    <t>13:25(PST)</t>
  </si>
  <si>
    <t>Pilates</t>
  </si>
  <si>
    <t>10 min Intro to Pilates</t>
  </si>
  <si>
    <t>2020-12-16 06:00 (PST)</t>
  </si>
  <si>
    <t>2020-12-21 07:16 (PST)</t>
  </si>
  <si>
    <t>2020-12-17 13:55 (PST)</t>
  </si>
  <si>
    <t>2020-12-21 07:50 (PST)</t>
  </si>
  <si>
    <t>07:50(PST)</t>
  </si>
  <si>
    <t>15 min Intro to Pilates</t>
  </si>
  <si>
    <t>2020-12-22 17:46 (PST)</t>
  </si>
  <si>
    <t>17:46(PST)</t>
  </si>
  <si>
    <t>45 min Power Zone Classic Rock Ride</t>
  </si>
  <si>
    <t>2020-12-21 05:49 (PST)</t>
  </si>
  <si>
    <t>2020-12-22 18:32 (PST)</t>
  </si>
  <si>
    <t>2020-12-18 06:00 (PST)</t>
  </si>
  <si>
    <t>2020-12-22 18:43 (PST)</t>
  </si>
  <si>
    <t>18:43(PST)</t>
  </si>
  <si>
    <t>2020-12-23 17:29 (PST)</t>
  </si>
  <si>
    <t>17:29(PST)</t>
  </si>
  <si>
    <t>2020-12-21 16:22 (PST)</t>
  </si>
  <si>
    <t>2020-12-23 18:15 (PST)</t>
  </si>
  <si>
    <t>18:15(PST)</t>
  </si>
  <si>
    <t>2020-12-23 18:23 (PST)</t>
  </si>
  <si>
    <t>18:23(PST)</t>
  </si>
  <si>
    <t>15 min Pilates</t>
  </si>
  <si>
    <t>2020-12-23 18:40 (PST)</t>
  </si>
  <si>
    <t>18:40(PST)</t>
  </si>
  <si>
    <t>10 min Focus Flow: Hamstrings</t>
  </si>
  <si>
    <t>2020-12-19 06:34 (PST)</t>
  </si>
  <si>
    <t>2020-12-24 18:29 (PST)</t>
  </si>
  <si>
    <t>18:29(PST)</t>
  </si>
  <si>
    <t>2020-12-24 18:46 (PST)</t>
  </si>
  <si>
    <t>18:46(PST)</t>
  </si>
  <si>
    <t>2020-12-24 19:08 (PST)</t>
  </si>
  <si>
    <t>19:08(PST)</t>
  </si>
  <si>
    <t>2020-12-24 19:19 (PST)</t>
  </si>
  <si>
    <t>19:19(PST)</t>
  </si>
  <si>
    <t>2020-11-30 15:34 (PST)</t>
  </si>
  <si>
    <t>2020-12-26 10:27 (PST)</t>
  </si>
  <si>
    <t>10:27(PST)</t>
  </si>
  <si>
    <t>2020-12-24 06:00 (PST)</t>
  </si>
  <si>
    <t>2020-12-26 10:58 (PST)</t>
  </si>
  <si>
    <t>10:58(PST)</t>
  </si>
  <si>
    <t>Hannah Frankson</t>
  </si>
  <si>
    <t>2020-12-20 08:35 (PST)</t>
  </si>
  <si>
    <t>2020-12-26 11:09 (PST)</t>
  </si>
  <si>
    <t>11:09(PST)</t>
  </si>
  <si>
    <t>10 min Pilates</t>
  </si>
  <si>
    <t>2020-12-27 17:19 (PST)</t>
  </si>
  <si>
    <t>17:19(PST)</t>
  </si>
  <si>
    <t>2020-12-23 02:53 (PST)</t>
  </si>
  <si>
    <t>2020-12-27 18:05 (PST)</t>
  </si>
  <si>
    <t>2020-12-27 18:12 (PST)</t>
  </si>
  <si>
    <t>18:12(PST)</t>
  </si>
  <si>
    <t>2020-12-27 18:21 (PST)</t>
  </si>
  <si>
    <t>18:21(PST)</t>
  </si>
  <si>
    <t>2020-12-23 05:36 (PST)</t>
  </si>
  <si>
    <t>2020-12-27 18:33 (PST)</t>
  </si>
  <si>
    <t>18:33(PST)</t>
  </si>
  <si>
    <t>Relaxation</t>
  </si>
  <si>
    <t>10 min Relaxing Meditation</t>
  </si>
  <si>
    <t>2020-12-15 15:36 (PST)</t>
  </si>
  <si>
    <t>2020-12-28 18:03 (PST)</t>
  </si>
  <si>
    <t>18:03(PST)</t>
  </si>
  <si>
    <t>Cody Rigsby</t>
  </si>
  <si>
    <t>45 min Bootcamp: Full Body</t>
  </si>
  <si>
    <t>2020-12-26 06:00 (PST)</t>
  </si>
  <si>
    <t>2020-12-28 18:52 (PST)</t>
  </si>
  <si>
    <t>18:52(PST)</t>
  </si>
  <si>
    <t>2019-11-23 05:30 (PST)</t>
  </si>
  <si>
    <t>2020-12-29 18:30 (PST)</t>
  </si>
  <si>
    <t>18:30(PST)</t>
  </si>
  <si>
    <t>2020-11-10 04:23 (PST)</t>
  </si>
  <si>
    <t>2020-12-29 19:16 (PST)</t>
  </si>
  <si>
    <t>19:16(PST)</t>
  </si>
  <si>
    <t>2020-12-28 06:00 (PST)</t>
  </si>
  <si>
    <t>2020-12-29 19:24 (PST)</t>
  </si>
  <si>
    <t>19:24(PST)</t>
  </si>
  <si>
    <t>2020-12-28 05:08 (PST)</t>
  </si>
  <si>
    <t>2020-12-30 12:46 (PST)</t>
  </si>
  <si>
    <t>12:46(PST)</t>
  </si>
  <si>
    <t>30 min Peloton Top 50 of 2020 (#50 - 41)</t>
  </si>
  <si>
    <t>2020-12-30 13:22 (PST)</t>
  </si>
  <si>
    <t>13:22(PST)</t>
  </si>
  <si>
    <t>2020-12-31 15:43 (PST)</t>
  </si>
  <si>
    <t>15:43(PST)</t>
  </si>
  <si>
    <t>30 min Bootcamp: Upper Body</t>
  </si>
  <si>
    <t>2020-12-02 07:00 (PST)</t>
  </si>
  <si>
    <t>2020-12-31 16:15 (PST)</t>
  </si>
  <si>
    <t>16:15(PST)</t>
  </si>
  <si>
    <t>2020-12-30 06:00 (PST)</t>
  </si>
  <si>
    <t>2020-12-31 16:26 (PST)</t>
  </si>
  <si>
    <t>20 min Focus Flow: Hips</t>
  </si>
  <si>
    <t>2020-12-22 04:51 (PST)</t>
  </si>
  <si>
    <t>2021-01-01 11:29 (PST)</t>
  </si>
  <si>
    <t>11:29(PST)</t>
  </si>
  <si>
    <t>2020-12-19 04:53 (PST)</t>
  </si>
  <si>
    <t>2021-01-01 15:06 (PST)</t>
  </si>
  <si>
    <t>15:06(PST)</t>
  </si>
  <si>
    <t>2021-01-01 15:13 (PST)</t>
  </si>
  <si>
    <t>15:13(PST)</t>
  </si>
  <si>
    <t>2020-12-16 14:54 (PST)</t>
  </si>
  <si>
    <t>2021-01-01 16:04 (PST)</t>
  </si>
  <si>
    <t>16:04(PST)</t>
  </si>
  <si>
    <t>10 min Kindness Meditation</t>
  </si>
  <si>
    <t>2020-12-29 15:45 (PST)</t>
  </si>
  <si>
    <t>2021-01-02 13:31 (PST)</t>
  </si>
  <si>
    <t>13:31(PST)</t>
  </si>
  <si>
    <t>60 min EDM Bootcamp</t>
  </si>
  <si>
    <t>2020-12-28 13:50 (PST)</t>
  </si>
  <si>
    <t>2021-01-02 14:33 (PST)</t>
  </si>
  <si>
    <t>14:33(PST)</t>
  </si>
  <si>
    <t>2020-12-01 17:05 (PST)</t>
  </si>
  <si>
    <t>2021-01-02 21:14 (PST)</t>
  </si>
  <si>
    <t>21:14(PST)</t>
  </si>
  <si>
    <t>2021-01-02 21:21 (PST)</t>
  </si>
  <si>
    <t>21:21(PST)</t>
  </si>
  <si>
    <t>10 min Remix Yoga Flow</t>
  </si>
  <si>
    <t>2020-12-29 16:00 (PST)</t>
  </si>
  <si>
    <t>2021-01-03 15:52 (PST)</t>
  </si>
  <si>
    <t>15:52(PST)</t>
  </si>
  <si>
    <t>2020-12-29 05:54 (PST)</t>
  </si>
  <si>
    <t>2021-01-03 16:42 (PST)</t>
  </si>
  <si>
    <t>2021-01-03 18:18 (PST)</t>
  </si>
  <si>
    <t>18:18(PST)</t>
  </si>
  <si>
    <t>45 min Evening Yoga Flow</t>
  </si>
  <si>
    <t>2020-12-21 14:54 (PST)</t>
  </si>
  <si>
    <t>2021-01-03 19:06 (PST)</t>
  </si>
  <si>
    <t>19:06(PST)</t>
  </si>
  <si>
    <t>5 min Gratitude Meditation</t>
  </si>
  <si>
    <t>2020-11-24 08:00 (PST)</t>
  </si>
  <si>
    <t>2021-01-04 07:03 (PST)</t>
  </si>
  <si>
    <t>30 min Power Zone Ride: Veterans Day</t>
  </si>
  <si>
    <t>2020-11-11 04:24 (PST)</t>
  </si>
  <si>
    <t>2021-01-04 21:52 (PST)</t>
  </si>
  <si>
    <t>21:52(PST)</t>
  </si>
  <si>
    <t>2021-01-04 22:02 (PST)</t>
  </si>
  <si>
    <t>22:02(PST)</t>
  </si>
  <si>
    <t>20 min Yoga Flow: Quads</t>
  </si>
  <si>
    <t>2020-01-14 15:32 (PST)</t>
  </si>
  <si>
    <t>2021-01-05 16:27 (PST)</t>
  </si>
  <si>
    <t>2020-11-04 02:52 (PST)</t>
  </si>
  <si>
    <t>2021-01-06 20:37 (PST)</t>
  </si>
  <si>
    <t>20:37(PST)</t>
  </si>
  <si>
    <t>2020-11-08 07:53 (PST)</t>
  </si>
  <si>
    <t>2021-01-07 17:45 (PST)</t>
  </si>
  <si>
    <t>17:45(PST)</t>
  </si>
  <si>
    <t>2021-01-06 04:53 (PST)</t>
  </si>
  <si>
    <t>2021-01-07 18:33 (PST)</t>
  </si>
  <si>
    <t>2021-01-08 18:14 (PST)</t>
  </si>
  <si>
    <t>18:14(PST)</t>
  </si>
  <si>
    <t xml:space="preserve">Denis &amp; Matt </t>
  </si>
  <si>
    <t>60 min Two for One: Power Zone Ride</t>
  </si>
  <si>
    <t>2020-01-18 09:52 (PST)</t>
  </si>
  <si>
    <t>2021-01-08 19:16 (PST)</t>
  </si>
  <si>
    <t>2020-11-21 08:45 (PST)</t>
  </si>
  <si>
    <t>2021-01-08 19:30 (PST)</t>
  </si>
  <si>
    <t>19:30(PST)</t>
  </si>
  <si>
    <t>2021-01-08 17:08 (PST)</t>
  </si>
  <si>
    <t>2021-01-09 19:19 (PST)</t>
  </si>
  <si>
    <t>2021-01-09 04:54 (PST)</t>
  </si>
  <si>
    <t>2021-01-09 20:20 (PST)</t>
  </si>
  <si>
    <t>20:20(PST)</t>
  </si>
  <si>
    <t>10 min Full Body Strength</t>
  </si>
  <si>
    <t>2017-05-23 08:00 (PST)</t>
  </si>
  <si>
    <t>2021-01-10 17:29 (PST)</t>
  </si>
  <si>
    <t>20 min Low Impact Ride</t>
  </si>
  <si>
    <t>2021-01-07 23:52 (PST)</t>
  </si>
  <si>
    <t>2021-01-10 17:53 (PST)</t>
  </si>
  <si>
    <t>17:53(PST)</t>
  </si>
  <si>
    <t>10 min Focus Flow: Lower Body</t>
  </si>
  <si>
    <t>2021-01-07 15:37 (PST)</t>
  </si>
  <si>
    <t>2021-01-10 18:05 (PST)</t>
  </si>
  <si>
    <t>2020-11-19 07:00 (PST)</t>
  </si>
  <si>
    <t>2021-01-11 18:17 (PST)</t>
  </si>
  <si>
    <t>18:17(PST)</t>
  </si>
  <si>
    <t>30 min Power Zone Endurance Pop Ride</t>
  </si>
  <si>
    <t>2021-01-07 02:54 (PST)</t>
  </si>
  <si>
    <t>2021-01-11 18:49 (PST)</t>
  </si>
  <si>
    <t>18:49(PST)</t>
  </si>
  <si>
    <t>Climb</t>
  </si>
  <si>
    <t>10 min Climb Ride</t>
  </si>
  <si>
    <t>2021-01-11 05:33 (PST)</t>
  </si>
  <si>
    <t>2021-01-11 19:03 (PST)</t>
  </si>
  <si>
    <t>10 min Bodyweight Strength</t>
  </si>
  <si>
    <t>2019-07-24 14:00 (PST)</t>
  </si>
  <si>
    <t>2021-01-12 18:28 (PST)</t>
  </si>
  <si>
    <t>18:28(PST)</t>
  </si>
  <si>
    <t>60 min Bootcamp: Full Body</t>
  </si>
  <si>
    <t>2021-01-11 13:51 (PST)</t>
  </si>
  <si>
    <t>2021-01-12 19:30 (PST)</t>
  </si>
  <si>
    <t>Chase Tucker</t>
  </si>
  <si>
    <t>2021-01-13 06:42 (PST)</t>
  </si>
  <si>
    <t>06:42(PST)</t>
  </si>
  <si>
    <t>30 min 90s Yoga Flow</t>
  </si>
  <si>
    <t>2020-12-23 04:53 (PST)</t>
  </si>
  <si>
    <t>2021-01-14 19:59 (PST)</t>
  </si>
  <si>
    <t>19:59(PST)</t>
  </si>
  <si>
    <t>2021-01-12 04:55 (PST)</t>
  </si>
  <si>
    <t>2021-01-14 20:46 (PST)</t>
  </si>
  <si>
    <t>20:46(PST)</t>
  </si>
  <si>
    <t>Alex Toussaint</t>
  </si>
  <si>
    <t>2020-10-31 11:07 (PST)</t>
  </si>
  <si>
    <t>2021-01-14 20:59 (PST)</t>
  </si>
  <si>
    <t>20:59(PST)</t>
  </si>
  <si>
    <t>2021-01-15 20:46 (PST)</t>
  </si>
  <si>
    <t>2021-01-15 20:59 (PST)</t>
  </si>
  <si>
    <t>2021-01-14 15:27 (PST)</t>
  </si>
  <si>
    <t>2021-01-16 22:34 (PST)</t>
  </si>
  <si>
    <t>22:34(PST)</t>
  </si>
  <si>
    <t>10 min Calming Meditation</t>
  </si>
  <si>
    <t>2021-01-06 15:39 (PST)</t>
  </si>
  <si>
    <t>2021-01-17 12:04 (PST)</t>
  </si>
  <si>
    <t>12:04(PST)</t>
  </si>
  <si>
    <t>2021-01-17 12:40 (PST)</t>
  </si>
  <si>
    <t>12:40(PST)</t>
  </si>
  <si>
    <t>20 min Glutes &amp; Legs Strength</t>
  </si>
  <si>
    <t>2021-01-15 05:19 (PST)</t>
  </si>
  <si>
    <t>2021-01-17 13:02 (PST)</t>
  </si>
  <si>
    <t>13:02(PST)</t>
  </si>
  <si>
    <t>10 min Elvis Remix Core Strength</t>
  </si>
  <si>
    <t>2021-01-18 17:02 (PST)</t>
  </si>
  <si>
    <t>17:02(PST)</t>
  </si>
  <si>
    <t>2021-01-18 17:49 (PST)</t>
  </si>
  <si>
    <t>17:49(PST)</t>
  </si>
  <si>
    <t>2021-01-19 16:50 (-08)</t>
  </si>
  <si>
    <t>16:50(-08)</t>
  </si>
  <si>
    <t>2019-12-04 08:18 (-08)</t>
  </si>
  <si>
    <t>2021-01-19 17:20 (-08)</t>
  </si>
  <si>
    <t>17:20(-08)</t>
  </si>
  <si>
    <t>2020-09-21 13:00 (-08)</t>
  </si>
  <si>
    <t>2021-01-19 17:27 (-08)</t>
  </si>
  <si>
    <t>17:27(-08)</t>
  </si>
  <si>
    <t>2021-01-16 11:30 (-08)</t>
  </si>
  <si>
    <t>2021-01-19 21:24 (PST)</t>
  </si>
  <si>
    <t>21:24(PST)</t>
  </si>
  <si>
    <t>2021-01-17 07:53 (PST)</t>
  </si>
  <si>
    <t>2021-01-20 22:09 (PST)</t>
  </si>
  <si>
    <t>22:09(PST)</t>
  </si>
  <si>
    <t>Sleep</t>
  </si>
  <si>
    <t>10 min Sleep Meditation</t>
  </si>
  <si>
    <t>2020-12-27 06:00 (PST)</t>
  </si>
  <si>
    <t>2021-01-21 06:25 (-08)</t>
  </si>
  <si>
    <t>06:25(-08)</t>
  </si>
  <si>
    <t>2020-02-06 04:49 (-08)</t>
  </si>
  <si>
    <t>2021-01-21 07:11 (-08)</t>
  </si>
  <si>
    <t>07:11(-08)</t>
  </si>
  <si>
    <t>2020-12-16 06:00 (-08)</t>
  </si>
  <si>
    <t>2021-01-21 20:07 (PST)</t>
  </si>
  <si>
    <t>2021-01-21 15:37 (PST)</t>
  </si>
  <si>
    <t>2021-01-22 07:07 (-08)</t>
  </si>
  <si>
    <t>07:07(-08)</t>
  </si>
  <si>
    <t>2019-12-21 09:35 (-08)</t>
  </si>
  <si>
    <t>2021-01-22 08:07 (-08)</t>
  </si>
  <si>
    <t>08:07(-08)</t>
  </si>
  <si>
    <t>2021-01-23 20:56 (PST)</t>
  </si>
  <si>
    <t>20:56(PST)</t>
  </si>
  <si>
    <t>2021-01-10 07:52 (PST)</t>
  </si>
  <si>
    <t>2021-01-23 21:44 (PST)</t>
  </si>
  <si>
    <t>21:44(PST)</t>
  </si>
  <si>
    <t>Zen in Ten</t>
  </si>
  <si>
    <t>2021-01-20 07:38 (PST)</t>
  </si>
  <si>
    <t>2021-01-24 10:15 (PST)</t>
  </si>
  <si>
    <t>10:15(PST)</t>
  </si>
  <si>
    <t>2021-01-12 04:52 (PST)</t>
  </si>
  <si>
    <t>2021-01-24 18:43 (-08)</t>
  </si>
  <si>
    <t>18:43(-08)</t>
  </si>
  <si>
    <t>2020-07-30 13:49 (-08)</t>
  </si>
  <si>
    <t>2021-01-24 19:29 (-08)</t>
  </si>
  <si>
    <t>19:29(-08)</t>
  </si>
  <si>
    <t>2020-12-07 06:00 (-08)</t>
  </si>
  <si>
    <t>2021-01-25 07:08 (-08)</t>
  </si>
  <si>
    <t>07:08(-08)</t>
  </si>
  <si>
    <t>2021-01-06 02:52 (-08)</t>
  </si>
  <si>
    <t>2021-01-25 07:53 (-08)</t>
  </si>
  <si>
    <t>07:53(-08)</t>
  </si>
  <si>
    <t>2021-01-25 21:04 (PST)</t>
  </si>
  <si>
    <t>21:04(PST)</t>
  </si>
  <si>
    <t>30 min Focus Flow: Lower Body</t>
  </si>
  <si>
    <t>2021-01-25 14:53 (PST)</t>
  </si>
  <si>
    <t>2021-01-25 21:42 (PST)</t>
  </si>
  <si>
    <t>21:42(PST)</t>
  </si>
  <si>
    <t>10 min Empathy Meditation</t>
  </si>
  <si>
    <t>2021-01-24 06:36 (PST)</t>
  </si>
  <si>
    <t>2021-01-26 07:18 (-08)</t>
  </si>
  <si>
    <t>07:18(-08)</t>
  </si>
  <si>
    <t>2020-05-31 12:19 (-08)</t>
  </si>
  <si>
    <t>2021-01-26 07:51 (-08)</t>
  </si>
  <si>
    <t>07:51(-08)</t>
  </si>
  <si>
    <t>Flash 15</t>
  </si>
  <si>
    <t>2021-01-22 06:19 (-08)</t>
  </si>
  <si>
    <t>2021-01-26 20:18 (PST)</t>
  </si>
  <si>
    <t>20:18(PST)</t>
  </si>
  <si>
    <t>2020-11-22 07:52 (PST)</t>
  </si>
  <si>
    <t>2021-01-26 21:06 (PST)</t>
  </si>
  <si>
    <t>21:06(PST)</t>
  </si>
  <si>
    <t>10 min Courage Meditation</t>
  </si>
  <si>
    <t>2021-01-26 05:37 (PST)</t>
  </si>
  <si>
    <t>2021-01-27 07:00 (-08)</t>
  </si>
  <si>
    <t>07:00(-08)</t>
  </si>
  <si>
    <t>2019-07-21 03:46 (-08)</t>
  </si>
  <si>
    <t>2021-01-27 07:47 (-08)</t>
  </si>
  <si>
    <t>07:47(-08)</t>
  </si>
  <si>
    <t>2020-06-04 06:00 (-08)</t>
  </si>
  <si>
    <t>2021-01-27 21:25 (PST)</t>
  </si>
  <si>
    <t>21:25(PST)</t>
  </si>
  <si>
    <t>2021-01-25 07:27 (PST)</t>
  </si>
  <si>
    <t>2021-01-28 07:12 (PST)</t>
  </si>
  <si>
    <t>07:12(PST)</t>
  </si>
  <si>
    <t>2021-01-20 14:51 (PST)</t>
  </si>
  <si>
    <t>2021-01-28 20:34 (-08)</t>
  </si>
  <si>
    <t>20:34(-08)</t>
  </si>
  <si>
    <t>2021-01-07 02:54 (-08)</t>
  </si>
  <si>
    <t>2021-01-28 21:05 (-08)</t>
  </si>
  <si>
    <t>21:05(-08)</t>
  </si>
  <si>
    <t>2019-12-16 17:00 (-08)</t>
  </si>
  <si>
    <t>2021-01-29 07:12 (-08)</t>
  </si>
  <si>
    <t>07:12(-08)</t>
  </si>
  <si>
    <t>2018-01-28 07:19 (-08)</t>
  </si>
  <si>
    <t>2021-01-29 08:13 (-08)</t>
  </si>
  <si>
    <t>08:13(-08)</t>
  </si>
  <si>
    <t>2021-01-30 19:06 (PST)</t>
  </si>
  <si>
    <t>20 min Yoga Flow: Lower Body</t>
  </si>
  <si>
    <t>2020-11-24 05:27 (PST)</t>
  </si>
  <si>
    <t>2021-01-31 18:56 (-08)</t>
  </si>
  <si>
    <t>18:56(-08)</t>
  </si>
  <si>
    <t>2020-03-04 15:19 (-08)</t>
  </si>
  <si>
    <t>2021-01-31 19:44 (-08)</t>
  </si>
  <si>
    <t>19:44(-08)</t>
  </si>
  <si>
    <t>2020-12-18 06:00 (-08)</t>
  </si>
  <si>
    <t>2021-01-31 19:50 (-08)</t>
  </si>
  <si>
    <t>19:50(-08)</t>
  </si>
  <si>
    <t>2021-01-20 17:05 (-08)</t>
  </si>
  <si>
    <t>2021-01-31 21:24 (PST)</t>
  </si>
  <si>
    <t>10 min Yoga Flow: Hamstrings</t>
  </si>
  <si>
    <t>2019-01-23 06:01 (PST)</t>
  </si>
  <si>
    <t>2021-01-31 21:36 (PST)</t>
  </si>
  <si>
    <t>2020-12-01 05:38 (PST)</t>
  </si>
  <si>
    <t>2021-02-01 20:43 (-08)</t>
  </si>
  <si>
    <t>20:43(-08)</t>
  </si>
  <si>
    <t>2020-09-16 01:49 (-08)</t>
  </si>
  <si>
    <t>2021-02-01 21:29 (-08)</t>
  </si>
  <si>
    <t>21:29(-08)</t>
  </si>
  <si>
    <t>2020-11-02 05:30 (-08)</t>
  </si>
  <si>
    <t>2021-02-01 21:36 (-08)</t>
  </si>
  <si>
    <t>21:36(-08)</t>
  </si>
  <si>
    <t>2021-02-02 07:07 (-08)</t>
  </si>
  <si>
    <t>2020-02-03 08:19 (-08)</t>
  </si>
  <si>
    <t>2021-02-02 07:40 (-08)</t>
  </si>
  <si>
    <t>07:40(-08)</t>
  </si>
  <si>
    <t>2021-01-29 06:20 (-08)</t>
  </si>
  <si>
    <t>2021-02-03 07:01 (-08)</t>
  </si>
  <si>
    <t>07:01(-08)</t>
  </si>
  <si>
    <t>2020-02-05 12:50 (-08)</t>
  </si>
  <si>
    <t>2021-02-03 07:07 (-08)</t>
  </si>
  <si>
    <t>2020-12-08 04:24 (-08)</t>
  </si>
  <si>
    <t>2021-02-03 07:54 (-08)</t>
  </si>
  <si>
    <t>07:54(-08)</t>
  </si>
  <si>
    <t>2020-01-28 03:30 (-08)</t>
  </si>
  <si>
    <t>2021-02-03 07:59 (-08)</t>
  </si>
  <si>
    <t>07:59(-08)</t>
  </si>
  <si>
    <t>2021-02-03 22:02 (PST)</t>
  </si>
  <si>
    <t>2020-11-18 07:00 (PST)</t>
  </si>
  <si>
    <t>2021-02-04 07:05 (-08)</t>
  </si>
  <si>
    <t>07:05(-08)</t>
  </si>
  <si>
    <t>2020-10-02 05:00 (-08)</t>
  </si>
  <si>
    <t>2021-02-04 07:11 (-08)</t>
  </si>
  <si>
    <t>2020-11-11 02:52 (-08)</t>
  </si>
  <si>
    <t>2021-02-04 07:41 (-08)</t>
  </si>
  <si>
    <t>07:41(-08)</t>
  </si>
  <si>
    <t>2020-02-14 11:05 (-08)</t>
  </si>
  <si>
    <t>2021-02-04 07:46 (-08)</t>
  </si>
  <si>
    <t>07:46(-08)</t>
  </si>
  <si>
    <t>2021-02-04 07:56 (PST)</t>
  </si>
  <si>
    <t>07:56(PST)</t>
  </si>
  <si>
    <t>2020-03-15 05:30 (PST)</t>
  </si>
  <si>
    <t>2021-02-05 07:56 (PST)</t>
  </si>
  <si>
    <t>75 min Power Zone Endurance Ride</t>
  </si>
  <si>
    <t>2019-02-09 09:34 (PST)</t>
  </si>
  <si>
    <t>2021-02-05 09:12 (PST)</t>
  </si>
  <si>
    <t>09:12(PST)</t>
  </si>
  <si>
    <t>2021-02-05 09:17 (PST)</t>
  </si>
  <si>
    <t>09:17(PST)</t>
  </si>
  <si>
    <t>2021-02-06 20:02 (PST)</t>
  </si>
  <si>
    <t>Restoration</t>
  </si>
  <si>
    <t>20 min Restorative</t>
  </si>
  <si>
    <t>2020-12-09 15:26 (PST)</t>
  </si>
  <si>
    <t>2021-02-07 20:47 (PST)</t>
  </si>
  <si>
    <t>20:47(PST)</t>
  </si>
  <si>
    <t>10 min Restorative</t>
  </si>
  <si>
    <t>2020-11-18 15:38 (PST)</t>
  </si>
  <si>
    <t>2021-02-07 21:01 (PST)</t>
  </si>
  <si>
    <t>21:01(PST)</t>
  </si>
  <si>
    <t>2019-05-14 15:01 (PST)</t>
  </si>
  <si>
    <t>2021-02-08 06:17 (PST)</t>
  </si>
  <si>
    <t>06:17(PST)</t>
  </si>
  <si>
    <t>2021-01-30 05:15 (PST)</t>
  </si>
  <si>
    <t>2021-02-08 06:23 (PST)</t>
  </si>
  <si>
    <t>06:23(PST)</t>
  </si>
  <si>
    <t>2020-01-02 02:49 (PST)</t>
  </si>
  <si>
    <t>2021-02-08 07:08 (PST)</t>
  </si>
  <si>
    <t>07:08(PST)</t>
  </si>
  <si>
    <t>2021-02-08 07:14 (PST)</t>
  </si>
  <si>
    <t>07:14(PST)</t>
  </si>
  <si>
    <t>2021-02-09 06:53 (PST)</t>
  </si>
  <si>
    <t>2020-03-12 04:48 (PST)</t>
  </si>
  <si>
    <t>2021-02-09 07:40 (PST)</t>
  </si>
  <si>
    <t>07:40(PST)</t>
  </si>
  <si>
    <t>2021-02-09 07:46 (PST)</t>
  </si>
  <si>
    <t>07:46(PST)</t>
  </si>
  <si>
    <t>2021-01-28 05:00 (PST)</t>
  </si>
  <si>
    <t>2021-02-10 07:00 (PST)</t>
  </si>
  <si>
    <t>30 min Hip Hop Yoga Flow</t>
  </si>
  <si>
    <t>2021-01-24 07:50 (PST)</t>
  </si>
  <si>
    <t>2021-02-11 06:00 (PST)</t>
  </si>
  <si>
    <t>06:00(PST)</t>
  </si>
  <si>
    <t>2021-02-11 07:02 (PST)</t>
  </si>
  <si>
    <t>2021-02-12 08:15 (PST)</t>
  </si>
  <si>
    <t>08:15(PST)</t>
  </si>
  <si>
    <t>2020-06-13 14:00 (PST)</t>
  </si>
  <si>
    <t>2021-02-12 08:45 (PST)</t>
  </si>
  <si>
    <t>08:45(PST)</t>
  </si>
  <si>
    <t>2019-06-07 11:57 (PST)</t>
  </si>
  <si>
    <t>2021-02-12 08:52 (PST)</t>
  </si>
  <si>
    <t>08:52(PST)</t>
  </si>
  <si>
    <t>2021-01-15 06:20 (PST)</t>
  </si>
  <si>
    <t>2021-02-13 08:47 (PST)</t>
  </si>
  <si>
    <t>08:47(PST)</t>
  </si>
  <si>
    <t>2021-02-13 08:53 (PST)</t>
  </si>
  <si>
    <t>08:53(PST)</t>
  </si>
  <si>
    <t>2020-07-19 01:00 (PST)</t>
  </si>
  <si>
    <t>2021-02-13 09:01 (PST)</t>
  </si>
  <si>
    <t>09:01(PST)</t>
  </si>
  <si>
    <t>60 min Climb Ride</t>
  </si>
  <si>
    <t>2020-12-12 23:00 (PST)</t>
  </si>
  <si>
    <t>2021-02-13 10:01 (PST)</t>
  </si>
  <si>
    <t>2020-11-15 08:25 (PST)</t>
  </si>
  <si>
    <t>2021-02-15 18:00 (PST)</t>
  </si>
  <si>
    <t>18:00(PST)</t>
  </si>
  <si>
    <t>2020-10-02 06:00 (PST)</t>
  </si>
  <si>
    <t>2021-02-15 18:08 (PST)</t>
  </si>
  <si>
    <t>18:08(PST)</t>
  </si>
  <si>
    <t>2020-12-02 02:53 (PST)</t>
  </si>
  <si>
    <t>2021-02-15 18:52 (PST)</t>
  </si>
  <si>
    <t>2020-10-20 00:00 (PST)</t>
  </si>
  <si>
    <t>2021-02-15 19:02 (PST)</t>
  </si>
  <si>
    <t>19:02(PST)</t>
  </si>
  <si>
    <t>2021-02-09 06:32 (PST)</t>
  </si>
  <si>
    <t>2021-02-15 19:13 (PST)</t>
  </si>
  <si>
    <t>19:13(PST)</t>
  </si>
  <si>
    <t>5 min Hips Stretch</t>
  </si>
  <si>
    <t>2018-10-29 11:20 (PST)</t>
  </si>
  <si>
    <t>2021-02-16 07:05 (PST)</t>
  </si>
  <si>
    <t>07:05(PST)</t>
  </si>
  <si>
    <t>2020-09-05 09:00 (PST)</t>
  </si>
  <si>
    <t>2021-02-16 07:36 (PST)</t>
  </si>
  <si>
    <t>2018-06-14 11:50 (PST)</t>
  </si>
  <si>
    <t>2021-02-16 07:50 (PST)</t>
  </si>
  <si>
    <t>2020-02-05 13:29 (PST)</t>
  </si>
  <si>
    <t>2021-02-17 06:04 (PST)</t>
  </si>
  <si>
    <t>06:04(PST)</t>
  </si>
  <si>
    <t>2019-09-28 09:34 (PST)</t>
  </si>
  <si>
    <t>2021-02-17 07:05 (PST)</t>
  </si>
  <si>
    <t>2021-02-17 07:11 (PST)</t>
  </si>
  <si>
    <t>2021-02-18 07:00 (PST)</t>
  </si>
  <si>
    <t>2021-01-27 14:51 (PST)</t>
  </si>
  <si>
    <t>2021-02-18 19:53 (PST)</t>
  </si>
  <si>
    <t>19:53(PST)</t>
  </si>
  <si>
    <t>2021-01-22 08:23 (PST)</t>
  </si>
  <si>
    <t>2021-02-18 20:40 (PST)</t>
  </si>
  <si>
    <t>2020-12-07 06:00 (PST)</t>
  </si>
  <si>
    <t>2021-02-19 08:33 (PST)</t>
  </si>
  <si>
    <t>08:33(PST)</t>
  </si>
  <si>
    <t>2021-02-16 06:00 (PST)</t>
  </si>
  <si>
    <t>2021-02-19 08:39 (PST)</t>
  </si>
  <si>
    <t>08:39(PST)</t>
  </si>
  <si>
    <t>2020-02-29 09:34 (PST)</t>
  </si>
  <si>
    <t>2021-02-19 09:40 (PST)</t>
  </si>
  <si>
    <t>09:40(PST)</t>
  </si>
  <si>
    <t>2021-02-16 17:06 (PST)</t>
  </si>
  <si>
    <t>2021-02-19 09:51 (PST)</t>
  </si>
  <si>
    <t>09:51(PST)</t>
  </si>
  <si>
    <t>2019-03-01 12:08 (PST)</t>
  </si>
  <si>
    <t>2021-02-20 08:52 (PST)</t>
  </si>
  <si>
    <t>2021-02-20 09:01 (PST)</t>
  </si>
  <si>
    <t>2021-02-07 10:19 (PST)</t>
  </si>
  <si>
    <t>2021-02-20 10:02 (PST)</t>
  </si>
  <si>
    <t>10:02(PST)</t>
  </si>
  <si>
    <t>2021-02-20 10:08 (PST)</t>
  </si>
  <si>
    <t>10:08(PST)</t>
  </si>
  <si>
    <t>2021-02-20 20:57 (PST)</t>
  </si>
  <si>
    <t>20:57(PST)</t>
  </si>
  <si>
    <t>2021-02-16 08:00 (PST)</t>
  </si>
  <si>
    <t>2021-02-21 07:49 (PST)</t>
  </si>
  <si>
    <t>07:49(PST)</t>
  </si>
  <si>
    <t>2021-02-21 08:01 (PST)</t>
  </si>
  <si>
    <t>08:01(PST)</t>
  </si>
  <si>
    <t>2021-02-21 08:26 (PST)</t>
  </si>
  <si>
    <t>08:26(PST)</t>
  </si>
  <si>
    <t>Matty Maggiacomo</t>
  </si>
  <si>
    <t>2021-02-22 19:36 (PST)</t>
  </si>
  <si>
    <t>19:36(PST)</t>
  </si>
  <si>
    <t>30 min BHM: Power Zone Endurance Ride</t>
  </si>
  <si>
    <t>2021-02-06 04:50 (PST)</t>
  </si>
  <si>
    <t>2021-02-22 20:09 (PST)</t>
  </si>
  <si>
    <t>20:09(PST)</t>
  </si>
  <si>
    <t>2021-02-10 05:21 (PST)</t>
  </si>
  <si>
    <t>2021-02-23 06:13 (PST)</t>
  </si>
  <si>
    <t>06:13(PST)</t>
  </si>
  <si>
    <t>2021-02-23 06:59 (PST)</t>
  </si>
  <si>
    <t>2021-02-23 07:05 (PST)</t>
  </si>
  <si>
    <t>2021-02-23 19:22 (PST)</t>
  </si>
  <si>
    <t>19:22(PST)</t>
  </si>
  <si>
    <t>15 min Core Strength</t>
  </si>
  <si>
    <t>2021-02-16 08:53 (PST)</t>
  </si>
  <si>
    <t>2021-02-23 19:39 (PST)</t>
  </si>
  <si>
    <t>19:39(PST)</t>
  </si>
  <si>
    <t>20 min Focus Flow: Chest Openers</t>
  </si>
  <si>
    <t>2021-01-26 07:27 (PST)</t>
  </si>
  <si>
    <t>2021-02-24 19:07 (-08)</t>
  </si>
  <si>
    <t>19:07(-08)</t>
  </si>
  <si>
    <t>2020-10-17 03:53 (-08)</t>
  </si>
  <si>
    <t>2021-02-24 20:09 (-08)</t>
  </si>
  <si>
    <t>20:09(-08)</t>
  </si>
  <si>
    <t>2020-08-29 07:35 (-08)</t>
  </si>
  <si>
    <t>2021-02-24 20:16 (-08)</t>
  </si>
  <si>
    <t>20:16(-08)</t>
  </si>
  <si>
    <t>2018-02-08 12:01 (-08)</t>
  </si>
  <si>
    <t>2021-02-25 20:17 (PST)</t>
  </si>
  <si>
    <t>20:17(PST)</t>
  </si>
  <si>
    <t>2021-02-17 14:53 (PST)</t>
  </si>
  <si>
    <t>2021-02-25 21:06 (PST)</t>
  </si>
  <si>
    <t>2021-02-23 07:36 (PST)</t>
  </si>
  <si>
    <t>2021-02-26 08:29 (-08)</t>
  </si>
  <si>
    <t>08:29(-08)</t>
  </si>
  <si>
    <t>2020-10-29 04:30 (-08)</t>
  </si>
  <si>
    <t>2021-02-26 08:36 (-08)</t>
  </si>
  <si>
    <t>08:36(-08)</t>
  </si>
  <si>
    <t>2020-12-12 04:53 (-08)</t>
  </si>
  <si>
    <t>2021-02-26 09:37 (-08)</t>
  </si>
  <si>
    <t>09:37(-08)</t>
  </si>
  <si>
    <t>2021-02-26 09:43 (-08)</t>
  </si>
  <si>
    <t>09:43(-08)</t>
  </si>
  <si>
    <t>2021-02-28 21:46 (PST)</t>
  </si>
  <si>
    <t>21:46(PST)</t>
  </si>
  <si>
    <t>Fitness Focus</t>
  </si>
  <si>
    <t>10 min Fitness Goals Meditation</t>
  </si>
  <si>
    <t>2021-02-26 06:35 (PST)</t>
  </si>
  <si>
    <t>2021-03-01 06:58 (PST)</t>
  </si>
  <si>
    <t>2021-02-28 07:55 (PST)</t>
  </si>
  <si>
    <t>2021-03-02 06:53 (-08)</t>
  </si>
  <si>
    <t>06:53(-08)</t>
  </si>
  <si>
    <t>45 min Power Zone Max Ride</t>
  </si>
  <si>
    <t>2020-09-02 02:17 (-08)</t>
  </si>
  <si>
    <t>2021-03-02 07:39 (-08)</t>
  </si>
  <si>
    <t>07:39(-08)</t>
  </si>
  <si>
    <t>30 min Power Zone Endurance 90s Ride</t>
  </si>
  <si>
    <t>2021-01-19 04:53 (-08)</t>
  </si>
  <si>
    <t>2021-03-02 08:11 (-08)</t>
  </si>
  <si>
    <t>08:11(-08)</t>
  </si>
  <si>
    <t>2021-03-03 18:58 (-08)</t>
  </si>
  <si>
    <t>18:58(-08)</t>
  </si>
  <si>
    <t>2021-01-15 23:00 (-08)</t>
  </si>
  <si>
    <t>2021-03-03 19:04 (-08)</t>
  </si>
  <si>
    <t>19:04(-08)</t>
  </si>
  <si>
    <t>2020-09-23 01:48 (-08)</t>
  </si>
  <si>
    <t>2021-03-03 19:49 (-08)</t>
  </si>
  <si>
    <t>19:49(-08)</t>
  </si>
  <si>
    <t>2021-03-03 19:57 (-08)</t>
  </si>
  <si>
    <t>19:57(-08)</t>
  </si>
  <si>
    <t>2021-03-05 06:58 (PST)</t>
  </si>
  <si>
    <t>2020-12-03 14:50 (PST)</t>
  </si>
  <si>
    <t>2021-03-05 18:39 (-08)</t>
  </si>
  <si>
    <t>18:39(-08)</t>
  </si>
  <si>
    <t>90 min Power Zone Endurance Ride</t>
  </si>
  <si>
    <t>2019-04-27 08:35 (-08)</t>
  </si>
  <si>
    <t>2021-03-06 20:12 (-08)</t>
  </si>
  <si>
    <t>20:12(-08)</t>
  </si>
  <si>
    <t>10 min Arms &amp; Light Weights</t>
  </si>
  <si>
    <t>2021-03-01 06:00 (-08)</t>
  </si>
  <si>
    <t>2021-03-06 21:08 (PST)</t>
  </si>
  <si>
    <t>21:08(PST)</t>
  </si>
  <si>
    <t>2021-02-15 07:28 (PST)</t>
  </si>
  <si>
    <t>2021-03-07 19:32 (PST)</t>
  </si>
  <si>
    <t>19:32(PST)</t>
  </si>
  <si>
    <t>15 min Megan Thee Stallion Core Strength</t>
  </si>
  <si>
    <t>2021-03-05 09:00 (PST)</t>
  </si>
  <si>
    <t>2021-03-07 22:16 (PST)</t>
  </si>
  <si>
    <t>22:16(PST)</t>
  </si>
  <si>
    <t>2021-03-07 06:39 (PST)</t>
  </si>
  <si>
    <t>2021-03-08 07:25 (PST)</t>
  </si>
  <si>
    <t>07:25(PST)</t>
  </si>
  <si>
    <t>2021-03-06 05:53 (PST)</t>
  </si>
  <si>
    <t>2021-03-08 21:29 (PST)</t>
  </si>
  <si>
    <t>21:29(PST)</t>
  </si>
  <si>
    <t>10 min Bob Marley Core Strength</t>
  </si>
  <si>
    <t>2021-02-05 07:00 (PST)</t>
  </si>
  <si>
    <t>2021-03-08 21:48 (PST)</t>
  </si>
  <si>
    <t>21:48(PST)</t>
  </si>
  <si>
    <t>2021-02-17 07:37 (PST)</t>
  </si>
  <si>
    <t>2021-03-09 07:03 (-08)</t>
  </si>
  <si>
    <t>07:03(-08)</t>
  </si>
  <si>
    <t>2020-03-12 01:48 (-08)</t>
  </si>
  <si>
    <t>2021-03-09 07:51 (-08)</t>
  </si>
  <si>
    <t>2021-02-05 06:18 (-08)</t>
  </si>
  <si>
    <t>2021-03-09 22:49 (PST)</t>
  </si>
  <si>
    <t>22:49(PST)</t>
  </si>
  <si>
    <t>20 min Peace Meditation</t>
  </si>
  <si>
    <t>2021-03-09 05:25 (PST)</t>
  </si>
  <si>
    <t>2021-03-10 07:06 (-08)</t>
  </si>
  <si>
    <t>07:06(-08)</t>
  </si>
  <si>
    <t>2020-12-21 16:22 (-08)</t>
  </si>
  <si>
    <t>2021-03-10 07:53 (-08)</t>
  </si>
  <si>
    <t>2021-03-02 17:04 (-08)</t>
  </si>
  <si>
    <t>2021-03-10 08:04 (-08)</t>
  </si>
  <si>
    <t>08:04(-08)</t>
  </si>
  <si>
    <t>2021-03-10 21:16 (PST)</t>
  </si>
  <si>
    <t>21:16(PST)</t>
  </si>
  <si>
    <t>30 min Focus Flow: Hamstrings</t>
  </si>
  <si>
    <t>2021-03-10 04:49 (PST)</t>
  </si>
  <si>
    <t>2021-03-10 22:02 (PST)</t>
  </si>
  <si>
    <t>2021-03-11 07:16 (-08)</t>
  </si>
  <si>
    <t>07:16(-08)</t>
  </si>
  <si>
    <t>2021-02-13 09:00 (-08)</t>
  </si>
  <si>
    <t>2021-03-11 07:27 (-08)</t>
  </si>
  <si>
    <t>07:27(-08)</t>
  </si>
  <si>
    <t>2020-01-30 06:00 (-08)</t>
  </si>
  <si>
    <t>2021-03-11 07:49 (-08)</t>
  </si>
  <si>
    <t>07:49(-08)</t>
  </si>
  <si>
    <t>2021-03-11 07:54 (-08)</t>
  </si>
  <si>
    <t>2021-03-11 21:29 (PST)</t>
  </si>
  <si>
    <t>20 min Relaxing Meditation</t>
  </si>
  <si>
    <t>2021-02-18 15:28 (PST)</t>
  </si>
  <si>
    <t>2021-03-12 14:52 (PST)</t>
  </si>
  <si>
    <t>14:52(PST)</t>
  </si>
  <si>
    <t>30 min WHM: Women of Pop Yoga Flow</t>
  </si>
  <si>
    <t>2021-03-12 05:50 (PST)</t>
  </si>
  <si>
    <t>2021-03-12 18:12 (-08)</t>
  </si>
  <si>
    <t>18:12(-08)</t>
  </si>
  <si>
    <t>2020-08-12 03:52 (-08)</t>
  </si>
  <si>
    <t>2021-03-12 19:49 (PST)</t>
  </si>
  <si>
    <t>19:49(PST)</t>
  </si>
  <si>
    <t>2021-03-13 20:11 (PST)</t>
  </si>
  <si>
    <t>20 min Sleep Meditation</t>
  </si>
  <si>
    <t>2021-03-12 07:00 (PST)</t>
  </si>
  <si>
    <t>2021-03-14 19:20 (-07)</t>
  </si>
  <si>
    <t>19:20(-07)</t>
  </si>
  <si>
    <t>2021-03-04 07:00 (-07)</t>
  </si>
  <si>
    <t>2021-03-14 19:26 (-07)</t>
  </si>
  <si>
    <t>19:26(-07)</t>
  </si>
  <si>
    <t>2021-03-05 07:30 (-07)</t>
  </si>
  <si>
    <t>2021-03-14 19:56 (-07)</t>
  </si>
  <si>
    <t>19:56(-07)</t>
  </si>
  <si>
    <t>2021-03-14 20:08 (PST)</t>
  </si>
  <si>
    <t>20:08(PST)</t>
  </si>
  <si>
    <t>2020-12-02 14:54 (PST)</t>
  </si>
  <si>
    <t>2021-03-14 22:54 (PST)</t>
  </si>
  <si>
    <t>22:54(PST)</t>
  </si>
  <si>
    <t>2021-03-11 07:00 (PST)</t>
  </si>
  <si>
    <t>2021-03-15 05:46 (PST)</t>
  </si>
  <si>
    <t>05:46(PST)</t>
  </si>
  <si>
    <t>2021-02-26 05:54 (PST)</t>
  </si>
  <si>
    <t>2021-03-15 22:39 (PST)</t>
  </si>
  <si>
    <t>22:39(PST)</t>
  </si>
  <si>
    <t>2021-01-28 05:28 (PST)</t>
  </si>
  <si>
    <t>2021-03-16 07:11 (-07)</t>
  </si>
  <si>
    <t>07:11(-07)</t>
  </si>
  <si>
    <t>2021-02-09 09:19 (-07)</t>
  </si>
  <si>
    <t>2021-03-16 08:22 (PST)</t>
  </si>
  <si>
    <t>08:22(PST)</t>
  </si>
  <si>
    <t>2021-03-16 22:30 (PST)</t>
  </si>
  <si>
    <t>22:30(PST)</t>
  </si>
  <si>
    <t>2021-03-17 07:31 (-07)</t>
  </si>
  <si>
    <t>07:31(-07)</t>
  </si>
  <si>
    <t>30 min WHM: Power Zone Endurance Ride</t>
  </si>
  <si>
    <t>2021-03-04 14:53 (-07)</t>
  </si>
  <si>
    <t>2021-03-17 08:02 (-07)</t>
  </si>
  <si>
    <t>08:02(-07)</t>
  </si>
  <si>
    <t>2020-09-21 14:00 (-07)</t>
  </si>
  <si>
    <t>2021-03-17 22:47 (PST)</t>
  </si>
  <si>
    <t>22:47(PST)</t>
  </si>
  <si>
    <t>20 min Calming Meditation</t>
  </si>
  <si>
    <t>2021-03-17 07:00 (PST)</t>
  </si>
  <si>
    <t>2021-03-18 07:13 (-07)</t>
  </si>
  <si>
    <t>07:13(-07)</t>
  </si>
  <si>
    <t>2021-02-12 07:19 (-07)</t>
  </si>
  <si>
    <t>2021-03-18 07:32 (-07)</t>
  </si>
  <si>
    <t>07:32(-07)</t>
  </si>
  <si>
    <t>30 min Power Zone Endurance 80s Ride</t>
  </si>
  <si>
    <t>2021-02-16 05:53 (-07)</t>
  </si>
  <si>
    <t>2021-03-18 08:03 (-07)</t>
  </si>
  <si>
    <t>08:03(-07)</t>
  </si>
  <si>
    <t>2020-12-16 07:00 (-07)</t>
  </si>
  <si>
    <t>2021-03-18 22:28 (PST)</t>
  </si>
  <si>
    <t>22:28(PST)</t>
  </si>
  <si>
    <t>20 min Patience Meditation</t>
  </si>
  <si>
    <t>2021-03-05 07:00 (PST)</t>
  </si>
  <si>
    <t>2021-03-19 07:05 (-07)</t>
  </si>
  <si>
    <t>07:05(-07)</t>
  </si>
  <si>
    <t>Live</t>
  </si>
  <si>
    <t>2021-03-17 02:50 (-07)</t>
  </si>
  <si>
    <t>2021-03-19 07:50 (-07)</t>
  </si>
  <si>
    <t>07:50(-07)</t>
  </si>
  <si>
    <t>2020-11-02 06:30 (-07)</t>
  </si>
  <si>
    <t>2021-03-19 07:56 (-07)</t>
  </si>
  <si>
    <t>07:56(-07)</t>
  </si>
  <si>
    <t>2021-03-18 06:00 (-07)</t>
  </si>
  <si>
    <t>2021-03-19 08:07 (-07)</t>
  </si>
  <si>
    <t>08:07(-07)</t>
  </si>
  <si>
    <t>2021-03-15 23:10 (-07)</t>
  </si>
  <si>
    <t>2021-03-19 22:16 (PST)</t>
  </si>
  <si>
    <t>2021-03-19 07:00 (PST)</t>
  </si>
  <si>
    <t>2021-03-20 08:29 (-07)</t>
  </si>
  <si>
    <t>08:29(-07)</t>
  </si>
  <si>
    <t>2021-03-03 09:20 (-07)</t>
  </si>
  <si>
    <t>2021-03-20 09:01 (-07)</t>
  </si>
  <si>
    <t>09:01(-07)</t>
  </si>
  <si>
    <t>60 min 80s Ride</t>
  </si>
  <si>
    <t>2020-04-19 03:30 (-07)</t>
  </si>
  <si>
    <t>2021-03-20 10:04 (-07)</t>
  </si>
  <si>
    <t>10:04(-07)</t>
  </si>
  <si>
    <t>2021-03-09 12:02 (-07)</t>
  </si>
  <si>
    <t>2021-03-20 10:17 (-07)</t>
  </si>
  <si>
    <t>10:17(-07)</t>
  </si>
  <si>
    <t>2021-03-16 17:05 (-07)</t>
  </si>
  <si>
    <t>2021-03-20 10:36 (PST)</t>
  </si>
  <si>
    <t>10:36(PST)</t>
  </si>
  <si>
    <t>10 min Prince Core Strength</t>
  </si>
  <si>
    <t>2020-08-14 05:00 (PST)</t>
  </si>
  <si>
    <t>2021-03-20 10:48 (PST)</t>
  </si>
  <si>
    <t>2021-03-20 08:38 (PST)</t>
  </si>
  <si>
    <t>2021-03-21 12:17 (PST)</t>
  </si>
  <si>
    <t>2021-03-19 06:28 (PST)</t>
  </si>
  <si>
    <t>2021-03-21 15:34 (-07)</t>
  </si>
  <si>
    <t>15:34(-07)</t>
  </si>
  <si>
    <t>2020-12-07 03:51 (-07)</t>
  </si>
  <si>
    <t>2021-03-21 16:20 (-07)</t>
  </si>
  <si>
    <t>16:20(-07)</t>
  </si>
  <si>
    <t>2021-03-14 09:33 (-07)</t>
  </si>
  <si>
    <t>2021-03-21 16:32 (-07)</t>
  </si>
  <si>
    <t>16:32(-07)</t>
  </si>
  <si>
    <t>Upper Body</t>
  </si>
  <si>
    <t>10 min Chest &amp; Back Strength</t>
  </si>
  <si>
    <t>2021-03-14 23:00 (-07)</t>
  </si>
  <si>
    <t>2021-03-21 16:47 (PST)</t>
  </si>
  <si>
    <t>16:47(PST)</t>
  </si>
  <si>
    <t>2021-03-18 05:00 (PST)</t>
  </si>
  <si>
    <t>2021-03-21 16:58 (PST)</t>
  </si>
  <si>
    <t>2020-11-15 08:00 (PST)</t>
  </si>
  <si>
    <t>2021-03-21 21:55 (PST)</t>
  </si>
  <si>
    <t>21:55(PST)</t>
  </si>
  <si>
    <t>2021-03-16 08:00 (PST)</t>
  </si>
  <si>
    <t>2021-03-22 18:48 (-07)</t>
  </si>
  <si>
    <t>18:48(-07)</t>
  </si>
  <si>
    <t>2019-07-18 02:48 (-07)</t>
  </si>
  <si>
    <t>2021-03-22 19:34 (-07)</t>
  </si>
  <si>
    <t>19:34(-07)</t>
  </si>
  <si>
    <t>2021-03-11 00:32 (-07)</t>
  </si>
  <si>
    <t>2021-03-22 19:45 (-07)</t>
  </si>
  <si>
    <t>19:45(-07)</t>
  </si>
  <si>
    <t>2018-10-08 11:45 (-07)</t>
  </si>
  <si>
    <t>2021-03-22 19:51 (-07)</t>
  </si>
  <si>
    <t>19:51(-07)</t>
  </si>
  <si>
    <t>2021-02-03 06:21 (-07)</t>
  </si>
  <si>
    <t>2021-03-22 22:46 (PST)</t>
  </si>
  <si>
    <t>22:46(PST)</t>
  </si>
  <si>
    <t>10 min Happiness Meditation</t>
  </si>
  <si>
    <t>2021-03-20 06:37 (PST)</t>
  </si>
  <si>
    <t>2021-03-23 07:01 (PST)</t>
  </si>
  <si>
    <t>30 min The Chicks Yoga Flow</t>
  </si>
  <si>
    <t>2021-03-23 06:51 (PST)</t>
  </si>
  <si>
    <t>2021-03-23 22:18 (PST)</t>
  </si>
  <si>
    <t>22:18(PST)</t>
  </si>
  <si>
    <t>2021-03-24 20:05 (-07)</t>
  </si>
  <si>
    <t>20:05(-07)</t>
  </si>
  <si>
    <t>2020-10-08 08:23 (-07)</t>
  </si>
  <si>
    <t>2021-03-24 20:51 (-07)</t>
  </si>
  <si>
    <t>20:51(-07)</t>
  </si>
  <si>
    <t>2021-03-08 06:36 (-07)</t>
  </si>
  <si>
    <t>2021-03-24 21:03 (-07)</t>
  </si>
  <si>
    <t>21:03(-07)</t>
  </si>
  <si>
    <t>15 min WHM: Pop Core Strength</t>
  </si>
  <si>
    <t>2021-03-10 06:20 (-07)</t>
  </si>
  <si>
    <t>2021-03-24 21:18 (-07)</t>
  </si>
  <si>
    <t>21:18(-07)</t>
  </si>
  <si>
    <t>2020-02-05 14:29 (-07)</t>
  </si>
  <si>
    <t>2021-03-24 22:27 (PST)</t>
  </si>
  <si>
    <t>22:27(PST)</t>
  </si>
  <si>
    <t>2021-02-19 06:27 (PST)</t>
  </si>
  <si>
    <t>2021-03-25 07:26 (PST)</t>
  </si>
  <si>
    <t>2021-03-24 14:51 (PST)</t>
  </si>
  <si>
    <t>2021-03-25 22:07 (PST)</t>
  </si>
  <si>
    <t>22:07(PST)</t>
  </si>
  <si>
    <t>2020-10-30 07:00 (PST)</t>
  </si>
  <si>
    <t>2021-03-26 07:02 (-07)</t>
  </si>
  <si>
    <t>07:02(-07)</t>
  </si>
  <si>
    <t>2020-08-22 04:49 (-07)</t>
  </si>
  <si>
    <t>2021-03-26 08:03 (-07)</t>
  </si>
  <si>
    <t>2020-06-04 07:00 (-07)</t>
  </si>
  <si>
    <t>2021-03-27 01:37 (PST)</t>
  </si>
  <si>
    <t>01:37(PST)</t>
  </si>
  <si>
    <t>2021-03-26 06:38 (PST)</t>
  </si>
  <si>
    <t>2021-03-27 21:58 (PST)</t>
  </si>
  <si>
    <t>21:58(PST)</t>
  </si>
  <si>
    <t>2020-10-12 07:00 (PST)</t>
  </si>
  <si>
    <t>2021-03-28 10:58 (-07)</t>
  </si>
  <si>
    <t>10:58(-07)</t>
  </si>
  <si>
    <t>10 min Low Impact</t>
  </si>
  <si>
    <t>2021-03-28 11:08 (-07)</t>
  </si>
  <si>
    <t>11:08(-07)</t>
  </si>
  <si>
    <t>2021-03-20 04:53 (-07)</t>
  </si>
  <si>
    <t>2021-03-28 12:39 (-07)</t>
  </si>
  <si>
    <t>12:39(-07)</t>
  </si>
  <si>
    <t>2021-03-08 18:06 (-07)</t>
  </si>
  <si>
    <t>2021-03-28 12:49 (-07)</t>
  </si>
  <si>
    <t>12:49(-07)</t>
  </si>
  <si>
    <t>2020-10-26 05:30 (-07)</t>
  </si>
  <si>
    <t>2021-03-28 22:09 (PST)</t>
  </si>
  <si>
    <t>2021-03-24 07:00 (PST)</t>
  </si>
  <si>
    <t>2021-03-29 06:54 (PST)</t>
  </si>
  <si>
    <t>06:54(PST)</t>
  </si>
  <si>
    <t>2021-01-13 05:54 (PST)</t>
  </si>
  <si>
    <t>2021-03-29 07:11 (PST)</t>
  </si>
  <si>
    <t>45 min Focus Flow: Hamstrings</t>
  </si>
  <si>
    <t>2021-03-21 07:52 (PST)</t>
  </si>
  <si>
    <t>2021-03-29 21:46 (PST)</t>
  </si>
  <si>
    <t>2020-06-24 11:23 (PST)</t>
  </si>
  <si>
    <t>2021-03-30 06:54 (-07)</t>
  </si>
  <si>
    <t>06:54(-07)</t>
  </si>
  <si>
    <t>45 min Interval &amp; Arms Ride</t>
  </si>
  <si>
    <t>2021-03-15 11:25 (-07)</t>
  </si>
  <si>
    <t>2021-03-30 07:40 (-07)</t>
  </si>
  <si>
    <t>07:40(-07)</t>
  </si>
  <si>
    <t>2021-02-20 09:45 (-07)</t>
  </si>
  <si>
    <t>2021-03-30 07:50 (-07)</t>
  </si>
  <si>
    <t>2021-03-30 21:59 (PST)</t>
  </si>
  <si>
    <t>21:59(PST)</t>
  </si>
  <si>
    <t>2021-03-30 07:00 (PST)</t>
  </si>
  <si>
    <t>2021-03-31 06:57 (PST)</t>
  </si>
  <si>
    <t>45 min Focus Flow: Hips</t>
  </si>
  <si>
    <t>2021-03-22 04:52 (PST)</t>
  </si>
  <si>
    <t>2021-03-31 20:07 (-07)</t>
  </si>
  <si>
    <t>20:07(-07)</t>
  </si>
  <si>
    <t>2021-03-13 10:00 (-07)</t>
  </si>
  <si>
    <t>2021-03-31 20:38 (-07)</t>
  </si>
  <si>
    <t>20:38(-07)</t>
  </si>
  <si>
    <t>2021-01-28 06:00 (-07)</t>
  </si>
  <si>
    <t>2021-03-31 22:19 (PST)</t>
  </si>
  <si>
    <t>22:19(PST)</t>
  </si>
  <si>
    <t>20 min Kindness Meditation</t>
  </si>
  <si>
    <t>2021-02-14 06:27 (PST)</t>
  </si>
  <si>
    <t>2021-04-01 06:49 (-07)</t>
  </si>
  <si>
    <t>06:49(-07)</t>
  </si>
  <si>
    <t>2018-09-20 02:49 (-07)</t>
  </si>
  <si>
    <t>2021-04-01 07:35 (-07)</t>
  </si>
  <si>
    <t>07:35(-07)</t>
  </si>
  <si>
    <t>2021-03-09 12:13 (-07)</t>
  </si>
  <si>
    <t>2021-04-01 23:04 (PST)</t>
  </si>
  <si>
    <t>23:04(PST)</t>
  </si>
  <si>
    <t>2021-03-30 08:00 (PST)</t>
  </si>
  <si>
    <t>2021-04-02 18:06 (PST)</t>
  </si>
  <si>
    <t>18:06(PST)</t>
  </si>
  <si>
    <t>2021-03-31 07:00 (PST)</t>
  </si>
  <si>
    <t>2021-04-02 18:29 (PST)</t>
  </si>
  <si>
    <t>2020-01-04 05:30 (PST)</t>
  </si>
  <si>
    <t>2021-04-03 00:01 (PST)</t>
  </si>
  <si>
    <t>00:01(PST)</t>
  </si>
  <si>
    <t>Mindfulness</t>
  </si>
  <si>
    <t>20 min Body Scan Meditation</t>
  </si>
  <si>
    <t>2021-04-02 07:00 (PST)</t>
  </si>
  <si>
    <t>2021-04-03 21:45 (PST)</t>
  </si>
  <si>
    <t>21:45(PST)</t>
  </si>
  <si>
    <t>20 min Energizing Meditation</t>
  </si>
  <si>
    <t>2021-02-04 05:27 (PST)</t>
  </si>
  <si>
    <t>2021-04-04 20:45 (PST)</t>
  </si>
  <si>
    <t>20:45(PST)</t>
  </si>
  <si>
    <t>2021-01-31 07:54 (PST)</t>
  </si>
  <si>
    <t>2021-04-04 22:39 (PST)</t>
  </si>
  <si>
    <t>2020-12-22 05:28 (PST)</t>
  </si>
  <si>
    <t>2021-04-05 06:49 (-07)</t>
  </si>
  <si>
    <t>2019-08-15 04:49 (-07)</t>
  </si>
  <si>
    <t>2021-04-05 07:36 (-07)</t>
  </si>
  <si>
    <t>07:36(-07)</t>
  </si>
  <si>
    <t>2021-04-05 22:08 (PST)</t>
  </si>
  <si>
    <t>22:08(PST)</t>
  </si>
  <si>
    <t>2020-11-23 07:00 (PST)</t>
  </si>
  <si>
    <t>2021-04-06 06:56 (-07)</t>
  </si>
  <si>
    <t>06:56(-07)</t>
  </si>
  <si>
    <t>2020-09-26 04:48 (-07)</t>
  </si>
  <si>
    <t>2021-04-06 07:59 (-07)</t>
  </si>
  <si>
    <t>07:59(-07)</t>
  </si>
  <si>
    <t>2021-04-06 06:00 (-07)</t>
  </si>
  <si>
    <t>2021-04-06 22:10 (PST)</t>
  </si>
  <si>
    <t>22:10(PST)</t>
  </si>
  <si>
    <t>20 min Courage Meditation</t>
  </si>
  <si>
    <t>2020-12-02 05:27 (PST)</t>
  </si>
  <si>
    <t>2021-04-07 20:36 (-07)</t>
  </si>
  <si>
    <t>20:36(-07)</t>
  </si>
  <si>
    <t>2019-07-25 04:50 (-07)</t>
  </si>
  <si>
    <t>2021-04-07 21:24 (-07)</t>
  </si>
  <si>
    <t>21:24(-07)</t>
  </si>
  <si>
    <t>2021-04-07 22:26 (PST)</t>
  </si>
  <si>
    <t>22:26(PST)</t>
  </si>
  <si>
    <t>2021-04-08 07:24 (-07)</t>
  </si>
  <si>
    <t>07:24(-07)</t>
  </si>
  <si>
    <t>30 min BHM Celebration Full Body</t>
  </si>
  <si>
    <t>2021-02-19 06:19 (-07)</t>
  </si>
  <si>
    <t>2021-04-08 07:58 (-07)</t>
  </si>
  <si>
    <t>07:58(-07)</t>
  </si>
  <si>
    <t>2021-03-30 04:53 (-07)</t>
  </si>
  <si>
    <t>2021-04-08 08:29 (-07)</t>
  </si>
  <si>
    <t>2021-04-08 22:45 (PST)</t>
  </si>
  <si>
    <t>22:45(PST)</t>
  </si>
  <si>
    <t>Breath</t>
  </si>
  <si>
    <t>20 min Breathing Meditation</t>
  </si>
  <si>
    <t>2020-09-29 05:27 (PST)</t>
  </si>
  <si>
    <t>2021-04-09 22:26 (PST)</t>
  </si>
  <si>
    <t>30 min Sleep Meditation</t>
  </si>
  <si>
    <t>2020-02-04 16:18 (PST)</t>
  </si>
  <si>
    <t>2021-04-10 09:30 (-07)</t>
  </si>
  <si>
    <t>09:30(-07)</t>
  </si>
  <si>
    <t>2019-09-13 10:40 (-07)</t>
  </si>
  <si>
    <t>2021-04-10 09:36 (-07)</t>
  </si>
  <si>
    <t>09:36(-07)</t>
  </si>
  <si>
    <t>2019-09-05 02:47 (-07)</t>
  </si>
  <si>
    <t>2021-04-10 10:25 (-07)</t>
  </si>
  <si>
    <t>10:25(-07)</t>
  </si>
  <si>
    <t>2020-08-08 04:51 (-07)</t>
  </si>
  <si>
    <t>2021-04-10 11:28 (-07)</t>
  </si>
  <si>
    <t>11:28(-07)</t>
  </si>
  <si>
    <t>2021-04-10 11:55 (PST)</t>
  </si>
  <si>
    <t>11:55(PST)</t>
  </si>
  <si>
    <t>2021-04-10 22:31 (PST)</t>
  </si>
  <si>
    <t>22:31(PST)</t>
  </si>
  <si>
    <t>2021-04-11 22:13 (PST)</t>
  </si>
  <si>
    <t>22:13(PST)</t>
  </si>
  <si>
    <t>30 min Relaxing Meditation</t>
  </si>
  <si>
    <t>2020-01-09 16:19 (PST)</t>
  </si>
  <si>
    <t>2021-04-12 19:35 (-07)</t>
  </si>
  <si>
    <t>19:35(-07)</t>
  </si>
  <si>
    <t>2021-03-25 07:00 (-07)</t>
  </si>
  <si>
    <t>2021-04-12 19:48 (-07)</t>
  </si>
  <si>
    <t>19:48(-07)</t>
  </si>
  <si>
    <t>2021-04-12 05:34 (-07)</t>
  </si>
  <si>
    <t>2021-04-12 22:11 (PST)</t>
  </si>
  <si>
    <t>22:11(PST)</t>
  </si>
  <si>
    <t>2021-04-13 22:16 (PST)</t>
  </si>
  <si>
    <t>2021-04-14 06:53 (-07)</t>
  </si>
  <si>
    <t>06:53(-07)</t>
  </si>
  <si>
    <t>2020-10-21 02:54 (-07)</t>
  </si>
  <si>
    <t>2021-04-14 07:39 (-07)</t>
  </si>
  <si>
    <t>07:39(-07)</t>
  </si>
  <si>
    <t>2021-04-08 06:00 (-07)</t>
  </si>
  <si>
    <t>2021-04-14 22:21 (PST)</t>
  </si>
  <si>
    <t>22:21(PST)</t>
  </si>
  <si>
    <t>2021-04-15 06:49 (-07)</t>
  </si>
  <si>
    <t>2021-04-10 04:24 (-07)</t>
  </si>
  <si>
    <t>2021-04-15 07:51 (-07)</t>
  </si>
  <si>
    <t>07:51(-07)</t>
  </si>
  <si>
    <t>2021-04-15 07:57 (-07)</t>
  </si>
  <si>
    <t>07:57(-07)</t>
  </si>
  <si>
    <t>2021-04-15 08:05 (-07)</t>
  </si>
  <si>
    <t>08:05(-07)</t>
  </si>
  <si>
    <t>2021-02-10 16:38 (-07)</t>
  </si>
  <si>
    <t>2021-04-15 22:22 (PST)</t>
  </si>
  <si>
    <t>22:22(PST)</t>
  </si>
  <si>
    <t>2021-04-14 07:00 (PST)</t>
  </si>
  <si>
    <t>2021-04-16 22:30 (PST)</t>
  </si>
  <si>
    <t>2020-11-18 05:26 (PST)</t>
  </si>
  <si>
    <t>2021-04-17 21:53 (PST)</t>
  </si>
  <si>
    <t>21:53(PST)</t>
  </si>
  <si>
    <t>30 min Calming Meditation</t>
  </si>
  <si>
    <t>2019-12-10 16:18 (PST)</t>
  </si>
  <si>
    <t>2021-04-18 17:37 (PST)</t>
  </si>
  <si>
    <t>17:37(PST)</t>
  </si>
  <si>
    <t>2020-10-04 07:50 (PST)</t>
  </si>
  <si>
    <t>2021-04-18 22:13 (PST)</t>
  </si>
  <si>
    <t>2021-04-18 07:00 (PST)</t>
  </si>
  <si>
    <t>2021-04-19 16:22 (-07)</t>
  </si>
  <si>
    <t>16:22(-07)</t>
  </si>
  <si>
    <t>2020-09-09 04:06 (-07)</t>
  </si>
  <si>
    <t>2021-04-19 16:33 (-07)</t>
  </si>
  <si>
    <t>16:33(-07)</t>
  </si>
  <si>
    <t>2021-04-19 17:19 (-07)</t>
  </si>
  <si>
    <t>17:19(-07)</t>
  </si>
  <si>
    <t>2021-04-19 17:25 (-07)</t>
  </si>
  <si>
    <t>17:25(-07)</t>
  </si>
  <si>
    <t>2021-04-19 17:31 (-07)</t>
  </si>
  <si>
    <t>17:31(-07)</t>
  </si>
  <si>
    <t>2020-12-27 07:00 (-07)</t>
  </si>
  <si>
    <t>2021-04-19 17:54 (PST)</t>
  </si>
  <si>
    <t>17:54(PST)</t>
  </si>
  <si>
    <t>30 min Focus Flow: Forward Folds</t>
  </si>
  <si>
    <t>2021-02-10 14:55 (PST)</t>
  </si>
  <si>
    <t>2021-04-19 21:48 (PST)</t>
  </si>
  <si>
    <t>2021-04-20 06:48 (-07)</t>
  </si>
  <si>
    <t>06:48(-07)</t>
  </si>
  <si>
    <t>2021-02-06 09:45 (-07)</t>
  </si>
  <si>
    <t>2021-04-20 07:34 (-07)</t>
  </si>
  <si>
    <t>07:34(-07)</t>
  </si>
  <si>
    <t>2021-04-20 07:40 (-07)</t>
  </si>
  <si>
    <t>2021-04-18 11:08 (-07)</t>
  </si>
  <si>
    <t>2021-04-20 07:51 (-07)</t>
  </si>
  <si>
    <t>2020-10-28 05:57 (-07)</t>
  </si>
  <si>
    <t>2021-04-20 22:07 (PST)</t>
  </si>
  <si>
    <t>15 min Sleep Meditation</t>
  </si>
  <si>
    <t>2021-01-03 06:00 (PST)</t>
  </si>
  <si>
    <t>2021-04-21 19:15 (-07)</t>
  </si>
  <si>
    <t>19:15(-07)</t>
  </si>
  <si>
    <t>2021-01-30 05:52 (-07)</t>
  </si>
  <si>
    <t>2021-04-21 20:16 (-07)</t>
  </si>
  <si>
    <t>20:16(-07)</t>
  </si>
  <si>
    <t>2021-04-20 06:00 (-07)</t>
  </si>
  <si>
    <t>2021-04-21 20:29 (-07)</t>
  </si>
  <si>
    <t>20:29(-07)</t>
  </si>
  <si>
    <t>2019-12-16 18:00 (-07)</t>
  </si>
  <si>
    <t>2021-04-21 22:22 (PST)</t>
  </si>
  <si>
    <t>2021-03-23 05:36 (PST)</t>
  </si>
  <si>
    <t>2021-04-22 20:05 (-07)</t>
  </si>
  <si>
    <t>2020-09-06 08:45 (-07)</t>
  </si>
  <si>
    <t>2021-04-22 20:37 (-07)</t>
  </si>
  <si>
    <t>20:37(-07)</t>
  </si>
  <si>
    <t>2021-04-18 22:00 (-07)</t>
  </si>
  <si>
    <t>2021-04-22 20:49 (-07)</t>
  </si>
  <si>
    <t>20:49(-07)</t>
  </si>
  <si>
    <t>2021-04-08 07:00 (-07)</t>
  </si>
  <si>
    <t>2021-04-22 21:06 (-07)</t>
  </si>
  <si>
    <t>21:06(-07)</t>
  </si>
  <si>
    <t>2020-12-21 06:30 (-07)</t>
  </si>
  <si>
    <t>2021-04-22 21:17 (PST)</t>
  </si>
  <si>
    <t>21:17(PST)</t>
  </si>
  <si>
    <t>2021-02-15 07:00 (PST)</t>
  </si>
  <si>
    <t>2021-04-22 22:51 (PST)</t>
  </si>
  <si>
    <t>22:51(PST)</t>
  </si>
  <si>
    <t>2021-04-03 07:00 (PST)</t>
  </si>
  <si>
    <t>2021-04-23 07:30 (PST)</t>
  </si>
  <si>
    <t>07:30(PST)</t>
  </si>
  <si>
    <t>45 min Slow Flow</t>
  </si>
  <si>
    <t>2020-10-28 14:56 (PST)</t>
  </si>
  <si>
    <t>2021-04-23 23:30 (PST)</t>
  </si>
  <si>
    <t>23:30(PST)</t>
  </si>
  <si>
    <t>2021-03-22 07:00 (PST)</t>
  </si>
  <si>
    <t>2021-04-24 10:43 (-07)</t>
  </si>
  <si>
    <t>10:43(-07)</t>
  </si>
  <si>
    <t>2019-08-08 08:18 (-07)</t>
  </si>
  <si>
    <t>2021-04-24 11:14 (-07)</t>
  </si>
  <si>
    <t>11:14(-07)</t>
  </si>
  <si>
    <t>2021-04-11 10:21 (-07)</t>
  </si>
  <si>
    <t>2021-04-24 12:15 (-07)</t>
  </si>
  <si>
    <t>12:15(-07)</t>
  </si>
  <si>
    <t>2021-04-23 14:00 (-07)</t>
  </si>
  <si>
    <t>2021-04-24 12:26 (-07)</t>
  </si>
  <si>
    <t>12:26(-07)</t>
  </si>
  <si>
    <t>2021-04-25 21:55 (PST)</t>
  </si>
  <si>
    <t>20 min Gratitude Meditation</t>
  </si>
  <si>
    <t>2021-04-24 06:58 (PST)</t>
  </si>
  <si>
    <t>2021-04-26 06:27 (PST)</t>
  </si>
  <si>
    <t>06:27(PST)</t>
  </si>
  <si>
    <t>2020-12-31 06:00 (PST)</t>
  </si>
  <si>
    <t>2021-04-26 20:18 (-07)</t>
  </si>
  <si>
    <t>20:18(-07)</t>
  </si>
  <si>
    <t>2021-02-03 03:52 (-07)</t>
  </si>
  <si>
    <t>2021-04-26 21:04 (-07)</t>
  </si>
  <si>
    <t>21:04(-07)</t>
  </si>
  <si>
    <t>2021-04-26 21:10 (-07)</t>
  </si>
  <si>
    <t>21:10(-07)</t>
  </si>
  <si>
    <t>2021-04-16 09:28 (-07)</t>
  </si>
  <si>
    <t>2021-04-26 22:27 (PST)</t>
  </si>
  <si>
    <t>2020-12-18 06:38 (PST)</t>
  </si>
  <si>
    <t>2021-04-27 22:15 (PST)</t>
  </si>
  <si>
    <t>2019-11-20 16:18 (PST)</t>
  </si>
  <si>
    <t>2021-04-28 06:55 (-07)</t>
  </si>
  <si>
    <t>06:55(-07)</t>
  </si>
  <si>
    <t>2021-04-13 06:00 (-07)</t>
  </si>
  <si>
    <t>2021-04-28 07:00 (-07)</t>
  </si>
  <si>
    <t>07:00(-07)</t>
  </si>
  <si>
    <t>2021-02-23 05:52 (-07)</t>
  </si>
  <si>
    <t>2021-04-28 07:46 (-07)</t>
  </si>
  <si>
    <t>07:46(-07)</t>
  </si>
  <si>
    <t>2021-04-28 22:00 (PST)</t>
  </si>
  <si>
    <t>22:00(PST)</t>
  </si>
  <si>
    <t>2021-04-27 08:00 (PST)</t>
  </si>
  <si>
    <t>2021-04-29 07:05 (-07)</t>
  </si>
  <si>
    <t>2020-09-05 09:00 (-07)</t>
  </si>
  <si>
    <t>2021-04-29 07:37 (-07)</t>
  </si>
  <si>
    <t>07:37(-07)</t>
  </si>
  <si>
    <t>2021-04-23 06:00 (-07)</t>
  </si>
  <si>
    <t>2021-04-29 07:48 (-07)</t>
  </si>
  <si>
    <t>07:48(-07)</t>
  </si>
  <si>
    <t>2021-04-28 05:24 (-07)</t>
  </si>
  <si>
    <t>2021-04-29 08:00 (-07)</t>
  </si>
  <si>
    <t>08:00(-07)</t>
  </si>
  <si>
    <t>2020-06-15 07:00 (-07)</t>
  </si>
  <si>
    <t>2021-04-29 19:20 (PST)</t>
  </si>
  <si>
    <t>19:20(PST)</t>
  </si>
  <si>
    <t>2021-04-25 07:53 (PST)</t>
  </si>
  <si>
    <t>2021-04-29 22:32 (PST)</t>
  </si>
  <si>
    <t>22:32(PST)</t>
  </si>
  <si>
    <t>20 min Witness Meditation</t>
  </si>
  <si>
    <t>2020-10-09 06:28 (PST)</t>
  </si>
  <si>
    <t>2021-04-30 07:05 (-07)</t>
  </si>
  <si>
    <t>2021-02-27 05:53 (-07)</t>
  </si>
  <si>
    <t>2021-04-30 21:55 (PST)</t>
  </si>
  <si>
    <t>2021-04-30 09:00 (PST)</t>
  </si>
  <si>
    <t>2021-05-01 07:43 (-07)</t>
  </si>
  <si>
    <t>07:43(-07)</t>
  </si>
  <si>
    <t>2020-01-22 09:18 (-07)</t>
  </si>
  <si>
    <t>2021-05-01 08:15 (-07)</t>
  </si>
  <si>
    <t>08:15(-07)</t>
  </si>
  <si>
    <t>45 min Full Body Strength</t>
  </si>
  <si>
    <t>2021-03-18 07:00 (-07)</t>
  </si>
  <si>
    <t>2021-05-01 09:02 (-07)</t>
  </si>
  <si>
    <t>09:02(-07)</t>
  </si>
  <si>
    <t>2021-04-27 22:00 (-07)</t>
  </si>
  <si>
    <t>2021-05-01 22:48 (PST)</t>
  </si>
  <si>
    <t>22:48(PST)</t>
  </si>
  <si>
    <t>10 min Peace Meditation</t>
  </si>
  <si>
    <t>2021-05-01 10:36 (PST)</t>
  </si>
  <si>
    <t>2021-05-02 19:12 (PST)</t>
  </si>
  <si>
    <t>2021-05-02 11:52 (PST)</t>
  </si>
  <si>
    <t>2021-05-02 19:58 (-07)</t>
  </si>
  <si>
    <t>19:58(-07)</t>
  </si>
  <si>
    <t>2021-04-25 10:23 (-07)</t>
  </si>
  <si>
    <t>2021-05-02 20:44 (-07)</t>
  </si>
  <si>
    <t>20:44(-07)</t>
  </si>
  <si>
    <t>2021-05-02 22:31 (PST)</t>
  </si>
  <si>
    <t>2020-10-19 07:00 (PST)</t>
  </si>
  <si>
    <t>2021-05-03 06:46 (-07)</t>
  </si>
  <si>
    <t>06:46(-07)</t>
  </si>
  <si>
    <t>2021-04-17 04:22 (-07)</t>
  </si>
  <si>
    <t>2021-05-03 08:07 (PST)</t>
  </si>
  <si>
    <t>08:07(PST)</t>
  </si>
  <si>
    <t>2021-04-08 06:00 (PST)</t>
  </si>
  <si>
    <t>2021-05-04 18:47 (-07)</t>
  </si>
  <si>
    <t>18:47(-07)</t>
  </si>
  <si>
    <t>2019-08-25 04:49 (-07)</t>
  </si>
  <si>
    <t>2021-05-04 19:32 (-07)</t>
  </si>
  <si>
    <t>19:32(-07)</t>
  </si>
  <si>
    <t>2021-04-29 06:00 (-07)</t>
  </si>
  <si>
    <t>2021-05-04 19:38 (-07)</t>
  </si>
  <si>
    <t>19:38(-07)</t>
  </si>
  <si>
    <t>2021-05-04 19:43 (-07)</t>
  </si>
  <si>
    <t>19:43(-07)</t>
  </si>
  <si>
    <t>2021-04-11 22:25 (-07)</t>
  </si>
  <si>
    <t>2021-05-04 22:22 (PST)</t>
  </si>
  <si>
    <t>10 min APIHM Meditation</t>
  </si>
  <si>
    <t>2021-05-03 07:00 (PST)</t>
  </si>
  <si>
    <t>2021-05-05 19:28 (-07)</t>
  </si>
  <si>
    <t>19:28(-07)</t>
  </si>
  <si>
    <t>2020-05-27 13:20 (-07)</t>
  </si>
  <si>
    <t>2021-05-05 20:26 (PST)</t>
  </si>
  <si>
    <t>20:26(PST)</t>
  </si>
  <si>
    <t>Walking</t>
  </si>
  <si>
    <t>Music Walk</t>
  </si>
  <si>
    <t>20 min 2010s Walk</t>
  </si>
  <si>
    <t>2021-02-05 08:00 (PST)</t>
  </si>
  <si>
    <t>2021-05-05 23:01 (PST)</t>
  </si>
  <si>
    <t>23:01(PST)</t>
  </si>
  <si>
    <t>20 min Relaxing: Live from Home</t>
  </si>
  <si>
    <t>2020-05-13 11:24 (PST)</t>
  </si>
  <si>
    <t>2021-05-06 19:19 (-07)</t>
  </si>
  <si>
    <t>19:19(-07)</t>
  </si>
  <si>
    <t>2020-12-08 05:24 (-07)</t>
  </si>
  <si>
    <t>2021-05-06 20:04 (-07)</t>
  </si>
  <si>
    <t>20:04(-07)</t>
  </si>
  <si>
    <t>2021-05-06 20:16 (-07)</t>
  </si>
  <si>
    <t>2021-05-06 20:27 (-07)</t>
  </si>
  <si>
    <t>20:27(-07)</t>
  </si>
  <si>
    <t>2021-05-01 07:50 (-07)</t>
  </si>
  <si>
    <t>2021-05-06 20:38 (-07)</t>
  </si>
  <si>
    <t>2019-12-04 09:00 (-07)</t>
  </si>
  <si>
    <t>2021-05-06 22:41 (PST)</t>
  </si>
  <si>
    <t>22:41(PST)</t>
  </si>
  <si>
    <t>2021-05-06 05:27 (PST)</t>
  </si>
  <si>
    <t>2021-05-07 06:37 (PST)</t>
  </si>
  <si>
    <t>20 min 90s Fun Walk</t>
  </si>
  <si>
    <t>2020-05-01 08:00 (PST)</t>
  </si>
  <si>
    <t>2021-05-07 22:01 (PST)</t>
  </si>
  <si>
    <t>22:01(PST)</t>
  </si>
  <si>
    <t>2021-05-08 08:12 (PST)</t>
  </si>
  <si>
    <t>08:12(PST)</t>
  </si>
  <si>
    <t>2021-04-24 06:20 (PST)</t>
  </si>
  <si>
    <t>2021-05-08 22:45 (PST)</t>
  </si>
  <si>
    <t>2021-03-24 05:26 (PST)</t>
  </si>
  <si>
    <t>2021-05-09 18:37 (PST)</t>
  </si>
  <si>
    <t>18:37(PST)</t>
  </si>
  <si>
    <t>75 min Yoga Flow</t>
  </si>
  <si>
    <t>2021-05-06 14:55 (PST)</t>
  </si>
  <si>
    <t>2021-05-09 22:08 (PST)</t>
  </si>
  <si>
    <t>2021-05-10 06:18 (-07)</t>
  </si>
  <si>
    <t>06:18(-07)</t>
  </si>
  <si>
    <t>2021-01-16 05:54 (-07)</t>
  </si>
  <si>
    <t>2021-05-10 07:34 (-07)</t>
  </si>
  <si>
    <t>2021-05-10 07:39 (-07)</t>
  </si>
  <si>
    <t>2021-05-10 22:32 (PST)</t>
  </si>
  <si>
    <t>2021-05-11 07:28 (PST)</t>
  </si>
  <si>
    <t>2020-08-07 08:36 (PST)</t>
  </si>
  <si>
    <t>2021-05-11 07:52 (PST)</t>
  </si>
  <si>
    <t>2021-05-11 20:48 (-07)</t>
  </si>
  <si>
    <t>20:48(-07)</t>
  </si>
  <si>
    <t>2021-02-26 09:23 (-07)</t>
  </si>
  <si>
    <t>2021-05-11 21:27 (-07)</t>
  </si>
  <si>
    <t>21:27(-07)</t>
  </si>
  <si>
    <t>2021-05-03 06:00 (-07)</t>
  </si>
  <si>
    <t>2021-05-11 22:29 (PST)</t>
  </si>
  <si>
    <t>22:29(PST)</t>
  </si>
  <si>
    <t>2020-10-29 07:00 (PST)</t>
  </si>
  <si>
    <t>2021-05-12 06:58 (-07)</t>
  </si>
  <si>
    <t>06:58(-07)</t>
  </si>
  <si>
    <t>2020-02-27 03:46 (-07)</t>
  </si>
  <si>
    <t>2021-05-12 07:44 (-07)</t>
  </si>
  <si>
    <t>07:44(-07)</t>
  </si>
  <si>
    <t>2021-05-12 07:51 (-07)</t>
  </si>
  <si>
    <t>2021-05-10 07:00 (-07)</t>
  </si>
  <si>
    <t>2021-05-12 22:55 (PST)</t>
  </si>
  <si>
    <t>22:55(PST)</t>
  </si>
  <si>
    <t>10 min Mental Health Meditation</t>
  </si>
  <si>
    <t>2021-05-11 15:37 (PST)</t>
  </si>
  <si>
    <t>2021-05-13 07:27 (PST)</t>
  </si>
  <si>
    <t>07:27(PST)</t>
  </si>
  <si>
    <t>2021-05-04 14:54 (PST)</t>
  </si>
  <si>
    <t>2021-05-13 19:08 (-07)</t>
  </si>
  <si>
    <t>19:08(-07)</t>
  </si>
  <si>
    <t>2020-02-20 05:49 (-07)</t>
  </si>
  <si>
    <t>2021-05-13 19:53 (-07)</t>
  </si>
  <si>
    <t>19:53(-07)</t>
  </si>
  <si>
    <t>2021-05-13 19:59 (-07)</t>
  </si>
  <si>
    <t>19:59(-07)</t>
  </si>
  <si>
    <t>2021-05-05 05:55 (-07)</t>
  </si>
  <si>
    <t>2021-05-13 22:21 (PST)</t>
  </si>
  <si>
    <t>2021-05-13 07:00 (PST)</t>
  </si>
  <si>
    <t>2021-05-14 20:51 (PST)</t>
  </si>
  <si>
    <t>20:51(PST)</t>
  </si>
  <si>
    <t>2021-05-15 05:27 (PST)</t>
  </si>
  <si>
    <t>05:27(PST)</t>
  </si>
  <si>
    <t>5 min Fitness Goals Meditation</t>
  </si>
  <si>
    <t>2021-03-16 10:00 (PST)</t>
  </si>
  <si>
    <t>2021-05-15 06:11 (-07)</t>
  </si>
  <si>
    <t>06:11(-07)</t>
  </si>
  <si>
    <t>2021-05-06 06:00 (-07)</t>
  </si>
  <si>
    <t>2021-05-15 22:21 (PST)</t>
  </si>
  <si>
    <t>2021-05-16 12:30 (-07)</t>
  </si>
  <si>
    <t>12:30(-07)</t>
  </si>
  <si>
    <t>2020-01-30 05:30 (-07)</t>
  </si>
  <si>
    <t>2021-05-16 13:02 (-07)</t>
  </si>
  <si>
    <t>13:02(-07)</t>
  </si>
  <si>
    <t>2021-05-16 13:51 (PST)</t>
  </si>
  <si>
    <t>13:51(PST)</t>
  </si>
  <si>
    <t>10 min Focus Flow: Figure Four</t>
  </si>
  <si>
    <t>2021-05-13 08:08 (PST)</t>
  </si>
  <si>
    <t>2021-05-16 14:19 (PST)</t>
  </si>
  <si>
    <t>14:19(PST)</t>
  </si>
  <si>
    <t>30 min Focus Flow: Hips</t>
  </si>
  <si>
    <t>2021-05-12 07:24 (PST)</t>
  </si>
  <si>
    <t>2021-05-16 15:01 (PST)</t>
  </si>
  <si>
    <t>15:01(PST)</t>
  </si>
  <si>
    <t>Foam Rolling</t>
  </si>
  <si>
    <t>10 min Foam Rolling</t>
  </si>
  <si>
    <t>2019-07-12 11:16 (PST)</t>
  </si>
  <si>
    <t>2021-05-16 23:45 (PST)</t>
  </si>
  <si>
    <t>23:45(PST)</t>
  </si>
  <si>
    <t>2021-04-20 07:00 (PST)</t>
  </si>
  <si>
    <t>2021-05-17 16:32 (-07)</t>
  </si>
  <si>
    <t>2021-01-09 05:54 (-07)</t>
  </si>
  <si>
    <t>2021-05-17 17:33 (-07)</t>
  </si>
  <si>
    <t>17:33(-07)</t>
  </si>
  <si>
    <t>2021-05-17 17:41 (-07)</t>
  </si>
  <si>
    <t>17:41(-07)</t>
  </si>
  <si>
    <t>2021-05-02 01:30 (-07)</t>
  </si>
  <si>
    <t>2021-05-17 21:30 (PST)</t>
  </si>
  <si>
    <t>21:30(PST)</t>
  </si>
  <si>
    <t>10 min Patience Meditation</t>
  </si>
  <si>
    <t>2021-05-17 08:08 (PST)</t>
  </si>
  <si>
    <t>2021-05-18 16:50 (-07)</t>
  </si>
  <si>
    <t>16:50(-07)</t>
  </si>
  <si>
    <t>2021-03-23 04:54 (-07)</t>
  </si>
  <si>
    <t>2021-05-18 17:36 (-07)</t>
  </si>
  <si>
    <t>17:36(-07)</t>
  </si>
  <si>
    <t>2021-05-18 22:19 (PST)</t>
  </si>
  <si>
    <t>10 min Breathwork</t>
  </si>
  <si>
    <t>2021-05-18 07:00 (PST)</t>
  </si>
  <si>
    <t>2021-05-19 07:07 (PST)</t>
  </si>
  <si>
    <t>07:07(PST)</t>
  </si>
  <si>
    <t>Mariana Fernandez</t>
  </si>
  <si>
    <t>2021-05-14 05:40 (PST)</t>
  </si>
  <si>
    <t>2021-05-19 07:19 (PST)</t>
  </si>
  <si>
    <t>07:19(PST)</t>
  </si>
  <si>
    <t>20 min Power Yoga</t>
  </si>
  <si>
    <t>2021-02-07 07:53 (PST)</t>
  </si>
  <si>
    <t>2021-05-19 22:19 (PST)</t>
  </si>
  <si>
    <t>2020-07-22 13:20 (PST)</t>
  </si>
  <si>
    <t>2021-05-20 07:13 (-07)</t>
  </si>
  <si>
    <t>2020-11-14 05:53 (-07)</t>
  </si>
  <si>
    <t>2021-05-20 08:14 (-07)</t>
  </si>
  <si>
    <t>08:14(-07)</t>
  </si>
  <si>
    <t>2021-05-20 22:49 (PST)</t>
  </si>
  <si>
    <t>2021-05-20 05:35 (PST)</t>
  </si>
  <si>
    <t>2021-05-21 07:00 (-07)</t>
  </si>
  <si>
    <t>2021-05-21 07:30 (-07)</t>
  </si>
  <si>
    <t>07:30(-07)</t>
  </si>
  <si>
    <t>2021-05-21 07:38 (-07)</t>
  </si>
  <si>
    <t>07:38(-07)</t>
  </si>
  <si>
    <t>2021-05-20 06:04 (-07)</t>
  </si>
  <si>
    <t>2021-05-21 07:50 (-07)</t>
  </si>
  <si>
    <t>2021-05-20 11:02 (-07)</t>
  </si>
  <si>
    <t>2021-05-21 22:40 (PST)</t>
  </si>
  <si>
    <t>22:40(PST)</t>
  </si>
  <si>
    <t>2021-05-22 10:17 (PST)</t>
  </si>
  <si>
    <t>10:17(PST)</t>
  </si>
  <si>
    <t>2021-05-12 14:56 (PST)</t>
  </si>
  <si>
    <t>2021-05-22 22:50 (PST)</t>
  </si>
  <si>
    <t>22:50(PST)</t>
  </si>
  <si>
    <t>2021-05-23 00:42 (PST)</t>
  </si>
  <si>
    <t>00:42(PST)</t>
  </si>
  <si>
    <t>2021-05-23 08:53 (-07)</t>
  </si>
  <si>
    <t>08:53(-07)</t>
  </si>
  <si>
    <t>2019-07-06 09:34 (-07)</t>
  </si>
  <si>
    <t>2021-05-23 20:12 (PST)</t>
  </si>
  <si>
    <t>20:12(PST)</t>
  </si>
  <si>
    <t>2021-05-13 15:30 (PST)</t>
  </si>
  <si>
    <t>2021-05-23 20:43 (PST)</t>
  </si>
  <si>
    <t>20:43(PST)</t>
  </si>
  <si>
    <t>30 min Restorative</t>
  </si>
  <si>
    <t>2021-05-13 15:17 (PST)</t>
  </si>
  <si>
    <t>2021-05-23 22:09 (PST)</t>
  </si>
  <si>
    <t>20 min Acceptance Meditation</t>
  </si>
  <si>
    <t>2021-05-23 05:26 (PST)</t>
  </si>
  <si>
    <t>2021-05-24 07:03 (PST)</t>
  </si>
  <si>
    <t>2020-09-13 08:25 (PST)</t>
  </si>
  <si>
    <t>2021-05-24 20:38 (-07)</t>
  </si>
  <si>
    <t>2019-08-08 02:45 (-07)</t>
  </si>
  <si>
    <t>2021-05-24 21:24 (-07)</t>
  </si>
  <si>
    <t>2021-05-24 21:30 (-07)</t>
  </si>
  <si>
    <t>21:30(-07)</t>
  </si>
  <si>
    <t>2021-05-24 22:48 (PST)</t>
  </si>
  <si>
    <t>2021-03-16 07:00 (PST)</t>
  </si>
  <si>
    <t>2021-05-25 07:02 (-07)</t>
  </si>
  <si>
    <t>2021-05-25 07:32 (-07)</t>
  </si>
  <si>
    <t>2021-05-21 06:00 (-07)</t>
  </si>
  <si>
    <t>2021-05-25 07:39 (-07)</t>
  </si>
  <si>
    <t>2021-05-13 07:00 (-07)</t>
  </si>
  <si>
    <t>2021-05-25 07:51 (-07)</t>
  </si>
  <si>
    <t>15 min Upper Body Strength</t>
  </si>
  <si>
    <t>2021-05-24 07:00 (-07)</t>
  </si>
  <si>
    <t>2021-05-25 22:23 (PST)</t>
  </si>
  <si>
    <t>22:23(PST)</t>
  </si>
  <si>
    <t>2021-05-25 07:00 (PST)</t>
  </si>
  <si>
    <t>2021-05-26 07:07 (-07)</t>
  </si>
  <si>
    <t>07:07(-07)</t>
  </si>
  <si>
    <t>2019-09-14 09:33 (-07)</t>
  </si>
  <si>
    <t>2021-05-26 08:09 (-07)</t>
  </si>
  <si>
    <t>08:09(-07)</t>
  </si>
  <si>
    <t>2020-06-24 12:00 (-07)</t>
  </si>
  <si>
    <t>2021-05-26 08:14 (-07)</t>
  </si>
  <si>
    <t>2021-05-26 22:20 (PST)</t>
  </si>
  <si>
    <t>22:20(PST)</t>
  </si>
  <si>
    <t>2021-03-02 07:00 (PST)</t>
  </si>
  <si>
    <t>2021-05-27 20:18 (-07)</t>
  </si>
  <si>
    <t>2019-05-25 09:34 (-07)</t>
  </si>
  <si>
    <t>2021-05-27 21:20 (-07)</t>
  </si>
  <si>
    <t>21:20(-07)</t>
  </si>
  <si>
    <t>2021-05-27 21:26 (-07)</t>
  </si>
  <si>
    <t>21:26(-07)</t>
  </si>
  <si>
    <t>2021-05-27 23:23 (PST)</t>
  </si>
  <si>
    <t>23:23(PST)</t>
  </si>
  <si>
    <t>2020-09-11 07:00 (PST)</t>
  </si>
  <si>
    <t>2021-05-29 20:19 (PST)</t>
  </si>
  <si>
    <t>20:19(PST)</t>
  </si>
  <si>
    <t>2021-05-21 07:00 (PST)</t>
  </si>
  <si>
    <t>2021-05-29 22:27 (PST)</t>
  </si>
  <si>
    <t>2021-05-30 06:41 (-07)</t>
  </si>
  <si>
    <t>06:41(-07)</t>
  </si>
  <si>
    <t>2020-01-27 09:18 (-07)</t>
  </si>
  <si>
    <t>2021-05-30 07:14 (-07)</t>
  </si>
  <si>
    <t>07:14(-07)</t>
  </si>
  <si>
    <t>2021-05-18 09:41 (-07)</t>
  </si>
  <si>
    <t>2021-05-30 07:26 (-07)</t>
  </si>
  <si>
    <t>07:26(-07)</t>
  </si>
  <si>
    <t>15 min Arms &amp; Shoulders Strength</t>
  </si>
  <si>
    <t>2021-05-02 22:00 (-07)</t>
  </si>
  <si>
    <t>2021-05-30 22:20 (PST)</t>
  </si>
  <si>
    <t>2021-05-27 15:37 (PST)</t>
  </si>
  <si>
    <t>2021-05-31 10:41 (-07)</t>
  </si>
  <si>
    <t>10:41(-07)</t>
  </si>
  <si>
    <t>2020-10-10 04:55 (-07)</t>
  </si>
  <si>
    <t>2021-05-31 12:12 (-07)</t>
  </si>
  <si>
    <t>12:12(-07)</t>
  </si>
  <si>
    <t>2021-05-31 12:21 (-07)</t>
  </si>
  <si>
    <t>12:21(-07)</t>
  </si>
  <si>
    <t>2021-05-28 06:32 (-07)</t>
  </si>
  <si>
    <t>2021-05-31 20:38 (PST)</t>
  </si>
  <si>
    <t>20:38(PST)</t>
  </si>
  <si>
    <t>Power Walk</t>
  </si>
  <si>
    <t>20 min Power Walk</t>
  </si>
  <si>
    <t>2021-05-21 08:00 (PST)</t>
  </si>
  <si>
    <t>2021-05-31 22:12 (PST)</t>
  </si>
  <si>
    <t>22:12(PST)</t>
  </si>
  <si>
    <t>2021-05-25 08:00 (PST)</t>
  </si>
  <si>
    <t>2021-06-01 06:55 (PST)</t>
  </si>
  <si>
    <t>06:55(PST)</t>
  </si>
  <si>
    <t>2021-05-23 07:52 (PST)</t>
  </si>
  <si>
    <t>2021-06-01 22:29 (PST)</t>
  </si>
  <si>
    <t>2021-05-27 05:37 (PST)</t>
  </si>
  <si>
    <t>2021-06-02 06:58 (-07)</t>
  </si>
  <si>
    <t>2021-06-02 07:44 (-07)</t>
  </si>
  <si>
    <t>2019-05-09 02:46 (-07)</t>
  </si>
  <si>
    <t>2021-06-02 07:49 (-07)</t>
  </si>
  <si>
    <t>07:49(-07)</t>
  </si>
  <si>
    <t>2021-06-02 07:54 (-07)</t>
  </si>
  <si>
    <t>07:54(-07)</t>
  </si>
  <si>
    <t>2021-06-02 08:10 (-07)</t>
  </si>
  <si>
    <t>08:10(-07)</t>
  </si>
  <si>
    <t>15 min APIHM Bhangra Core Strength</t>
  </si>
  <si>
    <t>2021-05-29 07:00 (-07)</t>
  </si>
  <si>
    <t>2021-06-02 22:32 (PST)</t>
  </si>
  <si>
    <t>2021-05-25 15:38 (PST)</t>
  </si>
  <si>
    <t>2021-06-03 07:09 (-07)</t>
  </si>
  <si>
    <t>07:09(-07)</t>
  </si>
  <si>
    <t>2021-03-27 04:52 (-07)</t>
  </si>
  <si>
    <t>2021-06-03 08:09 (-07)</t>
  </si>
  <si>
    <t>2021-06-04 00:23 (PST)</t>
  </si>
  <si>
    <t>00:23(PST)</t>
  </si>
  <si>
    <t>2021-06-03 07:00 (PST)</t>
  </si>
  <si>
    <t>2021-06-05 15:55 (PST)</t>
  </si>
  <si>
    <t>15:55(PST)</t>
  </si>
  <si>
    <t>5 min Kindness Meditation</t>
  </si>
  <si>
    <t>2021-06-01 07:00 (PST)</t>
  </si>
  <si>
    <t>2021-06-06 17:22 (-07)</t>
  </si>
  <si>
    <t>17:22(-07)</t>
  </si>
  <si>
    <t>2019-11-09 10:35 (-07)</t>
  </si>
  <si>
    <t>2021-06-06 18:53 (-07)</t>
  </si>
  <si>
    <t>18:53(-07)</t>
  </si>
  <si>
    <t>2021-06-06 18:59 (-07)</t>
  </si>
  <si>
    <t>18:59(-07)</t>
  </si>
  <si>
    <t>2021-05-23 22:00 (-07)</t>
  </si>
  <si>
    <t>2021-06-06 21:55 (PST)</t>
  </si>
  <si>
    <t>2021-05-21 08:25 (PST)</t>
  </si>
  <si>
    <t>2021-06-07 17:08 (-07)</t>
  </si>
  <si>
    <t>17:08(-07)</t>
  </si>
  <si>
    <t>2021-01-19 05:53 (-07)</t>
  </si>
  <si>
    <t>2021-06-07 17:41 (-07)</t>
  </si>
  <si>
    <t>20 min Bodyweight Strength</t>
  </si>
  <si>
    <t>2021-05-30 06:00 (-07)</t>
  </si>
  <si>
    <t>2021-06-07 18:02 (-07)</t>
  </si>
  <si>
    <t>18:02(-07)</t>
  </si>
  <si>
    <t>2021-06-08 17:39 (-07)</t>
  </si>
  <si>
    <t>17:39(-07)</t>
  </si>
  <si>
    <t>2021-05-11 10:25 (-07)</t>
  </si>
  <si>
    <t>2021-06-08 18:26 (-07)</t>
  </si>
  <si>
    <t>18:26(-07)</t>
  </si>
  <si>
    <t>2021-06-02 09:08 (-07)</t>
  </si>
  <si>
    <t>2021-06-08 18:36 (-07)</t>
  </si>
  <si>
    <t>18:36(-07)</t>
  </si>
  <si>
    <t>2021-05-19 22:35 (-07)</t>
  </si>
  <si>
    <t>2021-06-08 18:43 (-07)</t>
  </si>
  <si>
    <t>18:43(-07)</t>
  </si>
  <si>
    <t>2021-06-08 07:00 (-07)</t>
  </si>
  <si>
    <t>2021-06-08 22:48 (PST)</t>
  </si>
  <si>
    <t>2021-06-08 08:00 (PST)</t>
  </si>
  <si>
    <t>2021-06-09 07:16 (PST)</t>
  </si>
  <si>
    <t>2021-06-04 07:00 (PST)</t>
  </si>
  <si>
    <t>2021-06-09 07:38 (PST)</t>
  </si>
  <si>
    <t>07:38(PST)</t>
  </si>
  <si>
    <t>2021-02-28 06:39 (PST)</t>
  </si>
  <si>
    <t>2021-06-09 17:36 (-07)</t>
  </si>
  <si>
    <t>2020-10-29 08:25 (-07)</t>
  </si>
  <si>
    <t>2021-06-09 18:22 (-07)</t>
  </si>
  <si>
    <t>18:22(-07)</t>
  </si>
  <si>
    <t>2021-06-09 18:28 (-07)</t>
  </si>
  <si>
    <t>18:28(-07)</t>
  </si>
  <si>
    <t>2021-06-08 22:00 (-07)</t>
  </si>
  <si>
    <t>2021-06-09 18:35 (-07)</t>
  </si>
  <si>
    <t>18:35(-07)</t>
  </si>
  <si>
    <t>2021-06-10 06:59 (PST)</t>
  </si>
  <si>
    <t>20 min Mood Yoga Flow: Calm</t>
  </si>
  <si>
    <t>2021-05-26 07:45 (PST)</t>
  </si>
  <si>
    <t>2021-06-10 18:47 (-07)</t>
  </si>
  <si>
    <t>2021-01-03 06:30 (-07)</t>
  </si>
  <si>
    <t>2021-06-10 19:03 (-07)</t>
  </si>
  <si>
    <t>19:03(-07)</t>
  </si>
  <si>
    <t>2021-01-03 06:45 (-07)</t>
  </si>
  <si>
    <t>2021-06-10 19:25 (-07)</t>
  </si>
  <si>
    <t>19:25(-07)</t>
  </si>
  <si>
    <t>2021-06-08 22:35 (-07)</t>
  </si>
  <si>
    <t>2021-06-10 19:35 (-07)</t>
  </si>
  <si>
    <t>2021-05-11 22:40 (-07)</t>
  </si>
  <si>
    <t>2021-06-10 22:00 (PST)</t>
  </si>
  <si>
    <t>2021-06-08 15:35 (PST)</t>
  </si>
  <si>
    <t>2021-06-11 07:05 (PST)</t>
  </si>
  <si>
    <t>2021-02-18 14:53 (PST)</t>
  </si>
  <si>
    <t>2021-06-12 12:23 (-07)</t>
  </si>
  <si>
    <t>12:23(-07)</t>
  </si>
  <si>
    <t>2021-02-12 09:25 (-07)</t>
  </si>
  <si>
    <t>2021-06-12 12:56 (-07)</t>
  </si>
  <si>
    <t>12:56(-07)</t>
  </si>
  <si>
    <t>2021-04-23 05:18 (-07)</t>
  </si>
  <si>
    <t>2021-06-12 13:17 (-07)</t>
  </si>
  <si>
    <t>13:17(-07)</t>
  </si>
  <si>
    <t>2021-06-09 07:00 (-07)</t>
  </si>
  <si>
    <t>2021-06-13 00:07 (PST)</t>
  </si>
  <si>
    <t>00:07(PST)</t>
  </si>
  <si>
    <t>5 min Sleep Meditation</t>
  </si>
  <si>
    <t>2021-06-08 07:00 (PST)</t>
  </si>
  <si>
    <t>2021-06-13 17:23 (-07)</t>
  </si>
  <si>
    <t>17:23(-07)</t>
  </si>
  <si>
    <t>30 min APIHM Power Zone Endurance Ride</t>
  </si>
  <si>
    <t>2021-05-26 02:54 (-07)</t>
  </si>
  <si>
    <t>2021-06-13 17:54 (-07)</t>
  </si>
  <si>
    <t>17:54(-07)</t>
  </si>
  <si>
    <t>2021-06-01 06:00 (-07)</t>
  </si>
  <si>
    <t>2021-06-13 18:05 (-07)</t>
  </si>
  <si>
    <t>18:05(-07)</t>
  </si>
  <si>
    <t>2021-05-11 05:56 (-07)</t>
  </si>
  <si>
    <t>2021-06-13 18:20 (PST)</t>
  </si>
  <si>
    <t>18:20(PST)</t>
  </si>
  <si>
    <t>2021-02-11 14:55 (PST)</t>
  </si>
  <si>
    <t>2021-06-13 21:50 (PST)</t>
  </si>
  <si>
    <t>21:50(PST)</t>
  </si>
  <si>
    <t>2021-06-08 05:37 (PST)</t>
  </si>
  <si>
    <t>2021-06-14 07:03 (PST)</t>
  </si>
  <si>
    <t>2021-06-02 05:40 (PST)</t>
  </si>
  <si>
    <t>2021-06-14 07:14 (PST)</t>
  </si>
  <si>
    <t>20 min Pride Reset Yoga Flow</t>
  </si>
  <si>
    <t>2021-06-03 16:00 (PST)</t>
  </si>
  <si>
    <t>2021-06-14 22:09 (PST)</t>
  </si>
  <si>
    <t>15 min Deep Relaxation Meditation</t>
  </si>
  <si>
    <t>2021-01-05 08:00 (PST)</t>
  </si>
  <si>
    <t>2021-06-15 06:35 (-07)</t>
  </si>
  <si>
    <t>06:35(-07)</t>
  </si>
  <si>
    <t>2021-06-15 06:41 (-07)</t>
  </si>
  <si>
    <t>2021-06-08 10:25 (-07)</t>
  </si>
  <si>
    <t>2021-06-15 07:26 (-07)</t>
  </si>
  <si>
    <t>2021-05-23 22:45 (-07)</t>
  </si>
  <si>
    <t>2021-06-15 07:37 (-07)</t>
  </si>
  <si>
    <t>2021-04-11 22:00 (-07)</t>
  </si>
  <si>
    <t>2021-06-15 22:33 (PST)</t>
  </si>
  <si>
    <t>22:33(PST)</t>
  </si>
  <si>
    <t>2021-06-14 07:00 (PST)</t>
  </si>
  <si>
    <t>2021-06-16 07:05 (-07)</t>
  </si>
  <si>
    <t>2019-11-21 03:50 (-07)</t>
  </si>
  <si>
    <t>2021-06-16 07:51 (-07)</t>
  </si>
  <si>
    <t>2021-06-16 16:35 (PST)</t>
  </si>
  <si>
    <t>16:35(PST)</t>
  </si>
  <si>
    <t>20 min Core Strength</t>
  </si>
  <si>
    <t>2021-06-02 07:00 (PST)</t>
  </si>
  <si>
    <t>2021-06-16 16:57 (PST)</t>
  </si>
  <si>
    <t>15 min Yoga Flow</t>
  </si>
  <si>
    <t>2021-06-16 22:22 (PST)</t>
  </si>
  <si>
    <t>2021-06-16 08:08 (PST)</t>
  </si>
  <si>
    <t>2021-06-17 07:02 (-07)</t>
  </si>
  <si>
    <t>2021-06-17 07:48 (-07)</t>
  </si>
  <si>
    <t>2021-06-18 07:38 (PST)</t>
  </si>
  <si>
    <t>Callie Gullickson</t>
  </si>
  <si>
    <t>2021-06-15 16:30 (PST)</t>
  </si>
  <si>
    <t>2021-06-18 07:50 (PST)</t>
  </si>
  <si>
    <t>2021-06-02 14:53 (PST)</t>
  </si>
  <si>
    <t>2021-06-18 22:49 (PST)</t>
  </si>
  <si>
    <t>2019-11-14 08:05 (PST)</t>
  </si>
  <si>
    <t>2021-06-19 20:06 (PST)</t>
  </si>
  <si>
    <t>20:06(PST)</t>
  </si>
  <si>
    <t>2021-05-28 07:21 (PST)</t>
  </si>
  <si>
    <t>2021-06-19 21:12 (PST)</t>
  </si>
  <si>
    <t>21:12(PST)</t>
  </si>
  <si>
    <t>2020-09-23 07:00 (PST)</t>
  </si>
  <si>
    <t>2021-06-20 22:16 (PST)</t>
  </si>
  <si>
    <t>2021-06-15 07:00 (PST)</t>
  </si>
  <si>
    <t>2021-06-21 06:49 (-07)</t>
  </si>
  <si>
    <t>2021-06-15 22:00 (-07)</t>
  </si>
  <si>
    <t>2021-06-21 06:54 (-07)</t>
  </si>
  <si>
    <t>2019-08-17 09:35 (-07)</t>
  </si>
  <si>
    <t>2021-06-21 07:57 (-07)</t>
  </si>
  <si>
    <t>2021-06-21 21:15 (PST)</t>
  </si>
  <si>
    <t>21:15(PST)</t>
  </si>
  <si>
    <t>2021-06-01 07:22 (PST)</t>
  </si>
  <si>
    <t>2021-06-21 22:38 (PST)</t>
  </si>
  <si>
    <t>22:38(PST)</t>
  </si>
  <si>
    <t>20 min BHM: Icons Meditation</t>
  </si>
  <si>
    <t>2021-02-15 15:36 (PST)</t>
  </si>
  <si>
    <t>2021-06-22 20:32 (-07)</t>
  </si>
  <si>
    <t>20:32(-07)</t>
  </si>
  <si>
    <t>2020-08-12 04:52 (-07)</t>
  </si>
  <si>
    <t>2021-06-22 21:05 (-07)</t>
  </si>
  <si>
    <t>21:05(-07)</t>
  </si>
  <si>
    <t>2021-06-22 21:11 (-07)</t>
  </si>
  <si>
    <t>21:11(-07)</t>
  </si>
  <si>
    <t>2021-06-16 14:34 (-07)</t>
  </si>
  <si>
    <t>2021-06-22 21:22 (-07)</t>
  </si>
  <si>
    <t>21:22(-07)</t>
  </si>
  <si>
    <t>10 min Sam Smith Core Strength</t>
  </si>
  <si>
    <t>2021-06-10 07:00 (-07)</t>
  </si>
  <si>
    <t>2021-06-22 22:37 (PST)</t>
  </si>
  <si>
    <t>22:37(PST)</t>
  </si>
  <si>
    <t>2021-06-22 08:00 (PST)</t>
  </si>
  <si>
    <t>2021-06-23 07:05 (-07)</t>
  </si>
  <si>
    <t>2019-10-03 02:48 (-07)</t>
  </si>
  <si>
    <t>2021-06-23 07:52 (-07)</t>
  </si>
  <si>
    <t>07:52(-07)</t>
  </si>
  <si>
    <t>2021-06-23 07:57 (-07)</t>
  </si>
  <si>
    <t>2021-06-23 13:18 (PST)</t>
  </si>
  <si>
    <t>13:18(PST)</t>
  </si>
  <si>
    <t>10 min Focus Flow: Chest Openers</t>
  </si>
  <si>
    <t>2021-06-14 05:36 (PST)</t>
  </si>
  <si>
    <t>2021-06-23 22:44 (PST)</t>
  </si>
  <si>
    <t>22:44(PST)</t>
  </si>
  <si>
    <t>2021-05-20 15:35 (PST)</t>
  </si>
  <si>
    <t>2021-06-24 07:00 (-07)</t>
  </si>
  <si>
    <t>2019-07-04 04:48 (-07)</t>
  </si>
  <si>
    <t>2021-06-24 07:46 (-07)</t>
  </si>
  <si>
    <t>2021-06-24 07:53 (-07)</t>
  </si>
  <si>
    <t>07:53(-07)</t>
  </si>
  <si>
    <t>20 min Pride Celebration Core Strength</t>
  </si>
  <si>
    <t>2021-06-15 05:22 (-07)</t>
  </si>
  <si>
    <t>2021-06-24 22:26 (PST)</t>
  </si>
  <si>
    <t>2021-06-25 07:05 (-07)</t>
  </si>
  <si>
    <t>2019-09-21 09:34 (-07)</t>
  </si>
  <si>
    <t>2021-06-25 08:06 (-07)</t>
  </si>
  <si>
    <t>08:06(-07)</t>
  </si>
  <si>
    <t>2021-06-25 22:54 (PST)</t>
  </si>
  <si>
    <t>15 min Body Scan Meditation</t>
  </si>
  <si>
    <t>2021-05-04 07:00 (PST)</t>
  </si>
  <si>
    <t>2021-06-26 11:52 (-07)</t>
  </si>
  <si>
    <t>11:52(-07)</t>
  </si>
  <si>
    <t>2019-08-22 08:19 (-07)</t>
  </si>
  <si>
    <t>2021-06-26 12:23 (-07)</t>
  </si>
  <si>
    <t>10 min APIHM Arms &amp; Light Weights</t>
  </si>
  <si>
    <t>2021-05-07 06:00 (-07)</t>
  </si>
  <si>
    <t>2021-06-26 12:35 (-07)</t>
  </si>
  <si>
    <t>12:35(-07)</t>
  </si>
  <si>
    <t>15 min Glutes &amp; Legs Strength</t>
  </si>
  <si>
    <t>2021-06-26 12:50 (-07)</t>
  </si>
  <si>
    <t>12:50(-07)</t>
  </si>
  <si>
    <t>2021-06-20 22:35 (-07)</t>
  </si>
  <si>
    <t>2021-06-26 13:59 (PST)</t>
  </si>
  <si>
    <t>13:59(PST)</t>
  </si>
  <si>
    <t>2021-01-14 06:00 (PST)</t>
  </si>
  <si>
    <t>2021-06-26 14:10 (PST)</t>
  </si>
  <si>
    <t>14:10(PST)</t>
  </si>
  <si>
    <t>2021-06-15 14:52 (PST)</t>
  </si>
  <si>
    <t>2021-06-26 23:35 (PST)</t>
  </si>
  <si>
    <t>23:35(PST)</t>
  </si>
  <si>
    <t>2021-06-07 15:36 (PST)</t>
  </si>
  <si>
    <t>2021-06-27 07:40 (-07)</t>
  </si>
  <si>
    <t>2019-09-26 02:48 (-07)</t>
  </si>
  <si>
    <t>2021-06-27 08:26 (-07)</t>
  </si>
  <si>
    <t>08:26(-07)</t>
  </si>
  <si>
    <t>2020-08-12 05:38 (-07)</t>
  </si>
  <si>
    <t>2021-06-27 08:42 (-07)</t>
  </si>
  <si>
    <t>08:42(-07)</t>
  </si>
  <si>
    <t>2021-06-27 22:36 (PST)</t>
  </si>
  <si>
    <t>22:36(PST)</t>
  </si>
  <si>
    <t>5 min Calming Meditation</t>
  </si>
  <si>
    <t>2021-06-23 07:00 (PST)</t>
  </si>
  <si>
    <t>2021-06-28 18:10 (-07)</t>
  </si>
  <si>
    <t>18:10(-07)</t>
  </si>
  <si>
    <t>2019-07-13 09:34 (-07)</t>
  </si>
  <si>
    <t>2021-06-28 19:10 (-07)</t>
  </si>
  <si>
    <t>19:10(-07)</t>
  </si>
  <si>
    <t>2021-06-28 22:28 (PST)</t>
  </si>
  <si>
    <t>2021-06-28 07:00 (PST)</t>
  </si>
  <si>
    <t>2021-06-29 07:00 (PST)</t>
  </si>
  <si>
    <t>2021-06-13 06:23 (PST)</t>
  </si>
  <si>
    <t>2021-06-29 22:57 (PST)</t>
  </si>
  <si>
    <t>22:57(PST)</t>
  </si>
  <si>
    <t>2020-10-03 07:00 (PST)</t>
  </si>
  <si>
    <t>2021-06-30 06:55 (-07)</t>
  </si>
  <si>
    <t>2019-03-21 04:48 (-07)</t>
  </si>
  <si>
    <t>2021-06-30 07:42 (-07)</t>
  </si>
  <si>
    <t>07:42(-07)</t>
  </si>
  <si>
    <t>2021-06-18 06:22 (-07)</t>
  </si>
  <si>
    <t>2021-06-30 07:59 (-07)</t>
  </si>
  <si>
    <t>2021-06-17 06:15 (-07)</t>
  </si>
  <si>
    <t>2021-07-01 10:16 (-07)</t>
  </si>
  <si>
    <t>10:16(-07)</t>
  </si>
  <si>
    <t>2021-07-01 10:50 (-07)</t>
  </si>
  <si>
    <t>10:50(-07)</t>
  </si>
  <si>
    <t>20 min Mood Core: Happy</t>
  </si>
  <si>
    <t>2021-06-23 07:00 (-07)</t>
  </si>
  <si>
    <t>2021-07-01 11:12 (-07)</t>
  </si>
  <si>
    <t>11:12(-07)</t>
  </si>
  <si>
    <t>2021-06-29 05:36 (-07)</t>
  </si>
  <si>
    <t>2021-07-01 23:02 (PST)</t>
  </si>
  <si>
    <t>23:02(PST)</t>
  </si>
  <si>
    <t>2021-06-30 07:00 (PST)</t>
  </si>
  <si>
    <t>2021-07-02 10:15 (-07)</t>
  </si>
  <si>
    <t>10:15(-07)</t>
  </si>
  <si>
    <t>2021-06-05 04:24 (-07)</t>
  </si>
  <si>
    <t>2021-07-02 11:19 (-07)</t>
  </si>
  <si>
    <t>11:19(-07)</t>
  </si>
  <si>
    <t>10 min AFO Cool Down Ride: Jessie Ware</t>
  </si>
  <si>
    <t>2021-07-01 09:00 (-07)</t>
  </si>
  <si>
    <t>2021-07-02 11:32 (-07)</t>
  </si>
  <si>
    <t>11:32(-07)</t>
  </si>
  <si>
    <t>2021-05-26 06:00 (-07)</t>
  </si>
  <si>
    <t>2021-07-02 11:38 (-07)</t>
  </si>
  <si>
    <t>11:38(-07)</t>
  </si>
  <si>
    <t>2021-06-22 22:00 (-07)</t>
  </si>
  <si>
    <t>2021-07-02 23:04 (PST)</t>
  </si>
  <si>
    <t>2021-06-21 15:37 (PST)</t>
  </si>
  <si>
    <t>2021-07-03 05:50 (-07)</t>
  </si>
  <si>
    <t>05:50(-07)</t>
  </si>
  <si>
    <t>2021-01-12 05:55 (-07)</t>
  </si>
  <si>
    <t>2021-07-03 06:35 (-07)</t>
  </si>
  <si>
    <t>5 min AFO Cool Down Ride: Tina Turner</t>
  </si>
  <si>
    <t>2021-07-03 05:00 (-07)</t>
  </si>
  <si>
    <t>2021-07-03 06:42 (-07)</t>
  </si>
  <si>
    <t>06:42(-07)</t>
  </si>
  <si>
    <t>2021-07-03 06:49 (-07)</t>
  </si>
  <si>
    <t>2021-06-28 07:00 (-07)</t>
  </si>
  <si>
    <t>2021-07-05 00:27 (PST)</t>
  </si>
  <si>
    <t>00:27(PST)</t>
  </si>
  <si>
    <t>2021-07-05 23:05 (PST)</t>
  </si>
  <si>
    <t>23:05(PST)</t>
  </si>
  <si>
    <t>2021-07-06 11:15 (-07)</t>
  </si>
  <si>
    <t>11:15(-07)</t>
  </si>
  <si>
    <t>2021-07-06 12:10 (-07)</t>
  </si>
  <si>
    <t>12:10(-07)</t>
  </si>
  <si>
    <t>30 min Pride: Power Zone Endurance Ride</t>
  </si>
  <si>
    <t>2020-06-24 13:20 (-07)</t>
  </si>
  <si>
    <t>2021-07-06 12:40 (-07)</t>
  </si>
  <si>
    <t>12:40(-07)</t>
  </si>
  <si>
    <t>2021-07-06 12:50 (-07)</t>
  </si>
  <si>
    <t>2021-06-29 05:20 (-07)</t>
  </si>
  <si>
    <t>2021-07-06 22:27 (PST)</t>
  </si>
  <si>
    <t>2021-07-07 23:47 (PST)</t>
  </si>
  <si>
    <t>23:47(PST)</t>
  </si>
  <si>
    <t>2021-07-07 08:00 (PST)</t>
  </si>
  <si>
    <t>2021-07-08 02:11 (PST)</t>
  </si>
  <si>
    <t>02:11(PST)</t>
  </si>
  <si>
    <t>10 min Meditation for Healing</t>
  </si>
  <si>
    <t>2021-07-08 23:18 (PST)</t>
  </si>
  <si>
    <t>23:18(PST)</t>
  </si>
  <si>
    <t>2021-07-09 13:37 (-07)</t>
  </si>
  <si>
    <t>13:37(-07)</t>
  </si>
  <si>
    <t>2019-10-26 09:34 (-07)</t>
  </si>
  <si>
    <t>2021-07-09 14:39 (-07)</t>
  </si>
  <si>
    <t>14:39(-07)</t>
  </si>
  <si>
    <t>2021-06-25 06:24 (-07)</t>
  </si>
  <si>
    <t>2021-07-09 14:57 (-07)</t>
  </si>
  <si>
    <t>14:57(-07)</t>
  </si>
  <si>
    <t>2021-07-07 07:00 (-07)</t>
  </si>
  <si>
    <t>2021-07-09 15:09 (-07)</t>
  </si>
  <si>
    <t>15:09(-07)</t>
  </si>
  <si>
    <t>10 min AFO Full Body: Thomas Rhett</t>
  </si>
  <si>
    <t>2021-07-02 05:00 (-07)</t>
  </si>
  <si>
    <t>2021-07-09 22:58 (PST)</t>
  </si>
  <si>
    <t>22:58(PST)</t>
  </si>
  <si>
    <t>2021-07-10 23:45 (PST)</t>
  </si>
  <si>
    <t>2020-06-09 08:00 (PST)</t>
  </si>
  <si>
    <t>2021-07-11 00:54 (PST)</t>
  </si>
  <si>
    <t>00:54(PST)</t>
  </si>
  <si>
    <t>2021-07-10 08:37 (PST)</t>
  </si>
  <si>
    <t>2021-07-11 01:06 (PST)</t>
  </si>
  <si>
    <t>01:06(PST)</t>
  </si>
  <si>
    <t>5 min Happiness Meditation</t>
  </si>
  <si>
    <t>2020-12-07 08:00 (PST)</t>
  </si>
  <si>
    <t>2021-07-11 07:54 (-07)</t>
  </si>
  <si>
    <t>2021-07-08 16:24 (-07)</t>
  </si>
  <si>
    <t>2021-07-11 08:27 (-07)</t>
  </si>
  <si>
    <t>08:27(-07)</t>
  </si>
  <si>
    <t>2021-06-21 06:01 (-07)</t>
  </si>
  <si>
    <t>2021-07-11 08:48 (-07)</t>
  </si>
  <si>
    <t>08:48(-07)</t>
  </si>
  <si>
    <t>2021-07-08 06:11 (-07)</t>
  </si>
  <si>
    <t>2021-07-11 09:00 (-07)</t>
  </si>
  <si>
    <t>09:00(-07)</t>
  </si>
  <si>
    <t>10 min AFO Full Body: Gorgon City</t>
  </si>
  <si>
    <t>2021-07-11 21:44 (PST)</t>
  </si>
  <si>
    <t>2021-02-10 05:27 (PST)</t>
  </si>
  <si>
    <t>2021-07-12 06:32 (-07)</t>
  </si>
  <si>
    <t>06:32(-07)</t>
  </si>
  <si>
    <t>2021-07-08 02:54 (-07)</t>
  </si>
  <si>
    <t>2021-07-12 07:32 (-07)</t>
  </si>
  <si>
    <t>2021-07-12 07:38 (-07)</t>
  </si>
  <si>
    <t>2021-07-12 13:08 (PST)</t>
  </si>
  <si>
    <t>13:08(PST)</t>
  </si>
  <si>
    <t>Yoga Anywhere</t>
  </si>
  <si>
    <t>10 min Standing Yoga</t>
  </si>
  <si>
    <t>2021-06-11 07:00 (PST)</t>
  </si>
  <si>
    <t>2021-07-12 22:43 (PST)</t>
  </si>
  <si>
    <t>22:43(PST)</t>
  </si>
  <si>
    <t>5 min Empathy Meditation</t>
  </si>
  <si>
    <t>2021-07-13 17:09 (-07)</t>
  </si>
  <si>
    <t>17:09(-07)</t>
  </si>
  <si>
    <t>2021-07-11 23:25 (-07)</t>
  </si>
  <si>
    <t>2021-07-13 17:39 (-07)</t>
  </si>
  <si>
    <t>2021-07-13 17:46 (-07)</t>
  </si>
  <si>
    <t>17:46(-07)</t>
  </si>
  <si>
    <t>2021-05-02 09:21 (-07)</t>
  </si>
  <si>
    <t>2021-07-13 18:06 (-07)</t>
  </si>
  <si>
    <t>18:06(-07)</t>
  </si>
  <si>
    <t>2021-04-20 22:00 (-07)</t>
  </si>
  <si>
    <t>2021-07-13 22:12 (PST)</t>
  </si>
  <si>
    <t>2021-07-13 15:36 (PST)</t>
  </si>
  <si>
    <t>2021-07-14 06:58 (-07)</t>
  </si>
  <si>
    <t>2021-06-26 04:22 (-07)</t>
  </si>
  <si>
    <t>2021-07-14 07:59 (-07)</t>
  </si>
  <si>
    <t>2021-07-14 08:05 (-07)</t>
  </si>
  <si>
    <t>Rad Lopez</t>
  </si>
  <si>
    <t>2021-07-10 09:02 (-07)</t>
  </si>
  <si>
    <t>2021-07-14 09:26 (PST)</t>
  </si>
  <si>
    <t>09:26(PST)</t>
  </si>
  <si>
    <t>5 min Standing Yoga</t>
  </si>
  <si>
    <t>2021-04-29 12:00 (PST)</t>
  </si>
  <si>
    <t>2021-07-14 22:41 (PST)</t>
  </si>
  <si>
    <t>15 min Calming Meditation</t>
  </si>
  <si>
    <t>2020-08-26 07:00 (PST)</t>
  </si>
  <si>
    <t>2021-07-15 07:25 (PST)</t>
  </si>
  <si>
    <t>2021-06-27 06:23 (PST)</t>
  </si>
  <si>
    <t>2021-07-15 13:50 (PST)</t>
  </si>
  <si>
    <t>13:50(PST)</t>
  </si>
  <si>
    <t>2021-04-12 07:00 (PST)</t>
  </si>
  <si>
    <t>2021-07-15 14:00 (PST)</t>
  </si>
  <si>
    <t>14:00(PST)</t>
  </si>
  <si>
    <t>2021-05-14 07:00 (PST)</t>
  </si>
  <si>
    <t>2021-07-15 22:47 (PST)</t>
  </si>
  <si>
    <t>20 min Empathy Meditation</t>
  </si>
  <si>
    <t>2021-07-15 05:29 (PST)</t>
  </si>
  <si>
    <t>2021-07-16 06:59 (-07)</t>
  </si>
  <si>
    <t>06:59(-07)</t>
  </si>
  <si>
    <t>60 min Pop Bootcamp</t>
  </si>
  <si>
    <t>2021-06-21 13:49 (-07)</t>
  </si>
  <si>
    <t>2021-07-16 07:59 (-07)</t>
  </si>
  <si>
    <t>2021-06-15 22:45 (-07)</t>
  </si>
  <si>
    <t>2021-07-19 06:35 (-07)</t>
  </si>
  <si>
    <t>2021-07-07 02:56 (-07)</t>
  </si>
  <si>
    <t>2021-07-19 07:21 (-07)</t>
  </si>
  <si>
    <t>07:21(-07)</t>
  </si>
  <si>
    <t>2021-07-12 06:00 (-07)</t>
  </si>
  <si>
    <t>2021-07-19 07:32 (-07)</t>
  </si>
  <si>
    <t>2021-07-15 06:00 (-07)</t>
  </si>
  <si>
    <t>2021-07-19 07:42 (-07)</t>
  </si>
  <si>
    <t>2021-03-08 08:00 (-07)</t>
  </si>
  <si>
    <t>2021-07-19 07:53 (-07)</t>
  </si>
  <si>
    <t>2021-07-19 11:49 (PST)</t>
  </si>
  <si>
    <t>11:49(PST)</t>
  </si>
  <si>
    <t>10 min Chair Yoga</t>
  </si>
  <si>
    <t>2021-07-08 07:00 (PST)</t>
  </si>
  <si>
    <t>2021-07-19 22:37 (PST)</t>
  </si>
  <si>
    <t>2021-07-19 07:00 (PST)</t>
  </si>
  <si>
    <t>2021-07-20 06:47 (-07)</t>
  </si>
  <si>
    <t>06:47(-07)</t>
  </si>
  <si>
    <t>2021-06-16 02:53 (-07)</t>
  </si>
  <si>
    <t>2021-07-20 07:33 (-07)</t>
  </si>
  <si>
    <t>07:33(-07)</t>
  </si>
  <si>
    <t>2021-07-07 06:00 (-07)</t>
  </si>
  <si>
    <t>2021-07-20 07:47 (-07)</t>
  </si>
  <si>
    <t>07:47(-07)</t>
  </si>
  <si>
    <t>2021-07-20 22:40 (PST)</t>
  </si>
  <si>
    <t>2021-07-20 08:08 (PST)</t>
  </si>
  <si>
    <t>2021-07-21 06:49 (-07)</t>
  </si>
  <si>
    <t>2021-05-18 04:50 (-07)</t>
  </si>
  <si>
    <t>2021-07-21 07:34 (-07)</t>
  </si>
  <si>
    <t>2021-07-21 07:47 (-07)</t>
  </si>
  <si>
    <t>2021-07-18 10:32 (-07)</t>
  </si>
  <si>
    <t>2021-07-21 07:58 (-07)</t>
  </si>
  <si>
    <t>2021-07-21 16:53 (PST)</t>
  </si>
  <si>
    <t>10 min Desk Yoga</t>
  </si>
  <si>
    <t>2019-12-05 06:56 (PST)</t>
  </si>
  <si>
    <t>2021-07-21 22:12 (PST)</t>
  </si>
  <si>
    <t>20 min Year of Yes Meditation</t>
  </si>
  <si>
    <t>2021-01-25 07:00 (PST)</t>
  </si>
  <si>
    <t>2021-07-22 07:04 (PST)</t>
  </si>
  <si>
    <t>2021-01-05 04:51 (PST)</t>
  </si>
  <si>
    <t>2021-07-22 21:43 (PST)</t>
  </si>
  <si>
    <t>21:43(PST)</t>
  </si>
  <si>
    <t>2021-07-23 06:42 (-07)</t>
  </si>
  <si>
    <t>2020-11-21 05:52 (-07)</t>
  </si>
  <si>
    <t>2021-07-23 07:43 (-07)</t>
  </si>
  <si>
    <t>2021-07-23 07:49 (-07)</t>
  </si>
  <si>
    <t>2021-07-13 09:41 (-07)</t>
  </si>
  <si>
    <t>2021-07-23 08:00 (-07)</t>
  </si>
  <si>
    <t>2021-07-23 14:38 (PST)</t>
  </si>
  <si>
    <t>14:38(PST)</t>
  </si>
  <si>
    <t>2021-03-09 07:00 (PST)</t>
  </si>
  <si>
    <t>2021-07-24 21:13 (PST)</t>
  </si>
  <si>
    <t>10 min Focus Flow: Straddle Forward Fold</t>
  </si>
  <si>
    <t>2021-02-16 05:36 (PST)</t>
  </si>
  <si>
    <t>2021-07-24 21:38 (PST)</t>
  </si>
  <si>
    <t>21:38(PST)</t>
  </si>
  <si>
    <t>2021-07-25 16:56 (-07)</t>
  </si>
  <si>
    <t>16:56(-07)</t>
  </si>
  <si>
    <t>30 min Power Zone Endurance Rock Ride</t>
  </si>
  <si>
    <t>2021-05-05 02:49 (-07)</t>
  </si>
  <si>
    <t>2021-07-25 17:31 (-07)</t>
  </si>
  <si>
    <t>30 min Power Zone Endurance Hip Hop Ride</t>
  </si>
  <si>
    <t>2021-05-25 04:53 (-07)</t>
  </si>
  <si>
    <t>2021-07-25 18:03 (-07)</t>
  </si>
  <si>
    <t>18:03(-07)</t>
  </si>
  <si>
    <t>2021-07-12 11:02 (-07)</t>
  </si>
  <si>
    <t>2021-07-25 18:14 (-07)</t>
  </si>
  <si>
    <t>18:14(-07)</t>
  </si>
  <si>
    <t>Jenn Sherman</t>
  </si>
  <si>
    <t>2021-05-14 06:00 (-07)</t>
  </si>
  <si>
    <t>2021-07-25 21:52 (PST)</t>
  </si>
  <si>
    <t>2021-07-20 08:00 (PST)</t>
  </si>
  <si>
    <t>2021-07-26 06:38 (-07)</t>
  </si>
  <si>
    <t>06:38(-07)</t>
  </si>
  <si>
    <t>2021-02-09 05:53 (-07)</t>
  </si>
  <si>
    <t>2021-07-26 07:23 (-07)</t>
  </si>
  <si>
    <t>07:23(-07)</t>
  </si>
  <si>
    <t>2021-07-18 11:00 (-07)</t>
  </si>
  <si>
    <t>2021-07-26 07:40 (PST)</t>
  </si>
  <si>
    <t>2021-07-20 22:00 (PST)</t>
  </si>
  <si>
    <t>2021-07-26 07:52 (PST)</t>
  </si>
  <si>
    <t>2021-07-21 15:39 (PST)</t>
  </si>
  <si>
    <t>2021-07-26 22:31 (PST)</t>
  </si>
  <si>
    <t>2020-12-15 05:28 (PST)</t>
  </si>
  <si>
    <t>2021-07-27 01:09 (PST)</t>
  </si>
  <si>
    <t>01:09(PST)</t>
  </si>
  <si>
    <t>2021-07-27 07:17 (-07)</t>
  </si>
  <si>
    <t>07:17(-07)</t>
  </si>
  <si>
    <t>2021-07-27 08:03 (-07)</t>
  </si>
  <si>
    <t>2021-07-27 08:16 (-07)</t>
  </si>
  <si>
    <t>08:16(-07)</t>
  </si>
  <si>
    <t>2021-07-27 23:24 (PST)</t>
  </si>
  <si>
    <t>23:24(PST)</t>
  </si>
  <si>
    <t>2021-07-08 05:37 (PST)</t>
  </si>
  <si>
    <t>2021-07-28 06:45 (-07)</t>
  </si>
  <si>
    <t>06:45(-07)</t>
  </si>
  <si>
    <t>2021-07-28 07:45 (-07)</t>
  </si>
  <si>
    <t>07:45(-07)</t>
  </si>
  <si>
    <t>2021-07-28 07:51 (-07)</t>
  </si>
  <si>
    <t>2021-07-22 07:00 (-07)</t>
  </si>
  <si>
    <t>2021-07-28 08:02 (-07)</t>
  </si>
  <si>
    <t>2021-07-28 22:25 (PST)</t>
  </si>
  <si>
    <t>22:25(PST)</t>
  </si>
  <si>
    <t>2020-01-08 13:23 (PST)</t>
  </si>
  <si>
    <t>2021-07-29 07:19 (-07)</t>
  </si>
  <si>
    <t>07:19(-07)</t>
  </si>
  <si>
    <t>30 min Power Zone Endurance 2000s Ride</t>
  </si>
  <si>
    <t>2021-04-20 04:53 (-07)</t>
  </si>
  <si>
    <t>2021-07-29 07:50 (-07)</t>
  </si>
  <si>
    <t>2021-07-29 22:29 (PST)</t>
  </si>
  <si>
    <t>2020-07-14 15:24 (PST)</t>
  </si>
  <si>
    <t>2021-07-30 06:57 (-07)</t>
  </si>
  <si>
    <t>06:57(-07)</t>
  </si>
  <si>
    <t>2021-07-24 04:54 (-07)</t>
  </si>
  <si>
    <t>2021-07-30 07:57 (-07)</t>
  </si>
  <si>
    <t>2021-07-30 08:03 (-07)</t>
  </si>
  <si>
    <t>2021-07-17 09:03 (-07)</t>
  </si>
  <si>
    <t>2021-07-30 08:14 (-07)</t>
  </si>
  <si>
    <t>2021-07-30 22:30 (PST)</t>
  </si>
  <si>
    <t>2021-07-30 07:00 (PST)</t>
  </si>
  <si>
    <t>2021-07-31 08:12 (-07)</t>
  </si>
  <si>
    <t>08:12(-07)</t>
  </si>
  <si>
    <t>2021-06-12 04:52 (-07)</t>
  </si>
  <si>
    <t>2021-07-31 09:43 (-07)</t>
  </si>
  <si>
    <t>09:43(-07)</t>
  </si>
  <si>
    <t>2021-07-19 07:00 (-07)</t>
  </si>
  <si>
    <t>2021-07-31 21:53 (PST)</t>
  </si>
  <si>
    <t>2020-10-28 05:25 (PST)</t>
  </si>
  <si>
    <t>2021-08-01 19:50 (-07)</t>
  </si>
  <si>
    <t>19:50(-07)</t>
  </si>
  <si>
    <t>20 min Recovery Ride</t>
  </si>
  <si>
    <t>2021-06-11 14:00 (-07)</t>
  </si>
  <si>
    <t>2021-08-01 20:53 (PST)</t>
  </si>
  <si>
    <t>45 min Flow &amp; Let Go</t>
  </si>
  <si>
    <t>2020-03-05 16:18 (PST)</t>
  </si>
  <si>
    <t>2021-08-01 21:55 (PST)</t>
  </si>
  <si>
    <t>2021-05-08 07:08 (PST)</t>
  </si>
  <si>
    <t>2021-08-01 22:34 (PST)</t>
  </si>
  <si>
    <t>2021-08-02 06:33 (-07)</t>
  </si>
  <si>
    <t>06:33(-07)</t>
  </si>
  <si>
    <t>2021-08-02 07:18 (-07)</t>
  </si>
  <si>
    <t>07:18(-07)</t>
  </si>
  <si>
    <t>2021-08-02 07:23 (-07)</t>
  </si>
  <si>
    <t>2021-08-02 22:33 (PST)</t>
  </si>
  <si>
    <t>15 min Empathy Meditation</t>
  </si>
  <si>
    <t>2021-08-02 08:07 (PST)</t>
  </si>
  <si>
    <t>2021-08-03 07:16 (-07)</t>
  </si>
  <si>
    <t>07:16(-07)</t>
  </si>
  <si>
    <t>2021-06-09 02:53 (-07)</t>
  </si>
  <si>
    <t>2021-08-03 08:01 (-07)</t>
  </si>
  <si>
    <t>08:01(-07)</t>
  </si>
  <si>
    <t>2021-08-03 08:06 (-07)</t>
  </si>
  <si>
    <t>2021-08-03 22:23 (PST)</t>
  </si>
  <si>
    <t>2021-08-04 06:52 (-07)</t>
  </si>
  <si>
    <t>06:52(-07)</t>
  </si>
  <si>
    <t>2021-04-03 04:21 (-07)</t>
  </si>
  <si>
    <t>2021-08-04 07:53 (-07)</t>
  </si>
  <si>
    <t>2021-08-01 10:33 (-07)</t>
  </si>
  <si>
    <t>2021-08-04 08:04 (-07)</t>
  </si>
  <si>
    <t>08:04(-07)</t>
  </si>
  <si>
    <t>2021-08-04 20:51 (PST)</t>
  </si>
  <si>
    <t>2021-07-28 07:59 (PST)</t>
  </si>
  <si>
    <t>2021-08-04 22:08 (PST)</t>
  </si>
  <si>
    <t>20 min Courage: Live from Home</t>
  </si>
  <si>
    <t>2020-05-07 11:25 (PST)</t>
  </si>
  <si>
    <t>2021-08-05 07:10 (-07)</t>
  </si>
  <si>
    <t>07:10(-07)</t>
  </si>
  <si>
    <t>2021-06-23 02:53 (-07)</t>
  </si>
  <si>
    <t>2021-08-05 07:41 (-07)</t>
  </si>
  <si>
    <t>07:41(-07)</t>
  </si>
  <si>
    <t>2021-07-31 11:00 (-07)</t>
  </si>
  <si>
    <t>2021-08-05 08:02 (-07)</t>
  </si>
  <si>
    <t>2021-06-23 09:44 (-07)</t>
  </si>
  <si>
    <t>2021-08-05 22:39 (PST)</t>
  </si>
  <si>
    <t>2021-01-26 13:00 (PST)</t>
  </si>
  <si>
    <t>2021-08-06 07:49 (PST)</t>
  </si>
  <si>
    <t>2021-08-06 21:59 (PST)</t>
  </si>
  <si>
    <t>10 min Body Scan Meditation</t>
  </si>
  <si>
    <t>2021-08-05 15:41 (PST)</t>
  </si>
  <si>
    <t>2021-08-07 08:38 (PST)</t>
  </si>
  <si>
    <t>08:38(PST)</t>
  </si>
  <si>
    <t>Kirra Michel</t>
  </si>
  <si>
    <t>20 min Focus Flow: Glutes</t>
  </si>
  <si>
    <t>2021-07-23 14:52 (PST)</t>
  </si>
  <si>
    <t>2021-08-07 22:30 (PST)</t>
  </si>
  <si>
    <t>2021-08-05 07:00 (PST)</t>
  </si>
  <si>
    <t>2021-08-08 10:15 (PST)</t>
  </si>
  <si>
    <t>2021-08-06 07:00 (PST)</t>
  </si>
  <si>
    <t>2021-08-08 21:44 (PST)</t>
  </si>
  <si>
    <t>2021-08-05 08:07 (PST)</t>
  </si>
  <si>
    <t>2021-08-09 06:57 (PST)</t>
  </si>
  <si>
    <t>2020-01-12 07:34 (PST)</t>
  </si>
  <si>
    <t>2021-08-09 17:35 (-07)</t>
  </si>
  <si>
    <t>17:35(-07)</t>
  </si>
  <si>
    <t>2021-07-31 04:54 (-07)</t>
  </si>
  <si>
    <t>2021-08-09 19:11 (-07)</t>
  </si>
  <si>
    <t>19:11(-07)</t>
  </si>
  <si>
    <t>2021-08-03 06:04 (-07)</t>
  </si>
  <si>
    <t>2021-08-09 22:35 (PST)</t>
  </si>
  <si>
    <t>22:35(PST)</t>
  </si>
  <si>
    <t>2021-08-03 08:00 (PST)</t>
  </si>
  <si>
    <t>2021-08-10 07:20 (PST)</t>
  </si>
  <si>
    <t>07:20(PST)</t>
  </si>
  <si>
    <t>2020-01-19 07:33 (PST)</t>
  </si>
  <si>
    <t>2021-08-10 21:51 (PST)</t>
  </si>
  <si>
    <t>20 min Deep Relaxation Meditation</t>
  </si>
  <si>
    <t>2021-08-10 07:00 (PST)</t>
  </si>
  <si>
    <t>2021-08-11 06:41 (-07)</t>
  </si>
  <si>
    <t>2021-04-13 04:54 (-07)</t>
  </si>
  <si>
    <t>2021-08-11 07:27 (-07)</t>
  </si>
  <si>
    <t>07:27(-07)</t>
  </si>
  <si>
    <t>2021-03-24 02:52 (-07)</t>
  </si>
  <si>
    <t>2021-08-11 07:57 (-07)</t>
  </si>
  <si>
    <t>2021-08-11 20:49 (PST)</t>
  </si>
  <si>
    <t>20:49(PST)</t>
  </si>
  <si>
    <t>20 min Chris Cornell Core Strength</t>
  </si>
  <si>
    <t>2021-08-02 07:00 (PST)</t>
  </si>
  <si>
    <t>2021-08-11 22:28 (PST)</t>
  </si>
  <si>
    <t>2021-08-10 05:36 (PST)</t>
  </si>
  <si>
    <t>2021-08-12 07:02 (-07)</t>
  </si>
  <si>
    <t>2021-05-25 10:25 (-07)</t>
  </si>
  <si>
    <t>2021-08-12 07:48 (-07)</t>
  </si>
  <si>
    <t>2021-05-19 22:25 (-07)</t>
  </si>
  <si>
    <t>2021-08-12 07:54 (-07)</t>
  </si>
  <si>
    <t>20 min In the Heights Core Strength</t>
  </si>
  <si>
    <t>2021-07-10 07:00 (-07)</t>
  </si>
  <si>
    <t>2021-08-12 14:48 (PST)</t>
  </si>
  <si>
    <t>14:48(PST)</t>
  </si>
  <si>
    <t>2021-07-16 07:00 (PST)</t>
  </si>
  <si>
    <t>2021-08-12 22:10 (PST)</t>
  </si>
  <si>
    <t>2021-08-12 07:00 (PST)</t>
  </si>
  <si>
    <t>2021-08-13 07:36 (PST)</t>
  </si>
  <si>
    <t>20 min Classical Slow Flow</t>
  </si>
  <si>
    <t>2021-07-09 07:00 (PST)</t>
  </si>
  <si>
    <t>2021-08-13 12:03 (-07)</t>
  </si>
  <si>
    <t>12:03(-07)</t>
  </si>
  <si>
    <t>2021-07-17 04:53 (-07)</t>
  </si>
  <si>
    <t>2021-08-13 16:34 (PST)</t>
  </si>
  <si>
    <t>16:34(PST)</t>
  </si>
  <si>
    <t>2020-11-21 07:00 (PST)</t>
  </si>
  <si>
    <t>2021-08-13 16:46 (PST)</t>
  </si>
  <si>
    <t>16:46(PST)</t>
  </si>
  <si>
    <t>2021-08-13 22:38 (PST)</t>
  </si>
  <si>
    <t>2020-09-01 05:26 (PST)</t>
  </si>
  <si>
    <t>2021-08-14 14:16 (PST)</t>
  </si>
  <si>
    <t>14:16(PST)</t>
  </si>
  <si>
    <t>2020-09-25 05:49 (PST)</t>
  </si>
  <si>
    <t>2021-08-15 09:36 (-07)</t>
  </si>
  <si>
    <t>2021-07-21 02:52 (-07)</t>
  </si>
  <si>
    <t>2021-08-15 10:22 (-07)</t>
  </si>
  <si>
    <t>10:22(-07)</t>
  </si>
  <si>
    <t>2021-08-14 11:00 (-07)</t>
  </si>
  <si>
    <t>2021-08-15 10:41 (-07)</t>
  </si>
  <si>
    <t>2021-08-04 07:00 (-07)</t>
  </si>
  <si>
    <t>2021-08-15 22:15 (PST)</t>
  </si>
  <si>
    <t>2020-02-26 15:31 (PST)</t>
  </si>
  <si>
    <t>2021-08-16 06:38 (PST)</t>
  </si>
  <si>
    <t>06:38(PST)</t>
  </si>
  <si>
    <t>2020-01-01 07:34 (PST)</t>
  </si>
  <si>
    <t>2021-08-16 16:16 (-07)</t>
  </si>
  <si>
    <t>16:16(-07)</t>
  </si>
  <si>
    <t>2021-06-30 02:55 (-07)</t>
  </si>
  <si>
    <t>2021-08-16 17:02 (-07)</t>
  </si>
  <si>
    <t>17:02(-07)</t>
  </si>
  <si>
    <t>2021-08-16 06:00 (-07)</t>
  </si>
  <si>
    <t>2021-08-16 17:08 (-07)</t>
  </si>
  <si>
    <t>2021-08-16 21:26 (PST)</t>
  </si>
  <si>
    <t>21:26(PST)</t>
  </si>
  <si>
    <t>2021-08-16 22:22 (PST)</t>
  </si>
  <si>
    <t>2021-08-16 07:00 (PST)</t>
  </si>
  <si>
    <t>2021-08-17 07:04 (-07)</t>
  </si>
  <si>
    <t>07:04(-07)</t>
  </si>
  <si>
    <t>2021-06-22 10:25 (-07)</t>
  </si>
  <si>
    <t>2021-08-17 07:50 (-07)</t>
  </si>
  <si>
    <t>2021-06-11 07:00 (-07)</t>
  </si>
  <si>
    <t>2021-08-17 08:01 (-07)</t>
  </si>
  <si>
    <t>2021-08-17 22:14 (PST)</t>
  </si>
  <si>
    <t>22:14(PST)</t>
  </si>
  <si>
    <t>2021-08-17 08:00 (PST)</t>
  </si>
  <si>
    <t>2021-08-18 06:49 (-07)</t>
  </si>
  <si>
    <t>2021-04-22 02:53 (-07)</t>
  </si>
  <si>
    <t>2021-08-18 07:21 (-07)</t>
  </si>
  <si>
    <t>10 min Arms &amp; Shoulders Strength</t>
  </si>
  <si>
    <t>2020-10-15 13:00 (-07)</t>
  </si>
  <si>
    <t>2021-08-18 08:01 (PST)</t>
  </si>
  <si>
    <t>2020-12-06 08:36 (PST)</t>
  </si>
  <si>
    <t>2021-08-19 11:34 (-07)</t>
  </si>
  <si>
    <t>11:34(-07)</t>
  </si>
  <si>
    <t>2020-07-18 04:49 (-07)</t>
  </si>
  <si>
    <t>2021-08-19 22:22 (PST)</t>
  </si>
  <si>
    <t>2021-08-13 08:08 (PST)</t>
  </si>
  <si>
    <t>2021-08-20 08:52 (PST)</t>
  </si>
  <si>
    <t>5 min Patience Meditation</t>
  </si>
  <si>
    <t>2021-08-19 07:00 (PST)</t>
  </si>
  <si>
    <t>2021-08-20 22:36 (PST)</t>
  </si>
  <si>
    <t>15 min Breathwork: Directed Breath</t>
  </si>
  <si>
    <t>2021-08-19 07:59 (PST)</t>
  </si>
  <si>
    <t>2021-08-21 10:51 (-07)</t>
  </si>
  <si>
    <t>10:51(-07)</t>
  </si>
  <si>
    <t>2021-08-10 14:00 (-07)</t>
  </si>
  <si>
    <t>2021-08-21 11:51 (-07)</t>
  </si>
  <si>
    <t>11:51(-07)</t>
  </si>
  <si>
    <t>2021-08-21 11:57 (-07)</t>
  </si>
  <si>
    <t>11:57(-07)</t>
  </si>
  <si>
    <t>2021-08-02 07:00 (-07)</t>
  </si>
  <si>
    <t>2021-08-21 12:10 (-07)</t>
  </si>
  <si>
    <t>Bradley Rose</t>
  </si>
  <si>
    <t>2021-08-13 07:43 (-07)</t>
  </si>
  <si>
    <t>2021-08-22 14:52 (PST)</t>
  </si>
  <si>
    <t>2021-08-21 07:08 (PST)</t>
  </si>
  <si>
    <t>2021-08-22 21:46 (PST)</t>
  </si>
  <si>
    <t>15 min Breathwork</t>
  </si>
  <si>
    <t>2021-06-23 07:59 (PST)</t>
  </si>
  <si>
    <t>2021-08-23 07:04 (PST)</t>
  </si>
  <si>
    <t>2021-07-07 14:51 (PST)</t>
  </si>
  <si>
    <t>2021-08-23 18:22 (-07)</t>
  </si>
  <si>
    <t>2019-07-27 09:34 (-07)</t>
  </si>
  <si>
    <t>2021-08-23 19:23 (-07)</t>
  </si>
  <si>
    <t>19:23(-07)</t>
  </si>
  <si>
    <t>2021-08-23 19:31 (-07)</t>
  </si>
  <si>
    <t>19:31(-07)</t>
  </si>
  <si>
    <t>2021-05-25 17:05 (-07)</t>
  </si>
  <si>
    <t>2021-08-24 07:31 (PST)</t>
  </si>
  <si>
    <t>07:31(PST)</t>
  </si>
  <si>
    <t>2021-08-13 14:49 (PST)</t>
  </si>
  <si>
    <t>2021-08-24 17:07 (-07)</t>
  </si>
  <si>
    <t>17:07(-07)</t>
  </si>
  <si>
    <t>2020-12-21 17:22 (-07)</t>
  </si>
  <si>
    <t>2021-08-24 17:54 (-07)</t>
  </si>
  <si>
    <t>2021-08-24 18:05 (-07)</t>
  </si>
  <si>
    <t>2021-08-15 08:20 (-07)</t>
  </si>
  <si>
    <t>2021-08-24 18:26 (-07)</t>
  </si>
  <si>
    <t>2021-08-09 06:00 (-07)</t>
  </si>
  <si>
    <t>2021-08-24 22:57 (PST)</t>
  </si>
  <si>
    <t>15 min Patience Meditation</t>
  </si>
  <si>
    <t>2021-08-24 07:00 (PST)</t>
  </si>
  <si>
    <t>2021-08-25 07:26 (PST)</t>
  </si>
  <si>
    <t>2021-07-08 15:29 (PST)</t>
  </si>
  <si>
    <t>2021-08-25 22:31 (PST)</t>
  </si>
  <si>
    <t>15 min Breathing Meditation</t>
  </si>
  <si>
    <t>2021-08-25 05:28 (PST)</t>
  </si>
  <si>
    <t>2021-08-26 11:03 (-07)</t>
  </si>
  <si>
    <t>11:03(-07)</t>
  </si>
  <si>
    <t>2020-08-26 04:49 (-07)</t>
  </si>
  <si>
    <t>2021-08-26 11:50 (-07)</t>
  </si>
  <si>
    <t>11:50(-07)</t>
  </si>
  <si>
    <t>2019-05-28 06:00 (-07)</t>
  </si>
  <si>
    <t>2021-08-26 12:06 (-07)</t>
  </si>
  <si>
    <t>12:06(-07)</t>
  </si>
  <si>
    <t>Kendall Toole</t>
  </si>
  <si>
    <t>2021-05-13 07:10 (-07)</t>
  </si>
  <si>
    <t>2021-08-26 23:45 (PST)</t>
  </si>
  <si>
    <t>2021-08-23 15:39 (PST)</t>
  </si>
  <si>
    <t>2021-08-27 18:52 (-07)</t>
  </si>
  <si>
    <t>18:52(-07)</t>
  </si>
  <si>
    <t>2021-08-28 18:24 (PST)</t>
  </si>
  <si>
    <t>18:24(PST)</t>
  </si>
  <si>
    <t>2021-08-21 07:52 (PST)</t>
  </si>
  <si>
    <t>2021-08-28 18:57 (PST)</t>
  </si>
  <si>
    <t>2021-08-17 09:41 (PST)</t>
  </si>
  <si>
    <t>2021-08-28 21:28 (PST)</t>
  </si>
  <si>
    <t>21:28(PST)</t>
  </si>
  <si>
    <t>2021-08-29 05:22 (PST)</t>
  </si>
  <si>
    <t>05:22(PST)</t>
  </si>
  <si>
    <t>2021-08-18 07:00 (PST)</t>
  </si>
  <si>
    <t>2021-08-29 17:29 (-07)</t>
  </si>
  <si>
    <t>17:29(-07)</t>
  </si>
  <si>
    <t>2020-06-13 14:00 (-07)</t>
  </si>
  <si>
    <t>2021-08-29 18:08 (PST)</t>
  </si>
  <si>
    <t>2021-08-23 05:38 (PST)</t>
  </si>
  <si>
    <t>2021-08-29 18:20 (PST)</t>
  </si>
  <si>
    <t>20 min Focus Flow: Hamstrings</t>
  </si>
  <si>
    <t>2021-08-22 05:27 (PST)</t>
  </si>
  <si>
    <t>2021-08-29 21:58 (PST)</t>
  </si>
  <si>
    <t>2021-08-23 07:00 (PST)</t>
  </si>
  <si>
    <t>2021-08-30 18:26 (-07)</t>
  </si>
  <si>
    <t>2021-08-30 22:40 (PST)</t>
  </si>
  <si>
    <t>2021-08-30 07:00 (PST)</t>
  </si>
  <si>
    <t>2021-08-31 07:09 (PST)</t>
  </si>
  <si>
    <t>2021-07-25 07:53 (PST)</t>
  </si>
  <si>
    <t>2021-08-31 22:29 (PST)</t>
  </si>
  <si>
    <t>2021-08-31 08:00 (PST)</t>
  </si>
  <si>
    <t>2021-09-01 07:40 (PST)</t>
  </si>
  <si>
    <t>2019-03-19 12:01 (PST)</t>
  </si>
  <si>
    <t>2021-09-01 12:16 (PST)</t>
  </si>
  <si>
    <t>2021-07-08 14:56 (PST)</t>
  </si>
  <si>
    <t>2021-09-01 17:53 (-07)</t>
  </si>
  <si>
    <t>17:53(-07)</t>
  </si>
  <si>
    <t>2021-09-01 18:41 (-07)</t>
  </si>
  <si>
    <t>18:41(-07)</t>
  </si>
  <si>
    <t>2021-08-30 06:00 (-07)</t>
  </si>
  <si>
    <t>2021-09-01 18:52 (-07)</t>
  </si>
  <si>
    <t>2021-09-01 22:10 (PST)</t>
  </si>
  <si>
    <t>2021-09-02 07:18 (PST)</t>
  </si>
  <si>
    <t>07:18(PST)</t>
  </si>
  <si>
    <t>2021-08-11 14:50 (PST)</t>
  </si>
  <si>
    <t>2021-09-02 08:07 (PST)</t>
  </si>
  <si>
    <t>2019-05-27 12:43 (PST)</t>
  </si>
  <si>
    <t>2021-09-02 21:52 (PST)</t>
  </si>
  <si>
    <t>15 min Relaxing Meditation</t>
  </si>
  <si>
    <t>2021-09-02 07:00 (PST)</t>
  </si>
  <si>
    <t>2021-09-03 07:29 (PST)</t>
  </si>
  <si>
    <t>07:29(PST)</t>
  </si>
  <si>
    <t>2020-03-03 14:48 (PST)</t>
  </si>
  <si>
    <t>2021-09-03 19:44 (-07)</t>
  </si>
  <si>
    <t>19:44(-07)</t>
  </si>
  <si>
    <t>2021-09-03 20:45 (-07)</t>
  </si>
  <si>
    <t>20:45(-07)</t>
  </si>
  <si>
    <t>2021-05-10 06:00 (-07)</t>
  </si>
  <si>
    <t>2021-09-03 22:16 (PST)</t>
  </si>
  <si>
    <t>2021-09-01 08:07 (PST)</t>
  </si>
  <si>
    <t>2021-09-04 14:53 (-07)</t>
  </si>
  <si>
    <t>14:53(-07)</t>
  </si>
  <si>
    <t>2021-09-04 15:38 (-07)</t>
  </si>
  <si>
    <t>15:38(-07)</t>
  </si>
  <si>
    <t>2021-09-04 15:50 (-07)</t>
  </si>
  <si>
    <t>15:50(-07)</t>
  </si>
  <si>
    <t>2021-09-04 21:58 (PST)</t>
  </si>
  <si>
    <t>2021-09-05 09:31 (-07)</t>
  </si>
  <si>
    <t>09:31(-07)</t>
  </si>
  <si>
    <t>2021-04-23 00:56 (-07)</t>
  </si>
  <si>
    <t>2021-09-05 10:16 (-07)</t>
  </si>
  <si>
    <t>2021-09-05 10:29 (-07)</t>
  </si>
  <si>
    <t>10:29(-07)</t>
  </si>
  <si>
    <t>2021-06-27 05:35 (-07)</t>
  </si>
  <si>
    <t>2021-09-05 10:49 (-07)</t>
  </si>
  <si>
    <t>10:49(-07)</t>
  </si>
  <si>
    <t>2020-10-30 12:00 (-07)</t>
  </si>
  <si>
    <t>2021-09-05 11:01 (-07)</t>
  </si>
  <si>
    <t>11:01(-07)</t>
  </si>
  <si>
    <t>2021-08-18 15:37 (-07)</t>
  </si>
  <si>
    <t>2021-09-05 22:00 (PST)</t>
  </si>
  <si>
    <t>5 min Acceptance Meditation</t>
  </si>
  <si>
    <t>2021-09-06 00:58 (PST)</t>
  </si>
  <si>
    <t>00:58(PST)</t>
  </si>
  <si>
    <t>5 min Mid-Night Meditation</t>
  </si>
  <si>
    <t>2021-08-31 07:00 (PST)</t>
  </si>
  <si>
    <t>2021-09-07 06:57 (PST)</t>
  </si>
  <si>
    <t>2020-08-26 14:51 (PST)</t>
  </si>
  <si>
    <t>2021-09-07 18:08 (-07)</t>
  </si>
  <si>
    <t>18:08(-07)</t>
  </si>
  <si>
    <t>2021-09-07 19:09 (-07)</t>
  </si>
  <si>
    <t>19:09(-07)</t>
  </si>
  <si>
    <t>2021-09-07 19:19 (-07)</t>
  </si>
  <si>
    <t>2021-09-07 22:40 (PST)</t>
  </si>
  <si>
    <t>30 min Deep Relaxation Meditation</t>
  </si>
  <si>
    <t>2021-09-07 07:00 (PST)</t>
  </si>
  <si>
    <t>2021-09-08 07:06 (PST)</t>
  </si>
  <si>
    <t>07:06(PST)</t>
  </si>
  <si>
    <t>2020-09-27 07:53 (PST)</t>
  </si>
  <si>
    <t>2021-09-08 17:46 (-07)</t>
  </si>
  <si>
    <t>2021-06-10 06:00 (-07)</t>
  </si>
  <si>
    <t>2021-09-08 17:57 (-07)</t>
  </si>
  <si>
    <t>17:57(-07)</t>
  </si>
  <si>
    <t>2021-09-04 04:53 (-07)</t>
  </si>
  <si>
    <t>2021-09-08 18:58 (-07)</t>
  </si>
  <si>
    <t>18:58(-07)</t>
  </si>
  <si>
    <t>2021-09-08 19:04 (-07)</t>
  </si>
  <si>
    <t>19:04(-07)</t>
  </si>
  <si>
    <t>2020-11-18 06:57 (-07)</t>
  </si>
  <si>
    <t>2021-09-08 19:09 (-07)</t>
  </si>
  <si>
    <t>2021-09-07 06:00 (-07)</t>
  </si>
  <si>
    <t>2021-09-08 22:23 (PST)</t>
  </si>
  <si>
    <t>5 min Intro to Sleep Meditation</t>
  </si>
  <si>
    <t>2020-02-19 05:50 (PST)</t>
  </si>
  <si>
    <t>2021-09-08 22:28 (PST)</t>
  </si>
  <si>
    <t>2020-02-19 05:55 (PST)</t>
  </si>
  <si>
    <t>2021-09-09 12:21 (PST)</t>
  </si>
  <si>
    <t>12:21(PST)</t>
  </si>
  <si>
    <t>2020-10-11 07:52 (PST)</t>
  </si>
  <si>
    <t>2021-09-09 16:18 (-07)</t>
  </si>
  <si>
    <t>16:18(-07)</t>
  </si>
  <si>
    <t>2021-04-23 00:30 (-07)</t>
  </si>
  <si>
    <t>2021-09-09 17:04 (-07)</t>
  </si>
  <si>
    <t>17:04(-07)</t>
  </si>
  <si>
    <t>2021-09-08 06:00 (-07)</t>
  </si>
  <si>
    <t>2021-09-09 17:11 (-07)</t>
  </si>
  <si>
    <t>17:11(-07)</t>
  </si>
  <si>
    <t>10 min MOS Ibiza Chillout Core Strength</t>
  </si>
  <si>
    <t>2021-08-15 21:40 (-07)</t>
  </si>
  <si>
    <t>2021-09-09 17:22 (-07)</t>
  </si>
  <si>
    <t>2021-07-08 06:00 (-07)</t>
  </si>
  <si>
    <t>2021-09-09 22:43 (PST)</t>
  </si>
  <si>
    <t>5 min Savasana Meditation</t>
  </si>
  <si>
    <t>2020-02-19 06:00 (PST)</t>
  </si>
  <si>
    <t>2021-09-10 07:16 (PST)</t>
  </si>
  <si>
    <t>2020-10-20 04:51 (PST)</t>
  </si>
  <si>
    <t>2021-09-10 23:54 (PST)</t>
  </si>
  <si>
    <t>23:54(PST)</t>
  </si>
  <si>
    <t>2020-02-19 06:05 (PST)</t>
  </si>
  <si>
    <t>2021-09-11 10:35 (-07)</t>
  </si>
  <si>
    <t>10:35(-07)</t>
  </si>
  <si>
    <t>2021-09-11 11:22 (-07)</t>
  </si>
  <si>
    <t>11:22(-07)</t>
  </si>
  <si>
    <t>2021-09-09 03:25 (-07)</t>
  </si>
  <si>
    <t>2021-09-11 11:37 (-07)</t>
  </si>
  <si>
    <t>11:37(-07)</t>
  </si>
  <si>
    <t>2021-08-18 07:00 (-07)</t>
  </si>
  <si>
    <t>2021-09-11 12:10 (-07)</t>
  </si>
  <si>
    <t>2020-11-20 08:00 (-07)</t>
  </si>
  <si>
    <t>2021-09-11 21:14 (PST)</t>
  </si>
  <si>
    <t>2020-02-19 06:10 (PST)</t>
  </si>
  <si>
    <t>2021-09-12 21:59 (PST)</t>
  </si>
  <si>
    <t>2020-02-19 06:15 (PST)</t>
  </si>
  <si>
    <t>2021-09-13 07:13 (PST)</t>
  </si>
  <si>
    <t>2020-03-04 15:31 (PST)</t>
  </si>
  <si>
    <t>2021-09-13 17:13 (-07)</t>
  </si>
  <si>
    <t>17:13(-07)</t>
  </si>
  <si>
    <t>2021-09-13 18:15 (-07)</t>
  </si>
  <si>
    <t>18:15(-07)</t>
  </si>
  <si>
    <t>2021-07-23 06:00 (-07)</t>
  </si>
  <si>
    <t>2021-09-13 18:22 (-07)</t>
  </si>
  <si>
    <t>2021-05-04 06:00 (-07)</t>
  </si>
  <si>
    <t>2021-09-13 21:43 (PST)</t>
  </si>
  <si>
    <t>2020-02-19 06:20 (PST)</t>
  </si>
  <si>
    <t>2021-09-14 07:13 (PST)</t>
  </si>
  <si>
    <t>2020-11-16 04:53 (PST)</t>
  </si>
  <si>
    <t>2021-09-14 22:33 (PST)</t>
  </si>
  <si>
    <t>2020-02-19 06:25 (PST)</t>
  </si>
  <si>
    <t>2021-09-15 07:24 (PST)</t>
  </si>
  <si>
    <t>07:24(PST)</t>
  </si>
  <si>
    <t>30 min Soul Yoga Flow</t>
  </si>
  <si>
    <t>2020-10-21 16:20 (PST)</t>
  </si>
  <si>
    <t>2021-09-15 19:15 (-07)</t>
  </si>
  <si>
    <t>2021-08-18 04:53 (-07)</t>
  </si>
  <si>
    <t>2021-09-15 19:47 (-07)</t>
  </si>
  <si>
    <t>19:47(-07)</t>
  </si>
  <si>
    <t>2020-11-02 23:00 (-07)</t>
  </si>
  <si>
    <t>2021-09-15 20:04 (-07)</t>
  </si>
  <si>
    <t>10 min MOS Ibiza Chillout Full Body</t>
  </si>
  <si>
    <t>2021-08-15 22:00 (-07)</t>
  </si>
  <si>
    <t>2021-09-15 22:58 (PST)</t>
  </si>
  <si>
    <t>2020-02-19 06:30 (PST)</t>
  </si>
  <si>
    <t>2021-09-16 11:00 (-07)</t>
  </si>
  <si>
    <t>11:00(-07)</t>
  </si>
  <si>
    <t>2021-04-16 07:03 (-07)</t>
  </si>
  <si>
    <t>2021-09-16 11:46 (-07)</t>
  </si>
  <si>
    <t>11:46(-07)</t>
  </si>
  <si>
    <t>2021-09-16 14:24 (PST)</t>
  </si>
  <si>
    <t>14:24(PST)</t>
  </si>
  <si>
    <t>2021-08-16 06:00 (PST)</t>
  </si>
  <si>
    <t>2021-09-16 22:28 (PST)</t>
  </si>
  <si>
    <t>2020-02-19 06:35 (PST)</t>
  </si>
  <si>
    <t>2021-09-18 22:15 (PST)</t>
  </si>
  <si>
    <t>10 min Savasana Meditation</t>
  </si>
  <si>
    <t>2020-02-19 06:40 (PST)</t>
  </si>
  <si>
    <t>2021-09-19 14:59 (-07)</t>
  </si>
  <si>
    <t>14:59(-07)</t>
  </si>
  <si>
    <t>2021-04-03 08:11 (-07)</t>
  </si>
  <si>
    <t>2021-09-19 16:40 (PST)</t>
  </si>
  <si>
    <t>2021-09-19 07:49 (PST)</t>
  </si>
  <si>
    <t>2021-09-19 22:13 (PST)</t>
  </si>
  <si>
    <t>2020-02-19 06:45 (PST)</t>
  </si>
  <si>
    <t>2021-09-20 07:07 (PST)</t>
  </si>
  <si>
    <t>30 min Ed Sheeran Yoga Flow</t>
  </si>
  <si>
    <t>2021-09-16 07:00 (PST)</t>
  </si>
  <si>
    <t>2021-09-20 07:38 (PST)</t>
  </si>
  <si>
    <t>2021-09-08 08:00 (PST)</t>
  </si>
  <si>
    <t>2021-09-20 17:43 (-07)</t>
  </si>
  <si>
    <t>17:43(-07)</t>
  </si>
  <si>
    <t>2021-09-20 18:31 (-07)</t>
  </si>
  <si>
    <t>18:31(-07)</t>
  </si>
  <si>
    <t>2021-08-15 20:50 (-07)</t>
  </si>
  <si>
    <t>2021-09-20 18:42 (-07)</t>
  </si>
  <si>
    <t>18:42(-07)</t>
  </si>
  <si>
    <t>2021-09-20 18:52 (-07)</t>
  </si>
  <si>
    <t>2021-09-13 07:00 (-07)</t>
  </si>
  <si>
    <t>2021-09-20 22:25 (PST)</t>
  </si>
  <si>
    <t>2020-02-19 06:50 (PST)</t>
  </si>
  <si>
    <t>2021-09-21 07:01 (-07)</t>
  </si>
  <si>
    <t>07:01(-07)</t>
  </si>
  <si>
    <t>2021-09-21 08:03 (-07)</t>
  </si>
  <si>
    <t>2021-09-21 08:15 (-07)</t>
  </si>
  <si>
    <t>2021-09-21 22:17 (PST)</t>
  </si>
  <si>
    <t>22:17(PST)</t>
  </si>
  <si>
    <t>2020-02-19 06:55 (PST)</t>
  </si>
  <si>
    <t>2021-09-22 07:07 (-07)</t>
  </si>
  <si>
    <t>2021-08-17 08:53 (-07)</t>
  </si>
  <si>
    <t>2021-09-22 07:39 (-07)</t>
  </si>
  <si>
    <t>2020-11-01 08:00 (-07)</t>
  </si>
  <si>
    <t>2021-09-22 07:50 (-07)</t>
  </si>
  <si>
    <t>2020-11-16 08:00 (-07)</t>
  </si>
  <si>
    <t>2021-09-22 22:18 (PST)</t>
  </si>
  <si>
    <t>2020-02-19 07:00 (PST)</t>
  </si>
  <si>
    <t>2021-09-23 07:32 (PST)</t>
  </si>
  <si>
    <t>2021-02-24 14:54 (PST)</t>
  </si>
  <si>
    <t>2021-09-23 11:54 (-07)</t>
  </si>
  <si>
    <t>11:54(-07)</t>
  </si>
  <si>
    <t>2021-09-23 06:00 (-07)</t>
  </si>
  <si>
    <t>2021-09-23 12:00 (-07)</t>
  </si>
  <si>
    <t>12:00(-07)</t>
  </si>
  <si>
    <t>2021-09-23 22:48 (PST)</t>
  </si>
  <si>
    <t>2021-09-24 17:27 (-07)</t>
  </si>
  <si>
    <t>17:27(-07)</t>
  </si>
  <si>
    <t>2021-09-24 18:13 (-07)</t>
  </si>
  <si>
    <t>18:13(-07)</t>
  </si>
  <si>
    <t>2021-09-20 06:00 (-07)</t>
  </si>
  <si>
    <t>2021-09-24 18:20 (-07)</t>
  </si>
  <si>
    <t>18:20(-07)</t>
  </si>
  <si>
    <t>2021-09-13 06:00 (-07)</t>
  </si>
  <si>
    <t>2021-09-24 18:31 (-07)</t>
  </si>
  <si>
    <t>20 min Latin Pop Core Strength</t>
  </si>
  <si>
    <t>2021-09-21 05:21 (-07)</t>
  </si>
  <si>
    <t>2021-09-24 18:52 (-07)</t>
  </si>
  <si>
    <t>2021-09-24 06:00 (-07)</t>
  </si>
  <si>
    <t>2021-09-24 23:17 (PST)</t>
  </si>
  <si>
    <t>23:17(PST)</t>
  </si>
  <si>
    <t>2021-09-07 15:37 (PST)</t>
  </si>
  <si>
    <t>2021-09-25 10:31 (-07)</t>
  </si>
  <si>
    <t>10:31(-07)</t>
  </si>
  <si>
    <t>2021-09-25 10:43 (-07)</t>
  </si>
  <si>
    <t>2021-09-25 11:06 (-07)</t>
  </si>
  <si>
    <t>11:06(-07)</t>
  </si>
  <si>
    <t>2020-11-19 15:00 (-07)</t>
  </si>
  <si>
    <t>2021-09-25 11:36 (-07)</t>
  </si>
  <si>
    <t>11:36(-07)</t>
  </si>
  <si>
    <t>2021-09-26 22:16 (PST)</t>
  </si>
  <si>
    <t>2021-09-18 06:59 (PST)</t>
  </si>
  <si>
    <t>2021-09-27 02:00 (PST)</t>
  </si>
  <si>
    <t>02:00(PST)</t>
  </si>
  <si>
    <t>2021-09-25 07:07 (PST)</t>
  </si>
  <si>
    <t>2021-09-27 07:20 (PST)</t>
  </si>
  <si>
    <t>30 min Morning Yoga Flow</t>
  </si>
  <si>
    <t>2021-09-07 05:20 (PST)</t>
  </si>
  <si>
    <t>2021-09-27 17:50 (-07)</t>
  </si>
  <si>
    <t>17:50(-07)</t>
  </si>
  <si>
    <t>2021-09-27 17:56 (-07)</t>
  </si>
  <si>
    <t>17:56(-07)</t>
  </si>
  <si>
    <t>2020-01-23 05:50 (-07)</t>
  </si>
  <si>
    <t>2021-09-27 18:41 (-07)</t>
  </si>
  <si>
    <t>2021-09-27 18:47 (-07)</t>
  </si>
  <si>
    <t>2021-09-10 05:36 (-07)</t>
  </si>
  <si>
    <t>2021-09-27 21:37 (PST)</t>
  </si>
  <si>
    <t>15 min Happiness Meditation</t>
  </si>
  <si>
    <t>2021-09-27 07:00 (PST)</t>
  </si>
  <si>
    <t>2021-09-28 07:11 (PST)</t>
  </si>
  <si>
    <t>2021-09-24 04:51 (PST)</t>
  </si>
  <si>
    <t>2021-09-28 07:43 (PST)</t>
  </si>
  <si>
    <t>07:43(PST)</t>
  </si>
  <si>
    <t>2021-09-20 09:34 (PST)</t>
  </si>
  <si>
    <t>2021-09-28 15:16 (PST)</t>
  </si>
  <si>
    <t>15:16(PST)</t>
  </si>
  <si>
    <t>2021-09-01 15:37 (PST)</t>
  </si>
  <si>
    <t>2021-09-28 17:50 (-07)</t>
  </si>
  <si>
    <t>2021-09-24 23:30 (-07)</t>
  </si>
  <si>
    <t>2021-09-28 17:55 (-07)</t>
  </si>
  <si>
    <t>17:55(-07)</t>
  </si>
  <si>
    <t>2021-09-28 18:41 (-07)</t>
  </si>
  <si>
    <t>2021-09-28 18:46 (-07)</t>
  </si>
  <si>
    <t>18:46(-07)</t>
  </si>
  <si>
    <t>2021-09-28 22:16 (PST)</t>
  </si>
  <si>
    <t>2021-09-28 08:00 (PST)</t>
  </si>
  <si>
    <t>2021-09-29 07:14 (PST)</t>
  </si>
  <si>
    <t>2021-09-01 14:51 (PST)</t>
  </si>
  <si>
    <t>2021-09-29 22:28 (PST)</t>
  </si>
  <si>
    <t>5 min Rest Day Meditation</t>
  </si>
  <si>
    <t>2021-09-30 06:58 (-07)</t>
  </si>
  <si>
    <t>2021-09-08 02:53 (-07)</t>
  </si>
  <si>
    <t>2021-09-30 07:28 (-07)</t>
  </si>
  <si>
    <t>07:28(-07)</t>
  </si>
  <si>
    <t>2021-09-28 00:22 (-07)</t>
  </si>
  <si>
    <t>2021-09-30 07:49 (-07)</t>
  </si>
  <si>
    <t>2021-09-30 17:28 (-07)</t>
  </si>
  <si>
    <t>17:28(-07)</t>
  </si>
  <si>
    <t>20 min Upper Body Strength</t>
  </si>
  <si>
    <t>2021-09-17 05:21 (-07)</t>
  </si>
  <si>
    <t>2021-09-30 17:49 (-07)</t>
  </si>
  <si>
    <t>17:49(-07)</t>
  </si>
  <si>
    <t>2021-09-18 06:56 (-07)</t>
  </si>
  <si>
    <t>2021-09-30 22:31 (PST)</t>
  </si>
  <si>
    <t>2021-09-30 07:00 (PST)</t>
  </si>
  <si>
    <t>2021-10-01 07:17 (PST)</t>
  </si>
  <si>
    <t>07:17(PST)</t>
  </si>
  <si>
    <t>2021-09-09 16:00 (PST)</t>
  </si>
  <si>
    <t>2021-10-01 17:27 (-07)</t>
  </si>
  <si>
    <t>2021-10-01 18:27 (-07)</t>
  </si>
  <si>
    <t>18:27(-07)</t>
  </si>
  <si>
    <t>2021-10-01 23:51 (PST)</t>
  </si>
  <si>
    <t>23:51(PST)</t>
  </si>
  <si>
    <t>2021-09-27 15:39 (PST)</t>
  </si>
  <si>
    <t>2021-10-02 15:36 (-07)</t>
  </si>
  <si>
    <t>15:36(-07)</t>
  </si>
  <si>
    <t>2021-01-18 14:51 (-07)</t>
  </si>
  <si>
    <t>2021-10-02 16:26 (-07)</t>
  </si>
  <si>
    <t>16:26(-07)</t>
  </si>
  <si>
    <t>2021-08-05 02:55 (-07)</t>
  </si>
  <si>
    <t>2021-10-02 16:59 (-07)</t>
  </si>
  <si>
    <t>16:59(-07)</t>
  </si>
  <si>
    <t>2021-10-02 17:07 (-07)</t>
  </si>
  <si>
    <t>2021-09-01 15:37 (-07)</t>
  </si>
  <si>
    <t>2021-10-02 23:51 (PST)</t>
  </si>
  <si>
    <t>2021-09-30 07:58 (PST)</t>
  </si>
  <si>
    <t>2021-10-03 21:27 (PST)</t>
  </si>
  <si>
    <t>21:27(PST)</t>
  </si>
  <si>
    <t>2021-10-04 07:23 (PST)</t>
  </si>
  <si>
    <t>07:23(PST)</t>
  </si>
  <si>
    <t>2021-01-12 06:50 (PST)</t>
  </si>
  <si>
    <t>2021-10-04 18:34 (-07)</t>
  </si>
  <si>
    <t>18:34(-07)</t>
  </si>
  <si>
    <t>2021-08-20 08:21 (-07)</t>
  </si>
  <si>
    <t>2021-10-04 19:05 (-07)</t>
  </si>
  <si>
    <t>19:05(-07)</t>
  </si>
  <si>
    <t>2021-09-09 14:35 (-07)</t>
  </si>
  <si>
    <t>2021-10-04 19:16 (-07)</t>
  </si>
  <si>
    <t>19:16(-07)</t>
  </si>
  <si>
    <t>2021-09-29 07:00 (-07)</t>
  </si>
  <si>
    <t>2021-10-04 19:27 (-07)</t>
  </si>
  <si>
    <t>19:27(-07)</t>
  </si>
  <si>
    <t>2021-10-04 22:13 (PST)</t>
  </si>
  <si>
    <t>2021-09-30 05:37 (PST)</t>
  </si>
  <si>
    <t>2021-10-05 06:52 (-07)</t>
  </si>
  <si>
    <t>2021-09-01 02:52 (-07)</t>
  </si>
  <si>
    <t>2021-10-05 07:38 (-07)</t>
  </si>
  <si>
    <t>2021-10-05 07:43 (-07)</t>
  </si>
  <si>
    <t>2021-10-06 18:17 (-07)</t>
  </si>
  <si>
    <t>18:17(-07)</t>
  </si>
  <si>
    <t>30 min LHM: Power Zone Endurance Ride</t>
  </si>
  <si>
    <t>2021-10-06 02:51 (-07)</t>
  </si>
  <si>
    <t>2021-10-06 18:48 (-07)</t>
  </si>
  <si>
    <t>2021-09-27 00:23 (-07)</t>
  </si>
  <si>
    <t>2021-10-06 19:09 (-07)</t>
  </si>
  <si>
    <t>2021-09-14 06:02 (-07)</t>
  </si>
  <si>
    <t>2021-10-06 19:20 (-07)</t>
  </si>
  <si>
    <t>Camila Ramon</t>
  </si>
  <si>
    <t>2021-10-05 16:00 (-07)</t>
  </si>
  <si>
    <t>2021-10-06 22:32 (PST)</t>
  </si>
  <si>
    <t>2021-10-06 07:00 (PST)</t>
  </si>
  <si>
    <t>2021-10-07 07:07 (PST)</t>
  </si>
  <si>
    <t>Beyond the Pose</t>
  </si>
  <si>
    <t>60 min Beyond the Pose: Intention</t>
  </si>
  <si>
    <t>2021-09-24 14:51 (PST)</t>
  </si>
  <si>
    <t>2021-10-07 18:49 (-07)</t>
  </si>
  <si>
    <t>18:49(-07)</t>
  </si>
  <si>
    <t>2021-07-27 10:24 (-07)</t>
  </si>
  <si>
    <t>2021-10-07 19:35 (-07)</t>
  </si>
  <si>
    <t>2021-09-29 22:25 (-07)</t>
  </si>
  <si>
    <t>2021-10-07 19:41 (-07)</t>
  </si>
  <si>
    <t>19:41(-07)</t>
  </si>
  <si>
    <t>2021-10-07 21:51 (PST)</t>
  </si>
  <si>
    <t>2021-10-07 15:41 (PST)</t>
  </si>
  <si>
    <t>2021-10-08 08:33 (PST)</t>
  </si>
  <si>
    <t>2021-10-03 08:23 (PST)</t>
  </si>
  <si>
    <t>2021-10-08 22:18 (PST)</t>
  </si>
  <si>
    <t>2021-10-04 09:28 (PST)</t>
  </si>
  <si>
    <t>2021-10-09 10:55 (-07)</t>
  </si>
  <si>
    <t>10:55(-07)</t>
  </si>
  <si>
    <t>2020-09-11 04:53 (-07)</t>
  </si>
  <si>
    <t>2021-10-09 11:55 (-07)</t>
  </si>
  <si>
    <t>11:55(-07)</t>
  </si>
  <si>
    <t>2021-10-09 12:01 (-07)</t>
  </si>
  <si>
    <t>12:01(-07)</t>
  </si>
  <si>
    <t>2021-09-28 06:01 (-07)</t>
  </si>
  <si>
    <t>2021-10-09 12:12 (-07)</t>
  </si>
  <si>
    <t>2021-10-10 11:04 (PST)</t>
  </si>
  <si>
    <t>11:04(PST)</t>
  </si>
  <si>
    <t>2020-11-18 06:50 (PST)</t>
  </si>
  <si>
    <t>2021-10-10 11:53 (PST)</t>
  </si>
  <si>
    <t>10 min Foam Rolling: Quads &amp; Hamstrings</t>
  </si>
  <si>
    <t>2021-08-24 05:00 (PST)</t>
  </si>
  <si>
    <t>2021-10-10 12:04 (PST)</t>
  </si>
  <si>
    <t>10 min Foam Rolling: Calves &amp; Glutes</t>
  </si>
  <si>
    <t>2021-10-10 12:16 (PST)</t>
  </si>
  <si>
    <t>10 min Foam Rolling: Chest &amp; Back</t>
  </si>
  <si>
    <t>2021-10-10 22:00 (PST)</t>
  </si>
  <si>
    <t>10 min Seasonal Meditation</t>
  </si>
  <si>
    <t>2021-10-06 07:07 (PST)</t>
  </si>
  <si>
    <t>2021-10-11 07:04 (PST)</t>
  </si>
  <si>
    <t>2021-09-06 04:50 (PST)</t>
  </si>
  <si>
    <t>2021-10-11 18:30 (-07)</t>
  </si>
  <si>
    <t>18:30(-07)</t>
  </si>
  <si>
    <t>2021-08-31 04:53 (-07)</t>
  </si>
  <si>
    <t>2021-10-11 19:16 (-07)</t>
  </si>
  <si>
    <t>2021-10-07 08:00 (-07)</t>
  </si>
  <si>
    <t>2021-10-11 19:22 (-07)</t>
  </si>
  <si>
    <t>19:22(-07)</t>
  </si>
  <si>
    <t>2021-10-11 19:34 (-07)</t>
  </si>
  <si>
    <t>2021-08-13 10:00 (-07)</t>
  </si>
  <si>
    <t>2021-10-11 22:28 (PST)</t>
  </si>
  <si>
    <t>10 min World Mental Health Meditation</t>
  </si>
  <si>
    <t>2021-10-09 15:00 (PST)</t>
  </si>
  <si>
    <t>2021-10-12 07:10 (PST)</t>
  </si>
  <si>
    <t>2021-02-23 04:53 (PST)</t>
  </si>
  <si>
    <t>2021-10-12 18:31 (-07)</t>
  </si>
  <si>
    <t>2021-07-28 02:54 (-07)</t>
  </si>
  <si>
    <t>2021-10-12 19:02 (-07)</t>
  </si>
  <si>
    <t>19:02(-07)</t>
  </si>
  <si>
    <t>20 min Chest &amp; Back Strength</t>
  </si>
  <si>
    <t>2021-08-20 07:00 (-07)</t>
  </si>
  <si>
    <t>2021-10-12 19:24 (-07)</t>
  </si>
  <si>
    <t>19:24(-07)</t>
  </si>
  <si>
    <t>2021-09-12 10:30 (-07)</t>
  </si>
  <si>
    <t>2021-10-12 19:35 (-07)</t>
  </si>
  <si>
    <t>2021-10-12 22:15 (PST)</t>
  </si>
  <si>
    <t>2021-10-09 08:39 (PST)</t>
  </si>
  <si>
    <t>2021-10-13 19:56 (PST)</t>
  </si>
  <si>
    <t>19:56(PST)</t>
  </si>
  <si>
    <t>2021-08-22 06:21 (PST)</t>
  </si>
  <si>
    <t>2021-10-13 22:32 (PST)</t>
  </si>
  <si>
    <t>2021-10-13 08:00 (PST)</t>
  </si>
  <si>
    <t>2021-10-14 07:22 (PST)</t>
  </si>
  <si>
    <t>07:22(PST)</t>
  </si>
  <si>
    <t>15 min Slow Flow</t>
  </si>
  <si>
    <t>2021-10-03 07:49 (PST)</t>
  </si>
  <si>
    <t>2021-10-14 07:38 (PST)</t>
  </si>
  <si>
    <t>2021-06-16 07:34 (PST)</t>
  </si>
  <si>
    <t>2021-10-14 19:10 (-07)</t>
  </si>
  <si>
    <t>2021-10-14 19:15 (-07)</t>
  </si>
  <si>
    <t>2021-10-14 20:02 (-07)</t>
  </si>
  <si>
    <t>20:02(-07)</t>
  </si>
  <si>
    <t>2021-10-05 22:35 (-07)</t>
  </si>
  <si>
    <t>2021-10-14 20:07 (-07)</t>
  </si>
  <si>
    <t>2021-10-14 08:00 (-07)</t>
  </si>
  <si>
    <t>2021-10-14 21:55 (PST)</t>
  </si>
  <si>
    <t>2021-10-15 07:33 (PST)</t>
  </si>
  <si>
    <t>2020-11-19 14:52 (PST)</t>
  </si>
  <si>
    <t>2021-10-15 23:07 (PST)</t>
  </si>
  <si>
    <t>23:07(PST)</t>
  </si>
  <si>
    <t>2021-10-13 09:26 (PST)</t>
  </si>
  <si>
    <t>2021-10-16 19:38 (PST)</t>
  </si>
  <si>
    <t>19:38(PST)</t>
  </si>
  <si>
    <t>15 min Hips Stretch</t>
  </si>
  <si>
    <t>2021-10-16 19:56 (PST)</t>
  </si>
  <si>
    <t>15 min Foam Rolling: Lower Body</t>
  </si>
  <si>
    <t>2021-10-16 21:57 (PST)</t>
  </si>
  <si>
    <t>21:57(PST)</t>
  </si>
  <si>
    <t>2021-10-17 09:46 (PST)</t>
  </si>
  <si>
    <t>09:46(PST)</t>
  </si>
  <si>
    <t>30 min Focus Flow: Twists</t>
  </si>
  <si>
    <t>2020-12-06 07:52 (PST)</t>
  </si>
  <si>
    <t>2021-10-17 13:55 (-07)</t>
  </si>
  <si>
    <t>13:55(-07)</t>
  </si>
  <si>
    <t>2021-10-17 15:17 (-07)</t>
  </si>
  <si>
    <t>15:17(-07)</t>
  </si>
  <si>
    <t>2021-10-17 22:48 (PST)</t>
  </si>
  <si>
    <t>2021-10-18 07:07 (PST)</t>
  </si>
  <si>
    <t>2021-10-09 07:52 (PST)</t>
  </si>
  <si>
    <t>2021-10-18 17:10 (-07)</t>
  </si>
  <si>
    <t>17:10(-07)</t>
  </si>
  <si>
    <t>2019-05-02 04:49 (-07)</t>
  </si>
  <si>
    <t>2021-10-18 17:56 (-07)</t>
  </si>
  <si>
    <t>2019-09-06 08:01 (-07)</t>
  </si>
  <si>
    <t>2021-10-18 18:09 (-07)</t>
  </si>
  <si>
    <t>18:09(-07)</t>
  </si>
  <si>
    <t>2021-10-18 18:19 (-07)</t>
  </si>
  <si>
    <t>18:19(-07)</t>
  </si>
  <si>
    <t>2021-07-21 07:00 (-07)</t>
  </si>
  <si>
    <t>2021-10-18 18:26 (-07)</t>
  </si>
  <si>
    <t>2021-10-18 21:59 (PST)</t>
  </si>
  <si>
    <t>2021-10-18 09:36 (PST)</t>
  </si>
  <si>
    <t>2021-10-19 07:34 (PST)</t>
  </si>
  <si>
    <t>20 min LHM: Spanish Classical Yoga Flow</t>
  </si>
  <si>
    <t>2021-10-08 07:00 (PST)</t>
  </si>
  <si>
    <t>2021-10-19 19:11 (-07)</t>
  </si>
  <si>
    <t>2021-08-25 04:53 (-07)</t>
  </si>
  <si>
    <t>2021-10-19 19:59 (-07)</t>
  </si>
  <si>
    <t>2021-10-18 08:00 (-07)</t>
  </si>
  <si>
    <t>2021-10-19 22:07 (PST)</t>
  </si>
  <si>
    <t>2021-10-20 17:28 (-07)</t>
  </si>
  <si>
    <t>2021-05-22 04:24 (-07)</t>
  </si>
  <si>
    <t>2021-10-20 18:30 (-07)</t>
  </si>
  <si>
    <t>2021-09-30 00:25 (-07)</t>
  </si>
  <si>
    <t>2021-10-20 18:47 (-07)</t>
  </si>
  <si>
    <t>2021-10-20 22:53 (PST)</t>
  </si>
  <si>
    <t>22:53(PST)</t>
  </si>
  <si>
    <t>2021-10-19 10:30 (PST)</t>
  </si>
  <si>
    <t>2021-10-21 07:18 (PST)</t>
  </si>
  <si>
    <t>30 min Focus Flow: Core</t>
  </si>
  <si>
    <t>2021-02-23 09:08 (PST)</t>
  </si>
  <si>
    <t>2021-10-21 12:07 (-07)</t>
  </si>
  <si>
    <t>12:07(-07)</t>
  </si>
  <si>
    <t>2021-10-13 02:54 (-07)</t>
  </si>
  <si>
    <t>2021-10-21 12:38 (-07)</t>
  </si>
  <si>
    <t>12:38(-07)</t>
  </si>
  <si>
    <t>2021-10-24 00:38 (MST)</t>
  </si>
  <si>
    <t>00:38(MST)</t>
  </si>
  <si>
    <t>2021-10-22 08:00 (MST)</t>
  </si>
  <si>
    <t>2021-10-24 21:53 (PST)</t>
  </si>
  <si>
    <t>2021-10-25 07:16 (PST)</t>
  </si>
  <si>
    <t>30 min Focus Flow: Chest Openers</t>
  </si>
  <si>
    <t>2021-09-21 05:18 (PST)</t>
  </si>
  <si>
    <t>2021-10-25 19:36 (-07)</t>
  </si>
  <si>
    <t>19:36(-07)</t>
  </si>
  <si>
    <t>2021-06-29 04:53 (-07)</t>
  </si>
  <si>
    <t>2021-10-25 20:22 (-07)</t>
  </si>
  <si>
    <t>20:22(-07)</t>
  </si>
  <si>
    <t>2021-10-25 20:28 (-07)</t>
  </si>
  <si>
    <t>20:28(-07)</t>
  </si>
  <si>
    <t>2021-10-25 22:33 (PST)</t>
  </si>
  <si>
    <t>2021-10-23 08:36 (PST)</t>
  </si>
  <si>
    <t>2021-10-26 07:19 (PST)</t>
  </si>
  <si>
    <t>2020-10-14 14:49 (PST)</t>
  </si>
  <si>
    <t>2021-10-26 17:28 (-07)</t>
  </si>
  <si>
    <t>2021-08-10 10:24 (-07)</t>
  </si>
  <si>
    <t>2021-10-26 18:01 (-07)</t>
  </si>
  <si>
    <t>18:01(-07)</t>
  </si>
  <si>
    <t>2020-11-20 06:20 (-07)</t>
  </si>
  <si>
    <t>2021-10-26 18:22 (-07)</t>
  </si>
  <si>
    <t>2021-10-19 07:00 (-07)</t>
  </si>
  <si>
    <t>2021-10-26 18:34 (-07)</t>
  </si>
  <si>
    <t>2021-10-24 22:00 (-07)</t>
  </si>
  <si>
    <t>2021-10-26 22:22 (PST)</t>
  </si>
  <si>
    <t>2021-10-26 15:38 (PST)</t>
  </si>
  <si>
    <t>2021-10-27 07:07 (PST)</t>
  </si>
  <si>
    <t>2021-05-02 07:53 (PST)</t>
  </si>
  <si>
    <t>2021-10-27 22:10 (PST)</t>
  </si>
  <si>
    <t>2020-03-10 05:31 (PST)</t>
  </si>
  <si>
    <t>2021-10-28 07:00 (PST)</t>
  </si>
  <si>
    <t>20 min Morning Yoga Flow</t>
  </si>
  <si>
    <t>2021-08-25 07:21 (PST)</t>
  </si>
  <si>
    <t>2021-10-28 12:05 (-07)</t>
  </si>
  <si>
    <t>12:05(-07)</t>
  </si>
  <si>
    <t>2020-08-05 04:49 (-07)</t>
  </si>
  <si>
    <t>2021-10-28 12:50 (-07)</t>
  </si>
  <si>
    <t>2021-10-28 21:42 (PST)</t>
  </si>
  <si>
    <t>10 min Flow &amp; Let Go Meditation</t>
  </si>
  <si>
    <t>2021-10-28 15:40 (PST)</t>
  </si>
  <si>
    <t>2021-10-29 07:06 (PST)</t>
  </si>
  <si>
    <t>2021-03-27 07:52 (PST)</t>
  </si>
  <si>
    <t>2021-10-29 18:54 (-07)</t>
  </si>
  <si>
    <t>18:54(-07)</t>
  </si>
  <si>
    <t>2021-10-29 19:55 (-07)</t>
  </si>
  <si>
    <t>19:55(-07)</t>
  </si>
  <si>
    <t>2021-10-29 20:01 (-07)</t>
  </si>
  <si>
    <t>20:01(-07)</t>
  </si>
  <si>
    <t>2021-10-29 22:25 (PST)</t>
  </si>
  <si>
    <t>2021-10-30 18:27 (PST)</t>
  </si>
  <si>
    <t>18:27(PST)</t>
  </si>
  <si>
    <t>2021-10-27 08:55 (PST)</t>
  </si>
  <si>
    <t>2021-10-30 23:59 (PST)</t>
  </si>
  <si>
    <t>23:59(PST)</t>
  </si>
  <si>
    <t>2021-10-26 08:00 (PST)</t>
  </si>
  <si>
    <t>2021-10-31 10:58 (-07)</t>
  </si>
  <si>
    <t>2021-10-04 08:00 (-07)</t>
  </si>
  <si>
    <t>2021-10-31 11:09 (-07)</t>
  </si>
  <si>
    <t>11:09(-07)</t>
  </si>
  <si>
    <t>2021-10-13 07:30 (-07)</t>
  </si>
  <si>
    <t>2021-10-31 22:24 (PST)</t>
  </si>
  <si>
    <t>22:24(PST)</t>
  </si>
  <si>
    <t>2021-10-30 08:36 (PST)</t>
  </si>
  <si>
    <t>2021-11-01 07:05 (PST)</t>
  </si>
  <si>
    <t>2021-10-24 08:29 (PST)</t>
  </si>
  <si>
    <t>2021-11-01 20:41 (PST)</t>
  </si>
  <si>
    <t>20:41(PST)</t>
  </si>
  <si>
    <t>2021-11-02 01:39 (PST)</t>
  </si>
  <si>
    <t>01:39(PST)</t>
  </si>
  <si>
    <t>2021-10-21 07:09 (PST)</t>
  </si>
  <si>
    <t>2021-11-02 20:25 (PST)</t>
  </si>
  <si>
    <t>2021-11-01 15:36 (PST)</t>
  </si>
  <si>
    <t>2021-11-03 18:18 (PST)</t>
  </si>
  <si>
    <t>2021-10-22 06:57 (PST)</t>
  </si>
  <si>
    <t>2021-11-03 21:05 (PST)</t>
  </si>
  <si>
    <t>21:05(PST)</t>
  </si>
  <si>
    <t>2021-11-03 07:00 (PST)</t>
  </si>
  <si>
    <t>2021-11-04 01:21 (PST)</t>
  </si>
  <si>
    <t>01:21(PST)</t>
  </si>
  <si>
    <t>2021-11-03 05:39 (PST)</t>
  </si>
  <si>
    <t>2021-11-04 21:46 (PST)</t>
  </si>
  <si>
    <t>2021-01-01 06:00 (PST)</t>
  </si>
  <si>
    <t>2021-11-05 03:40 (PST)</t>
  </si>
  <si>
    <t>03:40(PST)</t>
  </si>
  <si>
    <t>10 min Mid-Night Meditation</t>
  </si>
  <si>
    <t>2021-11-05 07:45 (PST)</t>
  </si>
  <si>
    <t>07:45(PST)</t>
  </si>
  <si>
    <t>2021-10-24 07:50 (PST)</t>
  </si>
  <si>
    <t>2021-11-05 18:10 (-07)</t>
  </si>
  <si>
    <t>2021-10-21 08:00 (-07)</t>
  </si>
  <si>
    <t>2021-11-05 18:30 (-07)</t>
  </si>
  <si>
    <t>2021-06-18 13:54 (-07)</t>
  </si>
  <si>
    <t>2021-11-05 23:00 (PST)</t>
  </si>
  <si>
    <t>23:00(PST)</t>
  </si>
  <si>
    <t>2021-11-04 15:38 (PST)</t>
  </si>
  <si>
    <t>2021-11-06 11:55 (PST)</t>
  </si>
  <si>
    <t>2021-11-04 07:04 (PST)</t>
  </si>
  <si>
    <t>2021-11-06 12:06 (PST)</t>
  </si>
  <si>
    <t>12:06(PST)</t>
  </si>
  <si>
    <t>2021-10-27 07:30 (PST)</t>
  </si>
  <si>
    <t>2021-11-06 12:18 (PST)</t>
  </si>
  <si>
    <t>2021-11-05 06:23 (PST)</t>
  </si>
  <si>
    <t>2021-11-06 23:41 (PST)</t>
  </si>
  <si>
    <t>23:41(PST)</t>
  </si>
  <si>
    <t>2021-09-20 15:38 (PST)</t>
  </si>
  <si>
    <t>2021-11-07 09:30 (PST)</t>
  </si>
  <si>
    <t>09:30(PST)</t>
  </si>
  <si>
    <t>30 min Evening Yoga</t>
  </si>
  <si>
    <t>2020-10-21 14:56 (PST)</t>
  </si>
  <si>
    <t>2021-11-07 10:08 (PST)</t>
  </si>
  <si>
    <t>2021-11-06 06:30 (PST)</t>
  </si>
  <si>
    <t>2021-11-07 21:28 (PST)</t>
  </si>
  <si>
    <t>2020-10-09 07:00 (PST)</t>
  </si>
  <si>
    <t>2021-11-08 06:59 (PST)</t>
  </si>
  <si>
    <t>2021-04-20 14:54 (PST)</t>
  </si>
  <si>
    <t>2021-11-08 07:45 (PST)</t>
  </si>
  <si>
    <t>2021-11-07 10:38 (PST)</t>
  </si>
  <si>
    <t>2021-11-08 18:19 (-08)</t>
  </si>
  <si>
    <t>18:19(-08)</t>
  </si>
  <si>
    <t>2021-10-27 06:07 (-08)</t>
  </si>
  <si>
    <t>2021-11-08 18:41 (-08)</t>
  </si>
  <si>
    <t>18:41(-08)</t>
  </si>
  <si>
    <t>2021-10-27 01:51 (-08)</t>
  </si>
  <si>
    <t>2021-11-08 19:12 (-08)</t>
  </si>
  <si>
    <t>19:12(-08)</t>
  </si>
  <si>
    <t>2021-11-06 02:52 (-08)</t>
  </si>
  <si>
    <t>2021-11-08 19:23 (-08)</t>
  </si>
  <si>
    <t>19:23(-08)</t>
  </si>
  <si>
    <t>2021-10-26 07:00 (-08)</t>
  </si>
  <si>
    <t>2021-11-08 22:04 (PST)</t>
  </si>
  <si>
    <t>22:04(PST)</t>
  </si>
  <si>
    <t>2021-11-08 15:36 (PST)</t>
  </si>
  <si>
    <t>2021-11-09 06:47 (PST)</t>
  </si>
  <si>
    <t>06:47(PST)</t>
  </si>
  <si>
    <t>2021-11-02 05:19 (PST)</t>
  </si>
  <si>
    <t>2021-11-09 17:32 (-08)</t>
  </si>
  <si>
    <t>17:32(-08)</t>
  </si>
  <si>
    <t>20 min Mental Health Day: Recovery Ride</t>
  </si>
  <si>
    <t>2021-10-09 14:00 (-08)</t>
  </si>
  <si>
    <t>2021-11-09 22:36 (PST)</t>
  </si>
  <si>
    <t>10 min Breathing Meditation</t>
  </si>
  <si>
    <t>2021-11-09 08:00 (PST)</t>
  </si>
  <si>
    <t>2021-11-10 07:02 (PST)</t>
  </si>
  <si>
    <t>2021-03-01 06:49 (PST)</t>
  </si>
  <si>
    <t>2021-11-10 16:43 (-08)</t>
  </si>
  <si>
    <t>16:43(-08)</t>
  </si>
  <si>
    <t>2021-09-23 15:55 (-08)</t>
  </si>
  <si>
    <t>2021-11-10 17:03 (-08)</t>
  </si>
  <si>
    <t>17:03(-08)</t>
  </si>
  <si>
    <t>2021-10-06 05:23 (-08)</t>
  </si>
  <si>
    <t>2021-11-10 17:35 (-08)</t>
  </si>
  <si>
    <t>17:35(-08)</t>
  </si>
  <si>
    <t>2021-11-01 11:02 (-08)</t>
  </si>
  <si>
    <t>2021-11-10 17:46 (-08)</t>
  </si>
  <si>
    <t>17:46(-08)</t>
  </si>
  <si>
    <t>2021-11-04 05:30 (-08)</t>
  </si>
  <si>
    <t>2021-11-10 22:27 (PST)</t>
  </si>
  <si>
    <t>2021-11-11 07:14 (PST)</t>
  </si>
  <si>
    <t>2021-11-09 05:20 (PST)</t>
  </si>
  <si>
    <t>2021-11-11 07:46 (PST)</t>
  </si>
  <si>
    <t>2021-10-04 11:11 (PST)</t>
  </si>
  <si>
    <t>2021-11-11 12:16 (-08)</t>
  </si>
  <si>
    <t>12:16(-08)</t>
  </si>
  <si>
    <t>2021-11-10 02:52 (-08)</t>
  </si>
  <si>
    <t>2021-11-11 13:03 (-08)</t>
  </si>
  <si>
    <t>13:03(-08)</t>
  </si>
  <si>
    <t>2021-10-15 05:05 (-08)</t>
  </si>
  <si>
    <t>2021-11-11 13:19 (-08)</t>
  </si>
  <si>
    <t>13:19(-08)</t>
  </si>
  <si>
    <t>2021-08-02 05:00 (-08)</t>
  </si>
  <si>
    <t>2021-11-11 16:56 (PST)</t>
  </si>
  <si>
    <t>2021-11-09 07:05 (PST)</t>
  </si>
  <si>
    <t>2021-11-11 22:28 (PST)</t>
  </si>
  <si>
    <t>2021-11-09 07:00 (PST)</t>
  </si>
  <si>
    <t>2021-11-12 07:34 (PST)</t>
  </si>
  <si>
    <t>2021-10-26 05:19 (PST)</t>
  </si>
  <si>
    <t>2021-11-12 12:26 (-08)</t>
  </si>
  <si>
    <t>12:26(-08)</t>
  </si>
  <si>
    <t>2021-03-31 01:52 (-08)</t>
  </si>
  <si>
    <t>2021-11-12 13:12 (-08)</t>
  </si>
  <si>
    <t>13:12(-08)</t>
  </si>
  <si>
    <t>2021-11-11 11:01 (-08)</t>
  </si>
  <si>
    <t>2021-11-12 13:24 (-08)</t>
  </si>
  <si>
    <t>13:24(-08)</t>
  </si>
  <si>
    <t>5 min Post-Ride Stretch: Imagine Dragons</t>
  </si>
  <si>
    <t>2021-07-02 04:00 (-08)</t>
  </si>
  <si>
    <t>2021-11-13 17:36 (-08)</t>
  </si>
  <si>
    <t>17:36(-08)</t>
  </si>
  <si>
    <t>2021-10-14 07:00 (-08)</t>
  </si>
  <si>
    <t>2021-11-13 17:42 (-08)</t>
  </si>
  <si>
    <t>17:42(-08)</t>
  </si>
  <si>
    <t>2020-03-07 09:35 (-08)</t>
  </si>
  <si>
    <t>2021-11-13 18:42 (-08)</t>
  </si>
  <si>
    <t>18:42(-08)</t>
  </si>
  <si>
    <t>2021-08-16 05:00 (-08)</t>
  </si>
  <si>
    <t>2021-11-13 18:54 (-08)</t>
  </si>
  <si>
    <t>18:54(-08)</t>
  </si>
  <si>
    <t>2021-10-29 06:06 (-08)</t>
  </si>
  <si>
    <t>2021-11-13 22:09 (PST)</t>
  </si>
  <si>
    <t>2021-11-11 15:37 (PST)</t>
  </si>
  <si>
    <t>2021-11-14 08:03 (PST)</t>
  </si>
  <si>
    <t>08:03(PST)</t>
  </si>
  <si>
    <t>2021-10-22 06:25 (PST)</t>
  </si>
  <si>
    <t>2021-11-14 22:14 (PST)</t>
  </si>
  <si>
    <t>2021-11-12 07:09 (PST)</t>
  </si>
  <si>
    <t>2021-11-15 02:37 (PST)</t>
  </si>
  <si>
    <t>02:37(PST)</t>
  </si>
  <si>
    <t>2021-11-15 02:51 (PST)</t>
  </si>
  <si>
    <t>02:51(PST)</t>
  </si>
  <si>
    <t>2021-11-15 07:12 (PST)</t>
  </si>
  <si>
    <t>2021-11-14 07:52 (PST)</t>
  </si>
  <si>
    <t>2021-11-15 12:57 (PST)</t>
  </si>
  <si>
    <t>12:57(PST)</t>
  </si>
  <si>
    <t>15 min Focus Flow: Hamstrings</t>
  </si>
  <si>
    <t>2021-11-14 08:37 (PST)</t>
  </si>
  <si>
    <t>2021-11-15 16:23 (-08)</t>
  </si>
  <si>
    <t>16:23(-08)</t>
  </si>
  <si>
    <t>2021-05-19 01:52 (-08)</t>
  </si>
  <si>
    <t>2021-11-15 16:56 (-08)</t>
  </si>
  <si>
    <t>16:56(-08)</t>
  </si>
  <si>
    <t>15 min Chest &amp; Back Strength</t>
  </si>
  <si>
    <t>2021-10-13 23:24 (-08)</t>
  </si>
  <si>
    <t>2021-11-15 17:12 (-08)</t>
  </si>
  <si>
    <t>17:12(-08)</t>
  </si>
  <si>
    <t>2021-11-11 06:30 (-08)</t>
  </si>
  <si>
    <t>2021-11-15 21:45 (PST)</t>
  </si>
  <si>
    <t>10 min Rest Day Meditation</t>
  </si>
  <si>
    <t>2021-11-15 07:00 (PST)</t>
  </si>
  <si>
    <t>2021-11-16 07:05 (PST)</t>
  </si>
  <si>
    <t>30 min 70s Yoga Flow</t>
  </si>
  <si>
    <t>2021-05-09 07:55 (PST)</t>
  </si>
  <si>
    <t>2021-11-16 11:36 (-08)</t>
  </si>
  <si>
    <t>11:36(-08)</t>
  </si>
  <si>
    <t>2021-02-09 04:53 (-08)</t>
  </si>
  <si>
    <t>2021-11-16 12:26 (-08)</t>
  </si>
  <si>
    <t>2021-08-09 05:00 (-08)</t>
  </si>
  <si>
    <t>2021-11-16 22:01 (PST)</t>
  </si>
  <si>
    <t>2021-11-16 15:35 (PST)</t>
  </si>
  <si>
    <t>2021-11-17 07:10 (PST)</t>
  </si>
  <si>
    <t>2021-07-11 07:52 (PST)</t>
  </si>
  <si>
    <t>2021-11-17 16:47 (-08)</t>
  </si>
  <si>
    <t>16:47(-08)</t>
  </si>
  <si>
    <t>2021-11-15 16:51 (-08)</t>
  </si>
  <si>
    <t>2021-11-17 17:18 (-08)</t>
  </si>
  <si>
    <t>17:18(-08)</t>
  </si>
  <si>
    <t>2021-09-20 05:00 (-08)</t>
  </si>
  <si>
    <t>2021-11-17 17:25 (-08)</t>
  </si>
  <si>
    <t>17:25(-08)</t>
  </si>
  <si>
    <t>2021-11-09 08:00 (-08)</t>
  </si>
  <si>
    <t>2021-11-17 17:37 (-08)</t>
  </si>
  <si>
    <t>17:37(-08)</t>
  </si>
  <si>
    <t>2019-03-19 11:38 (-08)</t>
  </si>
  <si>
    <t>2021-11-17 22:20 (PST)</t>
  </si>
  <si>
    <t>2021-11-17 05:39 (PST)</t>
  </si>
  <si>
    <t>2021-11-18 07:32 (PST)</t>
  </si>
  <si>
    <t>2021-05-27 14:51 (PST)</t>
  </si>
  <si>
    <t>2021-11-18 08:06 (PST)</t>
  </si>
  <si>
    <t>08:06(PST)</t>
  </si>
  <si>
    <t>2021-11-18 15:12 (PST)</t>
  </si>
  <si>
    <t>15:12(PST)</t>
  </si>
  <si>
    <t>2021-10-25 05:36 (PST)</t>
  </si>
  <si>
    <t>2021-11-18 16:50 (-08)</t>
  </si>
  <si>
    <t>10 min Warm Up Ride</t>
  </si>
  <si>
    <t>2021-10-21 22:00 (-08)</t>
  </si>
  <si>
    <t>2021-11-18 17:00 (-08)</t>
  </si>
  <si>
    <t>17:00(-08)</t>
  </si>
  <si>
    <t>2021-02-23 04:52 (-08)</t>
  </si>
  <si>
    <t>2021-11-18 17:45 (-08)</t>
  </si>
  <si>
    <t>17:45(-08)</t>
  </si>
  <si>
    <t>2021-11-18 17:52 (-08)</t>
  </si>
  <si>
    <t>17:52(-08)</t>
  </si>
  <si>
    <t>2021-09-24 05:00 (-08)</t>
  </si>
  <si>
    <t>2021-11-18 22:32 (PST)</t>
  </si>
  <si>
    <t>2021-11-15 09:39 (PST)</t>
  </si>
  <si>
    <t>2021-11-19 03:45 (PST)</t>
  </si>
  <si>
    <t>03:45(PST)</t>
  </si>
  <si>
    <t>2021-09-10 07:00 (PST)</t>
  </si>
  <si>
    <t>2021-11-19 03:58 (PST)</t>
  </si>
  <si>
    <t>03:58(PST)</t>
  </si>
  <si>
    <t>2021-09-13 17:05 (PST)</t>
  </si>
  <si>
    <t>2021-11-19 07:42 (PST)</t>
  </si>
  <si>
    <t>30 min Foo Fighters Yoga Flow</t>
  </si>
  <si>
    <t>2021-11-17 14:52 (PST)</t>
  </si>
  <si>
    <t>2021-11-19 22:11 (PST)</t>
  </si>
  <si>
    <t>2021-11-20 13:01 (-08)</t>
  </si>
  <si>
    <t>13:01(-08)</t>
  </si>
  <si>
    <t>2021-04-03 03:21 (-08)</t>
  </si>
  <si>
    <t>2021-11-20 14:01 (-08)</t>
  </si>
  <si>
    <t>14:01(-08)</t>
  </si>
  <si>
    <t>2021-11-20 14:09 (-08)</t>
  </si>
  <si>
    <t>14:09(-08)</t>
  </si>
  <si>
    <t>2019-04-30 11:03 (-08)</t>
  </si>
  <si>
    <t>2021-11-20 14:20 (-08)</t>
  </si>
  <si>
    <t>14:20(-08)</t>
  </si>
  <si>
    <t>2021-09-07 05:00 (-08)</t>
  </si>
  <si>
    <t>2021-11-21 02:09 (PST)</t>
  </si>
  <si>
    <t>02:09(PST)</t>
  </si>
  <si>
    <t>2021-11-18 15:40 (PST)</t>
  </si>
  <si>
    <t>2021-11-21 20:04 (-08)</t>
  </si>
  <si>
    <t>20:04(-08)</t>
  </si>
  <si>
    <t>2020-10-03 03:48 (-08)</t>
  </si>
  <si>
    <t>2021-11-21 20:37 (-08)</t>
  </si>
  <si>
    <t>20:37(-08)</t>
  </si>
  <si>
    <t>2021-11-21 20:43 (-08)</t>
  </si>
  <si>
    <t>2018-10-05 08:56 (-08)</t>
  </si>
  <si>
    <t>2021-11-21 21:06 (PST)</t>
  </si>
  <si>
    <t>15 min Focus Flow: Hips</t>
  </si>
  <si>
    <t>2021-10-18 05:39 (PST)</t>
  </si>
  <si>
    <t>2021-11-21 22:06 (PST)</t>
  </si>
  <si>
    <t>22:06(PST)</t>
  </si>
  <si>
    <t>2021-11-22 07:11 (PST)</t>
  </si>
  <si>
    <t>20 min Focus Flow: Skandasana</t>
  </si>
  <si>
    <t>2021-11-18 05:26 (PST)</t>
  </si>
  <si>
    <t>2021-11-22 17:00 (-08)</t>
  </si>
  <si>
    <t>2021-10-07 07:00 (-08)</t>
  </si>
  <si>
    <t>2021-11-22 17:06 (-08)</t>
  </si>
  <si>
    <t>17:06(-08)</t>
  </si>
  <si>
    <t>2021-02-03 02:52 (-08)</t>
  </si>
  <si>
    <t>2021-11-22 17:52 (-08)</t>
  </si>
  <si>
    <t>2021-11-22 17:59 (-08)</t>
  </si>
  <si>
    <t>17:59(-08)</t>
  </si>
  <si>
    <t>2021-11-22 07:00 (-08)</t>
  </si>
  <si>
    <t>2021-11-22 18:21 (-08)</t>
  </si>
  <si>
    <t>18:21(-08)</t>
  </si>
  <si>
    <t>2019-05-28 05:00 (-08)</t>
  </si>
  <si>
    <t>2021-11-22 22:11 (PST)</t>
  </si>
  <si>
    <t>2021-11-23 07:18 (PST)</t>
  </si>
  <si>
    <t>30 min Pride Celebration Yoga Flow</t>
  </si>
  <si>
    <t>2021-06-30 14:52 (PST)</t>
  </si>
  <si>
    <t>2021-11-23 13:06 (PST)</t>
  </si>
  <si>
    <t>13:06(PST)</t>
  </si>
  <si>
    <t>30 min 90s Walk</t>
  </si>
  <si>
    <t>2021-07-16 08:00 (PST)</t>
  </si>
  <si>
    <t>2021-11-23 20:32 (-08)</t>
  </si>
  <si>
    <t>20:32(-08)</t>
  </si>
  <si>
    <t>2021-09-01 13:00 (-08)</t>
  </si>
  <si>
    <t>2021-11-23 21:03 (-08)</t>
  </si>
  <si>
    <t>21:03(-08)</t>
  </si>
  <si>
    <t>2021-11-22 08:00 (-08)</t>
  </si>
  <si>
    <t>2021-11-23 23:08 (PST)</t>
  </si>
  <si>
    <t>23:08(PST)</t>
  </si>
  <si>
    <t>2021-11-23 07:00 (PST)</t>
  </si>
  <si>
    <t>2021-11-24 07:55 (PST)</t>
  </si>
  <si>
    <t>07:55(PST)</t>
  </si>
  <si>
    <t>30 min AFO Yoga Flow: Pearl Jam</t>
  </si>
  <si>
    <t>2021-07-03 08:51 (PST)</t>
  </si>
  <si>
    <t>2021-11-24 15:02 (PST)</t>
  </si>
  <si>
    <t>15:02(PST)</t>
  </si>
  <si>
    <t>30 min Beyonce Walk</t>
  </si>
  <si>
    <t>2021-10-20 10:30 (PST)</t>
  </si>
  <si>
    <t>2021-11-24 15:54 (-08)</t>
  </si>
  <si>
    <t>15:54(-08)</t>
  </si>
  <si>
    <t>2021-11-24 08:00 (-08)</t>
  </si>
  <si>
    <t>2021-11-24 16:00 (-08)</t>
  </si>
  <si>
    <t>16:00(-08)</t>
  </si>
  <si>
    <t>2021-11-24 16:48 (-08)</t>
  </si>
  <si>
    <t>16:48(-08)</t>
  </si>
  <si>
    <t>2021-11-24 16:59 (-08)</t>
  </si>
  <si>
    <t>16:59(-08)</t>
  </si>
  <si>
    <t>2021-11-08 00:57 (-08)</t>
  </si>
  <si>
    <t>2021-11-24 22:21 (PST)</t>
  </si>
  <si>
    <t>2021-11-23 08:00 (PST)</t>
  </si>
  <si>
    <t>2021-11-25 09:18 (-08)</t>
  </si>
  <si>
    <t>09:18(-08)</t>
  </si>
  <si>
    <t>2021-06-12 03:52 (-08)</t>
  </si>
  <si>
    <t>2021-11-25 10:49 (-08)</t>
  </si>
  <si>
    <t>10:49(-08)</t>
  </si>
  <si>
    <t>2021-11-25 11:00 (PST)</t>
  </si>
  <si>
    <t>11:00(PST)</t>
  </si>
  <si>
    <t>2021-10-19 14:52 (PST)</t>
  </si>
  <si>
    <t>2021-11-29 15:27 (-08)</t>
  </si>
  <si>
    <t>15:27(-08)</t>
  </si>
  <si>
    <t>2021-10-05 21:00 (-08)</t>
  </si>
  <si>
    <t>2021-11-29 15:34 (-08)</t>
  </si>
  <si>
    <t>15:34(-08)</t>
  </si>
  <si>
    <t>2021-09-07 06:30 (-08)</t>
  </si>
  <si>
    <t>2021-11-29 16:19 (-08)</t>
  </si>
  <si>
    <t>16:19(-08)</t>
  </si>
  <si>
    <t>2021-09-29 21:25 (-08)</t>
  </si>
  <si>
    <t>2021-11-29 16:25 (-08)</t>
  </si>
  <si>
    <t>16:25(-08)</t>
  </si>
  <si>
    <t>2021-10-19 23:32 (-08)</t>
  </si>
  <si>
    <t>2021-11-29 16:40 (-08)</t>
  </si>
  <si>
    <t>16:40(-08)</t>
  </si>
  <si>
    <t>2019-05-27 05:00 (-08)</t>
  </si>
  <si>
    <t>2021-11-29 16:46 (-08)</t>
  </si>
  <si>
    <t>16:46(-08)</t>
  </si>
  <si>
    <t>2019-05-26 11:19 (-08)</t>
  </si>
  <si>
    <t>2021-11-29 21:34 (PST)</t>
  </si>
  <si>
    <t>21:34(PST)</t>
  </si>
  <si>
    <t>2021-11-29 07:00 (PST)</t>
  </si>
  <si>
    <t>2021-11-30 06:51 (PST)</t>
  </si>
  <si>
    <t>06:51(PST)</t>
  </si>
  <si>
    <t>2021-11-24 06:23 (PST)</t>
  </si>
  <si>
    <t>2021-11-30 12:09 (PST)</t>
  </si>
  <si>
    <t>12:09(PST)</t>
  </si>
  <si>
    <t>30 min R&amp;B Walk</t>
  </si>
  <si>
    <t>2021-10-15 08:00 (PST)</t>
  </si>
  <si>
    <t>2021-11-30 17:18 (-08)</t>
  </si>
  <si>
    <t>45 min 90s Hip Hop Bootcamp</t>
  </si>
  <si>
    <t>2021-11-29 08:50 (-08)</t>
  </si>
  <si>
    <t>2021-11-30 18:09 (-08)</t>
  </si>
  <si>
    <t>18:09(-08)</t>
  </si>
  <si>
    <t>2021-11-30 18:14 (-08)</t>
  </si>
  <si>
    <t>18:14(-08)</t>
  </si>
  <si>
    <t>2021-11-30 22:37 (PST)</t>
  </si>
  <si>
    <t>2021-11-24 05:27 (PST)</t>
  </si>
  <si>
    <t>2021-12-01 07:10 (PST)</t>
  </si>
  <si>
    <t>2021-12-01 12:08 (PST)</t>
  </si>
  <si>
    <t>30 min House Walk</t>
  </si>
  <si>
    <t>2021-07-23 08:00 (PST)</t>
  </si>
  <si>
    <t>2021-12-01 13:06 (PST)</t>
  </si>
  <si>
    <t>2021-11-19 14:37 (PST)</t>
  </si>
  <si>
    <t>2021-12-01 19:05 (-08)</t>
  </si>
  <si>
    <t>19:05(-08)</t>
  </si>
  <si>
    <t>2021-11-02 12:52 (-08)</t>
  </si>
  <si>
    <t>2021-12-01 19:50 (-08)</t>
  </si>
  <si>
    <t>2021-12-01 19:57 (-08)</t>
  </si>
  <si>
    <t>Benny Adami</t>
  </si>
  <si>
    <t>2021-12-01 04:00 (-08)</t>
  </si>
  <si>
    <t>2021-12-01 22:16 (PST)</t>
  </si>
  <si>
    <t>2021-12-01 07:08 (PST)</t>
  </si>
  <si>
    <t>2021-12-02 09:32 (PST)</t>
  </si>
  <si>
    <t>09:32(PST)</t>
  </si>
  <si>
    <t>2021-11-30 05:20 (PST)</t>
  </si>
  <si>
    <t>2021-12-02 12:56 (PST)</t>
  </si>
  <si>
    <t>12:56(PST)</t>
  </si>
  <si>
    <t>2021-12-02 17:17 (-08)</t>
  </si>
  <si>
    <t>17:17(-08)</t>
  </si>
  <si>
    <t>30 min Power Zone Endurance EDM Ride</t>
  </si>
  <si>
    <t>2021-11-21 03:54 (-08)</t>
  </si>
  <si>
    <t>2021-12-02 17:48 (-08)</t>
  </si>
  <si>
    <t>17:48(-08)</t>
  </si>
  <si>
    <t>2021-11-15 08:00 (-08)</t>
  </si>
  <si>
    <t>2021-12-02 17:54 (-08)</t>
  </si>
  <si>
    <t>17:54(-08)</t>
  </si>
  <si>
    <t>2021-12-02 22:29 (PST)</t>
  </si>
  <si>
    <t>2021-12-01 05:38 (PST)</t>
  </si>
  <si>
    <t>2021-12-03 07:35 (PST)</t>
  </si>
  <si>
    <t>2021-11-11 14:52 (PST)</t>
  </si>
  <si>
    <t>2021-12-03 12:27 (PST)</t>
  </si>
  <si>
    <t>12:27(PST)</t>
  </si>
  <si>
    <t>30 min Country Walk</t>
  </si>
  <si>
    <t>2021-06-11 08:00 (PST)</t>
  </si>
  <si>
    <t>2021-12-03 18:30 (-08)</t>
  </si>
  <si>
    <t>18:30(-08)</t>
  </si>
  <si>
    <t>2021-11-06 03:54 (-08)</t>
  </si>
  <si>
    <t>2021-12-03 19:31 (-08)</t>
  </si>
  <si>
    <t>19:31(-08)</t>
  </si>
  <si>
    <t>2021-12-03 19:38 (-08)</t>
  </si>
  <si>
    <t>19:38(-08)</t>
  </si>
  <si>
    <t>2021-12-03 08:00 (-08)</t>
  </si>
  <si>
    <t>2021-12-03 19:45 (-08)</t>
  </si>
  <si>
    <t>19:45(-08)</t>
  </si>
  <si>
    <t>2021-12-03 23:27 (PST)</t>
  </si>
  <si>
    <t>23:27(PST)</t>
  </si>
  <si>
    <t>2021-12-02 07:09 (PST)</t>
  </si>
  <si>
    <t>2021-12-04 08:36 (PST)</t>
  </si>
  <si>
    <t>08:36(PST)</t>
  </si>
  <si>
    <t>30 min Reggae Slow Flow</t>
  </si>
  <si>
    <t>2021-08-22 07:49 (PST)</t>
  </si>
  <si>
    <t>2021-12-04 11:43 (PST)</t>
  </si>
  <si>
    <t>11:43(PST)</t>
  </si>
  <si>
    <t>2021-11-27 08:45 (PST)</t>
  </si>
  <si>
    <t>2021-12-05 12:26 (-08)</t>
  </si>
  <si>
    <t>2020-10-25 06:00 (-08)</t>
  </si>
  <si>
    <t>2021-12-05 12:34 (-08)</t>
  </si>
  <si>
    <t>12:34(-08)</t>
  </si>
  <si>
    <t>2021-10-30 23:30 (-08)</t>
  </si>
  <si>
    <t>2021-12-05 12:47 (-08)</t>
  </si>
  <si>
    <t>12:47(-08)</t>
  </si>
  <si>
    <t>2021-01-24 10:19 (-08)</t>
  </si>
  <si>
    <t>2021-12-05 13:49 (-08)</t>
  </si>
  <si>
    <t>13:49(-08)</t>
  </si>
  <si>
    <t>10 min Foo Fighters Cool Down Ride</t>
  </si>
  <si>
    <t>2021-11-17 08:00 (-08)</t>
  </si>
  <si>
    <t>2021-12-05 14:02 (-08)</t>
  </si>
  <si>
    <t>14:02(-08)</t>
  </si>
  <si>
    <t>2019-05-27 11:43 (-08)</t>
  </si>
  <si>
    <t>2021-12-05 14:27 (PST)</t>
  </si>
  <si>
    <t>14:27(PST)</t>
  </si>
  <si>
    <t>2021-11-16 07:00 (PST)</t>
  </si>
  <si>
    <t>2021-12-05 21:49 (PST)</t>
  </si>
  <si>
    <t>21:49(PST)</t>
  </si>
  <si>
    <t>2021-11-23 15:28 (PST)</t>
  </si>
  <si>
    <t>2021-12-06 01:14 (PST)</t>
  </si>
  <si>
    <t>01:14(PST)</t>
  </si>
  <si>
    <t>2021-07-28 07:00 (PST)</t>
  </si>
  <si>
    <t>2021-12-06 05:40 (PST)</t>
  </si>
  <si>
    <t>05:40(PST)</t>
  </si>
  <si>
    <t>2021-12-03 07:00 (PST)</t>
  </si>
  <si>
    <t>2021-12-06 06:14 (PST)</t>
  </si>
  <si>
    <t>06:14(PST)</t>
  </si>
  <si>
    <t>2021-12-06 17:37 (-08)</t>
  </si>
  <si>
    <t>2021-10-20 07:00 (-08)</t>
  </si>
  <si>
    <t>2021-12-06 17:49 (-08)</t>
  </si>
  <si>
    <t>17:49(-08)</t>
  </si>
  <si>
    <t>2021-10-02 10:00 (-08)</t>
  </si>
  <si>
    <t>2021-12-06 18:23 (-08)</t>
  </si>
  <si>
    <t>18:23(-08)</t>
  </si>
  <si>
    <t>2021-12-01 09:37 (-08)</t>
  </si>
  <si>
    <t>2021-12-06 20:18 (PST)</t>
  </si>
  <si>
    <t>10 min Foam Rolling: Glutes</t>
  </si>
  <si>
    <t>2019-12-08 08:54 (PST)</t>
  </si>
  <si>
    <t>2021-12-06 21:49 (PST)</t>
  </si>
  <si>
    <t>2021-12-06 15:37 (PST)</t>
  </si>
  <si>
    <t>2021-12-07 06:56 (PST)</t>
  </si>
  <si>
    <t>06:56(PST)</t>
  </si>
  <si>
    <t>2021-12-03 06:24 (PST)</t>
  </si>
  <si>
    <t>2021-12-07 08:26 (PST)</t>
  </si>
  <si>
    <t>5 min Energizing Meditation</t>
  </si>
  <si>
    <t>2021-12-07 08:00 (PST)</t>
  </si>
  <si>
    <t>2021-12-07 12:40 (PST)</t>
  </si>
  <si>
    <t>30 min Classical Walk</t>
  </si>
  <si>
    <t>2021-12-06 08:00 (PST)</t>
  </si>
  <si>
    <t>2021-12-07 17:16 (-08)</t>
  </si>
  <si>
    <t>17:16(-08)</t>
  </si>
  <si>
    <t>2021-11-03 01:52 (-08)</t>
  </si>
  <si>
    <t>2021-12-07 18:02 (-08)</t>
  </si>
  <si>
    <t>18:02(-08)</t>
  </si>
  <si>
    <t>10 min Elton John Cool Down Ride</t>
  </si>
  <si>
    <t>2021-10-27 14:45 (-08)</t>
  </si>
  <si>
    <t>2021-12-07 18:15 (-08)</t>
  </si>
  <si>
    <t>18:15(-08)</t>
  </si>
  <si>
    <t>2019-03-19 11:01 (-08)</t>
  </si>
  <si>
    <t>2021-12-07 18:30 (-08)</t>
  </si>
  <si>
    <t>2021-12-07 22:19 (PST)</t>
  </si>
  <si>
    <t>2021-12-08 07:51 (PST)</t>
  </si>
  <si>
    <t>07:51(PST)</t>
  </si>
  <si>
    <t>2021-11-23 05:15 (PST)</t>
  </si>
  <si>
    <t>2021-12-08 12:49 (PST)</t>
  </si>
  <si>
    <t>12:49(PST)</t>
  </si>
  <si>
    <t>5 min Peak Performance Meditation</t>
  </si>
  <si>
    <t>2021-12-01 07:00 (PST)</t>
  </si>
  <si>
    <t>2021-12-08 17:43 (-08)</t>
  </si>
  <si>
    <t>17:43(-08)</t>
  </si>
  <si>
    <t>2021-11-02 11:02 (-08)</t>
  </si>
  <si>
    <t>2021-12-08 17:55 (-08)</t>
  </si>
  <si>
    <t>17:55(-08)</t>
  </si>
  <si>
    <t>2021-12-06 08:52 (-08)</t>
  </si>
  <si>
    <t>2021-12-08 18:42 (-08)</t>
  </si>
  <si>
    <t>2021-12-08 19:58 (PST)</t>
  </si>
  <si>
    <t>19:58(PST)</t>
  </si>
  <si>
    <t>2021-12-07 15:26 (PST)</t>
  </si>
  <si>
    <t>2021-12-08 21:50 (PST)</t>
  </si>
  <si>
    <t>2020-03-02 15:32 (PST)</t>
  </si>
  <si>
    <t>2021-12-09 08:10 (PST)</t>
  </si>
  <si>
    <t>08:10(PST)</t>
  </si>
  <si>
    <t>30 min Evening Yoga Flow</t>
  </si>
  <si>
    <t>2021-11-05 07:00 (PST)</t>
  </si>
  <si>
    <t>2021-12-09 14:18 (PST)</t>
  </si>
  <si>
    <t>14:18(PST)</t>
  </si>
  <si>
    <t>Kirsten Ferguson</t>
  </si>
  <si>
    <t>20 min Beyonce Walk</t>
  </si>
  <si>
    <t>2021-11-26 07:00 (PST)</t>
  </si>
  <si>
    <t>2021-12-09 17:24 (-08)</t>
  </si>
  <si>
    <t>17:24(-08)</t>
  </si>
  <si>
    <t>2021-09-15 01:52 (-08)</t>
  </si>
  <si>
    <t>2021-12-09 18:10 (-08)</t>
  </si>
  <si>
    <t>18:10(-08)</t>
  </si>
  <si>
    <t>2021-12-09 18:15 (-08)</t>
  </si>
  <si>
    <t>2021-12-09 22:31 (PST)</t>
  </si>
  <si>
    <t>2021-12-08 09:37 (PST)</t>
  </si>
  <si>
    <t>2021-12-10 07:34 (PST)</t>
  </si>
  <si>
    <t>30 min Power Yoga</t>
  </si>
  <si>
    <t>2021-07-21 14:53 (PST)</t>
  </si>
  <si>
    <t>2021-12-10 12:47 (PST)</t>
  </si>
  <si>
    <t>2021-12-10 16:21 (-08)</t>
  </si>
  <si>
    <t>16:21(-08)</t>
  </si>
  <si>
    <t>10 min Elton John Warm Up Ride</t>
  </si>
  <si>
    <t>2021-12-10 16:44 (-08)</t>
  </si>
  <si>
    <t>16:44(-08)</t>
  </si>
  <si>
    <t>2021-11-23 08:00 (-08)</t>
  </si>
  <si>
    <t>2021-12-10 22:54 (PST)</t>
  </si>
  <si>
    <t>2021-11-11 07:00 (PST)</t>
  </si>
  <si>
    <t>2021-12-11 23:13 (PST)</t>
  </si>
  <si>
    <t>23:13(PST)</t>
  </si>
  <si>
    <t>2019-04-24 05:19 (PST)</t>
  </si>
  <si>
    <t>2021-12-12 09:23 (PST)</t>
  </si>
  <si>
    <t>09:23(PST)</t>
  </si>
  <si>
    <t>20 min AC/DC Yoga Flow</t>
  </si>
  <si>
    <t>2021-12-01 14:52 (PST)</t>
  </si>
  <si>
    <t>2021-12-12 09:46 (PST)</t>
  </si>
  <si>
    <t>2021-12-12 10:20 (-08)</t>
  </si>
  <si>
    <t>10:20(-08)</t>
  </si>
  <si>
    <t>2021-12-12 10:26 (-08)</t>
  </si>
  <si>
    <t>10:26(-08)</t>
  </si>
  <si>
    <t>2021-04-10 03:24 (-08)</t>
  </si>
  <si>
    <t>2021-12-12 11:26 (-08)</t>
  </si>
  <si>
    <t>11:26(-08)</t>
  </si>
  <si>
    <t>2021-12-12 11:31 (-08)</t>
  </si>
  <si>
    <t>11:31(-08)</t>
  </si>
  <si>
    <t>2021-12-12 22:00 (PST)</t>
  </si>
  <si>
    <t>2020-08-06 07:23 (PST)</t>
  </si>
  <si>
    <t>2021-12-13 07:16 (PST)</t>
  </si>
  <si>
    <t>2021-12-12 10:22 (PST)</t>
  </si>
  <si>
    <t>2021-12-13 17:02 (-08)</t>
  </si>
  <si>
    <t>17:02(-08)</t>
  </si>
  <si>
    <t>45 min Power Zone Endurance 90s Ride</t>
  </si>
  <si>
    <t>2021-11-24 02:52 (-08)</t>
  </si>
  <si>
    <t>2021-12-13 17:50 (-08)</t>
  </si>
  <si>
    <t>17:50(-08)</t>
  </si>
  <si>
    <t>2021-12-07 08:00 (-08)</t>
  </si>
  <si>
    <t>2021-12-13 18:03 (-08)</t>
  </si>
  <si>
    <t>18:03(-08)</t>
  </si>
  <si>
    <t>2021-12-13 18:14 (-08)</t>
  </si>
  <si>
    <t>2021-12-13 22:26 (PST)</t>
  </si>
  <si>
    <t>15 min Stacking Stuffer: Peace</t>
  </si>
  <si>
    <t>2021-12-13 05:30 (PST)</t>
  </si>
  <si>
    <t>2021-12-14 07:27 (PST)</t>
  </si>
  <si>
    <t>30 min Classical Slow Flow</t>
  </si>
  <si>
    <t>2021-09-02 14:53 (PST)</t>
  </si>
  <si>
    <t>2021-12-14 16:23 (-08)</t>
  </si>
  <si>
    <t>5 min Holiday Warm Up Ride</t>
  </si>
  <si>
    <t>2021-12-06 23:00 (-08)</t>
  </si>
  <si>
    <t>2021-12-14 16:30 (-08)</t>
  </si>
  <si>
    <t>16:30(-08)</t>
  </si>
  <si>
    <t>2019-08-08 01:45 (-08)</t>
  </si>
  <si>
    <t>2021-12-14 17:16 (-08)</t>
  </si>
  <si>
    <t>2021-12-14 08:00 (-08)</t>
  </si>
  <si>
    <t>2021-12-14 17:33 (PST)</t>
  </si>
  <si>
    <t>2021-12-06 23:00 (PST)</t>
  </si>
  <si>
    <t>2021-12-14 21:54 (PST)</t>
  </si>
  <si>
    <t>21:54(PST)</t>
  </si>
  <si>
    <t>2021-12-13 09:36 (PST)</t>
  </si>
  <si>
    <t>2021-12-15 06:00 (-08)</t>
  </si>
  <si>
    <t>06:00(-08)</t>
  </si>
  <si>
    <t>2021-06-02 01:53 (-08)</t>
  </si>
  <si>
    <t>2021-12-15 06:46 (-08)</t>
  </si>
  <si>
    <t>06:46(-08)</t>
  </si>
  <si>
    <t>10 min Queen Cool Down Ride</t>
  </si>
  <si>
    <t>2021-12-08 14:00 (-08)</t>
  </si>
  <si>
    <t>2021-12-15 06:57 (-08)</t>
  </si>
  <si>
    <t>06:57(-08)</t>
  </si>
  <si>
    <t>2021-12-15 12:48 (PST)</t>
  </si>
  <si>
    <t>12:48(PST)</t>
  </si>
  <si>
    <t>30 min Power Walk</t>
  </si>
  <si>
    <t>2021-12-15 21:57 (PST)</t>
  </si>
  <si>
    <t>2021-12-12 11:08 (PST)</t>
  </si>
  <si>
    <t>2021-12-16 07:08 (PST)</t>
  </si>
  <si>
    <t>2021-07-12 07:22 (PST)</t>
  </si>
  <si>
    <t>2021-12-16 16:55 (-08)</t>
  </si>
  <si>
    <t>16:55(-08)</t>
  </si>
  <si>
    <t>2021-09-01 05:00 (-08)</t>
  </si>
  <si>
    <t>2021-12-16 17:00 (-08)</t>
  </si>
  <si>
    <t>2021-07-27 03:55 (-08)</t>
  </si>
  <si>
    <t>2021-12-16 17:46 (-08)</t>
  </si>
  <si>
    <t>2021-09-26 21:00 (-08)</t>
  </si>
  <si>
    <t>2021-12-16 17:58 (-08)</t>
  </si>
  <si>
    <t>17:58(-08)</t>
  </si>
  <si>
    <t>2021-12-16 06:30 (-08)</t>
  </si>
  <si>
    <t>2021-12-16 22:07 (PST)</t>
  </si>
  <si>
    <t>2021-12-16 07:00 (PST)</t>
  </si>
  <si>
    <t>2021-12-17 23:09 (PST)</t>
  </si>
  <si>
    <t>23:09(PST)</t>
  </si>
  <si>
    <t>2021-12-17 14:38 (PST)</t>
  </si>
  <si>
    <t>2021-12-18 14:31 (-08)</t>
  </si>
  <si>
    <t>14:31(-08)</t>
  </si>
  <si>
    <t>2021-12-15 02:52 (-08)</t>
  </si>
  <si>
    <t>2021-12-18 15:17 (-08)</t>
  </si>
  <si>
    <t>15:17(-08)</t>
  </si>
  <si>
    <t>2021-01-03 06:00 (-08)</t>
  </si>
  <si>
    <t>2021-12-18 16:38 (PST)</t>
  </si>
  <si>
    <t>16:38(PST)</t>
  </si>
  <si>
    <t>2021-08-30 16:23 (PST)</t>
  </si>
  <si>
    <t>2021-12-18 22:41 (PST)</t>
  </si>
  <si>
    <t>2021-12-11 08:36 (PST)</t>
  </si>
  <si>
    <t>2021-12-19 09:58 (-08)</t>
  </si>
  <si>
    <t>09:58(-08)</t>
  </si>
  <si>
    <t>2021-09-18 03:53 (-08)</t>
  </si>
  <si>
    <t>2021-12-19 10:59 (-08)</t>
  </si>
  <si>
    <t>10:59(-08)</t>
  </si>
  <si>
    <t>2021-12-19 11:06 (-08)</t>
  </si>
  <si>
    <t>11:06(-08)</t>
  </si>
  <si>
    <t>2021-12-18 10:40 (-08)</t>
  </si>
  <si>
    <t>2021-12-19 11:12 (-08)</t>
  </si>
  <si>
    <t>11:12(-08)</t>
  </si>
  <si>
    <t>2021-06-04 00:15 (-08)</t>
  </si>
  <si>
    <t>2021-12-19 22:16 (PST)</t>
  </si>
  <si>
    <t>2021-12-20 06:33 (PST)</t>
  </si>
  <si>
    <t>06:33(PST)</t>
  </si>
  <si>
    <t>15 min Stacking Stuffer: Hips Flow</t>
  </si>
  <si>
    <t>2021-12-20 05:30 (PST)</t>
  </si>
  <si>
    <t>2021-12-20 06:50 (PST)</t>
  </si>
  <si>
    <t>2021-10-19 07:00 (PST)</t>
  </si>
  <si>
    <t>2021-12-20 17:24 (-08)</t>
  </si>
  <si>
    <t>10 min Beyonce Warm Up Ride</t>
  </si>
  <si>
    <t>2021-10-19 09:30 (-08)</t>
  </si>
  <si>
    <t>2021-12-20 17:36 (-08)</t>
  </si>
  <si>
    <t>2021-12-20 18:21 (-08)</t>
  </si>
  <si>
    <t>2021-12-20 18:27 (-08)</t>
  </si>
  <si>
    <t>18:27(-08)</t>
  </si>
  <si>
    <t>10 min Stretch</t>
  </si>
  <si>
    <t>2021-12-20 07:00 (-08)</t>
  </si>
  <si>
    <t>2021-12-20 21:44 (PST)</t>
  </si>
  <si>
    <t>15 min Meditation for Healing</t>
  </si>
  <si>
    <t>2021-12-20 15:38 (PST)</t>
  </si>
  <si>
    <t>2021-12-21 07:22 (PST)</t>
  </si>
  <si>
    <t>2021-09-04 07:53 (PST)</t>
  </si>
  <si>
    <t>2021-12-21 18:08 (-08)</t>
  </si>
  <si>
    <t>18:08(-08)</t>
  </si>
  <si>
    <t>5 min Queen Warm Up Ride</t>
  </si>
  <si>
    <t>2021-12-08 13:50 (-08)</t>
  </si>
  <si>
    <t>2021-12-21 18:14 (-08)</t>
  </si>
  <si>
    <t>2021-08-19 03:53 (-08)</t>
  </si>
  <si>
    <t>2021-12-21 19:00 (-08)</t>
  </si>
  <si>
    <t>19:00(-08)</t>
  </si>
  <si>
    <t>2021-12-21 19:29 (PST)</t>
  </si>
  <si>
    <t>19:29(PST)</t>
  </si>
  <si>
    <t>2021-12-16 15:28 (PST)</t>
  </si>
  <si>
    <t>2021-12-21 22:34 (PST)</t>
  </si>
  <si>
    <t>2021-12-21 07:00 (PST)</t>
  </si>
  <si>
    <t>2021-12-22 13:47 (PST)</t>
  </si>
  <si>
    <t>13:47(PST)</t>
  </si>
  <si>
    <t>2021-09-05 07:50 (PST)</t>
  </si>
  <si>
    <t>2021-12-22 17:02 (-08)</t>
  </si>
  <si>
    <t>2020-10-31 08:30 (-08)</t>
  </si>
  <si>
    <t>2021-12-22 17:25 (-08)</t>
  </si>
  <si>
    <t>10 min Strength-Focus Warm Up</t>
  </si>
  <si>
    <t>2019-12-10 08:00 (-08)</t>
  </si>
  <si>
    <t>2021-12-22 17:36 (-08)</t>
  </si>
  <si>
    <t>30 min Upper Body Strength</t>
  </si>
  <si>
    <t>2021-12-22 18:11 (-08)</t>
  </si>
  <si>
    <t>18:11(-08)</t>
  </si>
  <si>
    <t>2021-11-18 06:30 (-08)</t>
  </si>
  <si>
    <t>2021-12-22 18:23 (-08)</t>
  </si>
  <si>
    <t>10 min 007 Full Body Stretch</t>
  </si>
  <si>
    <t>2021-10-04 00:13 (-08)</t>
  </si>
  <si>
    <t>2021-12-22 22:21 (PST)</t>
  </si>
  <si>
    <t>2021-12-22 07:00 (PST)</t>
  </si>
  <si>
    <t>2021-12-23 07:58 (PST)</t>
  </si>
  <si>
    <t>07:58(PST)</t>
  </si>
  <si>
    <t>30 min Beyond the Pose: Foundation</t>
  </si>
  <si>
    <t>2021-10-05 05:19 (PST)</t>
  </si>
  <si>
    <t>2021-12-23 22:03 (PST)</t>
  </si>
  <si>
    <t>22:03(PST)</t>
  </si>
  <si>
    <t>2021-12-21 08:00 (PST)</t>
  </si>
  <si>
    <t>2021-12-24 07:53 (PST)</t>
  </si>
  <si>
    <t>07:53(PST)</t>
  </si>
  <si>
    <t>2021-12-19 07:52 (PST)</t>
  </si>
  <si>
    <t>2021-12-24 09:41 (-08)</t>
  </si>
  <si>
    <t>09:41(-08)</t>
  </si>
  <si>
    <t>2020-12-16 02:52 (-08)</t>
  </si>
  <si>
    <t>2021-12-24 10:27 (-08)</t>
  </si>
  <si>
    <t>10:27(-08)</t>
  </si>
  <si>
    <t>2021-12-24 21:54 (PST)</t>
  </si>
  <si>
    <t>15 min Stacking Stuffer: Calm</t>
  </si>
  <si>
    <t>2021-12-25 08:27 (PST)</t>
  </si>
  <si>
    <t>08:27(PST)</t>
  </si>
  <si>
    <t>30 min 2000s Yoga Flow</t>
  </si>
  <si>
    <t>2021-10-07 14:50 (PST)</t>
  </si>
  <si>
    <t>2021-12-25 08:59 (PST)</t>
  </si>
  <si>
    <t>08:59(PST)</t>
  </si>
  <si>
    <t>2021-11-23 07:30 (PST)</t>
  </si>
  <si>
    <t>2021-12-25 22:08 (PST)</t>
  </si>
  <si>
    <t>2020-11-17 07:00 (PST)</t>
  </si>
  <si>
    <t>2021-12-26 09:42 (-08)</t>
  </si>
  <si>
    <t>09:42(-08)</t>
  </si>
  <si>
    <t>2021-12-26 10:28 (-08)</t>
  </si>
  <si>
    <t>10:28(-08)</t>
  </si>
  <si>
    <t>2021-05-29 10:00 (-08)</t>
  </si>
  <si>
    <t>2021-12-26 10:49 (-08)</t>
  </si>
  <si>
    <t>2021-12-26 21:29 (PST)</t>
  </si>
  <si>
    <t>2021-12-08 07:00 (PST)</t>
  </si>
  <si>
    <t>2021-12-27 00:58 (PST)</t>
  </si>
  <si>
    <t>2021-01-21 07:36 (PST)</t>
  </si>
  <si>
    <t>2021-12-27 07:43 (PST)</t>
  </si>
  <si>
    <t>2021-10-19 05:21 (PST)</t>
  </si>
  <si>
    <t>2021-12-27 12:26 (PST)</t>
  </si>
  <si>
    <t>12:26(PST)</t>
  </si>
  <si>
    <t>2021-10-28 07:06 (PST)</t>
  </si>
  <si>
    <t>2021-12-27 16:55 (-08)</t>
  </si>
  <si>
    <t>2021-12-27 08:00 (-08)</t>
  </si>
  <si>
    <t>2021-12-27 17:05 (-08)</t>
  </si>
  <si>
    <t>17:05(-08)</t>
  </si>
  <si>
    <t>2021-12-27 17:52 (-08)</t>
  </si>
  <si>
    <t>2021-12-02 11:02 (-08)</t>
  </si>
  <si>
    <t>2021-12-27 18:09 (PST)</t>
  </si>
  <si>
    <t>18:09(PST)</t>
  </si>
  <si>
    <t>2021-12-21 07:30 (PST)</t>
  </si>
  <si>
    <t>2021-12-27 21:25 (PST)</t>
  </si>
  <si>
    <t>5 min Relaxing Meditation</t>
  </si>
  <si>
    <t>2021-11-06 08:38 (PST)</t>
  </si>
  <si>
    <t>2021-12-28 07:09 (PST)</t>
  </si>
  <si>
    <t>2021-10-20 06:21 (PST)</t>
  </si>
  <si>
    <t>2021-12-28 11:55 (PST)</t>
  </si>
  <si>
    <t>10 min Focus Flow: Quads</t>
  </si>
  <si>
    <t>2021-03-09 07:37 (PST)</t>
  </si>
  <si>
    <t>2021-12-28 15:33 (-08)</t>
  </si>
  <si>
    <t>15:33(-08)</t>
  </si>
  <si>
    <t>2021-12-19 04:32 (-08)</t>
  </si>
  <si>
    <t>2021-12-28 15:45 (-08)</t>
  </si>
  <si>
    <t>15:45(-08)</t>
  </si>
  <si>
    <t>2020-07-20 13:48 (-08)</t>
  </si>
  <si>
    <t>2021-12-28 16:33 (-08)</t>
  </si>
  <si>
    <t>16:33(-08)</t>
  </si>
  <si>
    <t>2021-12-23 00:55 (-08)</t>
  </si>
  <si>
    <t>2021-12-28 16:44 (-08)</t>
  </si>
  <si>
    <t>10 min Red (Taylor's Version) Stretch</t>
  </si>
  <si>
    <t>2021-12-25 02:00 (-08)</t>
  </si>
  <si>
    <t>2021-12-28 22:18 (PST)</t>
  </si>
  <si>
    <t>2021-09-20 07:00 (PST)</t>
  </si>
  <si>
    <t>2021-12-29 02:39 (PST)</t>
  </si>
  <si>
    <t>02:39(PST)</t>
  </si>
  <si>
    <t>2021-12-29 03:14 (PST)</t>
  </si>
  <si>
    <t>03:14(PST)</t>
  </si>
  <si>
    <t>2021-12-29 12:41 (PST)</t>
  </si>
  <si>
    <t>12:41(PST)</t>
  </si>
  <si>
    <t>2021-12-29 06:22 (PST)</t>
  </si>
  <si>
    <t>2021-12-29 17:31 (-08)</t>
  </si>
  <si>
    <t>17:31(-08)</t>
  </si>
  <si>
    <t>2021-09-22 03:54 (-08)</t>
  </si>
  <si>
    <t>2021-12-29 18:06 (-08)</t>
  </si>
  <si>
    <t>18:06(-08)</t>
  </si>
  <si>
    <t>20 min Arms &amp; Shoulders Strength</t>
  </si>
  <si>
    <t>2020-11-13 05:59 (-08)</t>
  </si>
  <si>
    <t>2021-12-29 22:45 (PST)</t>
  </si>
  <si>
    <t>2021-12-29 07:00 (PST)</t>
  </si>
  <si>
    <t>2021-12-30 07:02 (PST)</t>
  </si>
  <si>
    <t>2021-10-25 04:53 (PST)</t>
  </si>
  <si>
    <t>2021-12-30 07:35 (PST)</t>
  </si>
  <si>
    <t>30 min Core Strength</t>
  </si>
  <si>
    <t>2021-12-02 06:30 (PST)</t>
  </si>
  <si>
    <t>2021-12-30 11:45 (-08)</t>
  </si>
  <si>
    <t>11:45(-08)</t>
  </si>
  <si>
    <t>2019-10-25 12:04 (-08)</t>
  </si>
  <si>
    <t>2021-12-30 11:58 (-08)</t>
  </si>
  <si>
    <t>11:58(-08)</t>
  </si>
  <si>
    <t>2021-01-03 05:45 (-08)</t>
  </si>
  <si>
    <t>2021-12-30 12:24 (-08)</t>
  </si>
  <si>
    <t>12:24(-08)</t>
  </si>
  <si>
    <t>2021-12-22 22:35 (-08)</t>
  </si>
  <si>
    <t>2021-12-30 12:46 (PST)</t>
  </si>
  <si>
    <t>2021-07-12 05:40 (PST)</t>
  </si>
  <si>
    <t>2021-12-30 22:51 (PST)</t>
  </si>
  <si>
    <t>2021-12-20 05:38 (PST)</t>
  </si>
  <si>
    <t>2021-12-31 17:17 (PST)</t>
  </si>
  <si>
    <t>17:17(PST)</t>
  </si>
  <si>
    <t>2021-10-04 08:51 (PST)</t>
  </si>
  <si>
    <t>2021-12-31 17:37 (PST)</t>
  </si>
  <si>
    <t>20 min LHM Salsa Focus Flow: Hips</t>
  </si>
  <si>
    <t>2021-10-03 04:49 (PST)</t>
  </si>
  <si>
    <t>2021-12-31 18:01 (PST)</t>
  </si>
  <si>
    <t>2022-01-01 00:53 (PST)</t>
  </si>
  <si>
    <t>00:53(PST)</t>
  </si>
  <si>
    <t>2022-01-01 12:17 (PST)</t>
  </si>
  <si>
    <t>2021-11-19 06:25 (PST)</t>
  </si>
  <si>
    <t>2022-01-01 22:39 (PST)</t>
  </si>
  <si>
    <t>10 min Breathwork: Ocean Breath</t>
  </si>
  <si>
    <t>2022-01-01 00:00 (PST)</t>
  </si>
  <si>
    <t>2022-01-02 09:53 (PST)</t>
  </si>
  <si>
    <t>09:53(PST)</t>
  </si>
  <si>
    <t>2021-04-25 07:08 (PST)</t>
  </si>
  <si>
    <t>2022-01-02 10:09 (-08)</t>
  </si>
  <si>
    <t>10:09(-08)</t>
  </si>
  <si>
    <t>2021-01-03 05:30 (-08)</t>
  </si>
  <si>
    <t>2022-01-02 10:28 (-08)</t>
  </si>
  <si>
    <t>2021-04-23 05:00 (-08)</t>
  </si>
  <si>
    <t>2022-01-02 10:58 (-08)</t>
  </si>
  <si>
    <t>10:58(-08)</t>
  </si>
  <si>
    <t>15 min Cool Down Ride</t>
  </si>
  <si>
    <t>2019-09-10 23:47 (-08)</t>
  </si>
  <si>
    <t>2022-01-02 11:23 (PST)</t>
  </si>
  <si>
    <t>11:23(PST)</t>
  </si>
  <si>
    <t>2021-09-13 08:10 (PST)</t>
  </si>
  <si>
    <t>2022-01-02 11:34 (PST)</t>
  </si>
  <si>
    <t>2021-08-09 07:00 (PST)</t>
  </si>
  <si>
    <t>2022-01-02 22:08 (PST)</t>
  </si>
  <si>
    <t>2022-01-03 07:07 (PST)</t>
  </si>
  <si>
    <t>2021-02-08 07:25 (PST)</t>
  </si>
  <si>
    <t>2022-01-03 07:29 (PST)</t>
  </si>
  <si>
    <t>2021-01-12 07:37 (PST)</t>
  </si>
  <si>
    <t>2022-01-03 16:08 (-08)</t>
  </si>
  <si>
    <t>16:08(-08)</t>
  </si>
  <si>
    <t>2021-12-30 00:30 (-08)</t>
  </si>
  <si>
    <t>2022-01-03 16:14 (-08)</t>
  </si>
  <si>
    <t>16:14(-08)</t>
  </si>
  <si>
    <t>45 min Power Zone Endurance Rock Ride</t>
  </si>
  <si>
    <t>2021-12-05 03:55 (-08)</t>
  </si>
  <si>
    <t>2022-01-03 17:01 (-08)</t>
  </si>
  <si>
    <t>17:01(-08)</t>
  </si>
  <si>
    <t>2022-01-03 17:07 (-08)</t>
  </si>
  <si>
    <t>17:07(-08)</t>
  </si>
  <si>
    <t>2021-12-09 06:30 (-08)</t>
  </si>
  <si>
    <t>2022-01-03 17:20 (-08)</t>
  </si>
  <si>
    <t>2021-12-27 00:55 (-08)</t>
  </si>
  <si>
    <t>2022-01-03 22:46 (PST)</t>
  </si>
  <si>
    <t>2022-01-03 07:00 (PST)</t>
  </si>
  <si>
    <t>2022-01-04 07:13 (PST)</t>
  </si>
  <si>
    <t>2021-10-28 14:55 (PST)</t>
  </si>
  <si>
    <t>2022-01-04 16:34 (-08)</t>
  </si>
  <si>
    <t>16:34(-08)</t>
  </si>
  <si>
    <t>2021-07-23 06:00 (-08)</t>
  </si>
  <si>
    <t>2022-01-04 16:41 (-08)</t>
  </si>
  <si>
    <t>16:41(-08)</t>
  </si>
  <si>
    <t>2022-01-04 17:26 (-08)</t>
  </si>
  <si>
    <t>17:26(-08)</t>
  </si>
  <si>
    <t>2022-01-04 17:33 (-08)</t>
  </si>
  <si>
    <t>17:33(-08)</t>
  </si>
  <si>
    <t>2021-12-27 14:35 (-08)</t>
  </si>
  <si>
    <t>2022-01-04 17:44 (-08)</t>
  </si>
  <si>
    <t>17:44(-08)</t>
  </si>
  <si>
    <t>2022-01-04 22:17 (PST)</t>
  </si>
  <si>
    <t>2022-01-04 08:00 (PST)</t>
  </si>
  <si>
    <t>2022-01-05 07:37 (PST)</t>
  </si>
  <si>
    <t>2021-11-04 14:53 (PST)</t>
  </si>
  <si>
    <t>2022-01-05 14:45 (PST)</t>
  </si>
  <si>
    <t>14:45(PST)</t>
  </si>
  <si>
    <t>2021-01-06 07:37 (PST)</t>
  </si>
  <si>
    <t>2022-01-05 16:05 (-08)</t>
  </si>
  <si>
    <t>16:05(-08)</t>
  </si>
  <si>
    <t>2021-08-03 22:00 (-08)</t>
  </si>
  <si>
    <t>2022-01-05 16:13 (-08)</t>
  </si>
  <si>
    <t>16:13(-08)</t>
  </si>
  <si>
    <t>2021-09-27 01:52 (-08)</t>
  </si>
  <si>
    <t>2022-01-05 16:44 (-08)</t>
  </si>
  <si>
    <t>2020-11-28 11:00 (-08)</t>
  </si>
  <si>
    <t>2022-01-05 22:26 (PST)</t>
  </si>
  <si>
    <t>15 min Gratitude Meditation</t>
  </si>
  <si>
    <t>2022-01-05 05:26 (PST)</t>
  </si>
  <si>
    <t>2022-01-06 07:11 (PST)</t>
  </si>
  <si>
    <t>2021-12-27 08:52 (PST)</t>
  </si>
  <si>
    <t>2022-01-06 17:40 (-08)</t>
  </si>
  <si>
    <t>17:40(-08)</t>
  </si>
  <si>
    <t>2021-01-30 04:52 (-08)</t>
  </si>
  <si>
    <t>2022-01-06 18:42 (-08)</t>
  </si>
  <si>
    <t>2021-08-06 06:00 (-08)</t>
  </si>
  <si>
    <t>2022-01-06 18:48 (-08)</t>
  </si>
  <si>
    <t>18:48(-08)</t>
  </si>
  <si>
    <t>2022-01-06 08:00 (-08)</t>
  </si>
  <si>
    <t>2022-01-06 21:37 (PST)</t>
  </si>
  <si>
    <t>2022-01-06 15:37 (PST)</t>
  </si>
  <si>
    <t>2022-01-07 13:32 (PST)</t>
  </si>
  <si>
    <t>13:32(PST)</t>
  </si>
  <si>
    <t>30 min Beyond the Pose: Devotion</t>
  </si>
  <si>
    <t>2021-11-22 08:50 (PST)</t>
  </si>
  <si>
    <t>2022-01-07 16:18 (-08)</t>
  </si>
  <si>
    <t>16:18(-08)</t>
  </si>
  <si>
    <t>2021-12-30 06:01 (-08)</t>
  </si>
  <si>
    <t>2022-01-07 16:29 (-08)</t>
  </si>
  <si>
    <t>16:29(-08)</t>
  </si>
  <si>
    <t>2022-01-07 17:16 (-08)</t>
  </si>
  <si>
    <t>2022-01-04 08:00 (-08)</t>
  </si>
  <si>
    <t>2022-01-07 17:27 (-08)</t>
  </si>
  <si>
    <t>2022-01-07 22:54 (PST)</t>
  </si>
  <si>
    <t>10 min Deep Relaxation Meditation</t>
  </si>
  <si>
    <t>2022-01-08 16:42 (PST)</t>
  </si>
  <si>
    <t>2019-07-28 07:48 (PST)</t>
  </si>
  <si>
    <t>2022-01-08 22:51 (PST)</t>
  </si>
  <si>
    <t>20 min Happiness Meditation</t>
  </si>
  <si>
    <t>2021-12-30 17:00 (PST)</t>
  </si>
  <si>
    <t>2022-01-09 18:42 (PST)</t>
  </si>
  <si>
    <t>18:42(PST)</t>
  </si>
  <si>
    <t>2021-12-15 09:28 (PST)</t>
  </si>
  <si>
    <t>2022-01-09 19:03 (PST)</t>
  </si>
  <si>
    <t>15 min Focus Flow: Quads</t>
  </si>
  <si>
    <t>2021-10-20 07:09 (PST)</t>
  </si>
  <si>
    <t>2022-01-09 19:19 (PST)</t>
  </si>
  <si>
    <t>2022-01-05 09:41 (PST)</t>
  </si>
  <si>
    <t>2022-01-09 19:31 (PST)</t>
  </si>
  <si>
    <t>19:31(PST)</t>
  </si>
  <si>
    <t>2021-04-28 08:09 (PST)</t>
  </si>
  <si>
    <t>2022-01-09 19:43 (PST)</t>
  </si>
  <si>
    <t>19:43(PST)</t>
  </si>
  <si>
    <t>2021-11-12 07:00 (PST)</t>
  </si>
  <si>
    <t>2022-01-09 21:39 (PST)</t>
  </si>
  <si>
    <t>21:39(PST)</t>
  </si>
  <si>
    <t>2022-01-09 07:06 (PST)</t>
  </si>
  <si>
    <t>2022-01-10 07:20 (PST)</t>
  </si>
  <si>
    <t>30 min Deep House Yoga Flow</t>
  </si>
  <si>
    <t>2021-12-11 07:53 (PST)</t>
  </si>
  <si>
    <t>2022-01-10 17:35 (-08)</t>
  </si>
  <si>
    <t>2021-10-13 01:54 (-08)</t>
  </si>
  <si>
    <t>2022-01-10 18:05 (-08)</t>
  </si>
  <si>
    <t>18:05(-08)</t>
  </si>
  <si>
    <t>2020-08-19 03:50 (-08)</t>
  </si>
  <si>
    <t>2022-01-10 18:38 (-08)</t>
  </si>
  <si>
    <t>18:38(-08)</t>
  </si>
  <si>
    <t>2021-11-27 06:31 (-08)</t>
  </si>
  <si>
    <t>2022-01-10 18:49 (-08)</t>
  </si>
  <si>
    <t>18:49(-08)</t>
  </si>
  <si>
    <t>2022-01-10 22:01 (PST)</t>
  </si>
  <si>
    <t>2022-01-11 07:00 (PST)</t>
  </si>
  <si>
    <t>2021-12-12 07:53 (PST)</t>
  </si>
  <si>
    <t>2022-01-11 22:22 (PST)</t>
  </si>
  <si>
    <t>2022-01-12 07:07 (PST)</t>
  </si>
  <si>
    <t>2021-12-13 08:53 (PST)</t>
  </si>
  <si>
    <t>2022-01-12 07:39 (PST)</t>
  </si>
  <si>
    <t>2021-11-18 06:30 (PST)</t>
  </si>
  <si>
    <t>2022-01-12 12:01 (PST)</t>
  </si>
  <si>
    <t>12:01(PST)</t>
  </si>
  <si>
    <t>20 min Hip Hop Walk</t>
  </si>
  <si>
    <t>2021-12-20 08:00 (PST)</t>
  </si>
  <si>
    <t>2022-01-12 12:26 (PST)</t>
  </si>
  <si>
    <t>2022-01-12 05:37 (PST)</t>
  </si>
  <si>
    <t>2022-01-12 16:13 (-08)</t>
  </si>
  <si>
    <t>2022-01-12 16:18 (-08)</t>
  </si>
  <si>
    <t>2021-12-01 13:54 (-08)</t>
  </si>
  <si>
    <t>2022-01-12 17:04 (-08)</t>
  </si>
  <si>
    <t>17:04(-08)</t>
  </si>
  <si>
    <t>2022-01-12 17:10 (-08)</t>
  </si>
  <si>
    <t>17:10(-08)</t>
  </si>
  <si>
    <t>2022-01-12 23:00 (PST)</t>
  </si>
  <si>
    <t>2022-01-13 07:34 (PST)</t>
  </si>
  <si>
    <t>2022-01-11 05:16 (PST)</t>
  </si>
  <si>
    <t>2022-01-13 12:55 (PST)</t>
  </si>
  <si>
    <t>12:55(PST)</t>
  </si>
  <si>
    <t>2021-05-07 08:00 (PST)</t>
  </si>
  <si>
    <t>2022-01-13 16:51 (-08)</t>
  </si>
  <si>
    <t>16:51(-08)</t>
  </si>
  <si>
    <t>2022-01-12 08:00 (-08)</t>
  </si>
  <si>
    <t>2022-01-13 16:57 (-08)</t>
  </si>
  <si>
    <t>16:57(-08)</t>
  </si>
  <si>
    <t>45 min Power Zone Endurance 80s Ride</t>
  </si>
  <si>
    <t>2021-10-28 09:26 (-08)</t>
  </si>
  <si>
    <t>2022-01-13 17:42 (-08)</t>
  </si>
  <si>
    <t>2022-01-11 08:00 (-08)</t>
  </si>
  <si>
    <t>2022-01-13 17:48 (-08)</t>
  </si>
  <si>
    <t>2022-01-13 22:07 (PST)</t>
  </si>
  <si>
    <t>2022-01-13 07:00 (PST)</t>
  </si>
  <si>
    <t>2022-01-14 07:26 (PST)</t>
  </si>
  <si>
    <t>2021-11-27 07:54 (PST)</t>
  </si>
  <si>
    <t>2022-01-14 13:28 (-08)</t>
  </si>
  <si>
    <t>13:28(-08)</t>
  </si>
  <si>
    <t>2021-12-20 08:51 (-08)</t>
  </si>
  <si>
    <t>2022-01-14 13:59 (-08)</t>
  </si>
  <si>
    <t>13:59(-08)</t>
  </si>
  <si>
    <t>2021-12-30 08:00 (-08)</t>
  </si>
  <si>
    <t>2022-01-14 23:08 (PST)</t>
  </si>
  <si>
    <t>2022-01-11 15:37 (PST)</t>
  </si>
  <si>
    <t>2022-01-15 09:06 (-08)</t>
  </si>
  <si>
    <t>09:06(-08)</t>
  </si>
  <si>
    <t>2022-01-15 09:30 (-08)</t>
  </si>
  <si>
    <t>09:30(-08)</t>
  </si>
  <si>
    <t>2021-11-20 04:52 (-08)</t>
  </si>
  <si>
    <t>2022-01-15 10:30 (-08)</t>
  </si>
  <si>
    <t>10:30(-08)</t>
  </si>
  <si>
    <t>2022-01-15 22:17 (PST)</t>
  </si>
  <si>
    <t>2019-05-31 07:20 (PST)</t>
  </si>
  <si>
    <t>2022-01-16 10:25 (PST)</t>
  </si>
  <si>
    <t>2020-01-30 14:49 (PST)</t>
  </si>
  <si>
    <t>2022-01-16 20:14 (PST)</t>
  </si>
  <si>
    <t>2021-04-29 07:00 (PST)</t>
  </si>
  <si>
    <t>2022-01-16 20:36 (PST)</t>
  </si>
  <si>
    <t>20:36(PST)</t>
  </si>
  <si>
    <t>10 min Foam Rolling: Calves</t>
  </si>
  <si>
    <t>2019-12-15 13:30 (PST)</t>
  </si>
  <si>
    <t>2022-01-16 20:48 (PST)</t>
  </si>
  <si>
    <t>10 min Foam Rolling: Hamstrings</t>
  </si>
  <si>
    <t>2019-11-23 14:00 (PST)</t>
  </si>
  <si>
    <t>2022-01-16 22:21 (PST)</t>
  </si>
  <si>
    <t>2019-09-11 15:31 (PST)</t>
  </si>
  <si>
    <t>2022-01-17 07:10 (PST)</t>
  </si>
  <si>
    <t>2021-12-13 04:54 (PST)</t>
  </si>
  <si>
    <t>2022-01-17 17:51 (-08)</t>
  </si>
  <si>
    <t>17:51(-08)</t>
  </si>
  <si>
    <t>2022-01-10 06:32 (-08)</t>
  </si>
  <si>
    <t>2022-01-17 18:04 (-08)</t>
  </si>
  <si>
    <t>18:04(-08)</t>
  </si>
  <si>
    <t>2021-11-07 03:55 (-08)</t>
  </si>
  <si>
    <t>2022-01-17 18:49 (-08)</t>
  </si>
  <si>
    <t>2022-01-17 18:58 (-08)</t>
  </si>
  <si>
    <t>2021-08-15 06:05 (-08)</t>
  </si>
  <si>
    <t>2022-01-17 19:08 (-08)</t>
  </si>
  <si>
    <t>19:08(-08)</t>
  </si>
  <si>
    <t>2022-01-06 06:30 (-08)</t>
  </si>
  <si>
    <t>2022-01-17 19:14 (-08)</t>
  </si>
  <si>
    <t>19:14(-08)</t>
  </si>
  <si>
    <t>2022-01-17 08:00 (-08)</t>
  </si>
  <si>
    <t>2022-01-17 21:58 (PST)</t>
  </si>
  <si>
    <t>2019-04-19 07:12 (PST)</t>
  </si>
  <si>
    <t>2022-01-18 07:12 (PST)</t>
  </si>
  <si>
    <t>30 min Classical Yoga Flow</t>
  </si>
  <si>
    <t>2021-12-13 14:51 (PST)</t>
  </si>
  <si>
    <t>2022-01-18 20:57 (-08)</t>
  </si>
  <si>
    <t>20:57(-08)</t>
  </si>
  <si>
    <t>2022-01-18 21:20 (-08)</t>
  </si>
  <si>
    <t>21:20(-08)</t>
  </si>
  <si>
    <t>2021-12-30 07:00 (-08)</t>
  </si>
  <si>
    <t>2022-01-18 22:17 (PST)</t>
  </si>
  <si>
    <t>2019-05-14 07:13 (PST)</t>
  </si>
  <si>
    <t>2022-01-19 07:26 (PST)</t>
  </si>
  <si>
    <t>2021-12-14 05:17 (PST)</t>
  </si>
  <si>
    <t>2022-01-19 16:29 (-08)</t>
  </si>
  <si>
    <t>2022-01-19 17:15 (-08)</t>
  </si>
  <si>
    <t>17:15(-08)</t>
  </si>
  <si>
    <t>2022-01-18 08:00 (-08)</t>
  </si>
  <si>
    <t>2022-01-19 17:36 (-08)</t>
  </si>
  <si>
    <t>2021-08-11 07:16 (-08)</t>
  </si>
  <si>
    <t>2022-01-19 17:41 (-08)</t>
  </si>
  <si>
    <t>17:41(-08)</t>
  </si>
  <si>
    <t>2022-01-15 08:00 (-08)</t>
  </si>
  <si>
    <t>2022-01-19 22:15 (PST)</t>
  </si>
  <si>
    <t>2020-02-27 15:31 (PST)</t>
  </si>
  <si>
    <t>2022-01-20 07:21 (PST)</t>
  </si>
  <si>
    <t>07:21(PST)</t>
  </si>
  <si>
    <t>30 min David Bowie Yoga Flow</t>
  </si>
  <si>
    <t>2022-01-19 14:49 (PST)</t>
  </si>
  <si>
    <t>2022-01-20 15:57 (PST)</t>
  </si>
  <si>
    <t>15:57(PST)</t>
  </si>
  <si>
    <t>30 min 2010s Walk</t>
  </si>
  <si>
    <t>2022-01-14 08:00 (PST)</t>
  </si>
  <si>
    <t>2022-01-20 16:49 (-08)</t>
  </si>
  <si>
    <t>16:49(-08)</t>
  </si>
  <si>
    <t>2021-08-20 07:21 (-08)</t>
  </si>
  <si>
    <t>2022-01-20 17:22 (-08)</t>
  </si>
  <si>
    <t>17:22(-08)</t>
  </si>
  <si>
    <t>2022-01-20 08:00 (-08)</t>
  </si>
  <si>
    <t>2022-01-20 22:27 (PST)</t>
  </si>
  <si>
    <t>2022-01-18 08:00 (PST)</t>
  </si>
  <si>
    <t>2022-01-21 07:09 (PST)</t>
  </si>
  <si>
    <t>2020-07-26 07:50 (PST)</t>
  </si>
  <si>
    <t>2022-01-21 10:51 (-08)</t>
  </si>
  <si>
    <t>10:51(-08)</t>
  </si>
  <si>
    <t>2022-01-21 11:52 (-08)</t>
  </si>
  <si>
    <t>11:52(-08)</t>
  </si>
  <si>
    <t>2022-01-21 12:00 (-08)</t>
  </si>
  <si>
    <t>12:00(-08)</t>
  </si>
  <si>
    <t>2021-02-25 22:35 (-08)</t>
  </si>
  <si>
    <t>2022-01-21 12:06 (-08)</t>
  </si>
  <si>
    <t>12:06(-08)</t>
  </si>
  <si>
    <t>2022-01-07 07:00 (-08)</t>
  </si>
  <si>
    <t>2022-01-21 23:22 (PST)</t>
  </si>
  <si>
    <t>23:22(PST)</t>
  </si>
  <si>
    <t>2020-07-29 07:00 (PST)</t>
  </si>
  <si>
    <t>2022-01-22 22:53 (PST)</t>
  </si>
  <si>
    <t>2020-02-05 15:31 (PST)</t>
  </si>
  <si>
    <t>2022-01-23 14:47 (PST)</t>
  </si>
  <si>
    <t>2022-01-20 15:27 (PST)</t>
  </si>
  <si>
    <t>2022-01-23 19:32 (PST)</t>
  </si>
  <si>
    <t>2020-09-02 04:52 (PST)</t>
  </si>
  <si>
    <t>2022-01-23 21:33 (PST)</t>
  </si>
  <si>
    <t>21:33(PST)</t>
  </si>
  <si>
    <t>2020-03-05 15:31 (PST)</t>
  </si>
  <si>
    <t>2022-01-24 06:56 (PST)</t>
  </si>
  <si>
    <t>2020-08-02 07:48 (PST)</t>
  </si>
  <si>
    <t>2022-01-24 07:32 (PST)</t>
  </si>
  <si>
    <t>2022-01-07 07:00 (PST)</t>
  </si>
  <si>
    <t>2022-01-24 13:08 (PST)</t>
  </si>
  <si>
    <t>2021-02-12 08:00 (PST)</t>
  </si>
  <si>
    <t>2022-01-24 17:51 (-08)</t>
  </si>
  <si>
    <t>2021-08-21 10:00 (-08)</t>
  </si>
  <si>
    <t>2022-01-24 18:36 (-08)</t>
  </si>
  <si>
    <t>18:36(-08)</t>
  </si>
  <si>
    <t>2022-01-24 18:43 (-08)</t>
  </si>
  <si>
    <t>2021-07-27 16:07 (-08)</t>
  </si>
  <si>
    <t>2022-01-24 21:56 (PST)</t>
  </si>
  <si>
    <t>21:56(PST)</t>
  </si>
  <si>
    <t>2020-01-28 05:31 (PST)</t>
  </si>
  <si>
    <t>2022-01-25 11:59 (PST)</t>
  </si>
  <si>
    <t>11:59(PST)</t>
  </si>
  <si>
    <t>2022-01-25 16:55 (-08)</t>
  </si>
  <si>
    <t>2020-08-23 08:48 (-08)</t>
  </si>
  <si>
    <t>2022-01-25 17:26 (-08)</t>
  </si>
  <si>
    <t>10 min Vermont Ride</t>
  </si>
  <si>
    <t>2022-01-25 17:38 (-08)</t>
  </si>
  <si>
    <t>17:38(-08)</t>
  </si>
  <si>
    <t>2022-01-25 22:19 (PST)</t>
  </si>
  <si>
    <t>2022-01-25 06:56 (PST)</t>
  </si>
  <si>
    <t>2022-01-26 07:42 (PST)</t>
  </si>
  <si>
    <t>2021-12-21 05:19 (PST)</t>
  </si>
  <si>
    <t>2022-01-26 12:30 (PST)</t>
  </si>
  <si>
    <t>12:30(PST)</t>
  </si>
  <si>
    <t>2021-03-05 08:00 (PST)</t>
  </si>
  <si>
    <t>2022-01-26 16:20 (-08)</t>
  </si>
  <si>
    <t>16:20(-08)</t>
  </si>
  <si>
    <t>2022-01-18 13:45 (-08)</t>
  </si>
  <si>
    <t>2022-01-26 16:26 (-08)</t>
  </si>
  <si>
    <t>16:26(-08)</t>
  </si>
  <si>
    <t>2021-04-07 01:53 (-08)</t>
  </si>
  <si>
    <t>2022-01-26 17:11 (-08)</t>
  </si>
  <si>
    <t>17:11(-08)</t>
  </si>
  <si>
    <t>2022-01-26 08:00 (-08)</t>
  </si>
  <si>
    <t>2022-01-26 17:21 (-08)</t>
  </si>
  <si>
    <t>17:21(-08)</t>
  </si>
  <si>
    <t>2022-01-25 16:05 (-08)</t>
  </si>
  <si>
    <t>2022-01-26 17:32 (-08)</t>
  </si>
  <si>
    <t>2022-01-26 22:27 (PST)</t>
  </si>
  <si>
    <t>2020-02-11 05:31 (PST)</t>
  </si>
  <si>
    <t>2022-01-27 07:29 (PST)</t>
  </si>
  <si>
    <t>2021-12-21 06:25 (PST)</t>
  </si>
  <si>
    <t>2022-01-27 08:02 (PST)</t>
  </si>
  <si>
    <t>08:02(PST)</t>
  </si>
  <si>
    <t>2022-01-27 15:16 (PST)</t>
  </si>
  <si>
    <t>45 min Power Walk</t>
  </si>
  <si>
    <t>2021-10-08 08:00 (PST)</t>
  </si>
  <si>
    <t>2022-01-27 17:21 (-08)</t>
  </si>
  <si>
    <t>2022-01-27 22:16 (PST)</t>
  </si>
  <si>
    <t>2020-02-10 15:32 (PST)</t>
  </si>
  <si>
    <t>2022-01-28 07:21 (PST)</t>
  </si>
  <si>
    <t>2021-12-29 05:12 (PST)</t>
  </si>
  <si>
    <t>2022-01-28 07:54 (PST)</t>
  </si>
  <si>
    <t>07:54(PST)</t>
  </si>
  <si>
    <t>5 min Morning Meditation</t>
  </si>
  <si>
    <t>2022-01-27 07:00 (PST)</t>
  </si>
  <si>
    <t>2022-01-28 22:49 (PST)</t>
  </si>
  <si>
    <t>2022-01-28 14:27 (PST)</t>
  </si>
  <si>
    <t>2022-01-29 16:27 (-08)</t>
  </si>
  <si>
    <t>16:27(-08)</t>
  </si>
  <si>
    <t>2021-10-16 03:23 (-08)</t>
  </si>
  <si>
    <t>2022-01-29 17:42 (-08)</t>
  </si>
  <si>
    <t>2022-01-29 17:50 (-08)</t>
  </si>
  <si>
    <t>2022-01-29 18:00 (-08)</t>
  </si>
  <si>
    <t>18:00(-08)</t>
  </si>
  <si>
    <t>2022-01-25 08:00 (-08)</t>
  </si>
  <si>
    <t>2022-01-29 23:21 (PST)</t>
  </si>
  <si>
    <t>23:21(PST)</t>
  </si>
  <si>
    <t>2020-02-03 15:31 (PST)</t>
  </si>
  <si>
    <t>2022-01-30 16:21 (-08)</t>
  </si>
  <si>
    <t>2022-01-30 16:28 (-08)</t>
  </si>
  <si>
    <t>16:28(-08)</t>
  </si>
  <si>
    <t>30 min Bootcamp: Full Body</t>
  </si>
  <si>
    <t>2020-09-15 05:15 (-08)</t>
  </si>
  <si>
    <t>2022-01-30 17:00 (-08)</t>
  </si>
  <si>
    <t>2022-01-29 01:35 (-08)</t>
  </si>
  <si>
    <t>2022-01-30 17:22 (PST)</t>
  </si>
  <si>
    <t>17:22(PST)</t>
  </si>
  <si>
    <t>2022-01-21 06:55 (PST)</t>
  </si>
  <si>
    <t>2022-01-30 18:10 (PST)</t>
  </si>
  <si>
    <t>18:10(PST)</t>
  </si>
  <si>
    <t>2019-12-22 05:00 (PST)</t>
  </si>
  <si>
    <t>2022-01-30 22:33 (PST)</t>
  </si>
  <si>
    <t>2020-01-12 09:10 (PST)</t>
  </si>
  <si>
    <t>2022-01-31 07:33 (PST)</t>
  </si>
  <si>
    <t>30 min Alternative Yoga Flow</t>
  </si>
  <si>
    <t>2022-01-25 14:53 (PST)</t>
  </si>
  <si>
    <t>2022-01-31 16:05 (PST)</t>
  </si>
  <si>
    <t>16:05(PST)</t>
  </si>
  <si>
    <t>2021-01-15 08:00 (PST)</t>
  </si>
  <si>
    <t>2022-01-31 17:18 (-08)</t>
  </si>
  <si>
    <t>2022-01-26 07:34 (-08)</t>
  </si>
  <si>
    <t>2022-01-31 17:39 (-08)</t>
  </si>
  <si>
    <t>17:39(-08)</t>
  </si>
  <si>
    <t>2022-01-31 18:11 (-08)</t>
  </si>
  <si>
    <t>2022-01-31 22:15 (PST)</t>
  </si>
  <si>
    <t>2019-12-02 15:31 (PST)</t>
  </si>
  <si>
    <t>2022-02-01 15:13 (PST)</t>
  </si>
  <si>
    <t>30 min Hip Hop Fun Walk</t>
  </si>
  <si>
    <t>2020-02-13 08:00 (PST)</t>
  </si>
  <si>
    <t>2022-02-01 16:47 (-08)</t>
  </si>
  <si>
    <t>2022-02-01 17:00 (-08)</t>
  </si>
  <si>
    <t>2022-02-01 17:51 (-08)</t>
  </si>
  <si>
    <t>2022-02-01 17:59 (-08)</t>
  </si>
  <si>
    <t>2022-02-01 08:00 (-08)</t>
  </si>
  <si>
    <t>2022-02-01 21:06 (PST)</t>
  </si>
  <si>
    <t>2019-11-25 08:11 (PST)</t>
  </si>
  <si>
    <t>2022-02-01 22:56 (PST)</t>
  </si>
  <si>
    <t>22:56(PST)</t>
  </si>
  <si>
    <t>2022-02-01 08:00 (PST)</t>
  </si>
  <si>
    <t>2022-02-02 07:14 (PST)</t>
  </si>
  <si>
    <t>30 min Y2K Yoga Flow</t>
  </si>
  <si>
    <t>2021-09-22 14:52 (PST)</t>
  </si>
  <si>
    <t>2022-02-02 16:28 (PST)</t>
  </si>
  <si>
    <t>2019-07-18 08:00 (PST)</t>
  </si>
  <si>
    <t>2022-02-02 17:20 (PST)</t>
  </si>
  <si>
    <t>17:20(PST)</t>
  </si>
  <si>
    <t>2022-02-02 17:37 (-08)</t>
  </si>
  <si>
    <t>2021-01-30 11:30 (-08)</t>
  </si>
  <si>
    <t>2022-02-02 22:23 (PST)</t>
  </si>
  <si>
    <t>2019-11-27 05:31 (PST)</t>
  </si>
  <si>
    <t>2022-02-03 04:18 (PST)</t>
  </si>
  <si>
    <t>04:18(PST)</t>
  </si>
  <si>
    <t>2022-01-25 07:00 (PST)</t>
  </si>
  <si>
    <t>2022-02-03 07:59 (PST)</t>
  </si>
  <si>
    <t>2022-01-29 07:55 (PST)</t>
  </si>
  <si>
    <t>2022-02-03 12:04 (PST)</t>
  </si>
  <si>
    <t>2020-10-09 08:00 (PST)</t>
  </si>
  <si>
    <t>2022-02-03 22:23 (PST)</t>
  </si>
  <si>
    <t>2019-11-21 05:31 (PST)</t>
  </si>
  <si>
    <t>2022-02-04 03:11 (PST)</t>
  </si>
  <si>
    <t>03:11(PST)</t>
  </si>
  <si>
    <t>2022-02-03 07:00 (PST)</t>
  </si>
  <si>
    <t>2022-02-04 07:34 (PST)</t>
  </si>
  <si>
    <t>2020-08-19 06:49 (PST)</t>
  </si>
  <si>
    <t>2022-02-04 12:15 (-08)</t>
  </si>
  <si>
    <t>12:15(-08)</t>
  </si>
  <si>
    <t>2021-06-22 09:25 (-08)</t>
  </si>
  <si>
    <t>2022-02-04 13:00 (-08)</t>
  </si>
  <si>
    <t>13:00(-08)</t>
  </si>
  <si>
    <t>2022-02-04 13:10 (-08)</t>
  </si>
  <si>
    <t>13:10(-08)</t>
  </si>
  <si>
    <t>2022-02-04 13:21 (-08)</t>
  </si>
  <si>
    <t>13:21(-08)</t>
  </si>
  <si>
    <t>2022-02-04 23:16 (PST)</t>
  </si>
  <si>
    <t>23:16(PST)</t>
  </si>
  <si>
    <t>2019-11-18 11:45 (PST)</t>
  </si>
  <si>
    <t>2022-02-05 17:13 (-08)</t>
  </si>
  <si>
    <t>17:13(-08)</t>
  </si>
  <si>
    <t>2021-01-16 04:54 (-08)</t>
  </si>
  <si>
    <t>2022-02-05 18:29 (-08)</t>
  </si>
  <si>
    <t>18:29(-08)</t>
  </si>
  <si>
    <t>2022-01-13 08:00 (-08)</t>
  </si>
  <si>
    <t>2022-02-05 18:36 (-08)</t>
  </si>
  <si>
    <t>2022-02-05 21:05 (PST)</t>
  </si>
  <si>
    <t>2022-01-26 09:27 (PST)</t>
  </si>
  <si>
    <t>2022-02-05 21:17 (PST)</t>
  </si>
  <si>
    <t>2022-01-24 09:38 (PST)</t>
  </si>
  <si>
    <t>2022-02-05 22:12 (PST)</t>
  </si>
  <si>
    <t>2020-01-16 13:22 (PST)</t>
  </si>
  <si>
    <t>2022-02-06 04:30 (PST)</t>
  </si>
  <si>
    <t>04:30(PST)</t>
  </si>
  <si>
    <t>2021-09-14 07:00 (PST)</t>
  </si>
  <si>
    <t>2022-02-06 18:00 (PST)</t>
  </si>
  <si>
    <t>2020-07-10 13:00 (PST)</t>
  </si>
  <si>
    <t>2022-02-06 22:13 (PST)</t>
  </si>
  <si>
    <t>2022-02-07 07:31 (PST)</t>
  </si>
  <si>
    <t>20 min Focus Flow: Healthy Back</t>
  </si>
  <si>
    <t>2022-01-04 14:51 (PST)</t>
  </si>
  <si>
    <t>2022-02-07 07:54 (PST)</t>
  </si>
  <si>
    <t>2022-02-07 11:33 (PST)</t>
  </si>
  <si>
    <t>30 min BHM Black Power Walk</t>
  </si>
  <si>
    <t>2022-02-07 08:00 (PST)</t>
  </si>
  <si>
    <t>2022-02-07 16:29 (-08)</t>
  </si>
  <si>
    <t>2022-01-19 08:00 (-08)</t>
  </si>
  <si>
    <t>2022-02-07 17:01 (-08)</t>
  </si>
  <si>
    <t>2022-02-06 05:34 (-08)</t>
  </si>
  <si>
    <t>2022-02-07 22:34 (PST)</t>
  </si>
  <si>
    <t>2022-02-01 15:35 (PST)</t>
  </si>
  <si>
    <t>2022-02-07 23:09 (PST)</t>
  </si>
  <si>
    <t>2019-11-27 06:37 (PST)</t>
  </si>
  <si>
    <t>2022-02-08 07:32 (PST)</t>
  </si>
  <si>
    <t>2022-02-06 07:52 (PST)</t>
  </si>
  <si>
    <t>2022-02-08 16:13 (PST)</t>
  </si>
  <si>
    <t>16:13(PST)</t>
  </si>
  <si>
    <t>20 min 80s Walk</t>
  </si>
  <si>
    <t>2022-01-21 08:00 (PST)</t>
  </si>
  <si>
    <t>2022-02-08 16:50 (-08)</t>
  </si>
  <si>
    <t>2021-09-26 02:54 (-08)</t>
  </si>
  <si>
    <t>2022-02-08 23:15 (PST)</t>
  </si>
  <si>
    <t>23:15(PST)</t>
  </si>
  <si>
    <t>2022-02-08 07:00 (PST)</t>
  </si>
  <si>
    <t>2022-02-09 14:50 (PST)</t>
  </si>
  <si>
    <t>14:50(PST)</t>
  </si>
  <si>
    <t>2021-07-11 08:35 (PST)</t>
  </si>
  <si>
    <t>2022-02-09 16:13 (PST)</t>
  </si>
  <si>
    <t>2020-05-15 08:00 (PST)</t>
  </si>
  <si>
    <t>2022-02-09 17:05 (-08)</t>
  </si>
  <si>
    <t>2022-02-09 17:16 (-08)</t>
  </si>
  <si>
    <t>2022-02-09 17:24 (-08)</t>
  </si>
  <si>
    <t>2021-02-06 04:50 (-08)</t>
  </si>
  <si>
    <t>2022-02-09 17:55 (-08)</t>
  </si>
  <si>
    <t>2022-02-09 22:34 (PST)</t>
  </si>
  <si>
    <t>2019-11-13 15:31 (PST)</t>
  </si>
  <si>
    <t>2022-02-10 07:43 (PST)</t>
  </si>
  <si>
    <t>2020-11-20 07:00 (PST)</t>
  </si>
  <si>
    <t>2022-02-10 16:53 (-08)</t>
  </si>
  <si>
    <t>16:53(-08)</t>
  </si>
  <si>
    <t>2022-02-10 17:07 (-08)</t>
  </si>
  <si>
    <t>2022-01-14 04:23 (-08)</t>
  </si>
  <si>
    <t>2022-02-10 22:40 (PST)</t>
  </si>
  <si>
    <t>2019-11-06 15:31 (PST)</t>
  </si>
  <si>
    <t>2022-02-11 07:46 (PST)</t>
  </si>
  <si>
    <t>2022-02-10 14:50 (PST)</t>
  </si>
  <si>
    <t>2022-02-11 15:36 (-08)</t>
  </si>
  <si>
    <t>15:36(-08)</t>
  </si>
  <si>
    <t>2022-02-11 15:49 (-08)</t>
  </si>
  <si>
    <t>15:49(-08)</t>
  </si>
  <si>
    <t>2022-02-11 16:07 (-08)</t>
  </si>
  <si>
    <t>16:07(-08)</t>
  </si>
  <si>
    <t>2022-02-11 16:33 (-08)</t>
  </si>
  <si>
    <t>2022-02-11 16:42 (-08)</t>
  </si>
  <si>
    <t>16:42(-08)</t>
  </si>
  <si>
    <t>2022-02-11 22:26 (PST)</t>
  </si>
  <si>
    <t>2022-02-11 07:00 (PST)</t>
  </si>
  <si>
    <t>2022-02-12 09:13 (PST)</t>
  </si>
  <si>
    <t>09:13(PST)</t>
  </si>
  <si>
    <t>2022-01-13 14:55 (PST)</t>
  </si>
  <si>
    <t>2022-02-12 23:27 (PST)</t>
  </si>
  <si>
    <t>2019-10-24 12:42 (PST)</t>
  </si>
  <si>
    <t>2022-02-13 09:45 (PST)</t>
  </si>
  <si>
    <t>2022-02-13 09:56 (PST)</t>
  </si>
  <si>
    <t>09:56(PST)</t>
  </si>
  <si>
    <t>2021-06-21 08:06 (PST)</t>
  </si>
  <si>
    <t>2022-02-13 10:08 (PST)</t>
  </si>
  <si>
    <t>2021-05-25 05:36 (PST)</t>
  </si>
  <si>
    <t>2022-02-13 17:38 (PST)</t>
  </si>
  <si>
    <t>2022-02-02 04:00 (PST)</t>
  </si>
  <si>
    <t>2022-02-13 17:46 (PST)</t>
  </si>
  <si>
    <t>2022-02-13 17:58 (PST)</t>
  </si>
  <si>
    <t>17:58(PST)</t>
  </si>
  <si>
    <t>2022-02-13 18:10 (PST)</t>
  </si>
  <si>
    <t>10 min Foam Rolling: Quads</t>
  </si>
  <si>
    <t>2019-11-24 05:00 (PST)</t>
  </si>
  <si>
    <t>2022-02-13 18:25 (PST)</t>
  </si>
  <si>
    <t>18:25(PST)</t>
  </si>
  <si>
    <t>2022-02-13 21:59 (PST)</t>
  </si>
  <si>
    <t>2020-01-03 07:55 (PST)</t>
  </si>
  <si>
    <t>2022-02-13 22:29 (PST)</t>
  </si>
  <si>
    <t>2019-11-24 09:18 (PST)</t>
  </si>
  <si>
    <t>2022-02-13 23:19 (PST)</t>
  </si>
  <si>
    <t>23:19(PST)</t>
  </si>
  <si>
    <t>2019-11-11 10:07 (PST)</t>
  </si>
  <si>
    <t>2022-02-14 11:08 (PST)</t>
  </si>
  <si>
    <t>11:08(PST)</t>
  </si>
  <si>
    <t>2022-02-14 11:19 (PST)</t>
  </si>
  <si>
    <t>30 min Amy Winehouse Yoga Flow</t>
  </si>
  <si>
    <t>2022-01-12 14:54 (PST)</t>
  </si>
  <si>
    <t>2022-02-14 16:58 (-08)</t>
  </si>
  <si>
    <t>16:58(-08)</t>
  </si>
  <si>
    <t>2021-12-02 07:00 (-08)</t>
  </si>
  <si>
    <t>2022-02-14 17:24 (-08)</t>
  </si>
  <si>
    <t>2020-01-30 04:30 (-08)</t>
  </si>
  <si>
    <t>2022-02-14 17:57 (-08)</t>
  </si>
  <si>
    <t>17:57(-08)</t>
  </si>
  <si>
    <t>2022-02-04 08:00 (-08)</t>
  </si>
  <si>
    <t>2022-02-14 22:14 (PST)</t>
  </si>
  <si>
    <t>2019-05-10 04:21 (PST)</t>
  </si>
  <si>
    <t>2022-02-15 15:30 (PST)</t>
  </si>
  <si>
    <t>2020-02-27 08:00 (PST)</t>
  </si>
  <si>
    <t>2022-02-15 19:18 (-08)</t>
  </si>
  <si>
    <t>19:18(-08)</t>
  </si>
  <si>
    <t>2022-02-14 08:00 (-08)</t>
  </si>
  <si>
    <t>2022-02-15 19:24 (-08)</t>
  </si>
  <si>
    <t>19:24(-08)</t>
  </si>
  <si>
    <t>2022-02-15 19:55 (-08)</t>
  </si>
  <si>
    <t>19:55(-08)</t>
  </si>
  <si>
    <t>2022-02-10 08:00 (-08)</t>
  </si>
  <si>
    <t>2022-02-15 22:32 (PST)</t>
  </si>
  <si>
    <t>2022-02-15 15:24 (PST)</t>
  </si>
  <si>
    <t>2022-02-16 07:22 (PST)</t>
  </si>
  <si>
    <t>2022-02-16 07:31 (PST)</t>
  </si>
  <si>
    <t>2021-05-16 07:53 (PST)</t>
  </si>
  <si>
    <t>2022-02-16 17:13 (-08)</t>
  </si>
  <si>
    <t>2021-10-20 01:55 (-08)</t>
  </si>
  <si>
    <t>2022-02-16 17:59 (-08)</t>
  </si>
  <si>
    <t>2022-02-16 18:10 (-08)</t>
  </si>
  <si>
    <t>2022-02-06 23:00 (-08)</t>
  </si>
  <si>
    <t>2022-02-16 22:31 (PST)</t>
  </si>
  <si>
    <t>2022-02-16 07:00 (PST)</t>
  </si>
  <si>
    <t>2022-02-17 16:37 (-08)</t>
  </si>
  <si>
    <t>16:37(-08)</t>
  </si>
  <si>
    <t>10 min Lanebreak Ride</t>
  </si>
  <si>
    <t>2022-02-17 16:50 (-08)</t>
  </si>
  <si>
    <t>2021-03-03 02:52 (-08)</t>
  </si>
  <si>
    <t>2022-02-17 22:43 (PST)</t>
  </si>
  <si>
    <t>2022-02-18 07:45 (PST)</t>
  </si>
  <si>
    <t>2022-02-18 23:00 (PST)</t>
  </si>
  <si>
    <t>2019-07-11 12:53 (PST)</t>
  </si>
  <si>
    <t>2022-02-19 11:19 (PST)</t>
  </si>
  <si>
    <t>2022-01-16 07:52 (PST)</t>
  </si>
  <si>
    <t>2022-02-19 21:56 (PST)</t>
  </si>
  <si>
    <t>2019-07-23 13:00 (PST)</t>
  </si>
  <si>
    <t>2022-02-20 17:10 (PST)</t>
  </si>
  <si>
    <t>17:10(PST)</t>
  </si>
  <si>
    <t>2022-01-10 08:50 (PST)</t>
  </si>
  <si>
    <t>2022-02-20 17:43 (PST)</t>
  </si>
  <si>
    <t>17:43(PST)</t>
  </si>
  <si>
    <t>2022-02-16 04:25 (PST)</t>
  </si>
  <si>
    <t>2022-02-20 18:13 (-08)</t>
  </si>
  <si>
    <t>18:13(-08)</t>
  </si>
  <si>
    <t>2021-10-09 03:53 (-08)</t>
  </si>
  <si>
    <t>2022-02-20 19:19 (-08)</t>
  </si>
  <si>
    <t>19:19(-08)</t>
  </si>
  <si>
    <t>2021-04-20 05:00 (-08)</t>
  </si>
  <si>
    <t>2022-02-20 22:15 (PST)</t>
  </si>
  <si>
    <t>2019-08-22 15:01 (PST)</t>
  </si>
  <si>
    <t>2022-02-20 23:10 (PST)</t>
  </si>
  <si>
    <t>23:10(PST)</t>
  </si>
  <si>
    <t>2019-08-05 13:02 (PST)</t>
  </si>
  <si>
    <t>2022-02-21 07:32 (PST)</t>
  </si>
  <si>
    <t>10 min Mood Core Strength: Sweet</t>
  </si>
  <si>
    <t>2022-02-14 05:00 (PST)</t>
  </si>
  <si>
    <t>2022-02-21 07:44 (PST)</t>
  </si>
  <si>
    <t>07:44(PST)</t>
  </si>
  <si>
    <t>10 min Focus Flow: Easy Seat</t>
  </si>
  <si>
    <t>2021-05-19 08:08 (PST)</t>
  </si>
  <si>
    <t>2022-02-21 21:39 (PST)</t>
  </si>
  <si>
    <t>2019-09-16 13:34 (PST)</t>
  </si>
  <si>
    <t>2022-02-22 07:16 (PST)</t>
  </si>
  <si>
    <t>2022-02-18 07:00 (PST)</t>
  </si>
  <si>
    <t>2022-02-22 12:58 (PST)</t>
  </si>
  <si>
    <t>12:58(PST)</t>
  </si>
  <si>
    <t>30 min 80s Fun Walk</t>
  </si>
  <si>
    <t>2020-01-16 08:00 (PST)</t>
  </si>
  <si>
    <t>2022-02-22 17:30 (-08)</t>
  </si>
  <si>
    <t>17:30(-08)</t>
  </si>
  <si>
    <t>2019-09-05 01:47 (-08)</t>
  </si>
  <si>
    <t>2022-02-22 18:16 (-08)</t>
  </si>
  <si>
    <t>18:16(-08)</t>
  </si>
  <si>
    <t>2022-02-17 08:00 (-08)</t>
  </si>
  <si>
    <t>2022-02-22 18:23 (-08)</t>
  </si>
  <si>
    <t>2022-01-27 06:13 (-08)</t>
  </si>
  <si>
    <t>2022-02-22 22:11 (PST)</t>
  </si>
  <si>
    <t>2022-02-22 06:58 (PST)</t>
  </si>
  <si>
    <t>2022-02-23 12:20 (PST)</t>
  </si>
  <si>
    <t>12:20(PST)</t>
  </si>
  <si>
    <t>30 min Pop Fun Walk</t>
  </si>
  <si>
    <t>2022-02-23 17:10 (-08)</t>
  </si>
  <si>
    <t>2019-12-19 04:47 (-08)</t>
  </si>
  <si>
    <t>2022-02-23 17:56 (-08)</t>
  </si>
  <si>
    <t>17:56(-08)</t>
  </si>
  <si>
    <t>2022-02-20 08:00 (-08)</t>
  </si>
  <si>
    <t>2022-02-23 18:13 (PST)</t>
  </si>
  <si>
    <t>2022-01-29 06:37 (PST)</t>
  </si>
  <si>
    <t>2022-02-23 18:24 (PST)</t>
  </si>
  <si>
    <t>2022-01-18 05:18 (PST)</t>
  </si>
  <si>
    <t>2022-02-23 22:24 (PST)</t>
  </si>
  <si>
    <t>2019-09-30 13:41 (PST)</t>
  </si>
  <si>
    <t>2022-02-24 16:49 (-08)</t>
  </si>
  <si>
    <t>2022-01-17 04:24 (-08)</t>
  </si>
  <si>
    <t>2022-02-24 17:36 (-08)</t>
  </si>
  <si>
    <t>2022-02-24 22:46 (PST)</t>
  </si>
  <si>
    <t>2019-10-02 13:52 (PST)</t>
  </si>
  <si>
    <t>2022-02-25 07:09 (PST)</t>
  </si>
  <si>
    <t>2022-02-25 23:49 (PST)</t>
  </si>
  <si>
    <t>23:49(PST)</t>
  </si>
  <si>
    <t>2019-07-30 07:13 (PST)</t>
  </si>
  <si>
    <t>2022-02-26 08:51 (PST)</t>
  </si>
  <si>
    <t>08:51(PST)</t>
  </si>
  <si>
    <t>Hiking</t>
  </si>
  <si>
    <t>30 min Hike</t>
  </si>
  <si>
    <t>2022-02-26 09:22 (PST)</t>
  </si>
  <si>
    <t>Susie Chan</t>
  </si>
  <si>
    <t>10 min Cool Down Walk</t>
  </si>
  <si>
    <t>2022-01-11 00:55 (PST)</t>
  </si>
  <si>
    <t>2022-02-26 09:36 (PST)</t>
  </si>
  <si>
    <t>09:36(PST)</t>
  </si>
  <si>
    <t>2022-02-24 05:20 (PST)</t>
  </si>
  <si>
    <t>2022-02-26 09:47 (PST)</t>
  </si>
  <si>
    <t>2022-02-15 07:00 (PST)</t>
  </si>
  <si>
    <t>2022-02-26 09:53 (PST)</t>
  </si>
  <si>
    <t>Post-Run Stretch</t>
  </si>
  <si>
    <t>5 min Post-Run Stretch</t>
  </si>
  <si>
    <t>2022-02-25 07:00 (PST)</t>
  </si>
  <si>
    <t>2022-02-27 14:49 (-08)</t>
  </si>
  <si>
    <t>14:49(-08)</t>
  </si>
  <si>
    <t>2020-07-11 03:49 (-08)</t>
  </si>
  <si>
    <t>2022-02-27 15:50 (-08)</t>
  </si>
  <si>
    <t>15:50(-08)</t>
  </si>
  <si>
    <t>2022-02-27 15:56 (-08)</t>
  </si>
  <si>
    <t>15:56(-08)</t>
  </si>
  <si>
    <t>2021-11-24 07:00 (-08)</t>
  </si>
  <si>
    <t>2022-02-27 16:03 (-08)</t>
  </si>
  <si>
    <t>16:03(-08)</t>
  </si>
  <si>
    <t>2022-02-20 23:00 (-08)</t>
  </si>
  <si>
    <t>2022-02-27 22:16 (PST)</t>
  </si>
  <si>
    <t>2019-10-09 07:04 (PST)</t>
  </si>
  <si>
    <t>2022-02-28 07:23 (PST)</t>
  </si>
  <si>
    <t>2022-01-18 14:50 (PST)</t>
  </si>
  <si>
    <t>2022-02-28 18:06 (-08)</t>
  </si>
  <si>
    <t>2020-08-03 15:18 (-08)</t>
  </si>
  <si>
    <t>2022-02-28 18:53 (-08)</t>
  </si>
  <si>
    <t>18:53(-08)</t>
  </si>
  <si>
    <t>2021-12-27 00:50 (-08)</t>
  </si>
  <si>
    <t>2022-02-28 19:01 (-08)</t>
  </si>
  <si>
    <t>19:01(-08)</t>
  </si>
  <si>
    <t>2022-02-28 08:00 (-08)</t>
  </si>
  <si>
    <t>2022-02-28 22:30 (PST)</t>
  </si>
  <si>
    <t>2022-02-25 14:39 (PST)</t>
  </si>
  <si>
    <t>2022-03-01 00:45 (PST)</t>
  </si>
  <si>
    <t>00:45(PST)</t>
  </si>
  <si>
    <t>2022-02-25 07:06 (PST)</t>
  </si>
  <si>
    <t>2022-03-01 05:21 (PST)</t>
  </si>
  <si>
    <t>05:21(PST)</t>
  </si>
  <si>
    <t>2022-02-24 15:38 (PST)</t>
  </si>
  <si>
    <t>2022-03-01 06:56 (PST)</t>
  </si>
  <si>
    <t>2022-02-22 07:30 (PST)</t>
  </si>
  <si>
    <t>2022-03-01 07:08 (PST)</t>
  </si>
  <si>
    <t>2022-01-28 06:24 (PST)</t>
  </si>
  <si>
    <t>2022-03-01 14:03 (PST)</t>
  </si>
  <si>
    <t>2019-11-07 08:00 (PST)</t>
  </si>
  <si>
    <t>2022-03-01 20:24 (PST)</t>
  </si>
  <si>
    <t>20:24(PST)</t>
  </si>
  <si>
    <t>2022-02-24 07:00 (PST)</t>
  </si>
  <si>
    <t>2022-03-01 20:36 (PST)</t>
  </si>
  <si>
    <t>2022-03-01 20:50 (PST)</t>
  </si>
  <si>
    <t>20:50(PST)</t>
  </si>
  <si>
    <t>10 min Focus Flow: Pigeon Pose</t>
  </si>
  <si>
    <t>2021-01-13 07:36 (PST)</t>
  </si>
  <si>
    <t>2022-03-01 22:19 (PST)</t>
  </si>
  <si>
    <t>2022-03-01 08:00 (PST)</t>
  </si>
  <si>
    <t>2022-03-02 07:37 (PST)</t>
  </si>
  <si>
    <t>2022-02-22 14:50 (PST)</t>
  </si>
  <si>
    <t>2022-03-02 08:22 (PST)</t>
  </si>
  <si>
    <t>2022-03-02 05:37 (PST)</t>
  </si>
  <si>
    <t>2022-03-02 17:24 (-08)</t>
  </si>
  <si>
    <t>2022-01-12 10:27 (-08)</t>
  </si>
  <si>
    <t>2022-03-02 17:30 (-08)</t>
  </si>
  <si>
    <t>2019-11-21 02:50 (-08)</t>
  </si>
  <si>
    <t>2022-03-02 18:15 (-08)</t>
  </si>
  <si>
    <t>2021-07-09 13:15 (-08)</t>
  </si>
  <si>
    <t>2022-03-02 18:22 (-08)</t>
  </si>
  <si>
    <t>18:22(-08)</t>
  </si>
  <si>
    <t>2022-03-01 08:00 (-08)</t>
  </si>
  <si>
    <t>2022-03-02 18:34 (-08)</t>
  </si>
  <si>
    <t>18:34(-08)</t>
  </si>
  <si>
    <t>2022-02-16 06:02 (-08)</t>
  </si>
  <si>
    <t>2022-03-02 22:33 (PST)</t>
  </si>
  <si>
    <t>15 min Courage Meditation</t>
  </si>
  <si>
    <t>2022-03-03 07:28 (PST)</t>
  </si>
  <si>
    <t>2022-02-01 05:19 (PST)</t>
  </si>
  <si>
    <t>2022-03-03 08:00 (PST)</t>
  </si>
  <si>
    <t>08:00(PST)</t>
  </si>
  <si>
    <t>2022-02-23 05:34 (PST)</t>
  </si>
  <si>
    <t>2022-03-03 17:02 (-08)</t>
  </si>
  <si>
    <t>2020-01-20 08:20 (-08)</t>
  </si>
  <si>
    <t>2022-03-03 17:33 (-08)</t>
  </si>
  <si>
    <t>2021-10-01 23:05 (-08)</t>
  </si>
  <si>
    <t>2022-03-03 17:40 (-08)</t>
  </si>
  <si>
    <t>2022-03-03 08:00 (-08)</t>
  </si>
  <si>
    <t>2022-03-03 22:34 (PST)</t>
  </si>
  <si>
    <t>2022-03-03 07:00 (PST)</t>
  </si>
  <si>
    <t>2022-03-04 07:36 (PST)</t>
  </si>
  <si>
    <t>2022-02-05 07:50 (PST)</t>
  </si>
  <si>
    <t>2022-03-04 18:29 (-08)</t>
  </si>
  <si>
    <t>2020-12-19 04:53 (-08)</t>
  </si>
  <si>
    <t>2022-03-04 19:30 (-08)</t>
  </si>
  <si>
    <t>19:30(-08)</t>
  </si>
  <si>
    <t>2022-03-04 02:00 (-08)</t>
  </si>
  <si>
    <t>2022-03-04 19:38 (-08)</t>
  </si>
  <si>
    <t>2022-03-04 22:49 (PST)</t>
  </si>
  <si>
    <t>Nico Sarani</t>
  </si>
  <si>
    <t>2022-03-03 11:56 (PST)</t>
  </si>
  <si>
    <t>2022-03-05 23:08 (PST)</t>
  </si>
  <si>
    <t>2022-03-05 08:34 (PST)</t>
  </si>
  <si>
    <t>2022-03-06 09:15 (PST)</t>
  </si>
  <si>
    <t>09:15(PST)</t>
  </si>
  <si>
    <t>2022-02-27 07:50 (PST)</t>
  </si>
  <si>
    <t>2022-03-06 10:09 (PST)</t>
  </si>
  <si>
    <t>10:09(PST)</t>
  </si>
  <si>
    <t>2022-03-06 16:17 (PST)</t>
  </si>
  <si>
    <t>16:17(PST)</t>
  </si>
  <si>
    <t>2022-03-04 14:38 (PST)</t>
  </si>
  <si>
    <t>2022-03-06 18:01 (-08)</t>
  </si>
  <si>
    <t>18:01(-08)</t>
  </si>
  <si>
    <t>2022-01-08 04:22 (-08)</t>
  </si>
  <si>
    <t>2022-03-06 19:38 (-08)</t>
  </si>
  <si>
    <t>2022-02-28 04:37 (-08)</t>
  </si>
  <si>
    <t>2022-03-07 16:05 (PST)</t>
  </si>
  <si>
    <t>2019-09-12 08:00 (PST)</t>
  </si>
  <si>
    <t>2022-03-07 17:42 (PST)</t>
  </si>
  <si>
    <t>17:42(PST)</t>
  </si>
  <si>
    <t>2020-03-01 07:35 (PST)</t>
  </si>
  <si>
    <t>2022-03-07 22:06 (PST)</t>
  </si>
  <si>
    <t>2022-03-01 15:36 (PST)</t>
  </si>
  <si>
    <t>2022-03-08 07:16 (PST)</t>
  </si>
  <si>
    <t>2022-02-22 05:17 (PST)</t>
  </si>
  <si>
    <t>2022-03-08 17:11 (PST)</t>
  </si>
  <si>
    <t>17:11(PST)</t>
  </si>
  <si>
    <t xml:space="preserve">Adrian &amp; Tunde </t>
  </si>
  <si>
    <t>Podcast</t>
  </si>
  <si>
    <t>30 min Fitness Flipped: Stress</t>
  </si>
  <si>
    <t>2022-03-08 05:30 (PST)</t>
  </si>
  <si>
    <t>2022-03-08 18:59 (-08)</t>
  </si>
  <si>
    <t>18:59(-08)</t>
  </si>
  <si>
    <t>15 min WHM Core Strength: Power Stack</t>
  </si>
  <si>
    <t>2022-03-08 01:00 (-08)</t>
  </si>
  <si>
    <t>2022-03-08 19:20 (-08)</t>
  </si>
  <si>
    <t>19:20(-08)</t>
  </si>
  <si>
    <t>2022-03-08 19:45 (-08)</t>
  </si>
  <si>
    <t>2022-03-04 02:52 (-08)</t>
  </si>
  <si>
    <t>2022-03-08 22:14 (PST)</t>
  </si>
  <si>
    <t>2022-03-08 15:28 (PST)</t>
  </si>
  <si>
    <t>2022-03-09 07:28 (PST)</t>
  </si>
  <si>
    <t>2020-07-07 06:51 (PST)</t>
  </si>
  <si>
    <t>2022-03-09 18:04 (-08)</t>
  </si>
  <si>
    <t>2019-07-25 01:44 (-08)</t>
  </si>
  <si>
    <t>2022-03-09 18:50 (-08)</t>
  </si>
  <si>
    <t>18:50(-08)</t>
  </si>
  <si>
    <t>2022-02-08 14:35 (-08)</t>
  </si>
  <si>
    <t>2022-03-09 19:04 (-08)</t>
  </si>
  <si>
    <t>2022-03-03 06:01 (-08)</t>
  </si>
  <si>
    <t>2022-03-09 19:15 (-08)</t>
  </si>
  <si>
    <t>19:15(-08)</t>
  </si>
  <si>
    <t>2022-02-28 07:30 (-08)</t>
  </si>
  <si>
    <t>2022-03-09 22:36 (PST)</t>
  </si>
  <si>
    <t>2022-03-10 12:05 (PST)</t>
  </si>
  <si>
    <t>12:05(PST)</t>
  </si>
  <si>
    <t>2019-06-05 08:00 (PST)</t>
  </si>
  <si>
    <t>2022-03-10 23:21 (PST)</t>
  </si>
  <si>
    <t>2022-03-09 07:00 (PST)</t>
  </si>
  <si>
    <t>2022-03-11 09:50 (PST)</t>
  </si>
  <si>
    <t>09:50(PST)</t>
  </si>
  <si>
    <t>2020-08-16 07:56 (PST)</t>
  </si>
  <si>
    <t>2022-03-11 10:41 (PST)</t>
  </si>
  <si>
    <t>10:41(PST)</t>
  </si>
  <si>
    <t>2022-03-01 07:33 (PST)</t>
  </si>
  <si>
    <t>2022-03-11 10:53 (PST)</t>
  </si>
  <si>
    <t>10:53(PST)</t>
  </si>
  <si>
    <t>10 min Morning Meditation</t>
  </si>
  <si>
    <t>2022-03-11 07:10 (PST)</t>
  </si>
  <si>
    <t>2022-03-11 21:41 (PST)</t>
  </si>
  <si>
    <t>21:41(PST)</t>
  </si>
  <si>
    <t>2022-03-12 09:19 (PST)</t>
  </si>
  <si>
    <t>09:19(PST)</t>
  </si>
  <si>
    <t>2022-02-21 09:25 (PST)</t>
  </si>
  <si>
    <t>2022-03-12 09:42 (PST)</t>
  </si>
  <si>
    <t>09:42(PST)</t>
  </si>
  <si>
    <t>2022-01-22 07:51 (PST)</t>
  </si>
  <si>
    <t>2022-03-12 10:12 (PST)</t>
  </si>
  <si>
    <t>10:12(PST)</t>
  </si>
  <si>
    <t>10 min Focus Flow: Healthy Back</t>
  </si>
  <si>
    <t>2022-02-20 08:36 (PST)</t>
  </si>
  <si>
    <t>2022-03-12 10:54 (-08)</t>
  </si>
  <si>
    <t>10:54(-08)</t>
  </si>
  <si>
    <t>2022-02-23 08:00 (-08)</t>
  </si>
  <si>
    <t>2022-03-12 11:17 (-08)</t>
  </si>
  <si>
    <t>11:17(-08)</t>
  </si>
  <si>
    <t>2022-03-12 22:33 (PST)</t>
  </si>
  <si>
    <t>2022-03-13 11:29 (PST)</t>
  </si>
  <si>
    <t>2022-02-12 07:55 (PST)</t>
  </si>
  <si>
    <t>2022-03-13 16:33 (-07)</t>
  </si>
  <si>
    <t>2021-09-05 06:45 (-07)</t>
  </si>
  <si>
    <t>2022-03-13 16:40 (-07)</t>
  </si>
  <si>
    <t>16:40(-07)</t>
  </si>
  <si>
    <t>2022-03-13 17:41 (-07)</t>
  </si>
  <si>
    <t>2022-03-07 07:32 (-07)</t>
  </si>
  <si>
    <t>2022-03-13 17:53 (-07)</t>
  </si>
  <si>
    <t>2022-02-15 13:32 (-07)</t>
  </si>
  <si>
    <t>2022-03-13 22:03 (PST)</t>
  </si>
  <si>
    <t>2022-02-23 07:05 (PST)</t>
  </si>
  <si>
    <t>2022-03-13 22:30 (PST)</t>
  </si>
  <si>
    <t>2022-03-12 08:37 (PST)</t>
  </si>
  <si>
    <t>2022-03-14 07:08 (PST)</t>
  </si>
  <si>
    <t>2022-03-13 07:53 (PST)</t>
  </si>
  <si>
    <t>2022-03-14 17:09 (-07)</t>
  </si>
  <si>
    <t>45 min Power Zone Endurance Classic Rock</t>
  </si>
  <si>
    <t>2022-03-08 12:55 (-07)</t>
  </si>
  <si>
    <t>2022-03-14 17:55 (-07)</t>
  </si>
  <si>
    <t>2022-02-21 00:00 (-07)</t>
  </si>
  <si>
    <t>2022-03-14 18:07 (-07)</t>
  </si>
  <si>
    <t>18:07(-07)</t>
  </si>
  <si>
    <t>2022-03-14 06:02 (-07)</t>
  </si>
  <si>
    <t>2022-03-14 18:20 (-07)</t>
  </si>
  <si>
    <t>2022-03-13 08:38 (-07)</t>
  </si>
  <si>
    <t>2022-03-14 22:18 (PST)</t>
  </si>
  <si>
    <t>2022-03-14 07:00 (PST)</t>
  </si>
  <si>
    <t>2022-03-15 07:33 (PST)</t>
  </si>
  <si>
    <t>30 min R&amp;B Slow Flow</t>
  </si>
  <si>
    <t>2022-02-07 08:52 (PST)</t>
  </si>
  <si>
    <t>2022-03-15 14:41 (PST)</t>
  </si>
  <si>
    <t>14:41(PST)</t>
  </si>
  <si>
    <t xml:space="preserve">Olivia &amp; Tunde </t>
  </si>
  <si>
    <t>30 min Fitness Flipped: Strength</t>
  </si>
  <si>
    <t>2022-03-15 05:30 (PST)</t>
  </si>
  <si>
    <t>2022-03-15 20:03 (-07)</t>
  </si>
  <si>
    <t>20:03(-07)</t>
  </si>
  <si>
    <t>2022-03-02 03:53 (-07)</t>
  </si>
  <si>
    <t>2022-03-15 20:37 (-07)</t>
  </si>
  <si>
    <t>Jermaine Johnson</t>
  </si>
  <si>
    <t>2022-03-15 02:00 (-07)</t>
  </si>
  <si>
    <t>2022-03-15 22:21 (PST)</t>
  </si>
  <si>
    <t>2022-03-15 08:00 (PST)</t>
  </si>
  <si>
    <t>2022-03-16 07:33 (PST)</t>
  </si>
  <si>
    <t>2022-02-14 08:50 (PST)</t>
  </si>
  <si>
    <t>2022-03-16 12:25 (PST)</t>
  </si>
  <si>
    <t>12:25(PST)</t>
  </si>
  <si>
    <t>30 min Pop Walk</t>
  </si>
  <si>
    <t>2022-03-04 08:00 (PST)</t>
  </si>
  <si>
    <t>2022-03-16 18:35 (-07)</t>
  </si>
  <si>
    <t>2022-03-14 00:00 (-07)</t>
  </si>
  <si>
    <t>2022-03-16 18:46 (-07)</t>
  </si>
  <si>
    <t>2022-02-01 14:53 (-07)</t>
  </si>
  <si>
    <t>2022-03-16 19:31 (-07)</t>
  </si>
  <si>
    <t>2022-03-14 08:00 (-07)</t>
  </si>
  <si>
    <t>2022-03-16 19:43 (-07)</t>
  </si>
  <si>
    <t>2022-01-31 05:31 (-07)</t>
  </si>
  <si>
    <t>2022-03-16 19:49 (-07)</t>
  </si>
  <si>
    <t>19:49(-07)</t>
  </si>
  <si>
    <t>2022-02-28 09:00 (-07)</t>
  </si>
  <si>
    <t>2022-03-16 22:10 (PST)</t>
  </si>
  <si>
    <t>2022-03-17 07:47 (PST)</t>
  </si>
  <si>
    <t>07:47(PST)</t>
  </si>
  <si>
    <t>2022-03-15 07:08 (PST)</t>
  </si>
  <si>
    <t>2022-03-17 07:57 (PST)</t>
  </si>
  <si>
    <t>2022-02-13 08:27 (PST)</t>
  </si>
  <si>
    <t>2022-03-17 22:36 (PST)</t>
  </si>
  <si>
    <t>2022-03-17 15:36 (PST)</t>
  </si>
  <si>
    <t>2022-03-18 07:58 (PST)</t>
  </si>
  <si>
    <t>2022-03-11 06:21 (PST)</t>
  </si>
  <si>
    <t>2022-03-18 12:18 (PST)</t>
  </si>
  <si>
    <t>2022-03-12 06:30 (PST)</t>
  </si>
  <si>
    <t>2022-03-18 13:03 (PST)</t>
  </si>
  <si>
    <t>13:03(PST)</t>
  </si>
  <si>
    <t>Walk + Run</t>
  </si>
  <si>
    <t>45 min Walk + Run</t>
  </si>
  <si>
    <t>2022-03-18 22:46 (PST)</t>
  </si>
  <si>
    <t>2022-03-18 07:00 (PST)</t>
  </si>
  <si>
    <t>2022-03-19 11:46 (-07)</t>
  </si>
  <si>
    <t>2022-03-18 08:00 (-07)</t>
  </si>
  <si>
    <t>2022-03-19 11:53 (-07)</t>
  </si>
  <si>
    <t>11:53(-07)</t>
  </si>
  <si>
    <t>2022-01-29 05:54 (-07)</t>
  </si>
  <si>
    <t>2022-03-19 12:54 (-07)</t>
  </si>
  <si>
    <t>12:54(-07)</t>
  </si>
  <si>
    <t>10 min Beyonce Cool Down Ride</t>
  </si>
  <si>
    <t>2021-10-19 10:30 (-07)</t>
  </si>
  <si>
    <t>2022-03-19 13:10 (-07)</t>
  </si>
  <si>
    <t>13:10(-07)</t>
  </si>
  <si>
    <t>2022-03-17 08:00 (-07)</t>
  </si>
  <si>
    <t>2022-03-19 13:22 (-07)</t>
  </si>
  <si>
    <t>13:22(-07)</t>
  </si>
  <si>
    <t>2021-04-05 22:45 (-07)</t>
  </si>
  <si>
    <t>2022-03-19 23:59 (PST)</t>
  </si>
  <si>
    <t>2022-03-17 17:09 (PST)</t>
  </si>
  <si>
    <t>2022-03-20 03:17 (PST)</t>
  </si>
  <si>
    <t>03:17(PST)</t>
  </si>
  <si>
    <t>2022-03-18 14:27 (PST)</t>
  </si>
  <si>
    <t>2022-03-20 04:00 (PST)</t>
  </si>
  <si>
    <t>04:00(PST)</t>
  </si>
  <si>
    <t>2022-03-20 19:10 (PST)</t>
  </si>
  <si>
    <t>19:10(PST)</t>
  </si>
  <si>
    <t>2022-03-20 19:27 (PST)</t>
  </si>
  <si>
    <t>19:27(PST)</t>
  </si>
  <si>
    <t>2021-05-26 14:52 (PST)</t>
  </si>
  <si>
    <t>2022-03-20 20:20 (PST)</t>
  </si>
  <si>
    <t>5 min Savasana</t>
  </si>
  <si>
    <t>2022-03-04 07:00 (PST)</t>
  </si>
  <si>
    <t>2022-03-20 22:20 (PST)</t>
  </si>
  <si>
    <t>2022-02-18 14:36 (PST)</t>
  </si>
  <si>
    <t>2022-03-21 07:11 (PST)</t>
  </si>
  <si>
    <t>2022-02-17 14:53 (PST)</t>
  </si>
  <si>
    <t>2022-03-21 16:37 (-07)</t>
  </si>
  <si>
    <t>16:37(-07)</t>
  </si>
  <si>
    <t>2019-11-16 06:30 (-07)</t>
  </si>
  <si>
    <t>2022-03-21 16:48 (-07)</t>
  </si>
  <si>
    <t>16:48(-07)</t>
  </si>
  <si>
    <t>2022-03-21 16:54 (-07)</t>
  </si>
  <si>
    <t>16:54(-07)</t>
  </si>
  <si>
    <t>2022-01-05 03:54 (-07)</t>
  </si>
  <si>
    <t>2022-03-21 17:41 (-07)</t>
  </si>
  <si>
    <t>10 min Donna Summer Cool Down Ride</t>
  </si>
  <si>
    <t>2022-03-15 13:00 (-07)</t>
  </si>
  <si>
    <t>2022-03-21 18:01 (-07)</t>
  </si>
  <si>
    <t>2022-01-28 08:00 (-07)</t>
  </si>
  <si>
    <t>2022-03-21 22:31 (PST)</t>
  </si>
  <si>
    <t>2022-03-14 05:37 (PST)</t>
  </si>
  <si>
    <t>2022-03-22 20:36 (-07)</t>
  </si>
  <si>
    <t>2022-03-16 08:00 (-07)</t>
  </si>
  <si>
    <t>2022-03-22 22:14 (PST)</t>
  </si>
  <si>
    <t>2022-02-17 17:07 (PST)</t>
  </si>
  <si>
    <t>2022-03-23 07:14 (PST)</t>
  </si>
  <si>
    <t>2022-03-17 16:25 (PST)</t>
  </si>
  <si>
    <t>2022-03-23 16:46 (PST)</t>
  </si>
  <si>
    <t xml:space="preserve">Matty &amp; Tunde </t>
  </si>
  <si>
    <t>45 min Fitness Flipped: Self-Expression</t>
  </si>
  <si>
    <t>2022-03-22 05:30 (PST)</t>
  </si>
  <si>
    <t>2022-03-23 17:56 (-07)</t>
  </si>
  <si>
    <t>2019-11-09 06:30 (-07)</t>
  </si>
  <si>
    <t>2022-03-23 18:08 (-07)</t>
  </si>
  <si>
    <t>2022-02-01 09:00 (-07)</t>
  </si>
  <si>
    <t>2022-03-23 18:16 (-07)</t>
  </si>
  <si>
    <t>18:16(-07)</t>
  </si>
  <si>
    <t>45 min Power Zone Endurance Pop Ride</t>
  </si>
  <si>
    <t>2022-02-08 12:54 (-07)</t>
  </si>
  <si>
    <t>2022-03-23 19:02 (-07)</t>
  </si>
  <si>
    <t>2022-02-25 03:52 (-07)</t>
  </si>
  <si>
    <t>2022-03-23 22:36 (PST)</t>
  </si>
  <si>
    <t>2022-03-16 07:07 (PST)</t>
  </si>
  <si>
    <t>2022-03-24 07:21 (PST)</t>
  </si>
  <si>
    <t xml:space="preserve">Aditi &amp; Anna </t>
  </si>
  <si>
    <t>30 min WHM Two for One Yoga Flow</t>
  </si>
  <si>
    <t>2022-03-15 04:55 (PST)</t>
  </si>
  <si>
    <t>2022-03-24 07:54 (PST)</t>
  </si>
  <si>
    <t>2022-03-16 07:00 (PST)</t>
  </si>
  <si>
    <t>2022-03-24 12:42 (PST)</t>
  </si>
  <si>
    <t>12:42(PST)</t>
  </si>
  <si>
    <t>30 min Walk + Run</t>
  </si>
  <si>
    <t>2021-04-16 08:00 (PST)</t>
  </si>
  <si>
    <t>2022-03-24 22:48 (PST)</t>
  </si>
  <si>
    <t>2022-03-24 15:37 (PST)</t>
  </si>
  <si>
    <t>2022-03-25 07:48 (PST)</t>
  </si>
  <si>
    <t>07:48(PST)</t>
  </si>
  <si>
    <t>2022-03-01 14:55 (PST)</t>
  </si>
  <si>
    <t>2022-03-25 13:33 (-07)</t>
  </si>
  <si>
    <t>13:33(-07)</t>
  </si>
  <si>
    <t>2021-11-15 02:04 (-07)</t>
  </si>
  <si>
    <t>2022-03-25 13:46 (-07)</t>
  </si>
  <si>
    <t>13:46(-07)</t>
  </si>
  <si>
    <t>2022-03-25 14:32 (-07)</t>
  </si>
  <si>
    <t>14:32(-07)</t>
  </si>
  <si>
    <t>2022-03-25 00:00 (-07)</t>
  </si>
  <si>
    <t>2022-03-25 14:42 (-07)</t>
  </si>
  <si>
    <t>14:42(-07)</t>
  </si>
  <si>
    <t>2022-03-25 23:22 (PST)</t>
  </si>
  <si>
    <t>2022-03-25 14:28 (PST)</t>
  </si>
  <si>
    <t>2022-03-26 20:47 (PST)</t>
  </si>
  <si>
    <t>2021-12-10 06:59 (PST)</t>
  </si>
  <si>
    <t>2022-03-26 21:59 (PST)</t>
  </si>
  <si>
    <t>2022-03-27 19:53 (PST)</t>
  </si>
  <si>
    <t>2022-03-27 07:51 (PST)</t>
  </si>
  <si>
    <t>2022-03-27 22:32 (PST)</t>
  </si>
  <si>
    <t>2022-03-27 11:07 (PST)</t>
  </si>
  <si>
    <t>2022-03-28 02:20 (PST)</t>
  </si>
  <si>
    <t>02:20(PST)</t>
  </si>
  <si>
    <t>5 min Peace Meditation</t>
  </si>
  <si>
    <t>2022-03-26 08:37 (PST)</t>
  </si>
  <si>
    <t>2022-03-28 07:16 (PST)</t>
  </si>
  <si>
    <t>2022-03-16 04:55 (PST)</t>
  </si>
  <si>
    <t>2022-03-28 07:27 (PST)</t>
  </si>
  <si>
    <t>2022-03-01 05:17 (PST)</t>
  </si>
  <si>
    <t>2022-03-28 16:32 (-07)</t>
  </si>
  <si>
    <t>2021-12-23 09:00 (-07)</t>
  </si>
  <si>
    <t>2022-03-28 16:38 (-07)</t>
  </si>
  <si>
    <t>16:38(-07)</t>
  </si>
  <si>
    <t>2022-02-19 05:53 (-07)</t>
  </si>
  <si>
    <t>2022-03-28 17:39 (-07)</t>
  </si>
  <si>
    <t>2022-03-11 09:00 (-07)</t>
  </si>
  <si>
    <t>2022-03-28 17:46 (-07)</t>
  </si>
  <si>
    <t>2022-03-18 03:53 (-07)</t>
  </si>
  <si>
    <t>2022-03-28 17:59 (-07)</t>
  </si>
  <si>
    <t>17:59(-07)</t>
  </si>
  <si>
    <t>2022-03-16 07:00 (-07)</t>
  </si>
  <si>
    <t>2022-03-28 22:16 (PST)</t>
  </si>
  <si>
    <t>2022-03-29 15:54 (PST)</t>
  </si>
  <si>
    <t>15:54(PST)</t>
  </si>
  <si>
    <t xml:space="preserve">Matt &amp; Tunde </t>
  </si>
  <si>
    <t>30 min Fitness Flipped: Habits</t>
  </si>
  <si>
    <t>2022-03-29 05:30 (PST)</t>
  </si>
  <si>
    <t>2022-03-29 17:20 (-07)</t>
  </si>
  <si>
    <t>17:20(-07)</t>
  </si>
  <si>
    <t>2021-12-22 23:00 (-07)</t>
  </si>
  <si>
    <t>2022-03-29 17:27 (-07)</t>
  </si>
  <si>
    <t>2022-02-02 03:52 (-07)</t>
  </si>
  <si>
    <t>2022-03-29 18:14 (-07)</t>
  </si>
  <si>
    <t>2021-07-09 06:00 (-07)</t>
  </si>
  <si>
    <t>2022-03-29 18:25 (-07)</t>
  </si>
  <si>
    <t>18:25(-07)</t>
  </si>
  <si>
    <t>2022-03-29 22:02 (PST)</t>
  </si>
  <si>
    <t>2022-03-29 08:00 (PST)</t>
  </si>
  <si>
    <t>2022-03-30 17:55 (-07)</t>
  </si>
  <si>
    <t>2022-03-30 18:26 (-07)</t>
  </si>
  <si>
    <t>2022-03-28 08:00 (-07)</t>
  </si>
  <si>
    <t>2022-03-30 18:38 (-07)</t>
  </si>
  <si>
    <t>18:38(-07)</t>
  </si>
  <si>
    <t>2022-03-28 03:55 (-07)</t>
  </si>
  <si>
    <t>2022-03-30 21:57 (PST)</t>
  </si>
  <si>
    <t>2022-03-31 07:25 (PST)</t>
  </si>
  <si>
    <t>2022-02-24 14:51 (PST)</t>
  </si>
  <si>
    <t>2022-03-31 13:17 (PST)</t>
  </si>
  <si>
    <t>13:17(PST)</t>
  </si>
  <si>
    <t>30 min 80s Walk</t>
  </si>
  <si>
    <t>2022-03-28 14:23 (PST)</t>
  </si>
  <si>
    <t>2022-03-31 22:06 (PST)</t>
  </si>
  <si>
    <t>2022-03-29 07:00 (PST)</t>
  </si>
  <si>
    <t>2022-04-01 13:05 (-07)</t>
  </si>
  <si>
    <t>13:05(-07)</t>
  </si>
  <si>
    <t>2022-03-31 23:00 (-07)</t>
  </si>
  <si>
    <t>2022-04-01 13:11 (-07)</t>
  </si>
  <si>
    <t>13:11(-07)</t>
  </si>
  <si>
    <t>2021-11-16 14:52 (-07)</t>
  </si>
  <si>
    <t>2022-04-01 13:58 (-07)</t>
  </si>
  <si>
    <t>13:58(-07)</t>
  </si>
  <si>
    <t>10 min David Bowie Cool Down Ride</t>
  </si>
  <si>
    <t>2022-01-19 17:00 (-07)</t>
  </si>
  <si>
    <t>2022-04-01 14:09 (-07)</t>
  </si>
  <si>
    <t>14:09(-07)</t>
  </si>
  <si>
    <t>2022-04-02 09:36 (PST)</t>
  </si>
  <si>
    <t>60 min Power Walk</t>
  </si>
  <si>
    <t>2022-04-01 04:24 (PST)</t>
  </si>
  <si>
    <t>2022-04-02 20:47 (PST)</t>
  </si>
  <si>
    <t>2021-02-27 06:36 (PST)</t>
  </si>
  <si>
    <t>2022-04-03 13:04 (PST)</t>
  </si>
  <si>
    <t>13:04(PST)</t>
  </si>
  <si>
    <t>2022-03-28 08:52 (PST)</t>
  </si>
  <si>
    <t>2022-04-04 15:45 (-07)</t>
  </si>
  <si>
    <t>15:45(-07)</t>
  </si>
  <si>
    <t>2022-04-01 06:50 (-07)</t>
  </si>
  <si>
    <t>2022-04-04 15:59 (-07)</t>
  </si>
  <si>
    <t>15:59(-07)</t>
  </si>
  <si>
    <t>2022-02-05 05:25 (-07)</t>
  </si>
  <si>
    <t>2022-04-04 17:20 (-07)</t>
  </si>
  <si>
    <t>2022-03-30 09:00 (-07)</t>
  </si>
  <si>
    <t>2022-04-04 22:10 (PST)</t>
  </si>
  <si>
    <t>2022-04-05 15:30 (PST)</t>
  </si>
  <si>
    <t xml:space="preserve">Becs &amp; Tunde </t>
  </si>
  <si>
    <t>30 min Fitness Flipped: Comparison</t>
  </si>
  <si>
    <t>2022-04-05 05:30 (PST)</t>
  </si>
  <si>
    <t>2022-04-05 17:15 (-07)</t>
  </si>
  <si>
    <t>17:15(-07)</t>
  </si>
  <si>
    <t>45 min Power Zone Endurance Hip Hop Ride</t>
  </si>
  <si>
    <t>2022-03-03 05:23 (-07)</t>
  </si>
  <si>
    <t>2022-04-05 18:01 (-07)</t>
  </si>
  <si>
    <t>2022-04-05 18:09 (-07)</t>
  </si>
  <si>
    <t>2022-04-04 08:00 (-07)</t>
  </si>
  <si>
    <t>2022-04-05 20:58 (PST)</t>
  </si>
  <si>
    <t>20:58(PST)</t>
  </si>
  <si>
    <t>2022-04-05 06:57 (PST)</t>
  </si>
  <si>
    <t>2022-04-05 21:22 (PST)</t>
  </si>
  <si>
    <t>21:22(PST)</t>
  </si>
  <si>
    <t>2022-03-31 17:09 (PST)</t>
  </si>
  <si>
    <t>2022-04-05 21:35 (PST)</t>
  </si>
  <si>
    <t>21:35(PST)</t>
  </si>
  <si>
    <t>2022-04-05 22:29 (PST)</t>
  </si>
  <si>
    <t>2022-04-05 07:00 (PST)</t>
  </si>
  <si>
    <t>2022-04-06 07:05 (PST)</t>
  </si>
  <si>
    <t>2022-03-31 14:54 (PST)</t>
  </si>
  <si>
    <t>2022-04-06 07:39 (PST)</t>
  </si>
  <si>
    <t>2022-04-05 03:20 (PST)</t>
  </si>
  <si>
    <t>2022-04-06 12:23 (PST)</t>
  </si>
  <si>
    <t>12:23(PST)</t>
  </si>
  <si>
    <t>Joslyn Thompson Rule</t>
  </si>
  <si>
    <t>2022-04-03 23:25 (PST)</t>
  </si>
  <si>
    <t>2022-04-06 22:28 (PST)</t>
  </si>
  <si>
    <t>2022-03-29 15:37 (PST)</t>
  </si>
  <si>
    <t>2022-04-07 02:06 (PST)</t>
  </si>
  <si>
    <t>02:06(PST)</t>
  </si>
  <si>
    <t>2022-01-31 15:37 (PST)</t>
  </si>
  <si>
    <t>2022-04-07 02:17 (PST)</t>
  </si>
  <si>
    <t>02:17(PST)</t>
  </si>
  <si>
    <t>2022-04-07 16:40 (-07)</t>
  </si>
  <si>
    <t>10 min Upper Body Strength</t>
  </si>
  <si>
    <t>2022-04-05 03:15 (-07)</t>
  </si>
  <si>
    <t>2022-04-07 16:52 (-07)</t>
  </si>
  <si>
    <t>16:52(-07)</t>
  </si>
  <si>
    <t>2022-04-06 08:00 (-07)</t>
  </si>
  <si>
    <t>2022-04-07 18:08 (-07)</t>
  </si>
  <si>
    <t>2021-10-21 02:52 (-07)</t>
  </si>
  <si>
    <t>2022-04-07 18:54 (-07)</t>
  </si>
  <si>
    <t>2021-09-25 04:37 (-07)</t>
  </si>
  <si>
    <t>2022-04-07 19:07 (-07)</t>
  </si>
  <si>
    <t>19:07(-07)</t>
  </si>
  <si>
    <t>2022-04-07 21:29 (PST)</t>
  </si>
  <si>
    <t>2022-01-24 15:36 (PST)</t>
  </si>
  <si>
    <t>2022-04-08 07:46 (PST)</t>
  </si>
  <si>
    <t>2022-04-05 14:52 (PST)</t>
  </si>
  <si>
    <t>2022-04-08 16:39 (-07)</t>
  </si>
  <si>
    <t>16:39(-07)</t>
  </si>
  <si>
    <t>Barre</t>
  </si>
  <si>
    <t>20 min Pop Barre</t>
  </si>
  <si>
    <t>2022-04-06 13:52 (-07)</t>
  </si>
  <si>
    <t>2022-04-08 17:01 (-07)</t>
  </si>
  <si>
    <t>17:01(-07)</t>
  </si>
  <si>
    <t>2022-04-06 07:42 (-07)</t>
  </si>
  <si>
    <t>2022-04-08 17:18 (-07)</t>
  </si>
  <si>
    <t>17:18(-07)</t>
  </si>
  <si>
    <t>2022-02-22 12:54 (-07)</t>
  </si>
  <si>
    <t>2022-04-08 17:51 (-07)</t>
  </si>
  <si>
    <t>17:51(-07)</t>
  </si>
  <si>
    <t>2022-04-08 23:04 (PST)</t>
  </si>
  <si>
    <t>2022-04-08 07:00 (PST)</t>
  </si>
  <si>
    <t>2022-04-09 08:27 (PST)</t>
  </si>
  <si>
    <t>2022-04-05 04:49 (PST)</t>
  </si>
  <si>
    <t>2022-04-09 23:11 (PST)</t>
  </si>
  <si>
    <t>23:11(PST)</t>
  </si>
  <si>
    <t>2022-04-09 08:37 (PST)</t>
  </si>
  <si>
    <t>2022-04-10 04:50 (PST)</t>
  </si>
  <si>
    <t>04:50(PST)</t>
  </si>
  <si>
    <t>2022-04-08 14:37 (PST)</t>
  </si>
  <si>
    <t>2022-04-10 11:32 (PST)</t>
  </si>
  <si>
    <t>11:32(PST)</t>
  </si>
  <si>
    <t>2022-03-05 07:50 (PST)</t>
  </si>
  <si>
    <t>2022-04-10 12:47 (-07)</t>
  </si>
  <si>
    <t>12:47(-07)</t>
  </si>
  <si>
    <t>2022-03-05 05:51 (-07)</t>
  </si>
  <si>
    <t>2022-04-10 13:50 (-07)</t>
  </si>
  <si>
    <t>13:50(-07)</t>
  </si>
  <si>
    <t>2022-02-09 09:00 (-07)</t>
  </si>
  <si>
    <t>2022-04-10 14:01 (-07)</t>
  </si>
  <si>
    <t>14:01(-07)</t>
  </si>
  <si>
    <t>2022-04-06 09:37 (-07)</t>
  </si>
  <si>
    <t>2022-04-10 14:12 (-07)</t>
  </si>
  <si>
    <t>14:12(-07)</t>
  </si>
  <si>
    <t>2022-04-05 03:30 (-07)</t>
  </si>
  <si>
    <t>2022-04-10 23:24 (PST)</t>
  </si>
  <si>
    <t>2022-01-24 05:36 (PST)</t>
  </si>
  <si>
    <t>2022-04-11 12:22 (PST)</t>
  </si>
  <si>
    <t>12:22(PST)</t>
  </si>
  <si>
    <t>2022-04-09 07:52 (PST)</t>
  </si>
  <si>
    <t>2022-04-11 16:06 (-07)</t>
  </si>
  <si>
    <t>16:06(-07)</t>
  </si>
  <si>
    <t>10 min Hip Hop Barre</t>
  </si>
  <si>
    <t>2022-04-08 07:00 (-07)</t>
  </si>
  <si>
    <t>2022-04-11 16:18 (-07)</t>
  </si>
  <si>
    <t>2022-04-10 23:00 (-07)</t>
  </si>
  <si>
    <t>2022-04-11 16:32 (-07)</t>
  </si>
  <si>
    <t>2021-09-15 02:52 (-07)</t>
  </si>
  <si>
    <t>2022-04-11 17:17 (-07)</t>
  </si>
  <si>
    <t>17:17(-07)</t>
  </si>
  <si>
    <t>2022-04-11 08:00 (-07)</t>
  </si>
  <si>
    <t>2022-04-11 17:24 (-07)</t>
  </si>
  <si>
    <t>17:24(-07)</t>
  </si>
  <si>
    <t>2022-04-11 23:01 (PST)</t>
  </si>
  <si>
    <t>2022-04-11 07:00 (PST)</t>
  </si>
  <si>
    <t>2022-04-12 07:40 (PST)</t>
  </si>
  <si>
    <t>2022-01-05 08:52 (PST)</t>
  </si>
  <si>
    <t>2022-04-12 17:26 (-07)</t>
  </si>
  <si>
    <t>17:26(-07)</t>
  </si>
  <si>
    <t>Strength for Runners</t>
  </si>
  <si>
    <t>30 min Strength for Runners</t>
  </si>
  <si>
    <t>2021-07-15 07:00 (-07)</t>
  </si>
  <si>
    <t>2022-04-12 17:58 (-07)</t>
  </si>
  <si>
    <t>17:58(-07)</t>
  </si>
  <si>
    <t>10 min Barre</t>
  </si>
  <si>
    <t>2022-04-12 18:11 (-07)</t>
  </si>
  <si>
    <t>18:11(-07)</t>
  </si>
  <si>
    <t>2022-04-10 09:51 (-07)</t>
  </si>
  <si>
    <t>2022-04-12 18:27 (-07)</t>
  </si>
  <si>
    <t>2022-04-07 08:00 (-07)</t>
  </si>
  <si>
    <t>2022-04-13 07:05 (PST)</t>
  </si>
  <si>
    <t>2022-04-07 07:00 (PST)</t>
  </si>
  <si>
    <t>2022-04-13 15:33 (PST)</t>
  </si>
  <si>
    <t>15:33(PST)</t>
  </si>
  <si>
    <t>45 min 80s Walk</t>
  </si>
  <si>
    <t>2022-04-01 08:00 (PST)</t>
  </si>
  <si>
    <t>2022-04-13 20:18 (PST)</t>
  </si>
  <si>
    <t>2022-04-11 09:37 (PST)</t>
  </si>
  <si>
    <t>2022-04-13 21:17 (PST)</t>
  </si>
  <si>
    <t>2022-04-11 08:00 (PST)</t>
  </si>
  <si>
    <t>2022-04-14 03:11 (PST)</t>
  </si>
  <si>
    <t>2022-04-13 08:00 (PST)</t>
  </si>
  <si>
    <t>2022-04-14 16:35 (-07)</t>
  </si>
  <si>
    <t>16:35(-07)</t>
  </si>
  <si>
    <t>2022-04-14 05:14 (-07)</t>
  </si>
  <si>
    <t>2022-04-14 16:46 (-07)</t>
  </si>
  <si>
    <t>16:46(-07)</t>
  </si>
  <si>
    <t>2022-04-12 07:00 (-07)</t>
  </si>
  <si>
    <t>2022-04-14 16:57 (-07)</t>
  </si>
  <si>
    <t>16:57(-07)</t>
  </si>
  <si>
    <t>2021-12-01 14:54 (-07)</t>
  </si>
  <si>
    <t>2022-04-14 17:43 (-07)</t>
  </si>
  <si>
    <t>2022-04-06 11:02 (-07)</t>
  </si>
  <si>
    <t>2022-04-14 17:55 (-07)</t>
  </si>
  <si>
    <t>2022-04-13 07:00 (-07)</t>
  </si>
  <si>
    <t>2022-04-14 22:39 (PST)</t>
  </si>
  <si>
    <t>2022-01-18 15:35 (PST)</t>
  </si>
  <si>
    <t>2022-04-15 22:47 (PST)</t>
  </si>
  <si>
    <t>2022-04-16 01:07 (PST)</t>
  </si>
  <si>
    <t>01:07(PST)</t>
  </si>
  <si>
    <t>2022-04-16 09:29 (-07)</t>
  </si>
  <si>
    <t>09:29(-07)</t>
  </si>
  <si>
    <t>2020-09-19 04:51 (-07)</t>
  </si>
  <si>
    <t>2022-04-16 10:35 (PST)</t>
  </si>
  <si>
    <t>20 min Rock Yoga Flow</t>
  </si>
  <si>
    <t>2022-02-10 06:19 (PST)</t>
  </si>
  <si>
    <t>2022-04-17 06:09 (PST)</t>
  </si>
  <si>
    <t>06:09(PST)</t>
  </si>
  <si>
    <t>2022-04-15 14:27 (PST)</t>
  </si>
  <si>
    <t>2022-04-17 15:04 (PST)</t>
  </si>
  <si>
    <t>15:04(PST)</t>
  </si>
  <si>
    <t>2022-02-10 04:51 (PST)</t>
  </si>
  <si>
    <t>2022-04-17 15:37 (PST)</t>
  </si>
  <si>
    <t>15:37(PST)</t>
  </si>
  <si>
    <t>20 min Hip Hop Barre</t>
  </si>
  <si>
    <t>2022-04-13 13:55 (PST)</t>
  </si>
  <si>
    <t>2022-04-17 21:25 (PST)</t>
  </si>
  <si>
    <t>2020-11-25 05:35 (PST)</t>
  </si>
  <si>
    <t>2022-04-18 07:04 (PST)</t>
  </si>
  <si>
    <t>45 min Rock Slow Flow</t>
  </si>
  <si>
    <t>2022-04-17 07:55 (PST)</t>
  </si>
  <si>
    <t>2022-04-18 13:00 (PST)</t>
  </si>
  <si>
    <t>13:00(PST)</t>
  </si>
  <si>
    <t xml:space="preserve">Rebecca &amp; Tunde </t>
  </si>
  <si>
    <t>30 min Fitness Flipped: Competition</t>
  </si>
  <si>
    <t>2022-04-12 05:30 (PST)</t>
  </si>
  <si>
    <t>2022-04-18 15:58 (-07)</t>
  </si>
  <si>
    <t>15:58(-07)</t>
  </si>
  <si>
    <t>2022-04-15 07:36 (-07)</t>
  </si>
  <si>
    <t>2022-04-18 16:14 (-07)</t>
  </si>
  <si>
    <t>16:14(-07)</t>
  </si>
  <si>
    <t>2022-04-18 16:59 (-07)</t>
  </si>
  <si>
    <t>2022-04-17 00:00 (-07)</t>
  </si>
  <si>
    <t>2022-04-18 17:06 (-07)</t>
  </si>
  <si>
    <t>17:06(-07)</t>
  </si>
  <si>
    <t>2022-04-18 22:44 (PST)</t>
  </si>
  <si>
    <t>2022-04-19 07:57 (PST)</t>
  </si>
  <si>
    <t>2022-02-15 06:20 (PST)</t>
  </si>
  <si>
    <t>2022-04-19 16:53 (PST)</t>
  </si>
  <si>
    <t xml:space="preserve">Marcel &amp; Tunde </t>
  </si>
  <si>
    <t>30 min Fitness Flipped: Body Image</t>
  </si>
  <si>
    <t>2022-04-19 05:30 (PST)</t>
  </si>
  <si>
    <t>2022-04-19 18:52 (-07)</t>
  </si>
  <si>
    <t>2022-04-06 22:00 (-07)</t>
  </si>
  <si>
    <t>2022-04-19 19:04 (-07)</t>
  </si>
  <si>
    <t>Daniel McKenna</t>
  </si>
  <si>
    <t>2022-04-16 09:52 (-07)</t>
  </si>
  <si>
    <t>2022-04-19 19:31 (-07)</t>
  </si>
  <si>
    <t>2021-07-29 09:30 (-07)</t>
  </si>
  <si>
    <t>2022-04-19 21:57 (PST)</t>
  </si>
  <si>
    <t>2022-04-20 11:21 (PST)</t>
  </si>
  <si>
    <t>11:21(PST)</t>
  </si>
  <si>
    <t>30 min Morning Slow Flow</t>
  </si>
  <si>
    <t>2022-04-05 05:15 (PST)</t>
  </si>
  <si>
    <t>2022-04-20 18:32 (-07)</t>
  </si>
  <si>
    <t>18:32(-07)</t>
  </si>
  <si>
    <t>2021-08-13 10:35 (-07)</t>
  </si>
  <si>
    <t>2022-04-20 18:39 (-07)</t>
  </si>
  <si>
    <t>18:39(-07)</t>
  </si>
  <si>
    <t>2021-05-04 04:53 (-07)</t>
  </si>
  <si>
    <t>2022-04-20 19:24 (-07)</t>
  </si>
  <si>
    <t>2022-04-20 19:34 (-07)</t>
  </si>
  <si>
    <t>2022-04-09 08:10 (-07)</t>
  </si>
  <si>
    <t>2022-04-20 22:25 (PST)</t>
  </si>
  <si>
    <t>2022-04-20 08:00 (PST)</t>
  </si>
  <si>
    <t>2022-04-21 07:23 (PST)</t>
  </si>
  <si>
    <t>2022-03-01 16:22 (PST)</t>
  </si>
  <si>
    <t>2022-04-21 12:08 (PST)</t>
  </si>
  <si>
    <t>20 min Soft Rock Walk</t>
  </si>
  <si>
    <t>2021-09-03 08:00 (PST)</t>
  </si>
  <si>
    <t>2022-04-21 18:18 (-07)</t>
  </si>
  <si>
    <t>18:18(-07)</t>
  </si>
  <si>
    <t>2022-04-18 06:52 (-07)</t>
  </si>
  <si>
    <t>2022-04-21 18:34 (-07)</t>
  </si>
  <si>
    <t>20 min 90s Barre</t>
  </si>
  <si>
    <t>2022-03-25 07:00 (-07)</t>
  </si>
  <si>
    <t>2022-04-21 22:08 (PST)</t>
  </si>
  <si>
    <t>2022-04-21 08:00 (PST)</t>
  </si>
  <si>
    <t>2022-04-22 07:51 (PST)</t>
  </si>
  <si>
    <t>2022-04-19 05:17 (PST)</t>
  </si>
  <si>
    <t>2022-04-22 08:23 (PST)</t>
  </si>
  <si>
    <t>08:23(PST)</t>
  </si>
  <si>
    <t>2022-03-09 14:32 (PST)</t>
  </si>
  <si>
    <t>2022-04-22 12:45 (PST)</t>
  </si>
  <si>
    <t>12:45(PST)</t>
  </si>
  <si>
    <t>45 min Hike</t>
  </si>
  <si>
    <t>2022-04-21 14:23 (PST)</t>
  </si>
  <si>
    <t>2022-04-22 23:21 (PST)</t>
  </si>
  <si>
    <t>10 min Earth Day Meditation</t>
  </si>
  <si>
    <t>2022-04-22 07:00 (PST)</t>
  </si>
  <si>
    <t>2022-04-23 08:55 (-07)</t>
  </si>
  <si>
    <t>08:55(-07)</t>
  </si>
  <si>
    <t>2020-01-18 10:52 (-07)</t>
  </si>
  <si>
    <t>2022-04-23 10:03 (-07)</t>
  </si>
  <si>
    <t>10:03(-07)</t>
  </si>
  <si>
    <t>2022-04-19 14:37 (-07)</t>
  </si>
  <si>
    <t>2022-04-23 10:17 (-07)</t>
  </si>
  <si>
    <t>2022-04-22 07:00 (-07)</t>
  </si>
  <si>
    <t>2022-04-23 10:29 (-07)</t>
  </si>
  <si>
    <t>2022-04-20 07:00 (-07)</t>
  </si>
  <si>
    <t>2022-04-23 22:36 (PST)</t>
  </si>
  <si>
    <t>2022-04-22 08:00 (PST)</t>
  </si>
  <si>
    <t>2022-04-24 22:19 (PST)</t>
  </si>
  <si>
    <t>2022-04-18 15:37 (PST)</t>
  </si>
  <si>
    <t>2022-04-25 07:29 (PST)</t>
  </si>
  <si>
    <t>2022-04-22 06:22 (PST)</t>
  </si>
  <si>
    <t>2022-04-25 08:08 (PST)</t>
  </si>
  <si>
    <t>08:08(PST)</t>
  </si>
  <si>
    <t>2022-04-19 04:52 (PST)</t>
  </si>
  <si>
    <t>2022-04-25 19:01 (-07)</t>
  </si>
  <si>
    <t>19:01(-07)</t>
  </si>
  <si>
    <t>2022-04-21 05:01 (-07)</t>
  </si>
  <si>
    <t>2022-04-25 19:13 (-07)</t>
  </si>
  <si>
    <t>19:13(-07)</t>
  </si>
  <si>
    <t>2019-07-05 06:49 (-07)</t>
  </si>
  <si>
    <t>2022-04-25 20:01 (-07)</t>
  </si>
  <si>
    <t>2022-04-25 20:12 (-07)</t>
  </si>
  <si>
    <t>20:12(-07)</t>
  </si>
  <si>
    <t>2022-04-13 23:00 (-07)</t>
  </si>
  <si>
    <t>2022-04-25 22:36 (PST)</t>
  </si>
  <si>
    <t>2022-04-25 08:00 (PST)</t>
  </si>
  <si>
    <t>2022-04-26 07:18 (PST)</t>
  </si>
  <si>
    <t>30 min Punk Rock Yoga Flow</t>
  </si>
  <si>
    <t>2022-04-21 16:22 (PST)</t>
  </si>
  <si>
    <t>2022-04-26 22:43 (PST)</t>
  </si>
  <si>
    <t>2022-04-26 15:30 (PST)</t>
  </si>
  <si>
    <t>2022-04-27 02:51 (PST)</t>
  </si>
  <si>
    <t>2022-04-27 11:30 (PST)</t>
  </si>
  <si>
    <t>2022-02-20 07:50 (PST)</t>
  </si>
  <si>
    <t>2022-04-27 12:10 (PST)</t>
  </si>
  <si>
    <t>2022-04-19 05:14 (PST)</t>
  </si>
  <si>
    <t>2022-04-27 16:05 (-07)</t>
  </si>
  <si>
    <t>16:05(-07)</t>
  </si>
  <si>
    <t>2022-04-27 16:51 (-07)</t>
  </si>
  <si>
    <t>16:51(-07)</t>
  </si>
  <si>
    <t>2021-06-30 06:00 (-07)</t>
  </si>
  <si>
    <t>2022-04-27 16:58 (-07)</t>
  </si>
  <si>
    <t>16:58(-07)</t>
  </si>
  <si>
    <t>2021-02-01 07:00 (-07)</t>
  </si>
  <si>
    <t>2022-04-27 22:43 (PST)</t>
  </si>
  <si>
    <t>2022-04-27 08:00 (PST)</t>
  </si>
  <si>
    <t>2022-04-28 07:38 (PST)</t>
  </si>
  <si>
    <t>2022-02-26 07:53 (PST)</t>
  </si>
  <si>
    <t>2022-04-28 12:02 (PST)</t>
  </si>
  <si>
    <t xml:space="preserve">Kirsten &amp; Tunde </t>
  </si>
  <si>
    <t>30 min Fitness Flipped: Endurance</t>
  </si>
  <si>
    <t>2022-04-26 05:30 (PST)</t>
  </si>
  <si>
    <t>2022-04-28 16:20 (PST)</t>
  </si>
  <si>
    <t>16:20(PST)</t>
  </si>
  <si>
    <t>2022-04-20 04:22 (PST)</t>
  </si>
  <si>
    <t>2022-04-28 16:32 (PST)</t>
  </si>
  <si>
    <t>16:32(PST)</t>
  </si>
  <si>
    <t>2022-02-23 13:50 (PST)</t>
  </si>
  <si>
    <t>2022-04-28 16:58 (-07)</t>
  </si>
  <si>
    <t>20 min Weezer Upper Body Strength</t>
  </si>
  <si>
    <t>2022-04-28 23:31 (PST)</t>
  </si>
  <si>
    <t>23:31(PST)</t>
  </si>
  <si>
    <t>2022-04-27 07:00 (PST)</t>
  </si>
  <si>
    <t>2022-04-29 23:45 (PST)</t>
  </si>
  <si>
    <t>2022-04-26 07:00 (PST)</t>
  </si>
  <si>
    <t>2022-04-30 12:25 (-07)</t>
  </si>
  <si>
    <t>12:25(-07)</t>
  </si>
  <si>
    <t>2021-09-11 05:54 (-07)</t>
  </si>
  <si>
    <t>2022-04-30 13:57 (-07)</t>
  </si>
  <si>
    <t>13:57(-07)</t>
  </si>
  <si>
    <t>5 min Hoge Veluwe National Park Ride</t>
  </si>
  <si>
    <t>2022-04-30 14:05 (-07)</t>
  </si>
  <si>
    <t>14:05(-07)</t>
  </si>
  <si>
    <t>10 min Glutes &amp; Legs Stretch</t>
  </si>
  <si>
    <t>2022-04-30 22:49 (PST)</t>
  </si>
  <si>
    <t>2022-04-25 07:00 (PST)</t>
  </si>
  <si>
    <t>2022-05-01 22:21 (PST)</t>
  </si>
  <si>
    <t>2020-11-15 06:45 (PST)</t>
  </si>
  <si>
    <t>2022-05-02 07:05 (PST)</t>
  </si>
  <si>
    <t>30 min 70s Rock Yoga Flow</t>
  </si>
  <si>
    <t>2022-04-26 03:55 (PST)</t>
  </si>
  <si>
    <t>2022-05-02 16:40 (PST)</t>
  </si>
  <si>
    <t>2022-04-08 08:00 (PST)</t>
  </si>
  <si>
    <t>2022-05-02 21:50 (PST)</t>
  </si>
  <si>
    <t>2020-11-07 06:37 (PST)</t>
  </si>
  <si>
    <t>2022-05-02 23:05 (PST)</t>
  </si>
  <si>
    <t>2020-10-21 17:06 (PST)</t>
  </si>
  <si>
    <t>2022-05-03 07:57 (PST)</t>
  </si>
  <si>
    <t>2022-03-15 06:22 (PST)</t>
  </si>
  <si>
    <t>2022-05-03 11:32 (PST)</t>
  </si>
  <si>
    <t>2022-04-29 07:33 (PST)</t>
  </si>
  <si>
    <t>2022-05-03 16:13 (PST)</t>
  </si>
  <si>
    <t xml:space="preserve">Selena &amp; Tunde </t>
  </si>
  <si>
    <t>30 min Fitness Flipped: Rest</t>
  </si>
  <si>
    <t>2022-05-03 05:30 (PST)</t>
  </si>
  <si>
    <t>2022-05-03 20:07 (-07)</t>
  </si>
  <si>
    <t>2021-11-10 03:52 (-07)</t>
  </si>
  <si>
    <t>2022-05-03 20:55 (-07)</t>
  </si>
  <si>
    <t>20:55(-07)</t>
  </si>
  <si>
    <t>2022-05-03 22:07 (PST)</t>
  </si>
  <si>
    <t>2022-05-02 08:00 (PST)</t>
  </si>
  <si>
    <t>2022-05-04 07:25 (PST)</t>
  </si>
  <si>
    <t>2022-03-26 07:52 (PST)</t>
  </si>
  <si>
    <t>2022-05-04 19:37 (-07)</t>
  </si>
  <si>
    <t>19:37(-07)</t>
  </si>
  <si>
    <t>2022-04-20 02:52 (-07)</t>
  </si>
  <si>
    <t>2022-05-04 22:05 (PST)</t>
  </si>
  <si>
    <t>22:05(PST)</t>
  </si>
  <si>
    <t>2022-05-04 08:00 (PST)</t>
  </si>
  <si>
    <t>2022-05-05 07:15 (PST)</t>
  </si>
  <si>
    <t>10 min Pop Core Strength</t>
  </si>
  <si>
    <t>2022-04-28 07:33 (PST)</t>
  </si>
  <si>
    <t>2022-05-05 07:26 (PST)</t>
  </si>
  <si>
    <t>10 min Soul Barre</t>
  </si>
  <si>
    <t>2022-05-05 07:37 (PST)</t>
  </si>
  <si>
    <t>2022-03-08 05:17 (PST)</t>
  </si>
  <si>
    <t>2022-05-05 22:24 (PST)</t>
  </si>
  <si>
    <t>2022-05-05 07:00 (PST)</t>
  </si>
  <si>
    <t>2022-05-06 08:29 (PST)</t>
  </si>
  <si>
    <t>08:29(PST)</t>
  </si>
  <si>
    <t>2022-03-14 08:52 (PST)</t>
  </si>
  <si>
    <t>2022-05-06 12:12 (-07)</t>
  </si>
  <si>
    <t>10 min Red Hot Chili Peppers Core</t>
  </si>
  <si>
    <t>2022-05-04 07:00 (-07)</t>
  </si>
  <si>
    <t>2022-05-06 12:23 (-07)</t>
  </si>
  <si>
    <t>2022-03-27 10:21 (-07)</t>
  </si>
  <si>
    <t>2022-05-06 13:11 (-07)</t>
  </si>
  <si>
    <t>2022-05-06 08:00 (-07)</t>
  </si>
  <si>
    <t>2022-05-06 23:15 (PST)</t>
  </si>
  <si>
    <t>2022-04-25 15:37 (PST)</t>
  </si>
  <si>
    <t>2022-05-07 11:25 (-07)</t>
  </si>
  <si>
    <t>11:25(-07)</t>
  </si>
  <si>
    <t>2022-05-05 08:00 (-07)</t>
  </si>
  <si>
    <t>2022-05-07 11:31 (-07)</t>
  </si>
  <si>
    <t>11:31(-07)</t>
  </si>
  <si>
    <t>2022-05-07 11:49 (-07)</t>
  </si>
  <si>
    <t>11:49(-07)</t>
  </si>
  <si>
    <t>2022-05-07 12:13 (-07)</t>
  </si>
  <si>
    <t>12:13(-07)</t>
  </si>
  <si>
    <t>2022-05-07 12:22 (-07)</t>
  </si>
  <si>
    <t>12:22(-07)</t>
  </si>
  <si>
    <t>None</t>
  </si>
  <si>
    <t>5 KM Oregon Mount Hood Ride</t>
  </si>
  <si>
    <t>2022-05-07 12:41 (-07)</t>
  </si>
  <si>
    <t>12:41(-07)</t>
  </si>
  <si>
    <t>10 min Strength Roll Call: Core</t>
  </si>
  <si>
    <t>2022-05-04 04:25 (-07)</t>
  </si>
  <si>
    <t>2022-05-07 12:53 (-07)</t>
  </si>
  <si>
    <t>12:53(-07)</t>
  </si>
  <si>
    <t>2020-09-08 04:49 (-07)</t>
  </si>
  <si>
    <t>2022-05-07 23:49 (PST)</t>
  </si>
  <si>
    <t>2022-05-06 14:37 (PST)</t>
  </si>
  <si>
    <t>2022-05-08 19:26 (-07)</t>
  </si>
  <si>
    <t>2022-02-23 03:54 (-07)</t>
  </si>
  <si>
    <t>2022-05-08 20:16 (-07)</t>
  </si>
  <si>
    <t>2022-04-29 02:52 (-07)</t>
  </si>
  <si>
    <t>2022-05-08 20:39 (PST)</t>
  </si>
  <si>
    <t>20:39(PST)</t>
  </si>
  <si>
    <t>20 min Focus Flow: Fire Log</t>
  </si>
  <si>
    <t>2022-05-03 06:57 (PST)</t>
  </si>
  <si>
    <t>2022-05-08 22:40 (PST)</t>
  </si>
  <si>
    <t>2019-11-26 16:21 (PST)</t>
  </si>
  <si>
    <t>2022-05-09 07:51 (PST)</t>
  </si>
  <si>
    <t>2022-05-09 15:58 (PST)</t>
  </si>
  <si>
    <t>15:58(PST)</t>
  </si>
  <si>
    <t>2022-05-03 06:22 (PST)</t>
  </si>
  <si>
    <t>2022-05-09 17:46 (-07)</t>
  </si>
  <si>
    <t>2022-05-03 05:02 (-07)</t>
  </si>
  <si>
    <t>2022-05-09 17:58 (-07)</t>
  </si>
  <si>
    <t>2022-05-07 04:23 (-07)</t>
  </si>
  <si>
    <t>2022-05-09 19:35 (-07)</t>
  </si>
  <si>
    <t>10 min Hip Stretch</t>
  </si>
  <si>
    <t>2022-05-06 07:00 (-07)</t>
  </si>
  <si>
    <t>2022-05-09 21:46 (PST)</t>
  </si>
  <si>
    <t>2022-05-09 05:37 (PST)</t>
  </si>
  <si>
    <t>2022-05-10 07:32 (PST)</t>
  </si>
  <si>
    <t>2022-05-05 14:53 (PST)</t>
  </si>
  <si>
    <t>2022-05-10 20:14 (PST)</t>
  </si>
  <si>
    <t>2022-05-10 22:53 (PST)</t>
  </si>
  <si>
    <t>2022-05-10 08:00 (PST)</t>
  </si>
  <si>
    <t>2022-05-11 07:30 (PST)</t>
  </si>
  <si>
    <t>2022-04-14 16:22 (PST)</t>
  </si>
  <si>
    <t>2022-05-11 16:35 (PST)</t>
  </si>
  <si>
    <t>2022-05-11 18:13 (-07)</t>
  </si>
  <si>
    <t>2022-05-06 05:02 (-07)</t>
  </si>
  <si>
    <t>2022-05-11 18:25 (-07)</t>
  </si>
  <si>
    <t>2019-06-23 04:48 (-07)</t>
  </si>
  <si>
    <t>2022-05-12 16:50 (PST)</t>
  </si>
  <si>
    <t>60 min Slow Flow</t>
  </si>
  <si>
    <t>2021-11-20 07:54 (PST)</t>
  </si>
  <si>
    <t>2022-05-12 22:54 (PST)</t>
  </si>
  <si>
    <t>2022-05-12 08:00 (PST)</t>
  </si>
  <si>
    <t>2022-05-13 09:20 (PST)</t>
  </si>
  <si>
    <t>09:20(PST)</t>
  </si>
  <si>
    <t>5 min Level Up Meditation</t>
  </si>
  <si>
    <t>2022-04-13 04:51 (PST)</t>
  </si>
  <si>
    <t>2022-05-13 11:02 (PST)</t>
  </si>
  <si>
    <t>11:02(PST)</t>
  </si>
  <si>
    <t>20 min Y2K Fun Walk</t>
  </si>
  <si>
    <t>2022-05-13 18:05 (PST)</t>
  </si>
  <si>
    <t>2022-05-09 07:00 (PST)</t>
  </si>
  <si>
    <t>2022-05-13 19:30 (PST)</t>
  </si>
  <si>
    <t>2022-04-08 06:22 (PST)</t>
  </si>
  <si>
    <t>2022-05-13 21:16 (PST)</t>
  </si>
  <si>
    <t>2022-05-11 08:00 (PST)</t>
  </si>
  <si>
    <t>2022-05-14 05:59 (PST)</t>
  </si>
  <si>
    <t>05:59(PST)</t>
  </si>
  <si>
    <t>2022-05-06 07:00 (PST)</t>
  </si>
  <si>
    <t>2022-05-14 22:00 (PST)</t>
  </si>
  <si>
    <t>2022-05-11 07:00 (PST)</t>
  </si>
  <si>
    <t>2022-05-15 10:15 (PST)</t>
  </si>
  <si>
    <t>30 min Fleetwood Mac Yoga Flow</t>
  </si>
  <si>
    <t>2022-05-15 07:53 (PST)</t>
  </si>
  <si>
    <t>2022-05-15 10:47 (PST)</t>
  </si>
  <si>
    <t>2022-04-07 15:38 (PST)</t>
  </si>
  <si>
    <t>2022-05-16 19:49 (-07)</t>
  </si>
  <si>
    <t>2022-05-07 09:52 (-07)</t>
  </si>
  <si>
    <t>2022-05-16 20:08 (-07)</t>
  </si>
  <si>
    <t>20:08(-07)</t>
  </si>
  <si>
    <t>2022-05-16 13:54 (-07)</t>
  </si>
  <si>
    <t>2022-05-16 20:46 (PST)</t>
  </si>
  <si>
    <t>15 min Foam Rolling: Hips</t>
  </si>
  <si>
    <t>2022-05-16 06:00 (PST)</t>
  </si>
  <si>
    <t>2022-05-16 22:29 (PST)</t>
  </si>
  <si>
    <t>2022-05-16 09:39 (PST)</t>
  </si>
  <si>
    <t>2022-05-17 04:44 (PST)</t>
  </si>
  <si>
    <t>04:44(PST)</t>
  </si>
  <si>
    <t>5 min Breathing Meditation</t>
  </si>
  <si>
    <t>2022-05-15 11:24 (PST)</t>
  </si>
  <si>
    <t>2022-05-17 05:17 (PST)</t>
  </si>
  <si>
    <t>05:17(PST)</t>
  </si>
  <si>
    <t>2022-05-12 07:00 (PST)</t>
  </si>
  <si>
    <t>2022-05-17 07:12 (PST)</t>
  </si>
  <si>
    <t>2022-03-23 08:52 (PST)</t>
  </si>
  <si>
    <t>2022-05-17 14:00 (PST)</t>
  </si>
  <si>
    <t>2022-05-13 08:00 (PST)</t>
  </si>
  <si>
    <t>2022-05-17 18:56 (-07)</t>
  </si>
  <si>
    <t>18:56(-07)</t>
  </si>
  <si>
    <t>10 min K-Pop Core Strength</t>
  </si>
  <si>
    <t>2022-05-17 07:00 (-07)</t>
  </si>
  <si>
    <t>2022-05-17 19:09 (-07)</t>
  </si>
  <si>
    <t>2022-04-27 02:52 (-07)</t>
  </si>
  <si>
    <t>2022-05-17 19:55 (-07)</t>
  </si>
  <si>
    <t>2022-05-12 08:00 (-07)</t>
  </si>
  <si>
    <t>2022-05-17 22:11 (PST)</t>
  </si>
  <si>
    <t>2022-05-16 11:30 (PST)</t>
  </si>
  <si>
    <t>2022-05-18 07:39 (PST)</t>
  </si>
  <si>
    <t>2022-05-18 12:45 (PST)</t>
  </si>
  <si>
    <t xml:space="preserve">Jess &amp; Tunde </t>
  </si>
  <si>
    <t>45 min Fitness Flipped: Community</t>
  </si>
  <si>
    <t>2022-05-13 05:30 (PST)</t>
  </si>
  <si>
    <t>2022-05-18 12:52 (PST)</t>
  </si>
  <si>
    <t>12:52(PST)</t>
  </si>
  <si>
    <t>2022-05-18 16:48 (-07)</t>
  </si>
  <si>
    <t>2022-05-11 13:52 (-07)</t>
  </si>
  <si>
    <t>2022-05-18 16:59 (-07)</t>
  </si>
  <si>
    <t>2022-05-18 04:22 (-07)</t>
  </si>
  <si>
    <t>2022-05-18 17:12 (-07)</t>
  </si>
  <si>
    <t>17:12(-07)</t>
  </si>
  <si>
    <t>2022-04-20 06:54 (-07)</t>
  </si>
  <si>
    <t>2022-05-18 17:58 (-07)</t>
  </si>
  <si>
    <t>2022-05-18 23:52 (PST)</t>
  </si>
  <si>
    <t>23:52(PST)</t>
  </si>
  <si>
    <t>2022-05-17 05:27 (PST)</t>
  </si>
  <si>
    <t>2022-05-19 04:39 (PST)</t>
  </si>
  <si>
    <t>04:39(PST)</t>
  </si>
  <si>
    <t>2022-05-19 16:32 (-07)</t>
  </si>
  <si>
    <t>2022-05-16 06:52 (-07)</t>
  </si>
  <si>
    <t>2022-05-19 16:44 (-07)</t>
  </si>
  <si>
    <t>16:44(-07)</t>
  </si>
  <si>
    <t>2022-05-10 16:07 (-07)</t>
  </si>
  <si>
    <t>2022-05-19 16:55 (-07)</t>
  </si>
  <si>
    <t>16:55(-07)</t>
  </si>
  <si>
    <t>20 min 2000s Ride</t>
  </si>
  <si>
    <t>2022-05-18 15:25 (-07)</t>
  </si>
  <si>
    <t>2022-05-19 17:17 (-07)</t>
  </si>
  <si>
    <t>2022-05-05 15:37 (-07)</t>
  </si>
  <si>
    <t>2022-05-19 22:15 (PST)</t>
  </si>
  <si>
    <t>2022-05-18 08:00 (PST)</t>
  </si>
  <si>
    <t>2022-05-20 23:16 (PST)</t>
  </si>
  <si>
    <t>10 min World Meditation Day Meditation</t>
  </si>
  <si>
    <t>2022-05-20 14:38 (PST)</t>
  </si>
  <si>
    <t>2022-05-21 00:01 (PST)</t>
  </si>
  <si>
    <t>2022-05-19 08:00 (PST)</t>
  </si>
  <si>
    <t>2022-05-21 09:02 (PST)</t>
  </si>
  <si>
    <t>09:02(PST)</t>
  </si>
  <si>
    <t>2022-05-13 05:12 (PST)</t>
  </si>
  <si>
    <t>2022-05-21 09:13 (PST)</t>
  </si>
  <si>
    <t>10 min Metal Barre</t>
  </si>
  <si>
    <t>2022-05-06 15:00 (PST)</t>
  </si>
  <si>
    <t>2022-05-21 09:26 (PST)</t>
  </si>
  <si>
    <t>2022-04-23 07:55 (PST)</t>
  </si>
  <si>
    <t>2022-05-22 03:46 (PST)</t>
  </si>
  <si>
    <t>03:46(PST)</t>
  </si>
  <si>
    <t>2022-05-22 04:03 (PST)</t>
  </si>
  <si>
    <t>04:03(PST)</t>
  </si>
  <si>
    <t>2022-05-22 22:16 (PST)</t>
  </si>
  <si>
    <t>2022-05-23 07:25 (PST)</t>
  </si>
  <si>
    <t>2022-03-29 05:16 (PST)</t>
  </si>
  <si>
    <t>2022-05-23 12:48 (PST)</t>
  </si>
  <si>
    <t>20 min R&amp;B Walk</t>
  </si>
  <si>
    <t>2022-05-20 08:00 (PST)</t>
  </si>
  <si>
    <t>2022-05-23 13:09 (PST)</t>
  </si>
  <si>
    <t>13:09(PST)</t>
  </si>
  <si>
    <t>2022-05-20 01:00 (PST)</t>
  </si>
  <si>
    <t>2022-05-23 18:26 (-07)</t>
  </si>
  <si>
    <t>2022-04-02 04:51 (-07)</t>
  </si>
  <si>
    <t>2022-05-23 19:28 (-07)</t>
  </si>
  <si>
    <t>2022-05-05 06:53 (-07)</t>
  </si>
  <si>
    <t>2022-05-23 22:08 (PST)</t>
  </si>
  <si>
    <t>2022-05-23 05:37 (PST)</t>
  </si>
  <si>
    <t>2022-05-24 10:37 (PST)</t>
  </si>
  <si>
    <t>10:37(PST)</t>
  </si>
  <si>
    <t>2022-03-24 14:53 (PST)</t>
  </si>
  <si>
    <t>2022-05-24 11:10 (PST)</t>
  </si>
  <si>
    <t>11:10(PST)</t>
  </si>
  <si>
    <t>2022-05-23 07:00 (PST)</t>
  </si>
  <si>
    <t>2022-05-24 14:09 (PST)</t>
  </si>
  <si>
    <t>14:09(PST)</t>
  </si>
  <si>
    <t>20 min House Walk</t>
  </si>
  <si>
    <t>2022-05-24 14:29 (PST)</t>
  </si>
  <si>
    <t>Theme Walk</t>
  </si>
  <si>
    <t>20 min Earth Day Walk</t>
  </si>
  <si>
    <t>2022-05-24 22:04 (PST)</t>
  </si>
  <si>
    <t>2022-05-24 15:28 (PST)</t>
  </si>
  <si>
    <t>2022-05-25 07:34 (PST)</t>
  </si>
  <si>
    <t>2022-03-28 04:57 (PST)</t>
  </si>
  <si>
    <t>2022-05-25 19:51 (-07)</t>
  </si>
  <si>
    <t>2022-05-16 08:00 (-07)</t>
  </si>
  <si>
    <t>2022-05-25 22:22 (PST)</t>
  </si>
  <si>
    <t>2022-05-25 08:00 (PST)</t>
  </si>
  <si>
    <t>2022-05-26 07:37 (PST)</t>
  </si>
  <si>
    <t>2022-05-04 04:52 (PST)</t>
  </si>
  <si>
    <t>2022-05-26 16:19 (PST)</t>
  </si>
  <si>
    <t>20 min 90s Pop Fun Walk</t>
  </si>
  <si>
    <t>2022-05-26 16:39 (PST)</t>
  </si>
  <si>
    <t>16:39(PST)</t>
  </si>
  <si>
    <t>2019-12-19 08:00 (PST)</t>
  </si>
  <si>
    <t>2022-05-26 17:20 (-07)</t>
  </si>
  <si>
    <t>2022-05-20 07:00 (-07)</t>
  </si>
  <si>
    <t>2022-05-26 17:30 (-07)</t>
  </si>
  <si>
    <t>17:30(-07)</t>
  </si>
  <si>
    <t>2022-02-09 15:30 (-07)</t>
  </si>
  <si>
    <t>2022-05-26 17:42 (-07)</t>
  </si>
  <si>
    <t>17:42(-07)</t>
  </si>
  <si>
    <t>2022-05-26 22:44 (PST)</t>
  </si>
  <si>
    <t>2022-05-26 08:00 (PST)</t>
  </si>
  <si>
    <t>2022-05-27 11:17 (PST)</t>
  </si>
  <si>
    <t>11:17(PST)</t>
  </si>
  <si>
    <t>2022-03-29 14:52 (PST)</t>
  </si>
  <si>
    <t>2022-05-27 12:24 (PST)</t>
  </si>
  <si>
    <t>12:24(PST)</t>
  </si>
  <si>
    <t>2022-05-11 04:22 (PST)</t>
  </si>
  <si>
    <t>2022-05-27 23:50 (PST)</t>
  </si>
  <si>
    <t>23:50(PST)</t>
  </si>
  <si>
    <t>2022-05-25 09:39 (PST)</t>
  </si>
  <si>
    <t>2022-05-28 10:00 (-07)</t>
  </si>
  <si>
    <t>10:00(-07)</t>
  </si>
  <si>
    <t>2021-05-29 04:24 (-07)</t>
  </si>
  <si>
    <t>2022-05-28 11:33 (-07)</t>
  </si>
  <si>
    <t>11:33(-07)</t>
  </si>
  <si>
    <t>2022-05-28 23:01 (PST)</t>
  </si>
  <si>
    <t>2022-05-29 16:22 (PST)</t>
  </si>
  <si>
    <t>2022-04-28 07:00 (PST)</t>
  </si>
  <si>
    <t>2022-05-29 23:32 (PST)</t>
  </si>
  <si>
    <t>23:32(PST)</t>
  </si>
  <si>
    <t>2022-04-25 05:37 (PST)</t>
  </si>
  <si>
    <t>2022-05-30 02:43 (PST)</t>
  </si>
  <si>
    <t>02:43(PST)</t>
  </si>
  <si>
    <t>2022-05-30 09:15 (PST)</t>
  </si>
  <si>
    <t>2022-05-03 05:18 (PST)</t>
  </si>
  <si>
    <t>2022-05-30 18:41 (-07)</t>
  </si>
  <si>
    <t>2022-05-14 04:52 (-07)</t>
  </si>
  <si>
    <t>2022-05-30 19:43 (-07)</t>
  </si>
  <si>
    <t>2022-05-27 08:00 (-07)</t>
  </si>
  <si>
    <t>2022-05-30 19:55 (-07)</t>
  </si>
  <si>
    <t>2022-05-02 07:00 (-07)</t>
  </si>
  <si>
    <t>2022-05-30 20:08 (-07)</t>
  </si>
  <si>
    <t>2022-05-11 08:00 (-07)</t>
  </si>
  <si>
    <t>2022-05-30 22:37 (PST)</t>
  </si>
  <si>
    <t>2022-04-26 17:10 (PST)</t>
  </si>
  <si>
    <t>2022-05-31 13:15 (PST)</t>
  </si>
  <si>
    <t>13:15(PST)</t>
  </si>
  <si>
    <t>20 min API Heritage Walk</t>
  </si>
  <si>
    <t>2022-05-27 01:00 (PST)</t>
  </si>
  <si>
    <t>2022-05-31 13:35 (PST)</t>
  </si>
  <si>
    <t>13:35(PST)</t>
  </si>
  <si>
    <t>2022-05-31 22:41 (PST)</t>
  </si>
  <si>
    <t>2022-05-31 07:00 (PST)</t>
  </si>
  <si>
    <t>2022-06-01 07:31 (PST)</t>
  </si>
  <si>
    <t>2022-04-25 04:54 (PST)</t>
  </si>
  <si>
    <t>2022-06-01 17:21 (-07)</t>
  </si>
  <si>
    <t>17:21(-07)</t>
  </si>
  <si>
    <t>2022-06-01 04:22 (-07)</t>
  </si>
  <si>
    <t>2022-06-01 17:35 (-07)</t>
  </si>
  <si>
    <t>2022-03-16 02:52 (-07)</t>
  </si>
  <si>
    <t>2022-06-01 18:24 (-07)</t>
  </si>
  <si>
    <t>18:24(-07)</t>
  </si>
  <si>
    <t>2022-05-31 07:00 (-07)</t>
  </si>
  <si>
    <t>2022-06-01 22:22 (PST)</t>
  </si>
  <si>
    <t>2022-05-31 07:07 (PST)</t>
  </si>
  <si>
    <t>2022-06-02 07:26 (PST)</t>
  </si>
  <si>
    <t>30 min Folk Slow Flow</t>
  </si>
  <si>
    <t>2022-04-25 14:53 (PST)</t>
  </si>
  <si>
    <t>2022-06-02 12:20 (PST)</t>
  </si>
  <si>
    <t>31 min 12 sec Just Walk: Outdoor</t>
  </si>
  <si>
    <t>2022-06-02 16:53 (-07)</t>
  </si>
  <si>
    <t>16:53(-07)</t>
  </si>
  <si>
    <t>2022-05-18 02:52 (-07)</t>
  </si>
  <si>
    <t>2022-06-02 17:25 (-07)</t>
  </si>
  <si>
    <t>2022-05-31 06:01 (-07)</t>
  </si>
  <si>
    <t>2022-06-02 17:38 (-07)</t>
  </si>
  <si>
    <t>17:38(-07)</t>
  </si>
  <si>
    <t>Logan Aldridge</t>
  </si>
  <si>
    <t>2022-06-01 16:10 (-07)</t>
  </si>
  <si>
    <t>2022-06-02 22:34 (PST)</t>
  </si>
  <si>
    <t>2022-02-15 08:00 (PST)</t>
  </si>
  <si>
    <t>2022-06-03 08:00 (PST)</t>
  </si>
  <si>
    <t>2022-04-25 08:53 (PST)</t>
  </si>
  <si>
    <t>2022-06-03 12:21 (PST)</t>
  </si>
  <si>
    <t>2022-06-03 12:44 (PST)</t>
  </si>
  <si>
    <t>12:44(PST)</t>
  </si>
  <si>
    <t>10 min Just Walk: Outdoor</t>
  </si>
  <si>
    <t>2022-06-03 21:49 (PST)</t>
  </si>
  <si>
    <t>2022-06-04 07:16 (PST)</t>
  </si>
  <si>
    <t>2022-03-23 04:51 (PST)</t>
  </si>
  <si>
    <t>2022-06-04 22:13 (PST)</t>
  </si>
  <si>
    <t>2022-06-01 08:00 (PST)</t>
  </si>
  <si>
    <t>2022-06-05 22:15 (PST)</t>
  </si>
  <si>
    <t>2022-05-31 08:00 (PST)</t>
  </si>
  <si>
    <t>2022-06-06 07:13 (PST)</t>
  </si>
  <si>
    <t>30 min Pride Yoga Flow</t>
  </si>
  <si>
    <t>2022-06-05 07:54 (PST)</t>
  </si>
  <si>
    <t>2022-06-06 16:33 (PST)</t>
  </si>
  <si>
    <t>2019-08-01 08:00 (PST)</t>
  </si>
  <si>
    <t>2022-06-06 16:54 (PST)</t>
  </si>
  <si>
    <t>16:54(PST)</t>
  </si>
  <si>
    <t>15 min 48 sec Just Walk: Outdoor</t>
  </si>
  <si>
    <t>2022-06-06 17:56 (-07)</t>
  </si>
  <si>
    <t>10 min Jubilee Celebration Core Strength</t>
  </si>
  <si>
    <t>2022-06-02 11:00 (-07)</t>
  </si>
  <si>
    <t>2022-06-06 18:07 (-07)</t>
  </si>
  <si>
    <t>2019-12-08 14:17 (-07)</t>
  </si>
  <si>
    <t>2022-06-06 18:40 (-07)</t>
  </si>
  <si>
    <t>18:40(-07)</t>
  </si>
  <si>
    <t>2022-05-11 02:54 (-07)</t>
  </si>
  <si>
    <t>2022-06-06 22:39 (PST)</t>
  </si>
  <si>
    <t>2022-06-05 07:09 (PST)</t>
  </si>
  <si>
    <t>2022-06-07 07:15 (PST)</t>
  </si>
  <si>
    <t>30 min Red Hot Chili Peppers Yoga Flow</t>
  </si>
  <si>
    <t>2022-05-04 15:24 (PST)</t>
  </si>
  <si>
    <t>2022-06-07 17:07 (-07)</t>
  </si>
  <si>
    <t>2022-06-05 06:46 (-07)</t>
  </si>
  <si>
    <t>2022-06-07 17:20 (-07)</t>
  </si>
  <si>
    <t>2022-05-25 02:54 (-07)</t>
  </si>
  <si>
    <t>2022-06-07 18:08 (-07)</t>
  </si>
  <si>
    <t>2022-06-05 11:08 (-07)</t>
  </si>
  <si>
    <t>2022-06-07 18:23 (-07)</t>
  </si>
  <si>
    <t>18:23(-07)</t>
  </si>
  <si>
    <t>2022-06-02 04:54 (-07)</t>
  </si>
  <si>
    <t>2022-06-07 22:20 (PST)</t>
  </si>
  <si>
    <t>2022-06-07 07:00 (PST)</t>
  </si>
  <si>
    <t>2022-06-08 07:23 (PST)</t>
  </si>
  <si>
    <t>30 min API Heritage Yoga Flow</t>
  </si>
  <si>
    <t>2022-05-07 06:48 (PST)</t>
  </si>
  <si>
    <t>2022-06-08 11:13 (PST)</t>
  </si>
  <si>
    <t>11:13(PST)</t>
  </si>
  <si>
    <t>2019-04-11 08:00 (PST)</t>
  </si>
  <si>
    <t>2022-06-08 22:05 (PST)</t>
  </si>
  <si>
    <t>2022-06-08 08:00 (PST)</t>
  </si>
  <si>
    <t>2022-06-09 06:46 (PST)</t>
  </si>
  <si>
    <t>2022-06-09 06:58 (PST)</t>
  </si>
  <si>
    <t>30 min Bollywood Slow Flow</t>
  </si>
  <si>
    <t>2022-05-10 05:18 (PST)</t>
  </si>
  <si>
    <t>2022-06-09 15:48 (-07)</t>
  </si>
  <si>
    <t>15:48(-07)</t>
  </si>
  <si>
    <t>2022-04-23 04:53 (-07)</t>
  </si>
  <si>
    <t>2022-06-09 16:34 (-07)</t>
  </si>
  <si>
    <t>16:34(-07)</t>
  </si>
  <si>
    <t>2022-06-09 16:40 (-07)</t>
  </si>
  <si>
    <t>2022-06-07 08:00 (-07)</t>
  </si>
  <si>
    <t>2022-06-09 22:28 (PST)</t>
  </si>
  <si>
    <t>2022-06-09 08:00 (PST)</t>
  </si>
  <si>
    <t>2022-06-10 07:23 (PST)</t>
  </si>
  <si>
    <t>2022-05-10 14:52 (PST)</t>
  </si>
  <si>
    <t>2022-06-10 17:21 (-07)</t>
  </si>
  <si>
    <t>2021-04-21 02:53 (-07)</t>
  </si>
  <si>
    <t>2022-06-10 22:41 (PST)</t>
  </si>
  <si>
    <t>2022-06-11 22:44 (PST)</t>
  </si>
  <si>
    <t>2019-11-25 05:31 (PST)</t>
  </si>
  <si>
    <t>2022-06-12 09:52 (PST)</t>
  </si>
  <si>
    <t>30 min Focus Flow: Pigeon Pose</t>
  </si>
  <si>
    <t>2022-06-12 07:52 (PST)</t>
  </si>
  <si>
    <t>2022-06-12 10:27 (PST)</t>
  </si>
  <si>
    <t>2022-06-11 08:38 (PST)</t>
  </si>
  <si>
    <t>2022-06-12 15:53 (-07)</t>
  </si>
  <si>
    <t>15:53(-07)</t>
  </si>
  <si>
    <t>2022-06-07 07:00 (-07)</t>
  </si>
  <si>
    <t>2022-06-12 16:06 (-07)</t>
  </si>
  <si>
    <t>2021-08-21 04:55 (-07)</t>
  </si>
  <si>
    <t>2022-06-12 17:07 (-07)</t>
  </si>
  <si>
    <t>2022-06-01 08:00 (-07)</t>
  </si>
  <si>
    <t>2022-06-12 22:12 (PST)</t>
  </si>
  <si>
    <t>2022-06-07 08:00 (PST)</t>
  </si>
  <si>
    <t>2022-06-13 07:08 (PST)</t>
  </si>
  <si>
    <t>2022-05-16 04:51 (PST)</t>
  </si>
  <si>
    <t>2022-06-13 17:09 (-07)</t>
  </si>
  <si>
    <t>2022-06-04 06:32 (-07)</t>
  </si>
  <si>
    <t>2022-06-13 17:27 (-07)</t>
  </si>
  <si>
    <t>2022-06-13 18:14 (-07)</t>
  </si>
  <si>
    <t>2022-04-27 14:39 (-07)</t>
  </si>
  <si>
    <t>2022-06-13 18:28 (-07)</t>
  </si>
  <si>
    <t>2022-03-30 04:59 (-07)</t>
  </si>
  <si>
    <t>2022-06-13 22:06 (PST)</t>
  </si>
  <si>
    <t>2022-06-13 08:00 (PST)</t>
  </si>
  <si>
    <t>2022-06-14 06:56 (PST)</t>
  </si>
  <si>
    <t>30 min Mood Slow Flow: Calm</t>
  </si>
  <si>
    <t>2022-05-18 05:00 (PST)</t>
  </si>
  <si>
    <t>2022-06-14 15:06 (-07)</t>
  </si>
  <si>
    <t>15:06(-07)</t>
  </si>
  <si>
    <t>2022-06-03 06:30 (-07)</t>
  </si>
  <si>
    <t>2022-06-14 15:17 (-07)</t>
  </si>
  <si>
    <t>2022-06-10 07:00 (-07)</t>
  </si>
  <si>
    <t>2022-06-14 15:29 (-07)</t>
  </si>
  <si>
    <t>15:29(-07)</t>
  </si>
  <si>
    <t>2022-06-13 07:00 (-07)</t>
  </si>
  <si>
    <t>2022-06-14 22:39 (PST)</t>
  </si>
  <si>
    <t>2022-06-14 07:00 (PST)</t>
  </si>
  <si>
    <t>2022-06-15 12:21 (PST)</t>
  </si>
  <si>
    <t>45 min Pop Walk</t>
  </si>
  <si>
    <t>2022-06-15 16:04 (-07)</t>
  </si>
  <si>
    <t>16:04(-07)</t>
  </si>
  <si>
    <t>2022-06-08 04:23 (-07)</t>
  </si>
  <si>
    <t>2022-06-15 16:21 (-07)</t>
  </si>
  <si>
    <t>16:21(-07)</t>
  </si>
  <si>
    <t>2021-10-28 10:26 (-07)</t>
  </si>
  <si>
    <t>2022-06-15 17:08 (-07)</t>
  </si>
  <si>
    <t>2022-06-11 06:32 (-07)</t>
  </si>
  <si>
    <t>2022-06-15 17:20 (-07)</t>
  </si>
  <si>
    <t>2022-06-14 08:00 (-07)</t>
  </si>
  <si>
    <t>2022-06-15 21:43 (PST)</t>
  </si>
  <si>
    <t>2022-06-14 08:00 (PST)</t>
  </si>
  <si>
    <t>2022-06-16 07:33 (PST)</t>
  </si>
  <si>
    <t>30 min Norah Jones Slow Flow</t>
  </si>
  <si>
    <t>2022-05-25 07:00 (PST)</t>
  </si>
  <si>
    <t>2022-06-16 23:55 (PST)</t>
  </si>
  <si>
    <t>23:55(PST)</t>
  </si>
  <si>
    <t>2022-06-17 04:32 (PST)</t>
  </si>
  <si>
    <t>04:32(PST)</t>
  </si>
  <si>
    <t>2022-06-17 22:33 (PST)</t>
  </si>
  <si>
    <t>2022-06-17 07:08 (PST)</t>
  </si>
  <si>
    <t>2022-06-18 09:14 (PST)</t>
  </si>
  <si>
    <t>09:14(PST)</t>
  </si>
  <si>
    <t>2022-05-22 07:53 (PST)</t>
  </si>
  <si>
    <t>2022-06-18 21:32 (PST)</t>
  </si>
  <si>
    <t>21:32(PST)</t>
  </si>
  <si>
    <t>2020-08-22 07:00 (PST)</t>
  </si>
  <si>
    <t>2022-06-19 01:37 (PST)</t>
  </si>
  <si>
    <t>2020-08-05 08:38 (PST)</t>
  </si>
  <si>
    <t>2022-06-19 09:40 (-07)</t>
  </si>
  <si>
    <t>09:40(-07)</t>
  </si>
  <si>
    <t>2022-06-09 05:02 (-07)</t>
  </si>
  <si>
    <t>2022-06-19 09:53 (-07)</t>
  </si>
  <si>
    <t>09:53(-07)</t>
  </si>
  <si>
    <t>2022-06-19 11:00 (-07)</t>
  </si>
  <si>
    <t>2022-04-25 09:37 (-07)</t>
  </si>
  <si>
    <t>2022-06-19 22:28 (PST)</t>
  </si>
  <si>
    <t>2022-06-20 01:46 (PST)</t>
  </si>
  <si>
    <t>01:46(PST)</t>
  </si>
  <si>
    <t>2022-06-20 02:08 (PST)</t>
  </si>
  <si>
    <t>02:08(PST)</t>
  </si>
  <si>
    <t>2022-06-20 07:08 (PST)</t>
  </si>
  <si>
    <t>2022-05-24 03:52 (PST)</t>
  </si>
  <si>
    <t>2022-06-20 15:51 (-07)</t>
  </si>
  <si>
    <t>15:51(-07)</t>
  </si>
  <si>
    <t>2020-08-03 16:18 (-07)</t>
  </si>
  <si>
    <t>2022-06-20 16:37 (-07)</t>
  </si>
  <si>
    <t>2022-06-02 08:00 (-07)</t>
  </si>
  <si>
    <t>2022-06-20 16:46 (-07)</t>
  </si>
  <si>
    <t>2022-06-18 10:46 (-07)</t>
  </si>
  <si>
    <t>2022-06-20 16:58 (-07)</t>
  </si>
  <si>
    <t>2022-06-20 22:05 (PST)</t>
  </si>
  <si>
    <t>2022-06-20 08:00 (PST)</t>
  </si>
  <si>
    <t>2022-06-21 15:14 (PST)</t>
  </si>
  <si>
    <t>15:14(PST)</t>
  </si>
  <si>
    <t>2022-06-21 15:34 (PST)</t>
  </si>
  <si>
    <t>15:34(PST)</t>
  </si>
  <si>
    <t>20 min Country Fun Walk</t>
  </si>
  <si>
    <t>2019-08-29 08:00 (PST)</t>
  </si>
  <si>
    <t>2022-06-21 22:18 (PST)</t>
  </si>
  <si>
    <t>2020-10-14 05:39 (PST)</t>
  </si>
  <si>
    <t>2022-06-22 02:49 (PST)</t>
  </si>
  <si>
    <t>02:49(PST)</t>
  </si>
  <si>
    <t>2022-06-22 08:28 (-07)</t>
  </si>
  <si>
    <t>08:28(-07)</t>
  </si>
  <si>
    <t>2022-06-16 07:00 (-07)</t>
  </si>
  <si>
    <t>2022-06-22 08:35 (-07)</t>
  </si>
  <si>
    <t>08:35(-07)</t>
  </si>
  <si>
    <t>2022-06-22 09:20 (-07)</t>
  </si>
  <si>
    <t>09:20(-07)</t>
  </si>
  <si>
    <t>2022-06-22 09:28 (-07)</t>
  </si>
  <si>
    <t>09:28(-07)</t>
  </si>
  <si>
    <t>20 min Full Body Strength</t>
  </si>
  <si>
    <t>2022-06-10 05:56 (-07)</t>
  </si>
  <si>
    <t>2022-06-23 22:38 (PST)</t>
  </si>
  <si>
    <t>2021-08-25 07:00 (PST)</t>
  </si>
  <si>
    <t>2022-06-24 22:12 (PST)</t>
  </si>
  <si>
    <t>2022-06-23 08:00 (PST)</t>
  </si>
  <si>
    <t>2022-06-25 20:23 (PST)</t>
  </si>
  <si>
    <t>20:23(PST)</t>
  </si>
  <si>
    <t>2022-02-01 06:56 (PST)</t>
  </si>
  <si>
    <t>2022-06-26 22:59 (PST)</t>
  </si>
  <si>
    <t>22:59(PST)</t>
  </si>
  <si>
    <t>2022-06-27 07:47 (PST)</t>
  </si>
  <si>
    <t>30 min R&amp;B Yoga Flow</t>
  </si>
  <si>
    <t>2022-05-28 07:52 (PST)</t>
  </si>
  <si>
    <t>2022-06-27 18:42 (-07)</t>
  </si>
  <si>
    <t>2022-06-17 07:00 (-07)</t>
  </si>
  <si>
    <t>2022-06-27 19:00 (-07)</t>
  </si>
  <si>
    <t>19:00(-07)</t>
  </si>
  <si>
    <t>2022-06-08 06:52 (-07)</t>
  </si>
  <si>
    <t>2022-06-27 19:21 (-07)</t>
  </si>
  <si>
    <t>19:21(-07)</t>
  </si>
  <si>
    <t>Upper Body Stretch</t>
  </si>
  <si>
    <t>10 min Upper Body Stretch</t>
  </si>
  <si>
    <t>2022-06-08 07:00 (-07)</t>
  </si>
  <si>
    <t>2022-06-27 19:33 (-07)</t>
  </si>
  <si>
    <t>19:33(-07)</t>
  </si>
  <si>
    <t>2022-04-13 08:00 (-07)</t>
  </si>
  <si>
    <t>2022-06-27 22:41 (PST)</t>
  </si>
  <si>
    <t>2022-06-22 08:00 (PST)</t>
  </si>
  <si>
    <t>2022-06-28 02:57 (PST)</t>
  </si>
  <si>
    <t>02:57(PST)</t>
  </si>
  <si>
    <t>2022-06-24 07:09 (PST)</t>
  </si>
  <si>
    <t>2022-06-28 10:23 (PST)</t>
  </si>
  <si>
    <t>10:23(PST)</t>
  </si>
  <si>
    <t>30 min Power Slow Flow</t>
  </si>
  <si>
    <t>2022-06-01 08:52 (PST)</t>
  </si>
  <si>
    <t>2022-06-28 10:58 (PST)</t>
  </si>
  <si>
    <t>2022-06-22 04:22 (PST)</t>
  </si>
  <si>
    <t>2022-06-29 02:54 (PST)</t>
  </si>
  <si>
    <t>02:54(PST)</t>
  </si>
  <si>
    <t>2022-06-28 08:00 (PST)</t>
  </si>
  <si>
    <t>2022-06-29 12:23 (PST)</t>
  </si>
  <si>
    <t>2020-01-30 08:00 (PST)</t>
  </si>
  <si>
    <t>2022-06-29 16:52 (-07)</t>
  </si>
  <si>
    <t>2022-06-23 05:02 (-07)</t>
  </si>
  <si>
    <t>2022-06-29 17:08 (-07)</t>
  </si>
  <si>
    <t>2021-01-06 03:52 (-07)</t>
  </si>
  <si>
    <t>2022-06-29 17:53 (-07)</t>
  </si>
  <si>
    <t>2022-06-29 18:02 (PST)</t>
  </si>
  <si>
    <t>18:02(PST)</t>
  </si>
  <si>
    <t>2022-06-26 08:00 (PST)</t>
  </si>
  <si>
    <t>2022-06-29 22:57 (PST)</t>
  </si>
  <si>
    <t>2019-05-14 05:51 (PST)</t>
  </si>
  <si>
    <t>2022-06-30 12:17 (PST)</t>
  </si>
  <si>
    <t>2022-03-18 08:00 (PST)</t>
  </si>
  <si>
    <t>2022-06-30 12:38 (PST)</t>
  </si>
  <si>
    <t>12:38(PST)</t>
  </si>
  <si>
    <t>Jon Hosking</t>
  </si>
  <si>
    <t>20 min Pop Walk</t>
  </si>
  <si>
    <t>2022-04-28 01:00 (PST)</t>
  </si>
  <si>
    <t>2022-06-30 16:51 (-07)</t>
  </si>
  <si>
    <t>2022-03-04 08:00 (-07)</t>
  </si>
  <si>
    <t>2022-06-30 17:02 (-07)</t>
  </si>
  <si>
    <t>2022-05-14 06:42 (-07)</t>
  </si>
  <si>
    <t>2022-06-30 17:09 (-07)</t>
  </si>
  <si>
    <t>2022-06-17 06:55 (-07)</t>
  </si>
  <si>
    <t>2022-06-30 18:14 (PST)</t>
  </si>
  <si>
    <t>2022-06-03 07:00 (PST)</t>
  </si>
  <si>
    <t>2022-06-30 22:00 (PST)</t>
  </si>
  <si>
    <t>10 min Pride Meditation</t>
  </si>
  <si>
    <t>2022-06-30 06:23 (PST)</t>
  </si>
  <si>
    <t>2022-07-01 07:28 (PST)</t>
  </si>
  <si>
    <t>30 min Morning Power Flow</t>
  </si>
  <si>
    <t>2022-06-03 06:48 (PST)</t>
  </si>
  <si>
    <t>2022-07-01 22:13 (PST)</t>
  </si>
  <si>
    <t>2022-06-30 08:00 (PST)</t>
  </si>
  <si>
    <t>2022-07-02 23:12 (PST)</t>
  </si>
  <si>
    <t>23:12(PST)</t>
  </si>
  <si>
    <t>2022-07-02 08:39 (PST)</t>
  </si>
  <si>
    <t>2022-07-03 19:18 (PST)</t>
  </si>
  <si>
    <t>19:18(PST)</t>
  </si>
  <si>
    <t>2022-04-15 08:00 (PST)</t>
  </si>
  <si>
    <t>2022-07-03 19:37 (PST)</t>
  </si>
  <si>
    <t>19:37(PST)</t>
  </si>
  <si>
    <t>20 min 80s Fun Walk</t>
  </si>
  <si>
    <t>2019-10-24 08:00 (PST)</t>
  </si>
  <si>
    <t>2022-07-04 11:42 (-07)</t>
  </si>
  <si>
    <t>11:42(-07)</t>
  </si>
  <si>
    <t>2022-06-30 07:00 (-07)</t>
  </si>
  <si>
    <t>2022-07-04 11:55 (-07)</t>
  </si>
  <si>
    <t>45 min Power Zone Pop Ride</t>
  </si>
  <si>
    <t>2022-04-18 23:00 (-07)</t>
  </si>
  <si>
    <t>2022-07-04 12:41 (-07)</t>
  </si>
  <si>
    <t>2021-12-11 05:52 (-07)</t>
  </si>
  <si>
    <t>2022-07-04 13:42 (-07)</t>
  </si>
  <si>
    <t>13:42(-07)</t>
  </si>
  <si>
    <t>2022-07-04 13:47 (-07)</t>
  </si>
  <si>
    <t>13:47(-07)</t>
  </si>
  <si>
    <t>2022-07-05 03:02 (PST)</t>
  </si>
  <si>
    <t>03:02(PST)</t>
  </si>
  <si>
    <t>2022-06-27 05:39 (PST)</t>
  </si>
  <si>
    <t>2022-07-05 08:23 (PST)</t>
  </si>
  <si>
    <t>2022-06-10 06:20 (PST)</t>
  </si>
  <si>
    <t>2022-07-05 16:14 (-07)</t>
  </si>
  <si>
    <t>2022-07-01 08:22 (-07)</t>
  </si>
  <si>
    <t>2022-07-05 16:31 (-07)</t>
  </si>
  <si>
    <t>16:31(-07)</t>
  </si>
  <si>
    <t>2022-07-01 06:56 (-07)</t>
  </si>
  <si>
    <t>2022-07-05 16:52 (-07)</t>
  </si>
  <si>
    <t>2022-07-01 09:05 (-07)</t>
  </si>
  <si>
    <t>2022-07-05 17:06 (-07)</t>
  </si>
  <si>
    <t>15 min Stacking Stuffer: Low Impact Ride</t>
  </si>
  <si>
    <t>2021-12-13 06:30 (-07)</t>
  </si>
  <si>
    <t>2022-07-06 01:21 (PST)</t>
  </si>
  <si>
    <t>2022-06-21 08:00 (PST)</t>
  </si>
  <si>
    <t>2022-07-06 07:40 (PST)</t>
  </si>
  <si>
    <t>30 min Rina Sawayama Yoga Flow</t>
  </si>
  <si>
    <t>2022-06-08 15:23 (PST)</t>
  </si>
  <si>
    <t>2022-07-06 13:10 (PST)</t>
  </si>
  <si>
    <t>30 min Spotify Party Cove Walk</t>
  </si>
  <si>
    <t>2022-07-01 01:00 (PST)</t>
  </si>
  <si>
    <t>2022-07-06 13:41 (PST)</t>
  </si>
  <si>
    <t>13:41(PST)</t>
  </si>
  <si>
    <t>9 min 21 sec Just Walk: Outdoor</t>
  </si>
  <si>
    <t>2022-07-06 18:50 (-07)</t>
  </si>
  <si>
    <t>18:50(-07)</t>
  </si>
  <si>
    <t>10 min Wimbledon Core Strength</t>
  </si>
  <si>
    <t>2022-07-01 11:00 (-07)</t>
  </si>
  <si>
    <t>2022-07-06 22:24 (PST)</t>
  </si>
  <si>
    <t>2022-07-06 05:38 (PST)</t>
  </si>
  <si>
    <t>2022-07-07 07:26 (PST)</t>
  </si>
  <si>
    <t>30 min Father's Day Yoga Flow</t>
  </si>
  <si>
    <t>2022-06-19 05:00 (PST)</t>
  </si>
  <si>
    <t>2022-07-07 16:23 (-07)</t>
  </si>
  <si>
    <t>16:23(-07)</t>
  </si>
  <si>
    <t>2020-12-23 03:53 (-07)</t>
  </si>
  <si>
    <t>2022-07-07 17:08 (-07)</t>
  </si>
  <si>
    <t>2022-07-07 17:15 (-07)</t>
  </si>
  <si>
    <t>2022-07-05 08:00 (-07)</t>
  </si>
  <si>
    <t>2022-07-07 17:28 (-07)</t>
  </si>
  <si>
    <t>2022-07-07 07:00 (-07)</t>
  </si>
  <si>
    <t>2022-07-07 17:33 (-07)</t>
  </si>
  <si>
    <t>2022-07-06 07:00 (-07)</t>
  </si>
  <si>
    <t>2022-07-07 22:42 (PST)</t>
  </si>
  <si>
    <t>22:42(PST)</t>
  </si>
  <si>
    <t>2022-06-15 08:00 (PST)</t>
  </si>
  <si>
    <t>2022-07-08 07:54 (PST)</t>
  </si>
  <si>
    <t>2022-06-08 06:21 (PST)</t>
  </si>
  <si>
    <t>2022-07-08 22:40 (PST)</t>
  </si>
  <si>
    <t>2022-07-07 17:09 (PST)</t>
  </si>
  <si>
    <t>2022-07-09 15:25 (-07)</t>
  </si>
  <si>
    <t>15:25(-07)</t>
  </si>
  <si>
    <t>2020-06-09 13:00 (-07)</t>
  </si>
  <si>
    <t>2022-07-09 16:12 (-07)</t>
  </si>
  <si>
    <t>16:12(-07)</t>
  </si>
  <si>
    <t>2022-05-18 07:37 (-07)</t>
  </si>
  <si>
    <t>2022-07-09 16:31 (-07)</t>
  </si>
  <si>
    <t>2022-07-09 09:52 (-07)</t>
  </si>
  <si>
    <t>2022-07-09 16:43 (-07)</t>
  </si>
  <si>
    <t>16:43(-07)</t>
  </si>
  <si>
    <t>10 min Focus Flow: Lizard Pose</t>
  </si>
  <si>
    <t>2022-06-22 09:37 (-07)</t>
  </si>
  <si>
    <t>2022-07-10 21:14 (PST)</t>
  </si>
  <si>
    <t>2022-07-10 07:55 (PST)</t>
  </si>
  <si>
    <t>2022-07-10 22:10 (PST)</t>
  </si>
  <si>
    <t>2022-07-08 08:00 (PST)</t>
  </si>
  <si>
    <t>2022-07-11 07:13 (-07)</t>
  </si>
  <si>
    <t>2022-07-11 08:13 (-07)</t>
  </si>
  <si>
    <t>08:13(-07)</t>
  </si>
  <si>
    <t>2022-07-11 08:19 (-07)</t>
  </si>
  <si>
    <t>08:19(-07)</t>
  </si>
  <si>
    <t>2022-07-11 23:57 (PST)</t>
  </si>
  <si>
    <t>23:57(PST)</t>
  </si>
  <si>
    <t>10 min Breathe In, Speak Up Meditation</t>
  </si>
  <si>
    <t>2022-06-17 15:50 (PST)</t>
  </si>
  <si>
    <t>2022-07-12 10:52 (PST)</t>
  </si>
  <si>
    <t>10:52(PST)</t>
  </si>
  <si>
    <t>2022-06-18 07:52 (PST)</t>
  </si>
  <si>
    <t>2022-07-12 17:24 (-07)</t>
  </si>
  <si>
    <t>5 min Upper Body Warm Up</t>
  </si>
  <si>
    <t>2022-05-13 07:00 (-07)</t>
  </si>
  <si>
    <t>2022-07-12 17:31 (-07)</t>
  </si>
  <si>
    <t>2022-07-12 17:43 (-07)</t>
  </si>
  <si>
    <t>2022-07-07 07:32 (-07)</t>
  </si>
  <si>
    <t>2022-07-12 17:57 (-07)</t>
  </si>
  <si>
    <t>2019-04-11 02:50 (-07)</t>
  </si>
  <si>
    <t>2022-07-12 18:44 (-07)</t>
  </si>
  <si>
    <t>18:44(-07)</t>
  </si>
  <si>
    <t>2022-06-18 23:30 (-07)</t>
  </si>
  <si>
    <t>2022-07-12 18:55 (-07)</t>
  </si>
  <si>
    <t>18:55(-07)</t>
  </si>
  <si>
    <t>2022-07-12 22:39 (PST)</t>
  </si>
  <si>
    <t>2022-07-12 08:00 (PST)</t>
  </si>
  <si>
    <t>2022-07-13 07:10 (PST)</t>
  </si>
  <si>
    <t>2022-06-21 05:17 (PST)</t>
  </si>
  <si>
    <t>2022-07-13 07:42 (PST)</t>
  </si>
  <si>
    <t>2022-07-07 07:00 (PST)</t>
  </si>
  <si>
    <t>2022-07-13 12:14 (PST)</t>
  </si>
  <si>
    <t>2022-06-10 08:00 (PST)</t>
  </si>
  <si>
    <t>2022-07-13 12:35 (PST)</t>
  </si>
  <si>
    <t>12:35(PST)</t>
  </si>
  <si>
    <t>Running</t>
  </si>
  <si>
    <t>Warm Up/Cool Down Run</t>
  </si>
  <si>
    <t>10 min Warm Up Run</t>
  </si>
  <si>
    <t>2022-07-01 08:00 (PST)</t>
  </si>
  <si>
    <t>2022-07-13 22:59 (PST)</t>
  </si>
  <si>
    <t>2022-07-14 12:17 (PST)</t>
  </si>
  <si>
    <t>2022-06-28 04:53 (PST)</t>
  </si>
  <si>
    <t>2022-07-14 13:01 (PST)</t>
  </si>
  <si>
    <t>13:01(PST)</t>
  </si>
  <si>
    <t>2022-07-14 13:22 (PST)</t>
  </si>
  <si>
    <t>10 min Cool Down Run</t>
  </si>
  <si>
    <t>2022-07-14 17:03 (-07)</t>
  </si>
  <si>
    <t>17:03(-07)</t>
  </si>
  <si>
    <t>2019-12-09 05:47 (-07)</t>
  </si>
  <si>
    <t>2022-07-14 17:50 (-07)</t>
  </si>
  <si>
    <t>5 min Alajuela Ride</t>
  </si>
  <si>
    <t>2022-07-14 17:57 (-07)</t>
  </si>
  <si>
    <t>2022-07-14 18:04 (-07)</t>
  </si>
  <si>
    <t>18:04(-07)</t>
  </si>
  <si>
    <t>2022-07-14 18:16 (-07)</t>
  </si>
  <si>
    <t>10 min Focus Flow: Floor Poses</t>
  </si>
  <si>
    <t>2022-07-10 08:37 (-07)</t>
  </si>
  <si>
    <t>2022-07-14 22:58 (PST)</t>
  </si>
  <si>
    <t>2022-07-14 08:00 (PST)</t>
  </si>
  <si>
    <t>2022-07-15 16:21 (-07)</t>
  </si>
  <si>
    <t>2022-07-02 10:33 (-07)</t>
  </si>
  <si>
    <t>2022-07-15 16:45 (-07)</t>
  </si>
  <si>
    <t>16:45(-07)</t>
  </si>
  <si>
    <t>2022-07-15 17:46 (-07)</t>
  </si>
  <si>
    <t>2022-07-15 08:00 (-07)</t>
  </si>
  <si>
    <t>2022-07-15 17:52 (-07)</t>
  </si>
  <si>
    <t>17:52(-07)</t>
  </si>
  <si>
    <t>2022-06-26 08:00 (-07)</t>
  </si>
  <si>
    <t>2022-07-15 22:36 (PST)</t>
  </si>
  <si>
    <t>2022-07-15 08:00 (PST)</t>
  </si>
  <si>
    <t>2022-07-16 22:16 (PST)</t>
  </si>
  <si>
    <t>2022-07-12 07:07 (PST)</t>
  </si>
  <si>
    <t>2022-07-17 10:07 (PST)</t>
  </si>
  <si>
    <t>10:07(PST)</t>
  </si>
  <si>
    <t>2021-12-18 07:52 (PST)</t>
  </si>
  <si>
    <t>2022-07-17 22:15 (PST)</t>
  </si>
  <si>
    <t>2022-07-18 07:48 (PST)</t>
  </si>
  <si>
    <t>30 min Focus Flow: Healthy Back</t>
  </si>
  <si>
    <t>2022-07-12 06:23 (PST)</t>
  </si>
  <si>
    <t>2022-07-18 13:38 (-07)</t>
  </si>
  <si>
    <t>13:38(-07)</t>
  </si>
  <si>
    <t>2022-07-18 14:24 (-07)</t>
  </si>
  <si>
    <t>14:24(-07)</t>
  </si>
  <si>
    <t>2022-07-18 14:30 (-07)</t>
  </si>
  <si>
    <t>14:30(-07)</t>
  </si>
  <si>
    <t>2022-07-18 22:18 (PST)</t>
  </si>
  <si>
    <t>2022-07-18 15:37 (PST)</t>
  </si>
  <si>
    <t>2022-07-19 13:46 (PST)</t>
  </si>
  <si>
    <t>13:46(PST)</t>
  </si>
  <si>
    <t>2022-07-18 05:05 (PST)</t>
  </si>
  <si>
    <t>2022-07-19 16:00 (-07)</t>
  </si>
  <si>
    <t>16:00(-07)</t>
  </si>
  <si>
    <t>2022-06-18 04:54 (-07)</t>
  </si>
  <si>
    <t>2022-07-19 17:01 (-07)</t>
  </si>
  <si>
    <t>2022-07-18 04:01 (-07)</t>
  </si>
  <si>
    <t>2022-07-19 23:12 (PST)</t>
  </si>
  <si>
    <t>2022-07-19 08:00 (PST)</t>
  </si>
  <si>
    <t>2022-07-20 09:25 (PST)</t>
  </si>
  <si>
    <t>09:25(PST)</t>
  </si>
  <si>
    <t>2022-07-11 08:54 (PST)</t>
  </si>
  <si>
    <t>2022-07-20 11:26 (-07)</t>
  </si>
  <si>
    <t>11:26(-07)</t>
  </si>
  <si>
    <t>2022-07-20 11:32 (-07)</t>
  </si>
  <si>
    <t>2022-07-20 11:44 (-07)</t>
  </si>
  <si>
    <t>11:44(-07)</t>
  </si>
  <si>
    <t>2022-07-19 07:00 (-07)</t>
  </si>
  <si>
    <t>2022-07-20 11:57 (-07)</t>
  </si>
  <si>
    <t>2022-07-20 09:27 (-07)</t>
  </si>
  <si>
    <t>2022-07-20 22:31 (PST)</t>
  </si>
  <si>
    <t>2022-07-21 16:39 (PST)</t>
  </si>
  <si>
    <t>10 min Barre: Full Body</t>
  </si>
  <si>
    <t>2022-07-19 07:00 (PST)</t>
  </si>
  <si>
    <t>2022-07-21 16:50 (PST)</t>
  </si>
  <si>
    <t>15 min Strength Roll Call: Core</t>
  </si>
  <si>
    <t>2022-07-20 03:30 (PST)</t>
  </si>
  <si>
    <t>2022-07-21 17:12 (PST)</t>
  </si>
  <si>
    <t>17:12(PST)</t>
  </si>
  <si>
    <t>Cardio</t>
  </si>
  <si>
    <t>HIIT</t>
  </si>
  <si>
    <t>30 min HIIT Cardio</t>
  </si>
  <si>
    <t>2022-06-15 07:00 (PST)</t>
  </si>
  <si>
    <t>2022-07-21 17:43 (PST)</t>
  </si>
  <si>
    <t>2022-06-17 07:00 (PST)</t>
  </si>
  <si>
    <t>2022-07-21 23:03 (PST)</t>
  </si>
  <si>
    <t>23:03(PST)</t>
  </si>
  <si>
    <t>2022-07-21 07:07 (PST)</t>
  </si>
  <si>
    <t>2022-07-22 19:06 (-07)</t>
  </si>
  <si>
    <t>19:06(-07)</t>
  </si>
  <si>
    <t>2022-07-22 19:53 (-07)</t>
  </si>
  <si>
    <t>2022-07-22 19:59 (-07)</t>
  </si>
  <si>
    <t>2022-07-22 22:31 (PST)</t>
  </si>
  <si>
    <t>2022-07-22 08:00 (PST)</t>
  </si>
  <si>
    <t>2022-07-23 09:54 (-07)</t>
  </si>
  <si>
    <t>09:54(-07)</t>
  </si>
  <si>
    <t>2022-07-23 10:11 (-07)</t>
  </si>
  <si>
    <t>10:11(-07)</t>
  </si>
  <si>
    <t>2022-07-23 10:35 (-07)</t>
  </si>
  <si>
    <t>10 min Yarra River Ride</t>
  </si>
  <si>
    <t>2022-07-23 10:58 (PST)</t>
  </si>
  <si>
    <t>2022-06-27 04:52 (PST)</t>
  </si>
  <si>
    <t>2022-07-24 07:57 (PST)</t>
  </si>
  <si>
    <t>2022-07-18 08:53 (PST)</t>
  </si>
  <si>
    <t>2022-07-24 22:18 (PST)</t>
  </si>
  <si>
    <t>2022-04-14 17:08 (PST)</t>
  </si>
  <si>
    <t>2022-07-25 03:48 (PST)</t>
  </si>
  <si>
    <t>03:48(PST)</t>
  </si>
  <si>
    <t>2022-01-21 07:00 (PST)</t>
  </si>
  <si>
    <t>2022-07-25 22:34 (PST)</t>
  </si>
  <si>
    <t>2022-07-25 05:38 (PST)</t>
  </si>
  <si>
    <t>2022-07-26 07:04 (PST)</t>
  </si>
  <si>
    <t>2020-08-28 07:00 (PST)</t>
  </si>
  <si>
    <t>2022-07-26 13:38 (-07)</t>
  </si>
  <si>
    <t>2022-07-01 04:55 (-07)</t>
  </si>
  <si>
    <t>2022-07-26 14:12 (-07)</t>
  </si>
  <si>
    <t>2022-07-26 14:28 (-07)</t>
  </si>
  <si>
    <t>14:28(-07)</t>
  </si>
  <si>
    <t>20 min Strength for Runners</t>
  </si>
  <si>
    <t>2022-05-25 07:00 (-07)</t>
  </si>
  <si>
    <t>2022-07-26 22:28 (PST)</t>
  </si>
  <si>
    <t>2022-07-26 08:00 (PST)</t>
  </si>
  <si>
    <t>2022-07-27 11:10 (-07)</t>
  </si>
  <si>
    <t>11:10(-07)</t>
  </si>
  <si>
    <t>45 min Power Zone Endurance 2000s Ride</t>
  </si>
  <si>
    <t>2022-07-20 02:53 (-07)</t>
  </si>
  <si>
    <t>2022-07-27 11:57 (-07)</t>
  </si>
  <si>
    <t>2022-07-27 12:05 (-07)</t>
  </si>
  <si>
    <t>2022-07-27 12:16 (-07)</t>
  </si>
  <si>
    <t>12:16(-07)</t>
  </si>
  <si>
    <t>2022-07-25 06:54 (-07)</t>
  </si>
  <si>
    <t>2022-07-27 12:27 (-07)</t>
  </si>
  <si>
    <t>12:27(-07)</t>
  </si>
  <si>
    <t>2022-07-24 08:00 (-07)</t>
  </si>
  <si>
    <t>2022-07-27 21:26 (PST)</t>
  </si>
  <si>
    <t>2022-07-24 07:52 (PST)</t>
  </si>
  <si>
    <t>2022-07-27 21:47 (PST)</t>
  </si>
  <si>
    <t>21:47(PST)</t>
  </si>
  <si>
    <t>2022-07-21 05:39 (PST)</t>
  </si>
  <si>
    <t>2022-07-27 22:29 (PST)</t>
  </si>
  <si>
    <t>2022-07-21 08:00 (PST)</t>
  </si>
  <si>
    <t>2022-07-28 17:01 (-07)</t>
  </si>
  <si>
    <t>2022-07-25 07:00 (-07)</t>
  </si>
  <si>
    <t>2022-07-28 17:14 (-07)</t>
  </si>
  <si>
    <t>17:14(-07)</t>
  </si>
  <si>
    <t>2022-07-27 13:55 (-07)</t>
  </si>
  <si>
    <t>2022-07-28 17:41 (PST)</t>
  </si>
  <si>
    <t>17:41(PST)</t>
  </si>
  <si>
    <t>30 min David Guetta Power Flow</t>
  </si>
  <si>
    <t>2022-07-06 15:25 (PST)</t>
  </si>
  <si>
    <t>2022-07-28 22:42 (PST)</t>
  </si>
  <si>
    <t>2022-07-28 17:09 (PST)</t>
  </si>
  <si>
    <t>2022-07-29 07:21 (PST)</t>
  </si>
  <si>
    <t>2022-07-28 15:37 (PST)</t>
  </si>
  <si>
    <t>2022-07-29 10:32 (-07)</t>
  </si>
  <si>
    <t>10:32(-07)</t>
  </si>
  <si>
    <t>2021-12-22 03:54 (-07)</t>
  </si>
  <si>
    <t>2022-07-29 11:34 (-07)</t>
  </si>
  <si>
    <t>2022-07-29 11:40 (-07)</t>
  </si>
  <si>
    <t>11:40(-07)</t>
  </si>
  <si>
    <t>2022-01-06 09:00 (-07)</t>
  </si>
  <si>
    <t>2022-07-29 22:37 (PST)</t>
  </si>
  <si>
    <t>2022-07-29 07:00 (PST)</t>
  </si>
  <si>
    <t>2022-07-30 22:33 (PST)</t>
  </si>
  <si>
    <t>2022-04-21 07:15 (PST)</t>
  </si>
  <si>
    <t>2022-07-31 07:27 (PST)</t>
  </si>
  <si>
    <t>2022-07-26 04:53 (PST)</t>
  </si>
  <si>
    <t>2022-07-31 22:44 (PST)</t>
  </si>
  <si>
    <t>2022-08-01 17:20 (-07)</t>
  </si>
  <si>
    <t>2022-08-01 17:37 (-07)</t>
  </si>
  <si>
    <t>17:37(-07)</t>
  </si>
  <si>
    <t>2022-07-27 04:23 (-07)</t>
  </si>
  <si>
    <t>2022-08-01 17:54 (-07)</t>
  </si>
  <si>
    <t>2022-06-29 02:53 (-07)</t>
  </si>
  <si>
    <t>2022-08-01 18:35 (PST)</t>
  </si>
  <si>
    <t>18:35(PST)</t>
  </si>
  <si>
    <t>2021-06-29 14:51 (PST)</t>
  </si>
  <si>
    <t>2022-08-01 22:45 (PST)</t>
  </si>
  <si>
    <t>2022-08-01 15:37 (PST)</t>
  </si>
  <si>
    <t>2022-08-02 12:25 (PST)</t>
  </si>
  <si>
    <t>2022-08-02 12:46 (PST)</t>
  </si>
  <si>
    <t>Warm Up/Cool Down Walk</t>
  </si>
  <si>
    <t>2022-08-02 22:06 (PST)</t>
  </si>
  <si>
    <t>2019-08-12 08:50 (PST)</t>
  </si>
  <si>
    <t>2022-08-02 22:50 (PST)</t>
  </si>
  <si>
    <t>2019-10-15 06:25 (PST)</t>
  </si>
  <si>
    <t>2022-08-03 07:11 (PST)</t>
  </si>
  <si>
    <t>2022-07-21 14:52 (PST)</t>
  </si>
  <si>
    <t>2022-08-03 16:33 (-07)</t>
  </si>
  <si>
    <t>2022-08-03 16:57 (-07)</t>
  </si>
  <si>
    <t>2022-08-02 07:07 (-07)</t>
  </si>
  <si>
    <t>2022-08-03 22:04 (PST)</t>
  </si>
  <si>
    <t>2022-08-03 08:00 (PST)</t>
  </si>
  <si>
    <t>2022-08-04 16:02 (-07)</t>
  </si>
  <si>
    <t>16:02(-07)</t>
  </si>
  <si>
    <t>2019-04-04 02:49 (-07)</t>
  </si>
  <si>
    <t>2022-08-04 16:48 (-07)</t>
  </si>
  <si>
    <t>2022-08-04 08:00 (-07)</t>
  </si>
  <si>
    <t>2022-08-04 16:55 (-07)</t>
  </si>
  <si>
    <t>2022-08-04 17:02 (-07)</t>
  </si>
  <si>
    <t>2022-08-04 17:13 (-07)</t>
  </si>
  <si>
    <t>2022-07-29 07:00 (-07)</t>
  </si>
  <si>
    <t>2022-08-04 17:25 (-07)</t>
  </si>
  <si>
    <t>2022-04-07 05:39 (-07)</t>
  </si>
  <si>
    <t>2022-08-04 21:57 (PST)</t>
  </si>
  <si>
    <t>2022-08-04 08:00 (PST)</t>
  </si>
  <si>
    <t>2022-08-05 17:15 (-07)</t>
  </si>
  <si>
    <t>2022-06-08 02:52 (-07)</t>
  </si>
  <si>
    <t>2022-08-05 18:07 (-07)</t>
  </si>
  <si>
    <t>2022-08-05 18:24 (-07)</t>
  </si>
  <si>
    <t>10 min EDM Core Strength</t>
  </si>
  <si>
    <t>2022-07-30 06:32 (-07)</t>
  </si>
  <si>
    <t>2022-08-05 23:41 (PST)</t>
  </si>
  <si>
    <t>2022-08-05 07:07 (PST)</t>
  </si>
  <si>
    <t>2022-08-06 22:15 (PST)</t>
  </si>
  <si>
    <t>5 min Courage Meditation</t>
  </si>
  <si>
    <t>2022-07-06 08:00 (PST)</t>
  </si>
  <si>
    <t>2022-08-07 20:22 (PST)</t>
  </si>
  <si>
    <t>2022-07-31 07:55 (PST)</t>
  </si>
  <si>
    <t>2022-08-07 22:54 (PST)</t>
  </si>
  <si>
    <t>2020-09-28 07:36 (PST)</t>
  </si>
  <si>
    <t>2022-08-08 07:51 (PST)</t>
  </si>
  <si>
    <t>2022-08-02 05:17 (PST)</t>
  </si>
  <si>
    <t>2022-08-08 22:13 (PST)</t>
  </si>
  <si>
    <t>2022-08-08 05:37 (PST)</t>
  </si>
  <si>
    <t>2022-08-09 10:01 (PST)</t>
  </si>
  <si>
    <t>2022-08-02 07:00 (PST)</t>
  </si>
  <si>
    <t>2022-08-09 10:17 (PST)</t>
  </si>
  <si>
    <t>2021-09-23 14:52 (PST)</t>
  </si>
  <si>
    <t>2022-08-10 22:11 (PST)</t>
  </si>
  <si>
    <t>2022-08-09 08:00 (PST)</t>
  </si>
  <si>
    <t>2022-08-11 11:35 (PST)</t>
  </si>
  <si>
    <t>11:35(PST)</t>
  </si>
  <si>
    <t>36 min 19 sec Just Walk: Outdoor</t>
  </si>
  <si>
    <t>2022-08-11 15:56 (-07)</t>
  </si>
  <si>
    <t>15:56(-07)</t>
  </si>
  <si>
    <t>2021-12-04 05:53 (-07)</t>
  </si>
  <si>
    <t>2022-08-11 17:05 (-07)</t>
  </si>
  <si>
    <t>17:05(-07)</t>
  </si>
  <si>
    <t>2022-08-11 17:28 (-07)</t>
  </si>
  <si>
    <t>2022-08-06 10:36 (-07)</t>
  </si>
  <si>
    <t>2022-08-11 17:42 (-07)</t>
  </si>
  <si>
    <t>10 min Focus Flow: Downward Facing Dog</t>
  </si>
  <si>
    <t>2022-08-11 07:00 (-07)</t>
  </si>
  <si>
    <t>2022-08-11 22:22 (PST)</t>
  </si>
  <si>
    <t>2022-08-09 17:09 (PST)</t>
  </si>
  <si>
    <t>2022-08-14 18:34 (-07)</t>
  </si>
  <si>
    <t>2021-04-24 04:23 (-07)</t>
  </si>
  <si>
    <t>2022-08-14 19:35 (-07)</t>
  </si>
  <si>
    <t>2022-08-14 19:42 (-07)</t>
  </si>
  <si>
    <t>19:42(-07)</t>
  </si>
  <si>
    <t>2022-08-11 05:02 (-07)</t>
  </si>
  <si>
    <t>2022-08-14 20:09 (PST)</t>
  </si>
  <si>
    <t>2022-08-07 07:55 (PST)</t>
  </si>
  <si>
    <t>2022-08-14 23:00 (PST)</t>
  </si>
  <si>
    <t>2022-08-08 08:00 (PST)</t>
  </si>
  <si>
    <t>2022-08-15 07:20 (PST)</t>
  </si>
  <si>
    <t>45 min Power Slow Flow</t>
  </si>
  <si>
    <t>2022-06-26 07:54 (PST)</t>
  </si>
  <si>
    <t>2022-08-15 17:44 (-07)</t>
  </si>
  <si>
    <t>17:44(-07)</t>
  </si>
  <si>
    <t>2019-07-11 14:18 (-07)</t>
  </si>
  <si>
    <t>2022-08-15 22:42 (PST)</t>
  </si>
  <si>
    <t>2022-08-11 08:00 (PST)</t>
  </si>
  <si>
    <t>2022-08-16 16:32 (PST)</t>
  </si>
  <si>
    <t>30 min 90s R&amp;B Yoga Flow</t>
  </si>
  <si>
    <t>2022-07-25 14:54 (PST)</t>
  </si>
  <si>
    <t>2022-08-16 22:41 (PST)</t>
  </si>
  <si>
    <t>2022-08-17 16:05 (-07)</t>
  </si>
  <si>
    <t>2022-08-17 16:15 (-07)</t>
  </si>
  <si>
    <t>16:15(-07)</t>
  </si>
  <si>
    <t>2022-06-22 02:52 (-07)</t>
  </si>
  <si>
    <t>2022-08-17 17:00 (-07)</t>
  </si>
  <si>
    <t>17:00(-07)</t>
  </si>
  <si>
    <t>2022-08-17 17:10 (-07)</t>
  </si>
  <si>
    <t>2022-08-16 07:00 (-07)</t>
  </si>
  <si>
    <t>2022-08-17 17:17 (-07)</t>
  </si>
  <si>
    <t>2022-08-12 06:55 (-07)</t>
  </si>
  <si>
    <t>2022-08-17 18:01 (PST)</t>
  </si>
  <si>
    <t>2022-08-11 15:17 (PST)</t>
  </si>
  <si>
    <t>2022-08-17 22:00 (PST)</t>
  </si>
  <si>
    <t>10 min Energizing Meditation</t>
  </si>
  <si>
    <t>2022-08-15 08:00 (PST)</t>
  </si>
  <si>
    <t>2022-08-18 07:50 (PST)</t>
  </si>
  <si>
    <t>2022-08-13 07:52 (PST)</t>
  </si>
  <si>
    <t>2022-08-18 15:49 (-07)</t>
  </si>
  <si>
    <t>15:49(-07)</t>
  </si>
  <si>
    <t>2022-08-10 04:22 (-07)</t>
  </si>
  <si>
    <t>2022-08-18 16:01 (-07)</t>
  </si>
  <si>
    <t>16:01(-07)</t>
  </si>
  <si>
    <t>2020-07-25 04:51 (-07)</t>
  </si>
  <si>
    <t>2022-08-18 17:04 (-07)</t>
  </si>
  <si>
    <t>2021-02-25 23:35 (-07)</t>
  </si>
  <si>
    <t>2022-08-18 23:25 (PST)</t>
  </si>
  <si>
    <t>23:25(PST)</t>
  </si>
  <si>
    <t>2022-08-17 08:00 (PST)</t>
  </si>
  <si>
    <t>2022-08-19 22:46 (PST)</t>
  </si>
  <si>
    <t>2022-08-20 22:56 (PST)</t>
  </si>
  <si>
    <t>2022-08-21 10:17 (PST)</t>
  </si>
  <si>
    <t>2022-08-05 08:00 (PST)</t>
  </si>
  <si>
    <t>2022-08-21 11:29 (PST)</t>
  </si>
  <si>
    <t>30 min AFO Yoga Flow: Alanis Morissette</t>
  </si>
  <si>
    <t>2022-08-21 07:55 (PST)</t>
  </si>
  <si>
    <t>2022-08-21 12:08 (PST)</t>
  </si>
  <si>
    <t>10 min AFO Core Strength: ODESZA</t>
  </si>
  <si>
    <t>2022-08-19 07:00 (PST)</t>
  </si>
  <si>
    <t>2022-08-21 21:39 (PST)</t>
  </si>
  <si>
    <t>2022-08-22 11:46 (PST)</t>
  </si>
  <si>
    <t>30 min AFO Yoga Flow: The Beach Boys</t>
  </si>
  <si>
    <t>2022-08-19 05:15 (PST)</t>
  </si>
  <si>
    <t>2022-08-22 17:40 (-07)</t>
  </si>
  <si>
    <t>17:40(-07)</t>
  </si>
  <si>
    <t>2022-03-30 02:52 (-07)</t>
  </si>
  <si>
    <t>2022-08-22 18:43 (-07)</t>
  </si>
  <si>
    <t>10 min AFO Cool Down Ride: John Mayer</t>
  </si>
  <si>
    <t>2022-08-19 07:00 (-07)</t>
  </si>
  <si>
    <t>2022-08-22 18:53 (-07)</t>
  </si>
  <si>
    <t>5 min AFO Post-Ride Stretch: The 1975</t>
  </si>
  <si>
    <t>2022-08-19 05:15 (-07)</t>
  </si>
  <si>
    <t>2022-08-22 22:30 (PST)</t>
  </si>
  <si>
    <t>2022-08-22 16:07 (PST)</t>
  </si>
  <si>
    <t>2022-08-23 16:21 (-07)</t>
  </si>
  <si>
    <t>2022-08-13 09:52 (-07)</t>
  </si>
  <si>
    <t>2022-08-23 16:32 (-07)</t>
  </si>
  <si>
    <t>10 min Barre: Core</t>
  </si>
  <si>
    <t>2022-08-12 06:30 (-07)</t>
  </si>
  <si>
    <t>2022-08-23 16:43 (-07)</t>
  </si>
  <si>
    <t>20 min 80s Barre</t>
  </si>
  <si>
    <t>2022-08-10 13:53 (-07)</t>
  </si>
  <si>
    <t>2022-08-23 17:06 (-07)</t>
  </si>
  <si>
    <t>10 min AFO Arms: Florence + The Machine</t>
  </si>
  <si>
    <t>2022-08-23 23:27 (PST)</t>
  </si>
  <si>
    <t>10 min AFO Meditation: Alanis Morissette</t>
  </si>
  <si>
    <t>2022-08-21 08:40 (PST)</t>
  </si>
  <si>
    <t>2022-08-24 07:16 (PST)</t>
  </si>
  <si>
    <t>45 min Beyond the Pose: Foundation</t>
  </si>
  <si>
    <t>2021-10-17 07:52 (PST)</t>
  </si>
  <si>
    <t>2022-08-24 13:16 (PST)</t>
  </si>
  <si>
    <t>13:16(PST)</t>
  </si>
  <si>
    <t>10 min Warm Up Walk</t>
  </si>
  <si>
    <t>2022-08-24 13:26 (PST)</t>
  </si>
  <si>
    <t>13:26(PST)</t>
  </si>
  <si>
    <t>2022-07-29 01:00 (PST)</t>
  </si>
  <si>
    <t>2022-08-24 16:49 (-07)</t>
  </si>
  <si>
    <t>16:49(-07)</t>
  </si>
  <si>
    <t>2022-08-24 04:22 (-07)</t>
  </si>
  <si>
    <t>2022-08-24 17:03 (-07)</t>
  </si>
  <si>
    <t>45 min Power Zone Hip Hop Ride</t>
  </si>
  <si>
    <t>2020-11-18 03:55 (-07)</t>
  </si>
  <si>
    <t>2022-08-24 17:49 (-07)</t>
  </si>
  <si>
    <t>10 min AFO Cool Down Ride: RUFUS DU SOL</t>
  </si>
  <si>
    <t>2022-08-24 18:00 (-07)</t>
  </si>
  <si>
    <t>18:00(-07)</t>
  </si>
  <si>
    <t>5 min AFO Post-Ride Stretch: Green Day</t>
  </si>
  <si>
    <t>2022-08-24 22:46 (PST)</t>
  </si>
  <si>
    <t>2022-08-24 08:00 (PST)</t>
  </si>
  <si>
    <t>2022-08-25 07:30 (PST)</t>
  </si>
  <si>
    <t>2022-08-09 04:52 (PST)</t>
  </si>
  <si>
    <t>2022-08-25 11:03 (PST)</t>
  </si>
  <si>
    <t>11:03(PST)</t>
  </si>
  <si>
    <t>2022-08-18 08:00 (PST)</t>
  </si>
  <si>
    <t>2022-08-25 22:11 (PST)</t>
  </si>
  <si>
    <t>2022-08-25 08:00 (PST)</t>
  </si>
  <si>
    <t>2022-08-26 08:01 (PST)</t>
  </si>
  <si>
    <t>2022-08-03 08:53 (PST)</t>
  </si>
  <si>
    <t>2022-08-26 13:35 (-07)</t>
  </si>
  <si>
    <t>13:35(-07)</t>
  </si>
  <si>
    <t>2022-08-22 07:00 (-07)</t>
  </si>
  <si>
    <t>2022-08-26 13:48 (-07)</t>
  </si>
  <si>
    <t>13:48(-07)</t>
  </si>
  <si>
    <t>2021-08-07 04:53 (-07)</t>
  </si>
  <si>
    <t>2022-08-26 14:49 (-07)</t>
  </si>
  <si>
    <t>14:49(-07)</t>
  </si>
  <si>
    <t>5 min AFO Stretch: Carrie Underwood</t>
  </si>
  <si>
    <t>2022-08-26 23:49 (PST)</t>
  </si>
  <si>
    <t>2022-08-24 05:09 (PST)</t>
  </si>
  <si>
    <t>2022-08-27 12:23 (PST)</t>
  </si>
  <si>
    <t>30min AFO Slow Flow Thievery Corporation</t>
  </si>
  <si>
    <t>2022-08-27 12:55 (PST)</t>
  </si>
  <si>
    <t>2022-08-18 07:00 (PST)</t>
  </si>
  <si>
    <t>2022-08-27 13:06 (PST)</t>
  </si>
  <si>
    <t>2022-08-28 21:43 (PST)</t>
  </si>
  <si>
    <t>2022-08-29 07:39 (PST)</t>
  </si>
  <si>
    <t>2022-08-29 04:22 (PST)</t>
  </si>
  <si>
    <t>2022-08-29 08:12 (PST)</t>
  </si>
  <si>
    <t>2022-08-29 11:36 (PST)</t>
  </si>
  <si>
    <t>11:36(PST)</t>
  </si>
  <si>
    <t>2022-06-24 08:00 (PST)</t>
  </si>
  <si>
    <t>2022-08-29 11:56 (PST)</t>
  </si>
  <si>
    <t>Marcel Dinkins</t>
  </si>
  <si>
    <t>2022-08-29 22:14 (PST)</t>
  </si>
  <si>
    <t>2022-08-30 06:16 (-07)</t>
  </si>
  <si>
    <t>06:16(-07)</t>
  </si>
  <si>
    <t>2022-08-03 06:55 (-07)</t>
  </si>
  <si>
    <t>2022-08-30 07:02 (-07)</t>
  </si>
  <si>
    <t>10 min AFO Arms: Purple Disco Machine</t>
  </si>
  <si>
    <t>2022-08-19 06:00 (-07)</t>
  </si>
  <si>
    <t>2022-08-30 07:13 (-07)</t>
  </si>
  <si>
    <t>5 min AFO Post-Ride Stretch: Becky Hill</t>
  </si>
  <si>
    <t>2022-08-30 22:44 (PST)</t>
  </si>
  <si>
    <t>2022-08-29 05:09 (PST)</t>
  </si>
  <si>
    <t>2022-08-31 11:29 (-07)</t>
  </si>
  <si>
    <t>11:29(-07)</t>
  </si>
  <si>
    <t>2022-08-21 23:00 (-07)</t>
  </si>
  <si>
    <t>2022-08-31 12:14 (-07)</t>
  </si>
  <si>
    <t>12:14(-07)</t>
  </si>
  <si>
    <t>10 min AFO Arms: Alanis Morissette</t>
  </si>
  <si>
    <t>2022-08-31 22:06 (PST)</t>
  </si>
  <si>
    <t>15 min Acceptance Meditation</t>
  </si>
  <si>
    <t>2022-08-30 08:00 (PST)</t>
  </si>
  <si>
    <t>2022-09-01 07:32 (PST)</t>
  </si>
  <si>
    <t>2022-08-26 07:25 (PST)</t>
  </si>
  <si>
    <t>2022-09-01 17:11 (-07)</t>
  </si>
  <si>
    <t>2022-08-30 07:00 (-07)</t>
  </si>
  <si>
    <t>2022-09-01 17:23 (-07)</t>
  </si>
  <si>
    <t>2022-08-23 10:53 (-07)</t>
  </si>
  <si>
    <t>2022-09-01 17:56 (-07)</t>
  </si>
  <si>
    <t>2022-07-27 06:52 (-07)</t>
  </si>
  <si>
    <t>2022-09-01 18:27 (-07)</t>
  </si>
  <si>
    <t>2022-09-01 22:39 (PST)</t>
  </si>
  <si>
    <t>2022-08-31 08:00 (PST)</t>
  </si>
  <si>
    <t>2022-09-02 16:56 (-07)</t>
  </si>
  <si>
    <t>2022-09-02 17:56 (-07)</t>
  </si>
  <si>
    <t>2022-09-02 18:04 (-07)</t>
  </si>
  <si>
    <t>15 min Core Strength: The Remixes</t>
  </si>
  <si>
    <t>2022-09-01 09:18 (-07)</t>
  </si>
  <si>
    <t>2022-09-02 18:27 (PST)</t>
  </si>
  <si>
    <t>2022-08-25 15:22 (PST)</t>
  </si>
  <si>
    <t>2022-09-02 22:12 (PST)</t>
  </si>
  <si>
    <t>2022-09-03 17:08 (PST)</t>
  </si>
  <si>
    <t>2022-09-03 17:19 (PST)</t>
  </si>
  <si>
    <t>2022-09-03 17:30 (PST)</t>
  </si>
  <si>
    <t>17:30(PST)</t>
  </si>
  <si>
    <t>30 min Focus Flow: Floor Poses</t>
  </si>
  <si>
    <t>2022-09-04 17:54 (PST)</t>
  </si>
  <si>
    <t>2022-09-04 18:08 (PST)</t>
  </si>
  <si>
    <t>2022-09-02 09:25 (PST)</t>
  </si>
  <si>
    <t>2022-09-05 16:51 (-07)</t>
  </si>
  <si>
    <t>2022-08-01 22:00 (-07)</t>
  </si>
  <si>
    <t>2022-09-05 16:56 (-07)</t>
  </si>
  <si>
    <t>2022-06-21 06:52 (-07)</t>
  </si>
  <si>
    <t>2022-09-05 17:42 (-07)</t>
  </si>
  <si>
    <t>10 min AFO Cool Down: Alanis Morissette</t>
  </si>
  <si>
    <t>2022-09-05 17:54 (-07)</t>
  </si>
  <si>
    <t>2022-09-01 08:04 (-07)</t>
  </si>
  <si>
    <t>2022-09-05 17:59 (-07)</t>
  </si>
  <si>
    <t>2022-08-31 23:00 (-07)</t>
  </si>
  <si>
    <t>2022-09-05 21:54 (PST)</t>
  </si>
  <si>
    <t>5 min Body Scan Meditation</t>
  </si>
  <si>
    <t>2022-08-23 08:00 (PST)</t>
  </si>
  <si>
    <t>2022-09-06 02:16 (PST)</t>
  </si>
  <si>
    <t>02:16(PST)</t>
  </si>
  <si>
    <t>2022-09-06 18:18 (-07)</t>
  </si>
  <si>
    <t>2022-09-06 19:04 (-07)</t>
  </si>
  <si>
    <t>Cliff Dwenger</t>
  </si>
  <si>
    <t>2022-08-28 03:00 (-07)</t>
  </si>
  <si>
    <t>2022-09-06 19:10 (-07)</t>
  </si>
  <si>
    <t>2022-08-31 04:22 (-07)</t>
  </si>
  <si>
    <t>2022-09-06 22:41 (PST)</t>
  </si>
  <si>
    <t>2022-09-06 09:38 (PST)</t>
  </si>
  <si>
    <t>2022-09-07 11:33 (PST)</t>
  </si>
  <si>
    <t>1 min Just Walk: Outdoor</t>
  </si>
  <si>
    <t>2022-09-07 16:05 (-07)</t>
  </si>
  <si>
    <t>30 min Strength Roll Call: Full Body</t>
  </si>
  <si>
    <t>2022-08-22 04:23 (-07)</t>
  </si>
  <si>
    <t>2022-09-07 16:39 (-07)</t>
  </si>
  <si>
    <t>2020-01-08 09:18 (-07)</t>
  </si>
  <si>
    <t>2022-09-07 17:21 (PST)</t>
  </si>
  <si>
    <t>2022-08-28 07:25 (PST)</t>
  </si>
  <si>
    <t>2022-09-07 22:30 (PST)</t>
  </si>
  <si>
    <t>2022-09-07 08:00 (PST)</t>
  </si>
  <si>
    <t>2022-09-08 12:04 (PST)</t>
  </si>
  <si>
    <t>45 min Spotify Surf Rock Sunshine Walk</t>
  </si>
  <si>
    <t>2022-09-08 16:26 (-07)</t>
  </si>
  <si>
    <t>2021-10-09 04:53 (-07)</t>
  </si>
  <si>
    <t>2022-09-08 17:28 (-07)</t>
  </si>
  <si>
    <t>2022-08-09 07:33 (-07)</t>
  </si>
  <si>
    <t>2022-09-08 22:38 (PST)</t>
  </si>
  <si>
    <t>2022-09-06 08:00 (PST)</t>
  </si>
  <si>
    <t>2022-09-11 16:08 (-07)</t>
  </si>
  <si>
    <t>16:08(-07)</t>
  </si>
  <si>
    <t>2022-08-24 03:52 (-07)</t>
  </si>
  <si>
    <t>2022-09-11 16:43 (-07)</t>
  </si>
  <si>
    <t>2022-08-19 03:56 (-07)</t>
  </si>
  <si>
    <t>2022-09-11 17:47 (PST)</t>
  </si>
  <si>
    <t>17:47(PST)</t>
  </si>
  <si>
    <t>2022-09-09 07:24 (PST)</t>
  </si>
  <si>
    <t>2022-09-11 22:10 (PST)</t>
  </si>
  <si>
    <t>2022-09-10 05:25 (PST)</t>
  </si>
  <si>
    <t>2022-09-12 07:49 (PST)</t>
  </si>
  <si>
    <t>2022-08-09 16:25 (PST)</t>
  </si>
  <si>
    <t>2022-09-12 17:39 (-07)</t>
  </si>
  <si>
    <t>2022-03-02 07:50 (-07)</t>
  </si>
  <si>
    <t>2022-09-12 18:25 (-07)</t>
  </si>
  <si>
    <t>2022-09-12 22:31 (PST)</t>
  </si>
  <si>
    <t>2022-09-12 08:00 (PST)</t>
  </si>
  <si>
    <t>2022-09-13 02:57 (PST)</t>
  </si>
  <si>
    <t>2022-09-13 22:07 (PST)</t>
  </si>
  <si>
    <t>10 min Witness Meditation</t>
  </si>
  <si>
    <t>2022-09-13 08:00 (PST)</t>
  </si>
  <si>
    <t>2022-09-14 06:46 (PST)</t>
  </si>
  <si>
    <t>2022-09-10 05:50 (PST)</t>
  </si>
  <si>
    <t>2022-09-14 16:33 (-07)</t>
  </si>
  <si>
    <t>2022-09-14 17:19 (-07)</t>
  </si>
  <si>
    <t>2022-09-14 17:27 (-07)</t>
  </si>
  <si>
    <t>2022-09-14 16:39 (-07)</t>
  </si>
  <si>
    <t>2022-09-14 17:39 (-07)</t>
  </si>
  <si>
    <t>2022-09-14 04:22 (-07)</t>
  </si>
  <si>
    <t>2022-09-14 17:50 (-07)</t>
  </si>
  <si>
    <t>2022-09-14 07:00 (-07)</t>
  </si>
  <si>
    <t>2022-09-14 22:50 (PST)</t>
  </si>
  <si>
    <t>2022-09-14 08:00 (PST)</t>
  </si>
  <si>
    <t>2022-09-15 13:09 (PST)</t>
  </si>
  <si>
    <t>20 min Tropical House Walk</t>
  </si>
  <si>
    <t>2022-08-26 08:00 (PST)</t>
  </si>
  <si>
    <t>2022-09-15 13:29 (PST)</t>
  </si>
  <si>
    <t>13:29(PST)</t>
  </si>
  <si>
    <t>2022-09-02 01:00 (PST)</t>
  </si>
  <si>
    <t>2022-09-15 16:53 (-07)</t>
  </si>
  <si>
    <t>2022-08-08 04:23 (-07)</t>
  </si>
  <si>
    <t>2022-09-15 17:31 (-07)</t>
  </si>
  <si>
    <t>2022-09-15 18:02 (-07)</t>
  </si>
  <si>
    <t>5 min Sedona Ride</t>
  </si>
  <si>
    <t>2022-09-15 22:10 (PST)</t>
  </si>
  <si>
    <t>2022-09-15 08:00 (PST)</t>
  </si>
  <si>
    <t>2022-09-16 13:07 (-07)</t>
  </si>
  <si>
    <t>13:07(-07)</t>
  </si>
  <si>
    <t>2022-09-16 14:08 (-07)</t>
  </si>
  <si>
    <t>14:08(-07)</t>
  </si>
  <si>
    <t>2022-09-16 22:46 (PST)</t>
  </si>
  <si>
    <t>2022-09-12 05:08 (PST)</t>
  </si>
  <si>
    <t>2022-09-17 19:54 (PST)</t>
  </si>
  <si>
    <t>19:54(PST)</t>
  </si>
  <si>
    <t>2021-11-23 09:00 (PST)</t>
  </si>
  <si>
    <t>2022-09-17 20:07 (PST)</t>
  </si>
  <si>
    <t>2022-09-18 22:03 (PST)</t>
  </si>
  <si>
    <t>2022-09-19 07:29 (PST)</t>
  </si>
  <si>
    <t>2022-09-09 09:24 (PST)</t>
  </si>
  <si>
    <t>2022-09-20 16:17 (-07)</t>
  </si>
  <si>
    <t>16:17(-07)</t>
  </si>
  <si>
    <t>2022-09-08 07:22 (-07)</t>
  </si>
  <si>
    <t>2022-09-20 16:40 (-07)</t>
  </si>
  <si>
    <t>2019-11-15 09:17 (-07)</t>
  </si>
  <si>
    <t>2022-09-21 16:11 (-07)</t>
  </si>
  <si>
    <t>16:11(-07)</t>
  </si>
  <si>
    <t>2022-09-21 17:07 (-07)</t>
  </si>
  <si>
    <t>2022-09-19 08:00 (-07)</t>
  </si>
  <si>
    <t>2022-09-21 17:23 (-07)</t>
  </si>
  <si>
    <t>2022-08-03 23:00 (-07)</t>
  </si>
  <si>
    <t>2022-09-21 22:43 (PST)</t>
  </si>
  <si>
    <t>2022-09-19 08:00 (PST)</t>
  </si>
  <si>
    <t>2022-09-22 13:04 (PST)</t>
  </si>
  <si>
    <t>37 min 48 sec Just Walk: Outdoor</t>
  </si>
  <si>
    <t>2022-09-22 15:52 (-07)</t>
  </si>
  <si>
    <t>15:52(-07)</t>
  </si>
  <si>
    <t>2022-03-29 11:54 (-07)</t>
  </si>
  <si>
    <t>2022-09-22 16:38 (-07)</t>
  </si>
  <si>
    <t>2022-05-03 11:00 (-07)</t>
  </si>
  <si>
    <t>2022-09-22 16:47 (-07)</t>
  </si>
  <si>
    <t>16:47(-07)</t>
  </si>
  <si>
    <t>2022-08-01 04:22 (-07)</t>
  </si>
  <si>
    <t>2022-09-22 17:18 (-07)</t>
  </si>
  <si>
    <t>2022-09-12 04:27 (-07)</t>
  </si>
  <si>
    <t>2022-09-22 22:44 (PST)</t>
  </si>
  <si>
    <t>2022-09-20 08:00 (PST)</t>
  </si>
  <si>
    <t>2022-09-23 12:24 (-07)</t>
  </si>
  <si>
    <t>12:24(-07)</t>
  </si>
  <si>
    <t>2022-09-11 09:25 (-07)</t>
  </si>
  <si>
    <t>2022-09-23 12:59 (-07)</t>
  </si>
  <si>
    <t>12:59(-07)</t>
  </si>
  <si>
    <t>2022-09-23 06:00 (-07)</t>
  </si>
  <si>
    <t>2022-09-25 21:59 (PST)</t>
  </si>
  <si>
    <t>2022-09-22 08:00 (PST)</t>
  </si>
  <si>
    <t>2022-09-26 00:35 (PST)</t>
  </si>
  <si>
    <t>00:35(PST)</t>
  </si>
  <si>
    <t>2022-09-26 06:47 (-07)</t>
  </si>
  <si>
    <t>2022-09-26 07:49 (-07)</t>
  </si>
  <si>
    <t>2022-08-01 22:10 (-07)</t>
  </si>
  <si>
    <t>2022-09-26 07:59 (-07)</t>
  </si>
  <si>
    <t>2022-09-25 23:00 (-07)</t>
  </si>
  <si>
    <t>2022-09-26 22:34 (PST)</t>
  </si>
  <si>
    <t>2022-09-21 08:00 (PST)</t>
  </si>
  <si>
    <t>2022-09-27 07:26 (PST)</t>
  </si>
  <si>
    <t>30 min Focus Flow: Standing Poses</t>
  </si>
  <si>
    <t>2022-09-20 09:00 (PST)</t>
  </si>
  <si>
    <t>2022-09-27 18:05 (-07)</t>
  </si>
  <si>
    <t>2022-09-21 04:24 (-07)</t>
  </si>
  <si>
    <t>2022-09-27 18:22 (-07)</t>
  </si>
  <si>
    <t>2022-09-27 18:54 (-07)</t>
  </si>
  <si>
    <t>30 min Lizzo Full Body Strength</t>
  </si>
  <si>
    <t>2022-07-15 03:55 (-07)</t>
  </si>
  <si>
    <t>2022-09-27 19:27 (-07)</t>
  </si>
  <si>
    <t>10 min Focus Flow: Forward Folds</t>
  </si>
  <si>
    <t>2022-09-27 09:00 (-07)</t>
  </si>
  <si>
    <t>2022-09-27 22:55 (PST)</t>
  </si>
  <si>
    <t>20 min Seasonal Meditation</t>
  </si>
  <si>
    <t>2022-09-26 04:57 (PST)</t>
  </si>
  <si>
    <t>2022-09-28 14:37 (-07)</t>
  </si>
  <si>
    <t>14:37(-07)</t>
  </si>
  <si>
    <t>2020-11-24 05:24 (-07)</t>
  </si>
  <si>
    <t>2022-09-28 15:22 (-07)</t>
  </si>
  <si>
    <t>15:22(-07)</t>
  </si>
  <si>
    <t>10 min Painted Hills Ride</t>
  </si>
  <si>
    <t>2022-09-28 15:39 (-07)</t>
  </si>
  <si>
    <t>15:39(-07)</t>
  </si>
  <si>
    <t>2022-09-29 15:25 (-07)</t>
  </si>
  <si>
    <t>30 min Power Zone Endurance Classic Rock</t>
  </si>
  <si>
    <t>2022-09-21 03:55 (-07)</t>
  </si>
  <si>
    <t>2022-09-29 15:57 (-07)</t>
  </si>
  <si>
    <t>15:57(-07)</t>
  </si>
  <si>
    <t>2022-09-15 07:22 (-07)</t>
  </si>
  <si>
    <t>2022-09-29 16:12 (-07)</t>
  </si>
  <si>
    <t>20 min LHHM Celebration Arms &amp; Shoulders</t>
  </si>
  <si>
    <t>2022-09-18 09:26 (-07)</t>
  </si>
  <si>
    <t>2022-09-29 16:41 (-07)</t>
  </si>
  <si>
    <t>16:41(-07)</t>
  </si>
  <si>
    <t>30 min Evermore Album Yoga Flow</t>
  </si>
  <si>
    <t>2022-09-09 05:25 (-07)</t>
  </si>
  <si>
    <t>2022-09-29 22:31 (PST)</t>
  </si>
  <si>
    <t>2022-09-29 08:00 (PST)</t>
  </si>
  <si>
    <t>2022-09-30 23:00 (PST)</t>
  </si>
  <si>
    <t>2022-09-28 08:00 (PST)</t>
  </si>
  <si>
    <t>2022-09-30 23:59 (PST)</t>
  </si>
  <si>
    <t>2022-09-27 08:00 (PST)</t>
  </si>
  <si>
    <t>2022-10-01 22:20 (PST)</t>
  </si>
  <si>
    <t>2021-09-14 08:00 (PST)</t>
  </si>
  <si>
    <t>2022-10-02 08:44 (-07)</t>
  </si>
  <si>
    <t>08:44(-07)</t>
  </si>
  <si>
    <t>2020-09-23 02:48 (-07)</t>
  </si>
  <si>
    <t>2022-10-02 09:29 (-07)</t>
  </si>
  <si>
    <t>2022-10-02 09:41 (-07)</t>
  </si>
  <si>
    <t>09:41(-07)</t>
  </si>
  <si>
    <t>2022-10-02 09:56 (-07)</t>
  </si>
  <si>
    <t>09:56(-07)</t>
  </si>
  <si>
    <t>2022-09-25 09:27 (-07)</t>
  </si>
  <si>
    <t>2022-10-02 10:20 (-07)</t>
  </si>
  <si>
    <t>10:20(-07)</t>
  </si>
  <si>
    <t>10min AFO Full Body Florence+The Machine</t>
  </si>
  <si>
    <t>2022-10-02 22:45 (PST)</t>
  </si>
  <si>
    <t>2022-10-01 06:11 (PST)</t>
  </si>
  <si>
    <t>2022-10-03 07:50 (PST)</t>
  </si>
  <si>
    <t>2022-09-19 13:00 (PST)</t>
  </si>
  <si>
    <t>2022-10-03 16:16 (-07)</t>
  </si>
  <si>
    <t>2022-10-03 17:52 (-07)</t>
  </si>
  <si>
    <t>10 min Post-Ride Stretch</t>
  </si>
  <si>
    <t>2022-09-13 08:00 (-07)</t>
  </si>
  <si>
    <t>2022-10-03 22:37 (PST)</t>
  </si>
  <si>
    <t>2022-10-03 08:00 (PST)</t>
  </si>
  <si>
    <t>2022-10-04 16:13 (-07)</t>
  </si>
  <si>
    <t>16:13(-07)</t>
  </si>
  <si>
    <t>2022-06-06 04:22 (-07)</t>
  </si>
  <si>
    <t>2022-10-04 16:46 (-07)</t>
  </si>
  <si>
    <t>2022-01-04 14:53 (-07)</t>
  </si>
  <si>
    <t>2022-10-05 07:31 (PST)</t>
  </si>
  <si>
    <t>30 min Power Flow</t>
  </si>
  <si>
    <t>2022-09-02 05:25 (PST)</t>
  </si>
  <si>
    <t>2022-10-05 11:57 (PST)</t>
  </si>
  <si>
    <t>11:57(PST)</t>
  </si>
  <si>
    <t>30 min Our Future Selves: Adam Grant</t>
  </si>
  <si>
    <t>2022-10-04 07:00 (PST)</t>
  </si>
  <si>
    <t>2022-10-06 15:15 (-07)</t>
  </si>
  <si>
    <t>15:15(-07)</t>
  </si>
  <si>
    <t>2022-07-29 06:52 (-07)</t>
  </si>
  <si>
    <t>2022-10-06 16:00 (-07)</t>
  </si>
  <si>
    <t>2022-05-31 08:00 (-07)</t>
  </si>
  <si>
    <t>2022-10-06 16:08 (-07)</t>
  </si>
  <si>
    <t>2022-08-29 09:37 (-07)</t>
  </si>
  <si>
    <t>2022-10-06 16:29 (PST)</t>
  </si>
  <si>
    <t>16:29(PST)</t>
  </si>
  <si>
    <t>2022-08-27 04:56 (PST)</t>
  </si>
  <si>
    <t>2022-10-06 16:47 (PST)</t>
  </si>
  <si>
    <t>2022-09-16 07:24 (PST)</t>
  </si>
  <si>
    <t>2022-10-06 22:23 (PST)</t>
  </si>
  <si>
    <t>2022-10-04 08:00 (PST)</t>
  </si>
  <si>
    <t>2022-10-07 11:49 (PST)</t>
  </si>
  <si>
    <t>2022-08-27 05:45 (PST)</t>
  </si>
  <si>
    <t>2022-10-07 16:01 (-07)</t>
  </si>
  <si>
    <t>2022-10-07 16:34 (-07)</t>
  </si>
  <si>
    <t>2021-10-02 11:00 (-07)</t>
  </si>
  <si>
    <t>2022-10-09 02:43 (PST)</t>
  </si>
  <si>
    <t>2019-11-13 16:19 (PST)</t>
  </si>
  <si>
    <t>2022-10-09 22:33 (PST)</t>
  </si>
  <si>
    <t>2022-10-04 09:38 (PST)</t>
  </si>
  <si>
    <t>2022-10-10 07:25 (PST)</t>
  </si>
  <si>
    <t>2022-09-15 15:21 (PST)</t>
  </si>
  <si>
    <t>2022-10-10 17:21 (-07)</t>
  </si>
  <si>
    <t>2021-09-26 03:54 (-07)</t>
  </si>
  <si>
    <t>2022-10-10 18:07 (-07)</t>
  </si>
  <si>
    <t>2022-10-10 18:17 (-07)</t>
  </si>
  <si>
    <t>2022-10-05 04:22 (-07)</t>
  </si>
  <si>
    <t>2022-10-10 22:02 (PST)</t>
  </si>
  <si>
    <t>2022-10-06 08:00 (PST)</t>
  </si>
  <si>
    <t>2022-10-11 13:33 (PST)</t>
  </si>
  <si>
    <t>13:33(PST)</t>
  </si>
  <si>
    <t>2022-09-30 08:00 (PST)</t>
  </si>
  <si>
    <t>2022-10-12 02:58 (PST)</t>
  </si>
  <si>
    <t>02:58(PST)</t>
  </si>
  <si>
    <t>10 min Pride 365: Courage Meditation</t>
  </si>
  <si>
    <t>2022-10-11 02:00 (PST)</t>
  </si>
  <si>
    <t>2022-10-12 19:02 (-07)</t>
  </si>
  <si>
    <t>2022-10-09 09:27 (-07)</t>
  </si>
  <si>
    <t>2022-10-12 19:24 (-07)</t>
  </si>
  <si>
    <t>30 min 90s Full Body Strength</t>
  </si>
  <si>
    <t>2022-09-27 11:52 (-07)</t>
  </si>
  <si>
    <t>2022-10-12 21:06 (PST)</t>
  </si>
  <si>
    <t>2022-09-26 13:00 (PST)</t>
  </si>
  <si>
    <t>2022-10-12 23:03 (PST)</t>
  </si>
  <si>
    <t>2022-10-13 07:42 (PST)</t>
  </si>
  <si>
    <t>2022-09-24 05:49 (PST)</t>
  </si>
  <si>
    <t>2022-10-13 11:54 (-07)</t>
  </si>
  <si>
    <t>2022-10-13 12:56 (-07)</t>
  </si>
  <si>
    <t>2022-08-06 09:37 (-07)</t>
  </si>
  <si>
    <t>2022-10-13 13:07 (-07)</t>
  </si>
  <si>
    <t>2022-10-14 23:13 (PST)</t>
  </si>
  <si>
    <t>2022-10-13 08:00 (PST)</t>
  </si>
  <si>
    <t>2022-10-15 10:53 (-07)</t>
  </si>
  <si>
    <t>10:53(-07)</t>
  </si>
  <si>
    <t>2022-09-24 04:55 (-07)</t>
  </si>
  <si>
    <t>2022-10-15 11:55 (-07)</t>
  </si>
  <si>
    <t>5 min Beartooth Mountain Ride</t>
  </si>
  <si>
    <t>2022-10-15 12:07 (-07)</t>
  </si>
  <si>
    <t>2022-10-10 08:00 (-07)</t>
  </si>
  <si>
    <t>2022-10-15 12:18 (-07)</t>
  </si>
  <si>
    <t>12:18(-07)</t>
  </si>
  <si>
    <t>2022-10-14 06:00 (-07)</t>
  </si>
  <si>
    <t>2022-10-15 12:29 (-07)</t>
  </si>
  <si>
    <t>12:29(-07)</t>
  </si>
  <si>
    <t>2022-10-03 13:00 (-07)</t>
  </si>
  <si>
    <t>2022-10-16 09:45 (PST)</t>
  </si>
  <si>
    <t>45 min House Walk</t>
  </si>
  <si>
    <t>2022-10-14 08:00 (PST)</t>
  </si>
  <si>
    <t>2022-10-16 10:31 (PST)</t>
  </si>
  <si>
    <t>10:31(PST)</t>
  </si>
  <si>
    <t>3 min 18 sec Just Walk: Outdoor</t>
  </si>
  <si>
    <t>2022-10-16 20:27 (PST)</t>
  </si>
  <si>
    <t>20:27(PST)</t>
  </si>
  <si>
    <t>2022-10-07 13:00 (PST)</t>
  </si>
  <si>
    <t>2022-10-16 22:10 (PST)</t>
  </si>
  <si>
    <t>2022-10-15 06:10 (PST)</t>
  </si>
  <si>
    <t>2022-10-17 05:48 (-07)</t>
  </si>
  <si>
    <t>05:48(-07)</t>
  </si>
  <si>
    <t>2022-10-17 05:53 (-07)</t>
  </si>
  <si>
    <t>05:53(-07)</t>
  </si>
  <si>
    <t>2022-09-04 23:00 (-07)</t>
  </si>
  <si>
    <t>2022-10-17 06:00 (-07)</t>
  </si>
  <si>
    <t>06:00(-07)</t>
  </si>
  <si>
    <t>2019-12-07 10:34 (-07)</t>
  </si>
  <si>
    <t>2022-10-17 07:01 (-07)</t>
  </si>
  <si>
    <t>2022-10-17 21:50 (PST)</t>
  </si>
  <si>
    <t>2022-10-17 08:00 (PST)</t>
  </si>
  <si>
    <t>2022-10-18 16:36 (-07)</t>
  </si>
  <si>
    <t>16:36(-07)</t>
  </si>
  <si>
    <t>2022-09-27 05:54 (-07)</t>
  </si>
  <si>
    <t>2022-10-18 16:59 (-07)</t>
  </si>
  <si>
    <t>2022-05-16 04:22 (-07)</t>
  </si>
  <si>
    <t>2022-10-18 22:32 (PST)</t>
  </si>
  <si>
    <t>2022-10-18 08:00 (PST)</t>
  </si>
  <si>
    <t>2022-10-19 05:18 (-07)</t>
  </si>
  <si>
    <t>05:18(-07)</t>
  </si>
  <si>
    <t>2022-09-07 03:52 (-07)</t>
  </si>
  <si>
    <t>2022-10-19 06:11 (-07)</t>
  </si>
  <si>
    <t>2022-10-17 11:00 (-07)</t>
  </si>
  <si>
    <t>2022-10-20 11:31 (PST)</t>
  </si>
  <si>
    <t>11:31(PST)</t>
  </si>
  <si>
    <t>2022-10-07 09:25 (PST)</t>
  </si>
  <si>
    <t>2022-10-20 15:08 (-07)</t>
  </si>
  <si>
    <t>15:08(-07)</t>
  </si>
  <si>
    <t>45 min Back, Biceps &amp; Legs</t>
  </si>
  <si>
    <t>2022-04-18 04:00 (-07)</t>
  </si>
  <si>
    <t>2022-10-20 15:58 (-07)</t>
  </si>
  <si>
    <t>30 min Low Impact</t>
  </si>
  <si>
    <t>2022-10-13 06:52 (-07)</t>
  </si>
  <si>
    <t>2022-10-20 16:32 (-07)</t>
  </si>
  <si>
    <t>2022-10-05 07:00 (-07)</t>
  </si>
  <si>
    <t>2022-10-20 22:31 (PST)</t>
  </si>
  <si>
    <t>2022-10-20 16:22 (PST)</t>
  </si>
  <si>
    <t>2022-10-21 05:52 (PST)</t>
  </si>
  <si>
    <t>05:52(PST)</t>
  </si>
  <si>
    <t>5 min Just Ride</t>
  </si>
  <si>
    <t>2022-10-21 06:13 (-07)</t>
  </si>
  <si>
    <t>06:13(-07)</t>
  </si>
  <si>
    <t>45 min Power Zone Endurance 80s Rock</t>
  </si>
  <si>
    <t>2022-08-16 07:30 (-07)</t>
  </si>
  <si>
    <t>2022-10-21 07:05 (-07)</t>
  </si>
  <si>
    <t>2022-10-22 22:21 (PST)</t>
  </si>
  <si>
    <t>2022-10-23 22:27 (PST)</t>
  </si>
  <si>
    <t>2022-10-18 09:37 (PST)</t>
  </si>
  <si>
    <t>2022-10-24 03:13 (PST)</t>
  </si>
  <si>
    <t>03:13(PST)</t>
  </si>
  <si>
    <t>2022-10-24 07:21 (PST)</t>
  </si>
  <si>
    <t>45 min Power Flow</t>
  </si>
  <si>
    <t>2022-09-30 07:25 (PST)</t>
  </si>
  <si>
    <t>2022-10-24 10:28 (PST)</t>
  </si>
  <si>
    <t>10:28(PST)</t>
  </si>
  <si>
    <t>2022-10-07 08:00 (PST)</t>
  </si>
  <si>
    <t>2022-10-24 10:38 (PST)</t>
  </si>
  <si>
    <t>20 min EDM Walk</t>
  </si>
  <si>
    <t>2022-02-18 08:00 (PST)</t>
  </si>
  <si>
    <t>2022-10-24 17:52 (-07)</t>
  </si>
  <si>
    <t>2020-10-01 08:21 (-07)</t>
  </si>
  <si>
    <t>2022-10-24 18:44 (-07)</t>
  </si>
  <si>
    <t>30 min Chest, Shoulders &amp; Triceps</t>
  </si>
  <si>
    <t>2022-10-24 22:35 (PST)</t>
  </si>
  <si>
    <t>2022-10-24 08:00 (PST)</t>
  </si>
  <si>
    <t>2022-10-25 12:37 (PST)</t>
  </si>
  <si>
    <t>2022-10-14 07:25 (PST)</t>
  </si>
  <si>
    <t>2022-10-25 15:51 (PST)</t>
  </si>
  <si>
    <t>15:51(PST)</t>
  </si>
  <si>
    <t>2022-09-02 08:00 (PST)</t>
  </si>
  <si>
    <t>2022-10-25 16:01 (PST)</t>
  </si>
  <si>
    <t>20 min Country Walk</t>
  </si>
  <si>
    <t>2022-03-25 08:00 (PST)</t>
  </si>
  <si>
    <t>2022-10-25 16:43 (PST)</t>
  </si>
  <si>
    <t>16:43(PST)</t>
  </si>
  <si>
    <t>2022-10-25 22:07 (PST)</t>
  </si>
  <si>
    <t>2022-10-25 08:00 (PST)</t>
  </si>
  <si>
    <t>2022-10-26 08:29 (PST)</t>
  </si>
  <si>
    <t>30 min Focus Flow: Cow Face Pose</t>
  </si>
  <si>
    <t>2022-10-17 04:22 (PST)</t>
  </si>
  <si>
    <t>2022-10-26 17:38 (-07)</t>
  </si>
  <si>
    <t>2022-10-26 18:24 (-07)</t>
  </si>
  <si>
    <t>5 min Prince Cool Down Ride</t>
  </si>
  <si>
    <t>2020-08-12 14:05 (-07)</t>
  </si>
  <si>
    <t>2022-10-26 18:33 (-07)</t>
  </si>
  <si>
    <t>18:33(-07)</t>
  </si>
  <si>
    <t>30 min Legs &amp; Core</t>
  </si>
  <si>
    <t>2022-10-26 22:05 (PST)</t>
  </si>
  <si>
    <t>2022-10-26 08:00 (PST)</t>
  </si>
  <si>
    <t>2022-10-27 12:15 (PST)</t>
  </si>
  <si>
    <t>20 min Motown Walk</t>
  </si>
  <si>
    <t>2022-09-16 01:00 (PST)</t>
  </si>
  <si>
    <t>2022-10-27 12:35 (PST)</t>
  </si>
  <si>
    <t>2022-09-23 08:00 (PST)</t>
  </si>
  <si>
    <t>2022-10-27 12:46 (PST)</t>
  </si>
  <si>
    <t>10 min 48 sec Just Walk: Outdoor</t>
  </si>
  <si>
    <t>2022-10-28 07:58 (-07)</t>
  </si>
  <si>
    <t>2022-10-26 03:52 (-07)</t>
  </si>
  <si>
    <t>2022-10-28 08:32 (-07)</t>
  </si>
  <si>
    <t>08:32(-07)</t>
  </si>
  <si>
    <t>2022-10-27 08:07 (-07)</t>
  </si>
  <si>
    <t>2022-10-28 08:44 (-07)</t>
  </si>
  <si>
    <t>2022-10-17 08:00 (-07)</t>
  </si>
  <si>
    <t>2022-10-29 21:38 (GMT)</t>
  </si>
  <si>
    <t>21:38(GMT)</t>
  </si>
  <si>
    <t>2022-10-24 15:00 (GMT)</t>
  </si>
  <si>
    <t>2022-10-30 09:49 (GMT)</t>
  </si>
  <si>
    <t>09:49(GMT)</t>
  </si>
  <si>
    <t>2022-10-28 14:25 (GMT)</t>
  </si>
  <si>
    <t>2022-10-30 22:29 (GMT)</t>
  </si>
  <si>
    <t>22:29(GMT)</t>
  </si>
  <si>
    <t>2022-10-26 15:00 (GMT)</t>
  </si>
  <si>
    <t>2022-10-31 20:15 (GMT)</t>
  </si>
  <si>
    <t>20:15(GMT)</t>
  </si>
  <si>
    <t>2022-10-26 11:21 (GMT)</t>
  </si>
  <si>
    <t>2022-10-31 20:27 (GMT)</t>
  </si>
  <si>
    <t>20:27(GMT)</t>
  </si>
  <si>
    <t>2022-10-24 11:22 (GMT)</t>
  </si>
  <si>
    <t>2022-11-01 21:40 (GMT)</t>
  </si>
  <si>
    <t>21:40(GMT)</t>
  </si>
  <si>
    <t>2022-10-27 23:07 (GMT)</t>
  </si>
  <si>
    <t>2022-11-02 22:25 (GMT)</t>
  </si>
  <si>
    <t>22:25(GMT)</t>
  </si>
  <si>
    <t>2022-10-29 13:10 (GMT)</t>
  </si>
  <si>
    <t>2022-11-03 10:51 (GMT)</t>
  </si>
  <si>
    <t>10:51(GMT)</t>
  </si>
  <si>
    <t>2022-10-26 14:22 (GMT)</t>
  </si>
  <si>
    <t>2022-11-03 11:13 (GMT)</t>
  </si>
  <si>
    <t>11:13(GMT)</t>
  </si>
  <si>
    <t>2022-10-31 11:05 (GMT)</t>
  </si>
  <si>
    <t>2022-11-03 11:26 (GMT)</t>
  </si>
  <si>
    <t>11:26(GMT)</t>
  </si>
  <si>
    <t>2022-10-27 22:21 (GMT)</t>
  </si>
  <si>
    <t>2022-11-04 00:52 (GMT)</t>
  </si>
  <si>
    <t>00:52(GMT)</t>
  </si>
  <si>
    <t>2022-11-03 15:00 (GMT)</t>
  </si>
  <si>
    <t>2022-11-06 00:04 (GMT)</t>
  </si>
  <si>
    <t>00:04(GMT)</t>
  </si>
  <si>
    <t>2022-11-01 15:00 (GMT)</t>
  </si>
  <si>
    <t>2022-11-06 11:49 (GMT)</t>
  </si>
  <si>
    <t>11:49(GMT)</t>
  </si>
  <si>
    <t>2022-09-23 08:00 (GMT)</t>
  </si>
  <si>
    <t>2022-11-06 16:38 (GMT)</t>
  </si>
  <si>
    <t>16:38(GMT)</t>
  </si>
  <si>
    <t>2022-10-25 13:32 (GMT)</t>
  </si>
  <si>
    <t>2022-11-06 16:51 (GMT)</t>
  </si>
  <si>
    <t>16:51(GMT)</t>
  </si>
  <si>
    <t>2022-10-21 14:26 (GMT)</t>
  </si>
  <si>
    <t>2022-11-09 08:18 (-05)</t>
  </si>
  <si>
    <t>08:18(-05)</t>
  </si>
  <si>
    <t>2022-09-29 12:53 (-05)</t>
  </si>
  <si>
    <t>2022-11-09 09:10 (-05)</t>
  </si>
  <si>
    <t>09:10(-05)</t>
  </si>
  <si>
    <t>2022-10-25 18:39 (-05)</t>
  </si>
  <si>
    <t>2022-11-09 09:20 (-05)</t>
  </si>
  <si>
    <t>09:20(-05)</t>
  </si>
  <si>
    <t>2022-11-07 11:00 (-05)</t>
  </si>
  <si>
    <t>2022-11-10 07:15 (-05)</t>
  </si>
  <si>
    <t>07:15(-05)</t>
  </si>
  <si>
    <t>2022-11-01 18:40 (-05)</t>
  </si>
  <si>
    <t>2022-11-10 07:26 (-05)</t>
  </si>
  <si>
    <t>07:26(-05)</t>
  </si>
  <si>
    <t>30 min Power Zone Endurance Rock</t>
  </si>
  <si>
    <t>2022-05-03 13:00 (-05)</t>
  </si>
  <si>
    <t>2022-11-10 07:57 (-05)</t>
  </si>
  <si>
    <t>07:57(-05)</t>
  </si>
  <si>
    <t>2022-10-03 01:00 (-05)</t>
  </si>
  <si>
    <t>2022-11-10 08:14 (EST)</t>
  </si>
  <si>
    <t>08:14(EST)</t>
  </si>
  <si>
    <t>2022-11-09 07:21 (EST)</t>
  </si>
  <si>
    <t>2022-11-10 08:25 (EST)</t>
  </si>
  <si>
    <t>08:25(EST)</t>
  </si>
  <si>
    <t>2022-05-03 10:00 (EST)</t>
  </si>
  <si>
    <t>2022-11-11 10:05 (-05)</t>
  </si>
  <si>
    <t>10:05(-05)</t>
  </si>
  <si>
    <t>2022-06-08 04:52 (-05)</t>
  </si>
  <si>
    <t>2022-11-11 10:57 (EST)</t>
  </si>
  <si>
    <t>10:57(EST)</t>
  </si>
  <si>
    <t>10 min Standing Core Strength</t>
  </si>
  <si>
    <t>2022-09-15 10:00 (EST)</t>
  </si>
  <si>
    <t>2022-11-11 11:08 (EST)</t>
  </si>
  <si>
    <t>11:08(EST)</t>
  </si>
  <si>
    <t>2022-09-29 19:10 (EST)</t>
  </si>
  <si>
    <t>2022-11-12 09:08 (EST)</t>
  </si>
  <si>
    <t>09:08(EST)</t>
  </si>
  <si>
    <t>2022-11-11 12:25 (EST)</t>
  </si>
  <si>
    <t>2022-11-14 04:57 (EST)</t>
  </si>
  <si>
    <t>04:57(EST)</t>
  </si>
  <si>
    <t>2022-10-26 11:00 (EST)</t>
  </si>
  <si>
    <t>2022-11-14 10:54 (-05)</t>
  </si>
  <si>
    <t>10:54(-05)</t>
  </si>
  <si>
    <t>2019-04-19 09:18 (-05)</t>
  </si>
  <si>
    <t>2022-11-14 11:25 (-05)</t>
  </si>
  <si>
    <t>11:25(-05)</t>
  </si>
  <si>
    <t>2022-05-12 10:00 (-05)</t>
  </si>
  <si>
    <t>2022-11-15 09:54 (EST)</t>
  </si>
  <si>
    <t>09:54(EST)</t>
  </si>
  <si>
    <t>2022-10-07 10:25 (EST)</t>
  </si>
  <si>
    <t>2022-11-15 10:25 (EST)</t>
  </si>
  <si>
    <t>10:25(EST)</t>
  </si>
  <si>
    <t>2022-11-15 10:00 (EST)</t>
  </si>
  <si>
    <t>2022-11-15 22:42 (EST)</t>
  </si>
  <si>
    <t>22:42(EST)</t>
  </si>
  <si>
    <t>2022-11-14 11:00 (EST)</t>
  </si>
  <si>
    <t>2022-11-16 08:49 (-05)</t>
  </si>
  <si>
    <t>08:49(-05)</t>
  </si>
  <si>
    <t>30 min LOL Cody</t>
  </si>
  <si>
    <t>2022-11-03 18:30 (-05)</t>
  </si>
  <si>
    <t>2022-11-16 09:21 (-05)</t>
  </si>
  <si>
    <t>09:21(-05)</t>
  </si>
  <si>
    <t>Extra 10: Low Impact Ride</t>
  </si>
  <si>
    <t>2023-02-01 19:00 (-05)</t>
  </si>
  <si>
    <t>2022-11-16 09:31 (-05)</t>
  </si>
  <si>
    <t>09:31(-05)</t>
  </si>
  <si>
    <t>2022-11-16 09:38 (-05)</t>
  </si>
  <si>
    <t>09:38(-05)</t>
  </si>
  <si>
    <t>2022-10-19 13:37 (-05)</t>
  </si>
  <si>
    <t>2022-11-16 09:52 (EST)</t>
  </si>
  <si>
    <t>09:52(EST)</t>
  </si>
  <si>
    <t>20 min Strength Roll Call: Core</t>
  </si>
  <si>
    <t>2022-10-19 07:22 (EST)</t>
  </si>
  <si>
    <t>2022-11-16 10:14 (EST)</t>
  </si>
  <si>
    <t>10:14(EST)</t>
  </si>
  <si>
    <t>30 min AFO Yoga Flow: Maroon 5</t>
  </si>
  <si>
    <t>2022-08-19 10:55 (EST)</t>
  </si>
  <si>
    <t>2022-11-17 09:16 (EST)</t>
  </si>
  <si>
    <t>09:16(EST)</t>
  </si>
  <si>
    <t>2022-11-04 05:00 (EST)</t>
  </si>
  <si>
    <t>2022-11-17 09:47 (EST)</t>
  </si>
  <si>
    <t>09:47(EST)</t>
  </si>
  <si>
    <t>2022-03-04 11:00 (EST)</t>
  </si>
  <si>
    <t>2022-11-18 00:02 (EST)</t>
  </si>
  <si>
    <t>00:02(EST)</t>
  </si>
  <si>
    <t>2022-11-17 19:07 (EST)</t>
  </si>
  <si>
    <t>2022-11-19 11:16 (PST)</t>
  </si>
  <si>
    <t>11:16(PST)</t>
  </si>
  <si>
    <t>2022-11-04 07:25 (PST)</t>
  </si>
  <si>
    <t>2022-11-19 21:14 (PST)</t>
  </si>
  <si>
    <t>2022-11-12 06:10 (PST)</t>
  </si>
  <si>
    <t>2022-11-19 21:39 (PST)</t>
  </si>
  <si>
    <t>2022-11-17 16:07 (PST)</t>
  </si>
  <si>
    <t>2022-11-20 17:55 (PST)</t>
  </si>
  <si>
    <t>17:55(PST)</t>
  </si>
  <si>
    <t>2022-11-15 06:34 (PST)</t>
  </si>
  <si>
    <t>2022-11-20 18:08 (PST)</t>
  </si>
  <si>
    <t>2021-04-28 14:53 (PST)</t>
  </si>
  <si>
    <t>2022-11-20 21:08 (PST)</t>
  </si>
  <si>
    <t>2022-11-07 08:00 (PST)</t>
  </si>
  <si>
    <t>2022-11-21 07:44 (PST)</t>
  </si>
  <si>
    <t>2022-11-03 15:22 (PST)</t>
  </si>
  <si>
    <t>2022-11-21 15:31 (PST)</t>
  </si>
  <si>
    <t>15:31(PST)</t>
  </si>
  <si>
    <t>2022-08-12 08:00 (PST)</t>
  </si>
  <si>
    <t>2022-11-21 15:51 (PST)</t>
  </si>
  <si>
    <t>2022-11-21 22:15 (PST)</t>
  </si>
  <si>
    <t>2022-11-14 08:00 (PST)</t>
  </si>
  <si>
    <t>2022-11-22 13:39 (PST)</t>
  </si>
  <si>
    <t>13:39(PST)</t>
  </si>
  <si>
    <t>2022-11-04 09:25 (PST)</t>
  </si>
  <si>
    <t>2022-11-22 14:12 (PST)</t>
  </si>
  <si>
    <t>14:12(PST)</t>
  </si>
  <si>
    <t>2022-11-21 04:25 (PST)</t>
  </si>
  <si>
    <t>2022-11-22 14:24 (PST)</t>
  </si>
  <si>
    <t>10 min Barre: Lower Body</t>
  </si>
  <si>
    <t>2022-11-18 13:00 (PST)</t>
  </si>
  <si>
    <t>2022-11-22 15:25 (PST)</t>
  </si>
  <si>
    <t>15:25(PST)</t>
  </si>
  <si>
    <t>2021-12-03 08:00 (PST)</t>
  </si>
  <si>
    <t>2022-11-22 15:46 (PST)</t>
  </si>
  <si>
    <t>15:46(PST)</t>
  </si>
  <si>
    <t>15 min Classical Walk</t>
  </si>
  <si>
    <t>2022-11-11 01:00 (PST)</t>
  </si>
  <si>
    <t>2022-11-22 16:34 (-08)</t>
  </si>
  <si>
    <t>2019-09-15 12:17 (-08)</t>
  </si>
  <si>
    <t>2022-11-22 17:06 (-08)</t>
  </si>
  <si>
    <t>2022-11-16 08:00 (-08)</t>
  </si>
  <si>
    <t>2022-11-23 13:31 (-08)</t>
  </si>
  <si>
    <t>13:31(-08)</t>
  </si>
  <si>
    <t>2022-05-13 06:00 (-08)</t>
  </si>
  <si>
    <t>2022-11-23 14:33 (-08)</t>
  </si>
  <si>
    <t>14:33(-08)</t>
  </si>
  <si>
    <t>2022-10-25 07:00 (-08)</t>
  </si>
  <si>
    <t>2022-11-24 03:56 (PST)</t>
  </si>
  <si>
    <t>03:56(PST)</t>
  </si>
  <si>
    <t>2022-11-21 05:07 (PST)</t>
  </si>
  <si>
    <t>2022-11-24 10:11 (-08)</t>
  </si>
  <si>
    <t>10:11(-08)</t>
  </si>
  <si>
    <t>2020-01-10 02:48 (-08)</t>
  </si>
  <si>
    <t>2022-11-24 10:58 (-08)</t>
  </si>
  <si>
    <t>5 min London Bridges Ride</t>
  </si>
  <si>
    <t>2022-11-24 11:06 (-08)</t>
  </si>
  <si>
    <t>2022-08-25 07:05 (-08)</t>
  </si>
  <si>
    <t>2022-11-28 22:12 (PST)</t>
  </si>
  <si>
    <t>2022-11-26 06:01 (PST)</t>
  </si>
  <si>
    <t>2022-11-29 16:25 (-08)</t>
  </si>
  <si>
    <t>2022-09-11 10:55 (-08)</t>
  </si>
  <si>
    <t>2022-11-29 17:11 (-08)</t>
  </si>
  <si>
    <t>2022-08-31 22:00 (-08)</t>
  </si>
  <si>
    <t>2022-11-29 17:18 (-08)</t>
  </si>
  <si>
    <t>2022-03-14 11:02 (-08)</t>
  </si>
  <si>
    <t>2022-11-29 18:14 (PST)</t>
  </si>
  <si>
    <t>30 min 80s Yoga Flow</t>
  </si>
  <si>
    <t>2022-11-11 07:25 (PST)</t>
  </si>
  <si>
    <t>2022-11-29 22:23 (PST)</t>
  </si>
  <si>
    <t>2022-11-29 09:27 (PST)</t>
  </si>
  <si>
    <t>2022-11-30 07:25 (PST)</t>
  </si>
  <si>
    <t>2022-11-19 05:50 (PST)</t>
  </si>
  <si>
    <t>2022-11-30 16:10 (PST)</t>
  </si>
  <si>
    <t>16:10(PST)</t>
  </si>
  <si>
    <t>2022-11-30 16:30 (PST)</t>
  </si>
  <si>
    <t>16:30(PST)</t>
  </si>
  <si>
    <t>20 min 21 sec Just Walk: Outdoor</t>
  </si>
  <si>
    <t>2022-11-30 17:31 (-08)</t>
  </si>
  <si>
    <t>2022-05-18 05:53 (-08)</t>
  </si>
  <si>
    <t>2022-11-30 18:02 (-08)</t>
  </si>
  <si>
    <t>2022-09-13 22:00 (-08)</t>
  </si>
  <si>
    <t>2022-11-30 18:10 (-08)</t>
  </si>
  <si>
    <t>2022-11-08 06:34 (-08)</t>
  </si>
  <si>
    <t>2022-11-30 23:22 (PST)</t>
  </si>
  <si>
    <t>2022-11-29 08:00 (PST)</t>
  </si>
  <si>
    <t>2022-12-01 07:38 (PST)</t>
  </si>
  <si>
    <t>2022-11-18 09:25 (PST)</t>
  </si>
  <si>
    <t>2022-12-01 17:08 (-08)</t>
  </si>
  <si>
    <t>17:08(-08)</t>
  </si>
  <si>
    <t>2022-11-30 04:23 (-08)</t>
  </si>
  <si>
    <t>2022-12-01 17:21 (-08)</t>
  </si>
  <si>
    <t>2022-12-01 18:21 (-08)</t>
  </si>
  <si>
    <t>2022-05-12 07:00 (-08)</t>
  </si>
  <si>
    <t>2022-12-01 23:45 (PST)</t>
  </si>
  <si>
    <t>2022-12-01 08:00 (PST)</t>
  </si>
  <si>
    <t>2022-12-02 23:50 (PST)</t>
  </si>
  <si>
    <t>2022-12-03 14:56 (-08)</t>
  </si>
  <si>
    <t>14:56(-08)</t>
  </si>
  <si>
    <t>2020-12-02 02:53 (-08)</t>
  </si>
  <si>
    <t>2022-12-03 15:41 (-08)</t>
  </si>
  <si>
    <t>15:41(-08)</t>
  </si>
  <si>
    <t>2022-11-28 08:00 (-08)</t>
  </si>
  <si>
    <t>2022-12-03 15:54 (-08)</t>
  </si>
  <si>
    <t>2022-11-27 09:27 (-08)</t>
  </si>
  <si>
    <t>2022-12-03 16:55 (PST)</t>
  </si>
  <si>
    <t>16:55(PST)</t>
  </si>
  <si>
    <t>2022-11-18 07:25 (PST)</t>
  </si>
  <si>
    <t>2022-12-03 23:39 (PST)</t>
  </si>
  <si>
    <t>23:39(PST)</t>
  </si>
  <si>
    <t>2022-11-23 14:38 (PST)</t>
  </si>
  <si>
    <t>2022-12-04 10:50 (PST)</t>
  </si>
  <si>
    <t>10:50(PST)</t>
  </si>
  <si>
    <t>2019-10-10 08:00 (PST)</t>
  </si>
  <si>
    <t>2022-12-04 11:10 (PST)</t>
  </si>
  <si>
    <t>2022-02-04 08:00 (PST)</t>
  </si>
  <si>
    <t>2022-12-04 23:11 (PST)</t>
  </si>
  <si>
    <t>2022-12-05 07:23 (PST)</t>
  </si>
  <si>
    <t>2022-12-02 07:25 (PST)</t>
  </si>
  <si>
    <t>2022-12-05 15:49 (-08)</t>
  </si>
  <si>
    <t>2022-11-28 07:00 (-08)</t>
  </si>
  <si>
    <t>2022-12-05 16:06 (-08)</t>
  </si>
  <si>
    <t>16:06(-08)</t>
  </si>
  <si>
    <t>2021-08-07 03:53 (-08)</t>
  </si>
  <si>
    <t>2022-12-05 17:08 (-08)</t>
  </si>
  <si>
    <t>Extra 10: Low Impact</t>
  </si>
  <si>
    <t>2022-12-05 08:00 (-08)</t>
  </si>
  <si>
    <t>2022-12-06 00:26 (PST)</t>
  </si>
  <si>
    <t>00:26(PST)</t>
  </si>
  <si>
    <t>Family &amp; Pre/Postnatal</t>
  </si>
  <si>
    <t>10 min Family Meditation: Holiday</t>
  </si>
  <si>
    <t>2022-12-05 07:00 (PST)</t>
  </si>
  <si>
    <t>2022-12-06 11:19 (PST)</t>
  </si>
  <si>
    <t>20 min Black History Month Walk</t>
  </si>
  <si>
    <t>2022-10-21 01:00 (PST)</t>
  </si>
  <si>
    <t>2022-12-06 11:40 (PST)</t>
  </si>
  <si>
    <t>11:40(PST)</t>
  </si>
  <si>
    <t>2022-12-06 15:26 (-08)</t>
  </si>
  <si>
    <t>15:26(-08)</t>
  </si>
  <si>
    <t>2022-04-04 22:00 (-08)</t>
  </si>
  <si>
    <t>2022-12-06 16:03 (-08)</t>
  </si>
  <si>
    <t>2022-12-03 06:57 (-08)</t>
  </si>
  <si>
    <t>2022-12-06 16:25 (-08)</t>
  </si>
  <si>
    <t>2022-12-04 09:25 (-08)</t>
  </si>
  <si>
    <t>2022-12-06 16:46 (-08)</t>
  </si>
  <si>
    <t>2022-11-24 23:00 (-08)</t>
  </si>
  <si>
    <t>2022-12-06 22:33 (PST)</t>
  </si>
  <si>
    <t>2022-12-06 16:10 (PST)</t>
  </si>
  <si>
    <t>2022-12-07 11:44 (PST)</t>
  </si>
  <si>
    <t>11:44(PST)</t>
  </si>
  <si>
    <t>15 min Soft Rock Walk</t>
  </si>
  <si>
    <t>2022-12-02 01:00 (PST)</t>
  </si>
  <si>
    <t>2022-12-07 12:01 (PST)</t>
  </si>
  <si>
    <t>2022-12-07 13:15 (PST)</t>
  </si>
  <si>
    <t>2022-12-02 09:25 (PST)</t>
  </si>
  <si>
    <t>2022-12-07 16:13 (-08)</t>
  </si>
  <si>
    <t>2022-12-06 05:03 (-08)</t>
  </si>
  <si>
    <t>2022-12-07 16:25 (-08)</t>
  </si>
  <si>
    <t>2022-12-07 17:12 (-08)</t>
  </si>
  <si>
    <t>2022-12-07 22:50 (PST)</t>
  </si>
  <si>
    <t>2022-12-07 08:00 (PST)</t>
  </si>
  <si>
    <t>2022-12-08 03:21 (PST)</t>
  </si>
  <si>
    <t>03:21(PST)</t>
  </si>
  <si>
    <t>2022-12-05 05:06 (PST)</t>
  </si>
  <si>
    <t>2022-12-08 20:03 (-08)</t>
  </si>
  <si>
    <t>20:03(-08)</t>
  </si>
  <si>
    <t>Rowing</t>
  </si>
  <si>
    <t>20 min Advanced Beginner Row</t>
  </si>
  <si>
    <t>2022-11-10 07:00 (-08)</t>
  </si>
  <si>
    <t>2022-12-08 20:25 (-08)</t>
  </si>
  <si>
    <t>20:25(-08)</t>
  </si>
  <si>
    <t>Warm Up/Cool Down</t>
  </si>
  <si>
    <t>10 min Cool Down Row</t>
  </si>
  <si>
    <t>2022-12-08 22:36 (PST)</t>
  </si>
  <si>
    <t>5 min Meditation for Healing</t>
  </si>
  <si>
    <t>2022-12-08 08:00 (PST)</t>
  </si>
  <si>
    <t>2022-12-09 12:27 (PST)</t>
  </si>
  <si>
    <t>30 min Cultivate Courage</t>
  </si>
  <si>
    <t>2020-10-06 14:49 (PST)</t>
  </si>
  <si>
    <t>2022-12-09 16:47 (-08)</t>
  </si>
  <si>
    <t>2022-12-05 07:00 (-08)</t>
  </si>
  <si>
    <t>2022-12-09 16:55 (-08)</t>
  </si>
  <si>
    <t>2020-11-07 04:53 (-08)</t>
  </si>
  <si>
    <t>2022-12-09 17:56 (-08)</t>
  </si>
  <si>
    <t>2022-08-19 04:15 (-08)</t>
  </si>
  <si>
    <t>2022-12-09 23:56 (PST)</t>
  </si>
  <si>
    <t>23:56(PST)</t>
  </si>
  <si>
    <t>2022-11-30 08:00 (PST)</t>
  </si>
  <si>
    <t>2022-12-10 08:07 (PST)</t>
  </si>
  <si>
    <t>2022-12-10 08:23 (PST)</t>
  </si>
  <si>
    <t>2022-12-10 23:43 (EST)</t>
  </si>
  <si>
    <t>23:43(EST)</t>
  </si>
  <si>
    <t>2022-12-07 11:00 (EST)</t>
  </si>
  <si>
    <t>2022-12-11 16:25 (-05)</t>
  </si>
  <si>
    <t>16:25(-05)</t>
  </si>
  <si>
    <t>2022-11-30 06:55 (-05)</t>
  </si>
  <si>
    <t>2022-12-11 16:57 (-05)</t>
  </si>
  <si>
    <t>16:57(-05)</t>
  </si>
  <si>
    <t>2022-12-05 12:39 (-05)</t>
  </si>
  <si>
    <t>2022-12-11 17:14 (-05)</t>
  </si>
  <si>
    <t>17:14(-05)</t>
  </si>
  <si>
    <t>2022-11-29 05:52 (-05)</t>
  </si>
  <si>
    <t>2022-12-11 17:29 (EST)</t>
  </si>
  <si>
    <t>17:29(EST)</t>
  </si>
  <si>
    <t>2022-12-09 09:00 (EST)</t>
  </si>
  <si>
    <t>2022-12-11 22:46 (EST)</t>
  </si>
  <si>
    <t>22:46(EST)</t>
  </si>
  <si>
    <t>2022-11-22 11:00 (EST)</t>
  </si>
  <si>
    <t>2022-12-12 09:08 (-05)</t>
  </si>
  <si>
    <t>09:08(-05)</t>
  </si>
  <si>
    <t>2022-12-11 03:00 (-05)</t>
  </si>
  <si>
    <t>2022-12-12 09:15 (-05)</t>
  </si>
  <si>
    <t>09:15(-05)</t>
  </si>
  <si>
    <t>2019-08-08 04:45 (-05)</t>
  </si>
  <si>
    <t>2022-12-12 10:01 (-05)</t>
  </si>
  <si>
    <t>10:01(-05)</t>
  </si>
  <si>
    <t>2022-12-12 10:13 (-05)</t>
  </si>
  <si>
    <t>10:13(-05)</t>
  </si>
  <si>
    <t>2022-12-12 02:00 (-05)</t>
  </si>
  <si>
    <t>2022-12-12 15:00 (EST)</t>
  </si>
  <si>
    <t>15:00(EST)</t>
  </si>
  <si>
    <t>2021-10-18 11:50 (EST)</t>
  </si>
  <si>
    <t>2022-12-12 22:40 (EST)</t>
  </si>
  <si>
    <t>22:40(EST)</t>
  </si>
  <si>
    <t>2022-11-22 19:10 (EST)</t>
  </si>
  <si>
    <t>2022-12-13 08:10 (EST)</t>
  </si>
  <si>
    <t>08:10(EST)</t>
  </si>
  <si>
    <t>2022-12-09 10:26 (EST)</t>
  </si>
  <si>
    <t>2022-12-13 23:37 (EST)</t>
  </si>
  <si>
    <t>23:37(EST)</t>
  </si>
  <si>
    <t>2022-12-13 12:37 (EST)</t>
  </si>
  <si>
    <t>2022-12-14 04:53 (EST)</t>
  </si>
  <si>
    <t>04:53(EST)</t>
  </si>
  <si>
    <t>2022-12-06 19:10 (EST)</t>
  </si>
  <si>
    <t>2022-12-14 09:18 (-05)</t>
  </si>
  <si>
    <t>09:18(-05)</t>
  </si>
  <si>
    <t>2022-12-12 10:00 (-05)</t>
  </si>
  <si>
    <t>2022-12-14 09:29 (-05)</t>
  </si>
  <si>
    <t>09:29(-05)</t>
  </si>
  <si>
    <t>2020-08-12 06:52 (-05)</t>
  </si>
  <si>
    <t>2022-12-14 10:01 (-05)</t>
  </si>
  <si>
    <t>2022-08-24 09:38 (-05)</t>
  </si>
  <si>
    <t>2022-12-14 10:13 (-05)</t>
  </si>
  <si>
    <t>2022-12-08 02:32 (-05)</t>
  </si>
  <si>
    <t>2022-12-14 10:28 (EST)</t>
  </si>
  <si>
    <t>10:28(EST)</t>
  </si>
  <si>
    <t>2022-12-08 10:00 (EST)</t>
  </si>
  <si>
    <t>2022-12-14 10:40 (EST)</t>
  </si>
  <si>
    <t>10:40(EST)</t>
  </si>
  <si>
    <t>5 min Holiday Post-Ride Stretch</t>
  </si>
  <si>
    <t>2022-12-14 05:00 (EST)</t>
  </si>
  <si>
    <t>2022-12-14 17:45 (EST)</t>
  </si>
  <si>
    <t>17:45(EST)</t>
  </si>
  <si>
    <t>30 min Evening Slow Flow</t>
  </si>
  <si>
    <t>2022-12-08 18:24 (EST)</t>
  </si>
  <si>
    <t>2022-12-14 23:58 (EST)</t>
  </si>
  <si>
    <t>23:58(EST)</t>
  </si>
  <si>
    <t>2022-12-14 11:00 (EST)</t>
  </si>
  <si>
    <t>2022-12-15 22:20 (EST)</t>
  </si>
  <si>
    <t>22:20(EST)</t>
  </si>
  <si>
    <t>2022-12-15 18:22 (EST)</t>
  </si>
  <si>
    <t>2022-12-15 22:47 (EST)</t>
  </si>
  <si>
    <t>22:47(EST)</t>
  </si>
  <si>
    <t>2022-12-15 11:00 (EST)</t>
  </si>
  <si>
    <t>2022-12-16 10:08 (-05)</t>
  </si>
  <si>
    <t>10:08(-05)</t>
  </si>
  <si>
    <t>2022-06-04 06:24 (-05)</t>
  </si>
  <si>
    <t>2022-12-16 11:27 (-05)</t>
  </si>
  <si>
    <t>11:27(-05)</t>
  </si>
  <si>
    <t>2022-12-17 04:00 (EST)</t>
  </si>
  <si>
    <t>04:00(EST)</t>
  </si>
  <si>
    <t>2022-12-13 11:00 (EST)</t>
  </si>
  <si>
    <t>2022-12-17 13:45 (EST)</t>
  </si>
  <si>
    <t>13:45(EST)</t>
  </si>
  <si>
    <t>80 min 9 sec Just Ride: Outdoor</t>
  </si>
  <si>
    <t>2022-12-17 15:26 (EST)</t>
  </si>
  <si>
    <t>15:26(EST)</t>
  </si>
  <si>
    <t>33 min 56 sec Just Ride: Outdoor</t>
  </si>
  <si>
    <t>2022-12-17 16:12 (EST)</t>
  </si>
  <si>
    <t>16:12(EST)</t>
  </si>
  <si>
    <t>2022-12-01 11:02 (EST)</t>
  </si>
  <si>
    <t>2022-12-17 16:18 (EST)</t>
  </si>
  <si>
    <t>16:18(EST)</t>
  </si>
  <si>
    <t>10 min Focus Flow: For Riders</t>
  </si>
  <si>
    <t>2022-12-17 23:29 (EST)</t>
  </si>
  <si>
    <t>23:29(EST)</t>
  </si>
  <si>
    <t>2022-11-23 11:00 (EST)</t>
  </si>
  <si>
    <t>2022-12-18 05:04 (EST)</t>
  </si>
  <si>
    <t>05:04(EST)</t>
  </si>
  <si>
    <t>2022-11-10 19:10 (EST)</t>
  </si>
  <si>
    <t>2022-12-18 05:17 (EST)</t>
  </si>
  <si>
    <t>05:17(EST)</t>
  </si>
  <si>
    <t>2022-11-15 11:00 (EST)</t>
  </si>
  <si>
    <t>2022-12-18 09:17 (EST)</t>
  </si>
  <si>
    <t>09:17(EST)</t>
  </si>
  <si>
    <t>2022-09-23 12:24 (EST)</t>
  </si>
  <si>
    <t>2022-12-18 22:34 (EST)</t>
  </si>
  <si>
    <t>22:34(EST)</t>
  </si>
  <si>
    <t>2022-11-07 08:07 (EST)</t>
  </si>
  <si>
    <t>2022-12-19 09:13 (-05)</t>
  </si>
  <si>
    <t>09:13(-05)</t>
  </si>
  <si>
    <t>2022-11-25 02:00 (-05)</t>
  </si>
  <si>
    <t>2022-12-19 09:22 (-05)</t>
  </si>
  <si>
    <t>09:22(-05)</t>
  </si>
  <si>
    <t>2021-08-31 06:53 (-05)</t>
  </si>
  <si>
    <t>2022-12-19 10:08 (-05)</t>
  </si>
  <si>
    <t>2022-11-15 02:00 (-05)</t>
  </si>
  <si>
    <t>2022-12-19 10:15 (-05)</t>
  </si>
  <si>
    <t>10:15(-05)</t>
  </si>
  <si>
    <t>2022-12-14 10:41 (-05)</t>
  </si>
  <si>
    <t>2022-12-19 10:32 (EST)</t>
  </si>
  <si>
    <t>10:32(EST)</t>
  </si>
  <si>
    <t>2022-12-14 07:21 (EST)</t>
  </si>
  <si>
    <t>2022-12-20 09:32 (EST)</t>
  </si>
  <si>
    <t>09:32(EST)</t>
  </si>
  <si>
    <t>30 min Focus Flow: Ankle to Knee Pose</t>
  </si>
  <si>
    <t>2022-12-15 18:47 (EST)</t>
  </si>
  <si>
    <t>2022-12-20 22:14 (EST)</t>
  </si>
  <si>
    <t>22:14(EST)</t>
  </si>
  <si>
    <t>2022-12-19 08:10 (EST)</t>
  </si>
  <si>
    <t>2022-12-21 08:54 (-05)</t>
  </si>
  <si>
    <t>08:54(-05)</t>
  </si>
  <si>
    <t>2022-12-07 06:54 (-05)</t>
  </si>
  <si>
    <t>2022-12-21 09:39 (-05)</t>
  </si>
  <si>
    <t>09:39(-05)</t>
  </si>
  <si>
    <t>2022-12-20 11:00 (-05)</t>
  </si>
  <si>
    <t>2022-12-21 09:52 (EST)</t>
  </si>
  <si>
    <t>2022-12-21 07:22 (EST)</t>
  </si>
  <si>
    <t>2022-12-21 10:09 (EST)</t>
  </si>
  <si>
    <t>10:09(EST)</t>
  </si>
  <si>
    <t>Yoga Basics</t>
  </si>
  <si>
    <t>5 min Basics: Fire Log</t>
  </si>
  <si>
    <t>2022-01-05 12:00 (EST)</t>
  </si>
  <si>
    <t>2022-12-21 23:12 (EST)</t>
  </si>
  <si>
    <t>23:12(EST)</t>
  </si>
  <si>
    <t>2022-12-21 08:08 (EST)</t>
  </si>
  <si>
    <t>2022-12-22 05:46 (EST)</t>
  </si>
  <si>
    <t>05:46(EST)</t>
  </si>
  <si>
    <t>2022-12-20 19:10 (EST)</t>
  </si>
  <si>
    <t>2022-12-22 12:23 (PST)</t>
  </si>
  <si>
    <t>2022-04-06 07:00 (PST)</t>
  </si>
  <si>
    <t>2022-12-22 21:03 (PST)</t>
  </si>
  <si>
    <t>21:03(PST)</t>
  </si>
  <si>
    <t>2022-11-08 16:11 (PST)</t>
  </si>
  <si>
    <t>2022-12-23 13:00 (PST)</t>
  </si>
  <si>
    <t>2022-12-23 07:23 (PST)</t>
  </si>
  <si>
    <t>2022-12-23 16:29 (-08)</t>
  </si>
  <si>
    <t>2021-07-08 01:54 (-08)</t>
  </si>
  <si>
    <t>2022-12-23 17:35 (-08)</t>
  </si>
  <si>
    <t>2022-12-23 07:24 (-08)</t>
  </si>
  <si>
    <t>2022-12-23 17:56 (-08)</t>
  </si>
  <si>
    <t>2022-12-20 08:00 (-08)</t>
  </si>
  <si>
    <t>2022-12-24 11:15 (-08)</t>
  </si>
  <si>
    <t>11:15(-08)</t>
  </si>
  <si>
    <t>Row Bootcamp</t>
  </si>
  <si>
    <t>45 min Bootcamp: Upper Body</t>
  </si>
  <si>
    <t>2022-12-24 12:04 (-08)</t>
  </si>
  <si>
    <t>12:04(-08)</t>
  </si>
  <si>
    <t>Alex Karwoski</t>
  </si>
  <si>
    <t>Form &amp; Drills</t>
  </si>
  <si>
    <t>10 min Form &amp; Drills Row</t>
  </si>
  <si>
    <t>2022-12-24 12:45 (PST)</t>
  </si>
  <si>
    <t>2022-12-23 09:26 (PST)</t>
  </si>
  <si>
    <t>2022-12-24 22:13 (PST)</t>
  </si>
  <si>
    <t>10 min Holiday Meditation</t>
  </si>
  <si>
    <t>2022-12-17 10:40 (PST)</t>
  </si>
  <si>
    <t>2022-12-25 22:34 (PST)</t>
  </si>
  <si>
    <t>2022-11-03 16:08 (PST)</t>
  </si>
  <si>
    <t>2022-12-26 11:01 (-08)</t>
  </si>
  <si>
    <t>11:01(-08)</t>
  </si>
  <si>
    <t>2019-05-09 01:46 (-08)</t>
  </si>
  <si>
    <t>2022-12-26 11:48 (-08)</t>
  </si>
  <si>
    <t>11:48(-08)</t>
  </si>
  <si>
    <t>2022-07-07 07:00 (-08)</t>
  </si>
  <si>
    <t>2022-12-26 12:06 (-08)</t>
  </si>
  <si>
    <t>2022-12-22 07:00 (-08)</t>
  </si>
  <si>
    <t>2022-12-26 22:58 (PST)</t>
  </si>
  <si>
    <t>2022-12-27 08:02 (PST)</t>
  </si>
  <si>
    <t>2021-09-13 07:21 (PST)</t>
  </si>
  <si>
    <t>2022-12-27 16:05 (-08)</t>
  </si>
  <si>
    <t>2022-12-27 16:53 (-08)</t>
  </si>
  <si>
    <t>Katie Wang</t>
  </si>
  <si>
    <t>5 min Cool Down Row</t>
  </si>
  <si>
    <t>2022-12-27 17:04 (-08)</t>
  </si>
  <si>
    <t>2022-05-22 07:00 (-08)</t>
  </si>
  <si>
    <t>2022-12-27 17:16 (-08)</t>
  </si>
  <si>
    <t>Pre &amp; Post-Row Stretch</t>
  </si>
  <si>
    <t>5 min Post-Row Stretch</t>
  </si>
  <si>
    <t>2022-12-19 07:00 (-08)</t>
  </si>
  <si>
    <t>2022-12-27 22:44 (PST)</t>
  </si>
  <si>
    <t>2022-12-28 08:17 (PST)</t>
  </si>
  <si>
    <t>08:17(PST)</t>
  </si>
  <si>
    <t>30 min Top 50 Outdoor Walk: #50-41</t>
  </si>
  <si>
    <t>2022-12-26 09:00 (PST)</t>
  </si>
  <si>
    <t>2022-12-28 08:48 (PST)</t>
  </si>
  <si>
    <t>08:48(PST)</t>
  </si>
  <si>
    <t>8 min 5 sec Just Walk: Outdoor</t>
  </si>
  <si>
    <t>2022-12-28 11:49 (PST)</t>
  </si>
  <si>
    <t>30 min World Mental Health Day Slow Flow</t>
  </si>
  <si>
    <t>2020-10-10 07:48 (PST)</t>
  </si>
  <si>
    <t>2022-12-28 22:54 (PST)</t>
  </si>
  <si>
    <t>2022-12-21 08:00 (PST)</t>
  </si>
  <si>
    <t>2022-12-29 08:40 (PST)</t>
  </si>
  <si>
    <t>08:40(PST)</t>
  </si>
  <si>
    <t>15 min Foam Rolling: Quads &amp; Hamstrings</t>
  </si>
  <si>
    <t>2022-12-13 07:00 (PST)</t>
  </si>
  <si>
    <t>2022-12-29 08:58 (PST)</t>
  </si>
  <si>
    <t>08:58(PST)</t>
  </si>
  <si>
    <t>2022-11-10 15:23 (PST)</t>
  </si>
  <si>
    <t>2022-12-29 10:45 (PST)</t>
  </si>
  <si>
    <t>10:45(PST)</t>
  </si>
  <si>
    <t>30 min Top 50 Outdoor Power Walk: #40-31</t>
  </si>
  <si>
    <t>2022-12-27 09:00 (PST)</t>
  </si>
  <si>
    <t>2022-12-29 11:15 (PST)</t>
  </si>
  <si>
    <t>11:15(PST)</t>
  </si>
  <si>
    <t>48 min 34 sec Just Walk: Outdoor</t>
  </si>
  <si>
    <t>2022-12-29 23:33 (PST)</t>
  </si>
  <si>
    <t>23:33(PST)</t>
  </si>
  <si>
    <t>2022-11-01 16:10 (PST)</t>
  </si>
  <si>
    <t>2022-12-30 08:57 (PST)</t>
  </si>
  <si>
    <t>30 min Top 50 Music Yoga Flow: #20-11</t>
  </si>
  <si>
    <t>2022-12-29 09:00 (PST)</t>
  </si>
  <si>
    <t>2022-12-30 11:36 (-08)</t>
  </si>
  <si>
    <t>2022-12-15 07:22 (-08)</t>
  </si>
  <si>
    <t>2022-12-30 11:48 (-08)</t>
  </si>
  <si>
    <t>2022-10-25 09:55 (-08)</t>
  </si>
  <si>
    <t>2022-12-30 12:35 (-08)</t>
  </si>
  <si>
    <t>12:35(-08)</t>
  </si>
  <si>
    <t>2021-03-30 03:53 (-08)</t>
  </si>
  <si>
    <t>2022-12-30 13:07 (-08)</t>
  </si>
  <si>
    <t>13:07(-08)</t>
  </si>
  <si>
    <t>2023-01-01 01:01 (PST)</t>
  </si>
  <si>
    <t>01:01(PST)</t>
  </si>
  <si>
    <t>10 min New Year's Day Meditation</t>
  </si>
  <si>
    <t>2022-12-31 17:00 (PST)</t>
  </si>
  <si>
    <t>2023-01-01 22:05 (PST)</t>
  </si>
  <si>
    <t>2022-11-01 09:37 (PST)</t>
  </si>
  <si>
    <t>2023-01-02 10:45 (PST)</t>
  </si>
  <si>
    <t>2022-01-09 07:50 (PST)</t>
  </si>
  <si>
    <t>2023-01-02 12:57 (-08)</t>
  </si>
  <si>
    <t>12:57(-08)</t>
  </si>
  <si>
    <t>2023-01-02 13:48 (-08)</t>
  </si>
  <si>
    <t>13:48(-08)</t>
  </si>
  <si>
    <t>20 min Daft Punk Core Strength</t>
  </si>
  <si>
    <t>2022-12-30 11:00 (-08)</t>
  </si>
  <si>
    <t>2023-01-02 22:30 (PST)</t>
  </si>
  <si>
    <t>2022-12-22 08:00 (PST)</t>
  </si>
  <si>
    <t>2023-01-03 03:45 (PST)</t>
  </si>
  <si>
    <t>2022-12-21 05:08 (PST)</t>
  </si>
  <si>
    <t>2023-01-03 07:36 (PST)</t>
  </si>
  <si>
    <t>30 min Top 50 Music Yoga Flow: #10-1</t>
  </si>
  <si>
    <t>2022-12-30 09:00 (PST)</t>
  </si>
  <si>
    <t>2023-01-03 12:19 (PST)</t>
  </si>
  <si>
    <t>30 min Top 50 Outdoor Walk + Run: #30-21</t>
  </si>
  <si>
    <t>2022-12-28 09:00 (PST)</t>
  </si>
  <si>
    <t>2023-01-03 12:49 (PST)</t>
  </si>
  <si>
    <t>3 min 35 sec Just Walk: Outdoor</t>
  </si>
  <si>
    <t>2023-01-03 16:08 (-08)</t>
  </si>
  <si>
    <t>2020-10-28 01:52 (-08)</t>
  </si>
  <si>
    <t>2023-01-03 16:54 (-08)</t>
  </si>
  <si>
    <t>16:54(-08)</t>
  </si>
  <si>
    <t>2022-12-21 08:00 (-08)</t>
  </si>
  <si>
    <t>2023-01-03 17:00 (-08)</t>
  </si>
  <si>
    <t>2023-01-03 22:06 (PST)</t>
  </si>
  <si>
    <t>2023-01-03 09:37 (PST)</t>
  </si>
  <si>
    <t>2023-01-04 07:12 (PST)</t>
  </si>
  <si>
    <t>2022-02-08 14:50 (PST)</t>
  </si>
  <si>
    <t>2023-01-04 13:37 (-08)</t>
  </si>
  <si>
    <t>13:37(-08)</t>
  </si>
  <si>
    <t>2022-10-22 03:55 (-08)</t>
  </si>
  <si>
    <t>2023-01-04 14:23 (-08)</t>
  </si>
  <si>
    <t>14:23(-08)</t>
  </si>
  <si>
    <t>5 min Whitney Houston Cool Down Ride</t>
  </si>
  <si>
    <t>2022-12-21 00:37 (-08)</t>
  </si>
  <si>
    <t>2023-01-04 14:33 (-08)</t>
  </si>
  <si>
    <t>2022-12-06 07:00 (-08)</t>
  </si>
  <si>
    <t>2023-01-04 14:44 (-08)</t>
  </si>
  <si>
    <t>14:44(-08)</t>
  </si>
  <si>
    <t>2022-12-21 07:40 (-08)</t>
  </si>
  <si>
    <t>2023-01-04 22:46 (PST)</t>
  </si>
  <si>
    <t>2023-01-04 11:08 (PST)</t>
  </si>
  <si>
    <t>2023-01-05 07:38 (PST)</t>
  </si>
  <si>
    <t>2022-01-23 07:50 (PST)</t>
  </si>
  <si>
    <t>2023-01-05 16:22 (-08)</t>
  </si>
  <si>
    <t>16:22(-08)</t>
  </si>
  <si>
    <t>2022-12-18 04:56 (-08)</t>
  </si>
  <si>
    <t>2023-01-05 17:00 (-08)</t>
  </si>
  <si>
    <t>20 min 90s Core</t>
  </si>
  <si>
    <t>2022-02-16 07:00 (-08)</t>
  </si>
  <si>
    <t>2023-01-05 22:29 (PST)</t>
  </si>
  <si>
    <t>2023-01-05 08:00 (PST)</t>
  </si>
  <si>
    <t>2023-01-06 12:33 (PST)</t>
  </si>
  <si>
    <t>12:33(PST)</t>
  </si>
  <si>
    <t>2022-11-18 08:00 (PST)</t>
  </si>
  <si>
    <t>2023-01-06 15:33 (-08)</t>
  </si>
  <si>
    <t>Music/Theme</t>
  </si>
  <si>
    <t>30 min Daft Punk Row</t>
  </si>
  <si>
    <t>2023-01-06 16:23 (PST)</t>
  </si>
  <si>
    <t>16:23(PST)</t>
  </si>
  <si>
    <t>2020-09-23 06:48 (PST)</t>
  </si>
  <si>
    <t>2023-01-06 23:01 (PST)</t>
  </si>
  <si>
    <t>2023-01-06 08:00 (PST)</t>
  </si>
  <si>
    <t>2023-01-07 21:55 (PST)</t>
  </si>
  <si>
    <t>2022-09-15 16:08 (PST)</t>
  </si>
  <si>
    <t>2023-01-07 22:43 (PST)</t>
  </si>
  <si>
    <t>2021-02-02 08:00 (PST)</t>
  </si>
  <si>
    <t>2023-01-08 11:04 (-08)</t>
  </si>
  <si>
    <t>11:04(-08)</t>
  </si>
  <si>
    <t>2023-01-08 11:38 (-08)</t>
  </si>
  <si>
    <t>11:38(-08)</t>
  </si>
  <si>
    <t>2022-11-22 07:37 (-08)</t>
  </si>
  <si>
    <t>2023-01-08 11:58 (-08)</t>
  </si>
  <si>
    <t>2022-12-20 06:34 (-08)</t>
  </si>
  <si>
    <t>2023-01-08 22:45 (PST)</t>
  </si>
  <si>
    <t>2023-01-07 05:24 (PST)</t>
  </si>
  <si>
    <t>2023-01-09 03:50 (PST)</t>
  </si>
  <si>
    <t>03:50(PST)</t>
  </si>
  <si>
    <t>2023-01-03 08:00 (PST)</t>
  </si>
  <si>
    <t>2023-01-09 10:45 (PST)</t>
  </si>
  <si>
    <t>2022-12-18 07:25 (PST)</t>
  </si>
  <si>
    <t>2023-01-09 11:59 (PST)</t>
  </si>
  <si>
    <t>2023-01-09 12:09 (PST)</t>
  </si>
  <si>
    <t>15 min House Walk</t>
  </si>
  <si>
    <t>2023-01-09 12:24 (PST)</t>
  </si>
  <si>
    <t>2022-12-09 08:00 (PST)</t>
  </si>
  <si>
    <t>2023-01-09 17:20 (-08)</t>
  </si>
  <si>
    <t>2022-12-18 11:56 (-08)</t>
  </si>
  <si>
    <t>2023-01-09 17:54 (-08)</t>
  </si>
  <si>
    <t>30 min Mariah Carey Full Body Strength</t>
  </si>
  <si>
    <t>2022-12-04 04:55 (-08)</t>
  </si>
  <si>
    <t>2023-01-09 18:26 (-08)</t>
  </si>
  <si>
    <t>18:26(-08)</t>
  </si>
  <si>
    <t>2023-01-04 07:00 (-08)</t>
  </si>
  <si>
    <t>2023-01-09 21:13 (PST)</t>
  </si>
  <si>
    <t>2023-01-09 05:07 (PST)</t>
  </si>
  <si>
    <t>2023-01-10 03:25 (PST)</t>
  </si>
  <si>
    <t>03:25(PST)</t>
  </si>
  <si>
    <t>2023-01-09 08:00 (PST)</t>
  </si>
  <si>
    <t>2023-01-10 11:09 (PST)</t>
  </si>
  <si>
    <t>2023-01-09 04:22 (PST)</t>
  </si>
  <si>
    <t>2023-01-10 19:00 (-08)</t>
  </si>
  <si>
    <t>2023-01-09 06:53 (-08)</t>
  </si>
  <si>
    <t>2023-01-10 19:48 (-08)</t>
  </si>
  <si>
    <t>19:48(-08)</t>
  </si>
  <si>
    <t>2022-12-18 09:25 (-08)</t>
  </si>
  <si>
    <t>2023-01-10 21:46 (PST)</t>
  </si>
  <si>
    <t>2023-01-10 16:00 (PST)</t>
  </si>
  <si>
    <t>2023-01-11 07:20 (PST)</t>
  </si>
  <si>
    <t>2023-01-06 07:24 (PST)</t>
  </si>
  <si>
    <t>2023-01-11 16:59 (-08)</t>
  </si>
  <si>
    <t>2022-11-25 05:00 (-08)</t>
  </si>
  <si>
    <t>2023-01-12 03:42 (PST)</t>
  </si>
  <si>
    <t>03:42(PST)</t>
  </si>
  <si>
    <t>2023-01-12 11:09 (PST)</t>
  </si>
  <si>
    <t>2021-06-03 14:52 (PST)</t>
  </si>
  <si>
    <t>2023-01-12 14:05 (PST)</t>
  </si>
  <si>
    <t>14:05(PST)</t>
  </si>
  <si>
    <t>34 min 46 sec Just Walk: Outdoor</t>
  </si>
  <si>
    <t>2023-01-13 22:58 (PST)</t>
  </si>
  <si>
    <t>2023-01-11 08:00 (PST)</t>
  </si>
  <si>
    <t>2023-01-14 12:49 (-08)</t>
  </si>
  <si>
    <t>12:49(-08)</t>
  </si>
  <si>
    <t>2022-11-14 22:55 (-08)</t>
  </si>
  <si>
    <t>2023-01-14 13:20 (-08)</t>
  </si>
  <si>
    <t>13:20(-08)</t>
  </si>
  <si>
    <t>2023-01-09 07:00 (-08)</t>
  </si>
  <si>
    <t>2023-01-14 13:32 (-08)</t>
  </si>
  <si>
    <t>13:32(-08)</t>
  </si>
  <si>
    <t>2022-11-16 07:40 (-08)</t>
  </si>
  <si>
    <t>2023-01-14 16:34 (PST)</t>
  </si>
  <si>
    <t>2021-07-31 07:49 (PST)</t>
  </si>
  <si>
    <t>2023-01-15 00:27 (PST)</t>
  </si>
  <si>
    <t>2023-01-14 06:10 (PST)</t>
  </si>
  <si>
    <t>2023-01-15 21:49 (PST)</t>
  </si>
  <si>
    <t>2023-01-16 11:33 (PST)</t>
  </si>
  <si>
    <t>2022-08-04 14:52 (PST)</t>
  </si>
  <si>
    <t>2023-01-16 22:35 (PST)</t>
  </si>
  <si>
    <t>2023-01-16 08:00 (PST)</t>
  </si>
  <si>
    <t>2023-01-17 08:17 (PST)</t>
  </si>
  <si>
    <t>2022-05-20 06:22 (PST)</t>
  </si>
  <si>
    <t>2023-01-17 13:40 (PST)</t>
  </si>
  <si>
    <t>13:40(PST)</t>
  </si>
  <si>
    <t>2022-12-16 08:00 (PST)</t>
  </si>
  <si>
    <t>2023-01-17 16:00 (-08)</t>
  </si>
  <si>
    <t>2022-12-07 03:54 (-08)</t>
  </si>
  <si>
    <t>2023-01-17 16:46 (-08)</t>
  </si>
  <si>
    <t>2023-01-17 11:40 (-08)</t>
  </si>
  <si>
    <t>2023-01-17 16:58 (-08)</t>
  </si>
  <si>
    <t>2023-01-17 06:34 (-08)</t>
  </si>
  <si>
    <t>2023-01-18 15:05 (-08)</t>
  </si>
  <si>
    <t>15:05(-08)</t>
  </si>
  <si>
    <t>2023-01-18 15:44 (-08)</t>
  </si>
  <si>
    <t>15:44(-08)</t>
  </si>
  <si>
    <t>Endurance</t>
  </si>
  <si>
    <t>30 min Endurance Row</t>
  </si>
  <si>
    <t>2023-01-18 16:38 (PST)</t>
  </si>
  <si>
    <t>2023-01-12 15:25 (PST)</t>
  </si>
  <si>
    <t>2023-01-18 17:12 (PST)</t>
  </si>
  <si>
    <t>20 min Foam Rolling: Calves &amp; Glutes</t>
  </si>
  <si>
    <t>2023-01-19 22:20 (PST)</t>
  </si>
  <si>
    <t>2023-01-19 08:00 (PST)</t>
  </si>
  <si>
    <t>2023-01-20 07:19 (PST)</t>
  </si>
  <si>
    <t>2023-01-15 09:25 (PST)</t>
  </si>
  <si>
    <t>2023-01-20 07:52 (PST)</t>
  </si>
  <si>
    <t>2023-01-20 16:59 (-08)</t>
  </si>
  <si>
    <t>2022-12-12 22:55 (-08)</t>
  </si>
  <si>
    <t>2023-01-20 17:48 (-08)</t>
  </si>
  <si>
    <t>2021-11-25 00:25 (-08)</t>
  </si>
  <si>
    <t>2023-01-20 18:09 (-08)</t>
  </si>
  <si>
    <t>2023-01-08 09:27 (-08)</t>
  </si>
  <si>
    <t>2023-01-21 02:06 (PST)</t>
  </si>
  <si>
    <t>2023-01-20 08:00 (PST)</t>
  </si>
  <si>
    <t>2023-01-21 16:15 (-08)</t>
  </si>
  <si>
    <t>16:15(-08)</t>
  </si>
  <si>
    <t>2022-11-19 04:55 (-08)</t>
  </si>
  <si>
    <t>2023-01-21 17:16 (-08)</t>
  </si>
  <si>
    <t>2022-12-26 05:00 (-08)</t>
  </si>
  <si>
    <t>2023-01-21 22:23 (PST)</t>
  </si>
  <si>
    <t>2023-01-17 08:00 (PST)</t>
  </si>
  <si>
    <t>2023-01-22 21:26 (PST)</t>
  </si>
  <si>
    <t>2023-01-18 11:07 (PST)</t>
  </si>
  <si>
    <t>2023-01-23 14:44 (PST)</t>
  </si>
  <si>
    <t>14:44(PST)</t>
  </si>
  <si>
    <t>30 min Motown Walk</t>
  </si>
  <si>
    <t>2023-01-13 01:00 (PST)</t>
  </si>
  <si>
    <t>2023-01-23 15:15 (PST)</t>
  </si>
  <si>
    <t>15:15(PST)</t>
  </si>
  <si>
    <t>4 min 51 sec Just Walk: Outdoor</t>
  </si>
  <si>
    <t>2023-01-23 16:26 (-08)</t>
  </si>
  <si>
    <t>2021-10-01 06:00 (-08)</t>
  </si>
  <si>
    <t>2023-01-23 17:03 (PST)</t>
  </si>
  <si>
    <t>17:03(PST)</t>
  </si>
  <si>
    <t>2023-01-19 07:00 (PST)</t>
  </si>
  <si>
    <t>2023-01-24 01:18 (PST)</t>
  </si>
  <si>
    <t>01:18(PST)</t>
  </si>
  <si>
    <t>2023-01-18 08:00 (PST)</t>
  </si>
  <si>
    <t>2023-01-24 07:47 (PST)</t>
  </si>
  <si>
    <t>2023-01-21 09:25 (PST)</t>
  </si>
  <si>
    <t>2023-01-24 12:41 (-08)</t>
  </si>
  <si>
    <t>12:41(-08)</t>
  </si>
  <si>
    <t>2023-01-24 13:47 (PST)</t>
  </si>
  <si>
    <t>37 min 22 sec Just Walk: Outdoor</t>
  </si>
  <si>
    <t>2023-01-24 21:18 (PST)</t>
  </si>
  <si>
    <t>21:18(PST)</t>
  </si>
  <si>
    <t>2022-11-09 08:00 (PST)</t>
  </si>
  <si>
    <t>2023-01-25 07:15 (PST)</t>
  </si>
  <si>
    <t>2023-01-25 07:36 (PST)</t>
  </si>
  <si>
    <t>2023-01-25 07:53 (PST)</t>
  </si>
  <si>
    <t>2023-01-13 05:25 (PST)</t>
  </si>
  <si>
    <t>2023-01-25 22:50 (PST)</t>
  </si>
  <si>
    <t>2023-01-23 08:00 (PST)</t>
  </si>
  <si>
    <t>2023-01-26 07:29 (PST)</t>
  </si>
  <si>
    <t>2023-01-21 05:49 (PST)</t>
  </si>
  <si>
    <t>2023-01-26 15:34 (-08)</t>
  </si>
  <si>
    <t>2023-01-26 16:21 (-08)</t>
  </si>
  <si>
    <t>2023-01-17 07:00 (-08)</t>
  </si>
  <si>
    <t>2023-01-26 16:31 (-08)</t>
  </si>
  <si>
    <t>16:31(-08)</t>
  </si>
  <si>
    <t>2022-07-15 23:30 (-08)</t>
  </si>
  <si>
    <t>2023-01-26 16:40 (-08)</t>
  </si>
  <si>
    <t>2023-01-24 06:35 (-08)</t>
  </si>
  <si>
    <t>2023-01-26 16:51 (-08)</t>
  </si>
  <si>
    <t>2023-01-07 05:09 (-08)</t>
  </si>
  <si>
    <t>2023-01-27 11:36 (-08)</t>
  </si>
  <si>
    <t>2022-10-04 09:52 (-08)</t>
  </si>
  <si>
    <t>2023-01-27 12:26 (-08)</t>
  </si>
  <si>
    <t>2022-11-30 03:55 (-08)</t>
  </si>
  <si>
    <t>2023-01-27 12:59 (-08)</t>
  </si>
  <si>
    <t>12:59(-08)</t>
  </si>
  <si>
    <t>2023-01-16 03:25 (-08)</t>
  </si>
  <si>
    <t>2023-01-27 13:13 (-08)</t>
  </si>
  <si>
    <t>13:13(-08)</t>
  </si>
  <si>
    <t>2023-01-24 08:00 (-08)</t>
  </si>
  <si>
    <t>2023-01-28 23:10 (EST)</t>
  </si>
  <si>
    <t>23:10(EST)</t>
  </si>
  <si>
    <t>2023-01-24 19:07 (EST)</t>
  </si>
  <si>
    <t>2023-01-29 03:43 (EST)</t>
  </si>
  <si>
    <t>03:43(EST)</t>
  </si>
  <si>
    <t>2023-01-28 09:00 (EST)</t>
  </si>
  <si>
    <t>2023-01-29 12:57 (-05)</t>
  </si>
  <si>
    <t>12:57(-05)</t>
  </si>
  <si>
    <t>2022-09-24 06:55 (-05)</t>
  </si>
  <si>
    <t>2023-01-29 13:57 (-05)</t>
  </si>
  <si>
    <t>13:57(-05)</t>
  </si>
  <si>
    <t>2022-08-19 07:15 (-05)</t>
  </si>
  <si>
    <t>2023-01-30 00:33 (EST)</t>
  </si>
  <si>
    <t>00:33(EST)</t>
  </si>
  <si>
    <t>2023-01-26 11:00 (EST)</t>
  </si>
  <si>
    <t>2023-01-30 23:01 (EST)</t>
  </si>
  <si>
    <t>23:01(EST)</t>
  </si>
  <si>
    <t>2023-01-23 11:00 (EST)</t>
  </si>
  <si>
    <t>2023-01-31 08:18 (-05)</t>
  </si>
  <si>
    <t>2022-11-23 06:52 (-05)</t>
  </si>
  <si>
    <t>2023-01-31 09:04 (-05)</t>
  </si>
  <si>
    <t>09:04(-05)</t>
  </si>
  <si>
    <t>2023-01-24 11:00 (-05)</t>
  </si>
  <si>
    <t>2023-01-31 09:13 (-05)</t>
  </si>
  <si>
    <t>10 min Taylor Swift Midnights Arms</t>
  </si>
  <si>
    <t>2022-11-26 00:00 (-05)</t>
  </si>
  <si>
    <t>2023-01-31 09:39 (EST)</t>
  </si>
  <si>
    <t>09:39(EST)</t>
  </si>
  <si>
    <t>2023-01-12 10:53 (EST)</t>
  </si>
  <si>
    <t>2023-01-31 09:50 (EST)</t>
  </si>
  <si>
    <t>09:50(EST)</t>
  </si>
  <si>
    <t>2023-01-16 02:00 (EST)</t>
  </si>
  <si>
    <t>2023-01-31 23:21 (EST)</t>
  </si>
  <si>
    <t>23:21(EST)</t>
  </si>
  <si>
    <t>2023-01-31 11:00 (EST)</t>
  </si>
  <si>
    <t>2023-02-01 08:47 (EST)</t>
  </si>
  <si>
    <t>08:47(EST)</t>
  </si>
  <si>
    <t>2023-01-18 13:23 (EST)</t>
  </si>
  <si>
    <t>2023-02-01 10:08 (-05)</t>
  </si>
  <si>
    <t>2022-11-20 07:55 (-05)</t>
  </si>
  <si>
    <t>2023-02-01 23:39 (EST)</t>
  </si>
  <si>
    <t>23:39(EST)</t>
  </si>
  <si>
    <t>2023-01-30 18:58 (EST)</t>
  </si>
  <si>
    <t>2023-02-02 14:08 (-05)</t>
  </si>
  <si>
    <t>14:08(-05)</t>
  </si>
  <si>
    <t>2022-11-28 14:57 (-05)</t>
  </si>
  <si>
    <t>2023-02-02 14:54 (-05)</t>
  </si>
  <si>
    <t>14:54(-05)</t>
  </si>
  <si>
    <t>2023-02-01 09:18 (-05)</t>
  </si>
  <si>
    <t>2023-02-02 15:03 (-05)</t>
  </si>
  <si>
    <t>15:03(-05)</t>
  </si>
  <si>
    <t>2022-09-13 08:33 (-05)</t>
  </si>
  <si>
    <t>2023-02-02 15:14 (-05)</t>
  </si>
  <si>
    <t>15:14(-05)</t>
  </si>
  <si>
    <t>2022-07-19 09:00 (-05)</t>
  </si>
  <si>
    <t>2023-02-02 15:26 (-05)</t>
  </si>
  <si>
    <t>15:26(-05)</t>
  </si>
  <si>
    <t>2023-01-19 18:59 (-05)</t>
  </si>
  <si>
    <t>2023-02-02 23:12 (EST)</t>
  </si>
  <si>
    <t>2023-02-02 11:00 (EST)</t>
  </si>
  <si>
    <t>2023-02-03 11:25 (-05)</t>
  </si>
  <si>
    <t>2022-03-30 08:52 (-05)</t>
  </si>
  <si>
    <t>2023-02-03 11:56 (-05)</t>
  </si>
  <si>
    <t>11:56(-05)</t>
  </si>
  <si>
    <t>15 min Taroko Gorge Ride</t>
  </si>
  <si>
    <t>2023-02-03 12:14 (-05)</t>
  </si>
  <si>
    <t>12:14(-05)</t>
  </si>
  <si>
    <t>2022-02-04 08:22 (-05)</t>
  </si>
  <si>
    <t>2023-02-03 12:46 (-05)</t>
  </si>
  <si>
    <t>12:46(-05)</t>
  </si>
  <si>
    <t>2023-02-01 13:56 (-05)</t>
  </si>
  <si>
    <t>2023-02-04 00:01 (EST)</t>
  </si>
  <si>
    <t>00:01(EST)</t>
  </si>
  <si>
    <t>2023-02-03 13:02 (EST)</t>
  </si>
  <si>
    <t>2023-02-05 13:20 (-05)</t>
  </si>
  <si>
    <t>13:20(-05)</t>
  </si>
  <si>
    <t>2022-11-05 06:26 (-05)</t>
  </si>
  <si>
    <t>2023-02-05 14:36 (-05)</t>
  </si>
  <si>
    <t>14:36(-05)</t>
  </si>
  <si>
    <t>2023-02-06 10:00 (-05)</t>
  </si>
  <si>
    <t>10:00(-05)</t>
  </si>
  <si>
    <t>2022-10-23 07:09 (-05)</t>
  </si>
  <si>
    <t>2023-02-06 10:34 (-05)</t>
  </si>
  <si>
    <t>10:34(-05)</t>
  </si>
  <si>
    <t>2021-02-25 10:00 (-05)</t>
  </si>
  <si>
    <t>2023-02-06 23:31 (EST)</t>
  </si>
  <si>
    <t>23:31(EST)</t>
  </si>
  <si>
    <t>2023-01-31 12:27 (EST)</t>
  </si>
  <si>
    <t>2023-02-07 09:29 (-05)</t>
  </si>
  <si>
    <t>2022-11-09 06:53 (-05)</t>
  </si>
  <si>
    <t>2023-02-07 10:16 (-05)</t>
  </si>
  <si>
    <t>10:16(-05)</t>
  </si>
  <si>
    <t>2023-02-06 11:00 (-05)</t>
  </si>
  <si>
    <t>2023-02-07 10:31 (-05)</t>
  </si>
  <si>
    <t>10:31(-05)</t>
  </si>
  <si>
    <t>2023-01-22 12:27 (-05)</t>
  </si>
  <si>
    <t>2023-02-07 10:53 (-05)</t>
  </si>
  <si>
    <t>10:53(-05)</t>
  </si>
  <si>
    <t>30 min 2010s Yoga Flow</t>
  </si>
  <si>
    <t>2023-01-20 12:25 (-05)</t>
  </si>
  <si>
    <t>2023-02-07 22:56 (EST)</t>
  </si>
  <si>
    <t>22:56(EST)</t>
  </si>
  <si>
    <t>2023-02-07 12:26 (EST)</t>
  </si>
  <si>
    <t>2023-02-08 01:55 (EST)</t>
  </si>
  <si>
    <t>01:55(EST)</t>
  </si>
  <si>
    <t>2023-02-08 10:07 (-05)</t>
  </si>
  <si>
    <t>10:07(-05)</t>
  </si>
  <si>
    <t>Erik Jager</t>
  </si>
  <si>
    <t>2022-11-12 10:25 (-05)</t>
  </si>
  <si>
    <t>2023-02-08 10:38 (-05)</t>
  </si>
  <si>
    <t>10:38(-05)</t>
  </si>
  <si>
    <t>2022-06-26 10:00 (-05)</t>
  </si>
  <si>
    <t>2023-02-08 10:47 (-05)</t>
  </si>
  <si>
    <t>10:47(-05)</t>
  </si>
  <si>
    <t>30 min Top 50 Music Full Body: #10-1</t>
  </si>
  <si>
    <t>2022-12-30 12:00 (-05)</t>
  </si>
  <si>
    <t>2023-02-08 22:59 (EST)</t>
  </si>
  <si>
    <t>22:59(EST)</t>
  </si>
  <si>
    <t>2023-02-08 14:07 (EST)</t>
  </si>
  <si>
    <t>2023-02-09 22:19 (PST)</t>
  </si>
  <si>
    <t>2023-02-09 08:00 (PST)</t>
  </si>
  <si>
    <t>2023-02-10 11:21 (PST)</t>
  </si>
  <si>
    <t>39 min 51 sec Just Walk: Outdoor</t>
  </si>
  <si>
    <t>2023-02-10 12:35 (PST)</t>
  </si>
  <si>
    <t>30 min Classic Rock Yoga Flow</t>
  </si>
  <si>
    <t>2023-01-07 09:25 (PST)</t>
  </si>
  <si>
    <t>2023-02-10 13:09 (PST)</t>
  </si>
  <si>
    <t>2023-01-27 06:00 (PST)</t>
  </si>
  <si>
    <t>2023-02-10 17:48 (-08)</t>
  </si>
  <si>
    <t>2022-11-28 06:52 (-08)</t>
  </si>
  <si>
    <t>2023-02-10 18:33 (-08)</t>
  </si>
  <si>
    <t>18:33(-08)</t>
  </si>
  <si>
    <t>2023-02-09 08:00 (-08)</t>
  </si>
  <si>
    <t>2023-02-10 18:39 (-08)</t>
  </si>
  <si>
    <t>2023-02-11 01:10 (PST)</t>
  </si>
  <si>
    <t>01:10(PST)</t>
  </si>
  <si>
    <t>2023-01-31 08:00 (PST)</t>
  </si>
  <si>
    <t>2023-02-11 22:43 (PST)</t>
  </si>
  <si>
    <t>2023-02-12 09:46 (PST)</t>
  </si>
  <si>
    <t>45 min Morning Yoga Flow</t>
  </si>
  <si>
    <t>2022-09-12 13:00 (PST)</t>
  </si>
  <si>
    <t>2023-02-12 12:06 (-08)</t>
  </si>
  <si>
    <t>2023-02-12 13:11 (-08)</t>
  </si>
  <si>
    <t>13:11(-08)</t>
  </si>
  <si>
    <t>2023-01-15 23:00 (-08)</t>
  </si>
  <si>
    <t>2023-02-12 17:00 (PST)</t>
  </si>
  <si>
    <t>17:00(PST)</t>
  </si>
  <si>
    <t>38 min 54 sec Just Walk: Outdoor</t>
  </si>
  <si>
    <t>2023-02-12 22:04 (PST)</t>
  </si>
  <si>
    <t>2023-02-01 08:00 (PST)</t>
  </si>
  <si>
    <t>2023-02-13 15:39 (PST)</t>
  </si>
  <si>
    <t>15:39(PST)</t>
  </si>
  <si>
    <t>2023-02-13 22:15 (PST)</t>
  </si>
  <si>
    <t>2023-02-13 16:08 (PST)</t>
  </si>
  <si>
    <t>2023-02-13 22:25 (PST)</t>
  </si>
  <si>
    <t>2023-02-13 08:00 (PST)</t>
  </si>
  <si>
    <t>2023-02-14 12:16 (-08)</t>
  </si>
  <si>
    <t>2023-02-14 13:04 (-08)</t>
  </si>
  <si>
    <t>13:04(-08)</t>
  </si>
  <si>
    <t>2023-01-04 07:39 (-08)</t>
  </si>
  <si>
    <t>2023-02-14 13:25 (-08)</t>
  </si>
  <si>
    <t>13:25(-08)</t>
  </si>
  <si>
    <t>2023-02-07 07:00 (-08)</t>
  </si>
  <si>
    <t>2023-02-14 13:47 (-08)</t>
  </si>
  <si>
    <t>13:47(-08)</t>
  </si>
  <si>
    <t>2023-02-08 04:22 (-08)</t>
  </si>
  <si>
    <t>2023-02-15 08:19 (PST)</t>
  </si>
  <si>
    <t>08:19(PST)</t>
  </si>
  <si>
    <t>2022-10-09 07:24 (PST)</t>
  </si>
  <si>
    <t>2023-02-15 12:02 (PST)</t>
  </si>
  <si>
    <t>39 min 13 sec Just Walk: Outdoor</t>
  </si>
  <si>
    <t>2023-02-15 22:54 (PST)</t>
  </si>
  <si>
    <t>2023-02-14 16:08 (PST)</t>
  </si>
  <si>
    <t>2023-02-16 10:37 (PST)</t>
  </si>
  <si>
    <t>2023-01-23 04:24 (PST)</t>
  </si>
  <si>
    <t>2023-02-16 17:18 (PST)</t>
  </si>
  <si>
    <t>17:18(PST)</t>
  </si>
  <si>
    <t>37 min 36 sec Just Walk: Outdoor</t>
  </si>
  <si>
    <t>2023-02-17 15:41 (-08)</t>
  </si>
  <si>
    <t>2022-11-22 10:55 (-08)</t>
  </si>
  <si>
    <t>2023-02-17 16:28 (-08)</t>
  </si>
  <si>
    <t>2023-02-14 23:00 (-08)</t>
  </si>
  <si>
    <t>2023-02-17 22:51 (PST)</t>
  </si>
  <si>
    <t>2023-02-06 08:00 (PST)</t>
  </si>
  <si>
    <t>2023-02-18 21:09 (PST)</t>
  </si>
  <si>
    <t>21:09(PST)</t>
  </si>
  <si>
    <t>2023-02-18 06:10 (PST)</t>
  </si>
  <si>
    <t>2023-02-19 11:05 (PST)</t>
  </si>
  <si>
    <t>11:05(PST)</t>
  </si>
  <si>
    <t>40 min 3 sec Just Walk: Outdoor</t>
  </si>
  <si>
    <t>2023-02-19 14:08 (-08)</t>
  </si>
  <si>
    <t>14:08(-08)</t>
  </si>
  <si>
    <t>2023-02-19 14:42 (-08)</t>
  </si>
  <si>
    <t>14:42(-08)</t>
  </si>
  <si>
    <t>2023-01-31 16:39 (-08)</t>
  </si>
  <si>
    <t>2023-02-19 15:19 (PST)</t>
  </si>
  <si>
    <t>15:19(PST)</t>
  </si>
  <si>
    <t>30 min Kenny Chesney Yoga Flow</t>
  </si>
  <si>
    <t>2022-09-28 15:25 (PST)</t>
  </si>
  <si>
    <t>2023-02-19 21:51 (PST)</t>
  </si>
  <si>
    <t>2023-01-30 08:00 (PST)</t>
  </si>
  <si>
    <t>2023-02-20 11:42 (-08)</t>
  </si>
  <si>
    <t>11:42(-08)</t>
  </si>
  <si>
    <t>2019-11-16 09:35 (-08)</t>
  </si>
  <si>
    <t>2023-02-20 12:43 (-08)</t>
  </si>
  <si>
    <t>12:43(-08)</t>
  </si>
  <si>
    <t>2023-02-20 12:49 (-08)</t>
  </si>
  <si>
    <t>2023-02-20 22:21 (PST)</t>
  </si>
  <si>
    <t>2023-02-20 08:00 (PST)</t>
  </si>
  <si>
    <t>2023-02-21 14:09 (-08)</t>
  </si>
  <si>
    <t xml:space="preserve">Music/Theme </t>
  </si>
  <si>
    <t>2023-02-21 14:57 (-08)</t>
  </si>
  <si>
    <t>14:57(-08)</t>
  </si>
  <si>
    <t>2023-02-17 14:00 (-08)</t>
  </si>
  <si>
    <t>2023-02-21 15:06 (-08)</t>
  </si>
  <si>
    <t>15:06(-08)</t>
  </si>
  <si>
    <t>2023-02-21 07:00 (-08)</t>
  </si>
  <si>
    <t>2023-02-21 15:17 (-08)</t>
  </si>
  <si>
    <t>2023-02-15 15:34 (-08)</t>
  </si>
  <si>
    <t>2023-02-21 16:36 (PST)</t>
  </si>
  <si>
    <t>16:36(PST)</t>
  </si>
  <si>
    <t>2023-02-03 11:25 (PST)</t>
  </si>
  <si>
    <t>2023-02-21 22:48 (PST)</t>
  </si>
  <si>
    <t>5 min Witness Meditation</t>
  </si>
  <si>
    <t>2023-02-21 08:00 (PST)</t>
  </si>
  <si>
    <t>2023-02-22 12:27 (PST)</t>
  </si>
  <si>
    <t>2023-02-11 05:25 (PST)</t>
  </si>
  <si>
    <t>2023-02-23 22:32 (PST)</t>
  </si>
  <si>
    <t>2023-02-22 08:00 (PST)</t>
  </si>
  <si>
    <t>2023-02-24 17:28 (-08)</t>
  </si>
  <si>
    <t>17:28(-08)</t>
  </si>
  <si>
    <t>2020-01-23 02:47 (-08)</t>
  </si>
  <si>
    <t>2023-02-24 21:28 (PST)</t>
  </si>
  <si>
    <t>2023-02-23 08:00 (PST)</t>
  </si>
  <si>
    <t>2023-02-25 08:00 (-08)</t>
  </si>
  <si>
    <t>08:00(-08)</t>
  </si>
  <si>
    <t>2022-04-27 12:52 (-08)</t>
  </si>
  <si>
    <t>2023-02-25 08:31 (-08)</t>
  </si>
  <si>
    <t>08:31(-08)</t>
  </si>
  <si>
    <t>2019-10-03 03:49 (-08)</t>
  </si>
  <si>
    <t>2023-02-25 09:18 (-08)</t>
  </si>
  <si>
    <t>2023-02-21 01:00 (-08)</t>
  </si>
  <si>
    <t>2023-02-25 09:53 (PST)</t>
  </si>
  <si>
    <t>2023-02-22 07:00 (PST)</t>
  </si>
  <si>
    <t>2023-02-25 10:05 (PST)</t>
  </si>
  <si>
    <t>10:05(PST)</t>
  </si>
  <si>
    <t>2022-10-17 13:00 (PST)</t>
  </si>
  <si>
    <t>2023-02-26 18:48 (-08)</t>
  </si>
  <si>
    <t>2019-05-02 03:49 (-08)</t>
  </si>
  <si>
    <t>2023-02-26 19:38 (-08)</t>
  </si>
  <si>
    <t>2023-02-26 22:19 (PST)</t>
  </si>
  <si>
    <t>10 min Valentine's Day Meditation</t>
  </si>
  <si>
    <t>2023-02-14 05:10 (PST)</t>
  </si>
  <si>
    <t>2023-02-27 12:53 (PST)</t>
  </si>
  <si>
    <t>12:53(PST)</t>
  </si>
  <si>
    <t>39 min 50 sec Just Walk: Outdoor</t>
  </si>
  <si>
    <t>2023-02-27 13:53 (-08)</t>
  </si>
  <si>
    <t>13:53(-08)</t>
  </si>
  <si>
    <t>2023-02-01 04:23 (-08)</t>
  </si>
  <si>
    <t>2023-02-27 14:05 (-08)</t>
  </si>
  <si>
    <t>14:05(-08)</t>
  </si>
  <si>
    <t>2023-01-21 04:53 (-08)</t>
  </si>
  <si>
    <t>2023-02-27 15:07 (-08)</t>
  </si>
  <si>
    <t>15:07(-08)</t>
  </si>
  <si>
    <t>2023-02-24 08:00 (-08)</t>
  </si>
  <si>
    <t>2023-02-27 23:02 (PST)</t>
  </si>
  <si>
    <t>2023-02-27 16:08 (PST)</t>
  </si>
  <si>
    <t>2023-02-28 11:56 (PST)</t>
  </si>
  <si>
    <t>2023-01-20 11:25 (PST)</t>
  </si>
  <si>
    <t>2023-02-28 22:24 (PST)</t>
  </si>
  <si>
    <t>2023-02-28 15:58 (PST)</t>
  </si>
  <si>
    <t>2023-03-01 11:39 (PST)</t>
  </si>
  <si>
    <t>11:39(PST)</t>
  </si>
  <si>
    <t>39 min 16 sec Just Walk: Outdoor</t>
  </si>
  <si>
    <t>2023-03-01 14:53 (-08)</t>
  </si>
  <si>
    <t>14:53(-08)</t>
  </si>
  <si>
    <t>2019-07-20 06:00 (-08)</t>
  </si>
  <si>
    <t>2023-03-01 15:39 (-08)</t>
  </si>
  <si>
    <t>15:39(-08)</t>
  </si>
  <si>
    <t>2023-02-27 07:00 (-08)</t>
  </si>
  <si>
    <t>2023-03-01 15:52 (-08)</t>
  </si>
  <si>
    <t>15:52(-08)</t>
  </si>
  <si>
    <t>2023-02-27 23:32 (-08)</t>
  </si>
  <si>
    <t>2023-03-01 16:06 (-08)</t>
  </si>
  <si>
    <t>5 min Intro to Program</t>
  </si>
  <si>
    <t>2023-03-01 16:13 (-08)</t>
  </si>
  <si>
    <t>2023-03-01 16:34 (PST)</t>
  </si>
  <si>
    <t>2023-02-27 06:30 (PST)</t>
  </si>
  <si>
    <t>2023-03-01 22:50 (PST)</t>
  </si>
  <si>
    <t>2023-03-02 09:10 (PST)</t>
  </si>
  <si>
    <t>09:10(PST)</t>
  </si>
  <si>
    <t>30 min Focus Flow: For Riders</t>
  </si>
  <si>
    <t>2023-02-28 04:25 (PST)</t>
  </si>
  <si>
    <t>2023-03-02 09:45 (PST)</t>
  </si>
  <si>
    <t>2023-01-09 07:00 (PST)</t>
  </si>
  <si>
    <t>2023-03-02 15:34 (-08)</t>
  </si>
  <si>
    <t>20 min Recovery Row</t>
  </si>
  <si>
    <t>2023-03-02 16:52 (-08)</t>
  </si>
  <si>
    <t>16:52(-08)</t>
  </si>
  <si>
    <t>2023-02-10 09:25 (-08)</t>
  </si>
  <si>
    <t>2023-03-02 23:16 (PST)</t>
  </si>
  <si>
    <t>15 min Witness Meditation</t>
  </si>
  <si>
    <t>2023-03-01 11:08 (PST)</t>
  </si>
  <si>
    <t>2023-03-03 13:16 (-08)</t>
  </si>
  <si>
    <t>13:16(-08)</t>
  </si>
  <si>
    <t>2023-03-03 13:25 (-08)</t>
  </si>
  <si>
    <t>2022-10-31 20:30 (-08)</t>
  </si>
  <si>
    <t>2023-03-03 14:12 (-08)</t>
  </si>
  <si>
    <t>14:12(-08)</t>
  </si>
  <si>
    <t>2023-03-03 14:24 (-08)</t>
  </si>
  <si>
    <t>14:24(-08)</t>
  </si>
  <si>
    <t>2023-03-02 09:37 (-08)</t>
  </si>
  <si>
    <t>2023-03-03 14:37 (-08)</t>
  </si>
  <si>
    <t>14:37(-08)</t>
  </si>
  <si>
    <t>2022-10-23 06:25 (-08)</t>
  </si>
  <si>
    <t>2023-03-03 22:51 (PST)</t>
  </si>
  <si>
    <t>2023-03-03 08:00 (PST)</t>
  </si>
  <si>
    <t>2023-03-04 15:49 (-08)</t>
  </si>
  <si>
    <t>10 min Benchmark Test</t>
  </si>
  <si>
    <t>2023-03-04 16:01 (-08)</t>
  </si>
  <si>
    <t>16:01(-08)</t>
  </si>
  <si>
    <t>2023-02-16 02:52 (-08)</t>
  </si>
  <si>
    <t>2023-03-04 16:46 (PST)</t>
  </si>
  <si>
    <t>2023-02-17 08:54 (PST)</t>
  </si>
  <si>
    <t>2023-03-04 23:04 (PST)</t>
  </si>
  <si>
    <t>2023-03-04 06:00 (PST)</t>
  </si>
  <si>
    <t>2023-03-05 22:31 (PST)</t>
  </si>
  <si>
    <t>2023-03-05 10:11 (PST)</t>
  </si>
  <si>
    <t>2023-03-06 10:25 (-08)</t>
  </si>
  <si>
    <t>10:25(-08)</t>
  </si>
  <si>
    <t>2023-03-06 10:43 (-08)</t>
  </si>
  <si>
    <t>10:43(-08)</t>
  </si>
  <si>
    <t>2020-10-29 07:25 (-08)</t>
  </si>
  <si>
    <t>2023-03-06 11:30 (-08)</t>
  </si>
  <si>
    <t>11:30(-08)</t>
  </si>
  <si>
    <t>2023-02-23 02:30 (-08)</t>
  </si>
  <si>
    <t>2023-03-06 22:22 (PST)</t>
  </si>
  <si>
    <t>2023-03-02 08:00 (PST)</t>
  </si>
  <si>
    <t>2023-03-07 07:56 (PST)</t>
  </si>
  <si>
    <t>2023-03-04 07:25 (PST)</t>
  </si>
  <si>
    <t>2023-03-07 10:42 (PST)</t>
  </si>
  <si>
    <t>10:42(PST)</t>
  </si>
  <si>
    <t>41 min 51 sec Just Walk: Outdoor</t>
  </si>
  <si>
    <t>2023-03-07 13:03 (-08)</t>
  </si>
  <si>
    <t>2023-03-07 13:15 (-08)</t>
  </si>
  <si>
    <t>13:15(-08)</t>
  </si>
  <si>
    <t>2022-12-17 04:24 (-08)</t>
  </si>
  <si>
    <t>2023-03-07 14:47 (-08)</t>
  </si>
  <si>
    <t>14:47(-08)</t>
  </si>
  <si>
    <t>2023-02-26 23:00 (-08)</t>
  </si>
  <si>
    <t>2023-03-07 22:32 (PST)</t>
  </si>
  <si>
    <t>2023-03-01 08:00 (PST)</t>
  </si>
  <si>
    <t>2023-03-08 16:28 (-08)</t>
  </si>
  <si>
    <t>2023-03-08 16:39 (-08)</t>
  </si>
  <si>
    <t>16:39(-08)</t>
  </si>
  <si>
    <t>2023-03-08 16:49 (-08)</t>
  </si>
  <si>
    <t>2023-01-23 07:00 (-08)</t>
  </si>
  <si>
    <t>2023-03-08 23:29 (PST)</t>
  </si>
  <si>
    <t>23:29(PST)</t>
  </si>
  <si>
    <t>2023-03-06 08:00 (PST)</t>
  </si>
  <si>
    <t>2023-03-09 11:33 (PST)</t>
  </si>
  <si>
    <t>45 min Grounded Yoga Flow</t>
  </si>
  <si>
    <t>2023-02-28 08:54 (PST)</t>
  </si>
  <si>
    <t>2023-03-09 16:36 (-08)</t>
  </si>
  <si>
    <t>16:36(-08)</t>
  </si>
  <si>
    <t>2023-03-09 16:49 (-08)</t>
  </si>
  <si>
    <t>2022-04-24 09:23 (-08)</t>
  </si>
  <si>
    <t>2023-03-09 17:38 (-08)</t>
  </si>
  <si>
    <t>2022-11-09 09:38 (-08)</t>
  </si>
  <si>
    <t>2023-03-09 17:48 (-08)</t>
  </si>
  <si>
    <t>2023-03-10 10:40 (PST)</t>
  </si>
  <si>
    <t>10:40(PST)</t>
  </si>
  <si>
    <t>2023-02-26 07:26 (PST)</t>
  </si>
  <si>
    <t>2023-03-10 11:46 (-08)</t>
  </si>
  <si>
    <t>11:46(-08)</t>
  </si>
  <si>
    <t>2023-03-10 23:56 (PST)</t>
  </si>
  <si>
    <t>2023-03-09 08:00 (PST)</t>
  </si>
  <si>
    <t>2023-03-12 22:51 (PST)</t>
  </si>
  <si>
    <t>2023-03-08 10:59 (PST)</t>
  </si>
  <si>
    <t>2023-03-13 07:20 (PST)</t>
  </si>
  <si>
    <t>30 min Focus Flow: Shoulders</t>
  </si>
  <si>
    <t>2022-11-07 04:22 (PST)</t>
  </si>
  <si>
    <t>2023-03-13 15:34 (-07)</t>
  </si>
  <si>
    <t>2023-01-09 08:00 (-07)</t>
  </si>
  <si>
    <t>2023-03-13 15:58 (-07)</t>
  </si>
  <si>
    <t>2022-12-21 04:54 (-07)</t>
  </si>
  <si>
    <t>2023-03-13 16:43 (-07)</t>
  </si>
  <si>
    <t>2023-01-08 21:00 (-07)</t>
  </si>
  <si>
    <t>2023-03-13 17:15 (-07)</t>
  </si>
  <si>
    <t>2023-03-09 02:00 (-07)</t>
  </si>
  <si>
    <t>2023-03-13 23:05 (PST)</t>
  </si>
  <si>
    <t>2023-03-13 07:00 (PST)</t>
  </si>
  <si>
    <t>2023-03-14 16:21 (-07)</t>
  </si>
  <si>
    <t>2023-03-14 16:36 (-07)</t>
  </si>
  <si>
    <t>2021-09-25 04:53 (-07)</t>
  </si>
  <si>
    <t>2023-03-14 17:38 (-07)</t>
  </si>
  <si>
    <t>10 min Arms &amp; Lights Weights</t>
  </si>
  <si>
    <t>2023-03-07 04:37 (-07)</t>
  </si>
  <si>
    <t>2023-03-14 17:49 (-07)</t>
  </si>
  <si>
    <t>2023-02-09 09:00 (-07)</t>
  </si>
  <si>
    <t>2023-03-14 23:05 (PST)</t>
  </si>
  <si>
    <t>2023-03-14 16:10 (PST)</t>
  </si>
  <si>
    <t>2023-03-15 13:07 (PST)</t>
  </si>
  <si>
    <t>13:07(PST)</t>
  </si>
  <si>
    <t>2023-03-07 04:24 (PST)</t>
  </si>
  <si>
    <t>2023-03-15 14:09 (PST)</t>
  </si>
  <si>
    <t>41 min 36 sec Just Walk: Outdoor</t>
  </si>
  <si>
    <t>2023-03-16 07:55 (PST)</t>
  </si>
  <si>
    <t>2023-03-03 14:25 (PST)</t>
  </si>
  <si>
    <t>2023-03-16 12:03 (PST)</t>
  </si>
  <si>
    <t>12:03(PST)</t>
  </si>
  <si>
    <t>40 min 13 sec Just Walk: Outdoor</t>
  </si>
  <si>
    <t>2023-03-16 14:03 (-07)</t>
  </si>
  <si>
    <t>14:03(-07)</t>
  </si>
  <si>
    <t>2023-03-01 00:00 (-07)</t>
  </si>
  <si>
    <t>2023-03-16 14:15 (-07)</t>
  </si>
  <si>
    <t>14:15(-07)</t>
  </si>
  <si>
    <t>2023-03-16 14:36 (-07)</t>
  </si>
  <si>
    <t>14:36(-07)</t>
  </si>
  <si>
    <t>5 min Uetliberg Mountain Ride</t>
  </si>
  <si>
    <t>2023-03-16 14:48 (-07)</t>
  </si>
  <si>
    <t>14:48(-07)</t>
  </si>
  <si>
    <t>15 min Standing Core Strength</t>
  </si>
  <si>
    <t>2023-03-16 15:04 (-07)</t>
  </si>
  <si>
    <t>15:04(-07)</t>
  </si>
  <si>
    <t>2023-03-16 22:00 (PST)</t>
  </si>
  <si>
    <t>2023-03-16 08:00 (PST)</t>
  </si>
  <si>
    <t>2023-03-17 12:35 (-07)</t>
  </si>
  <si>
    <t>2023-03-17 12:49 (-07)</t>
  </si>
  <si>
    <t>2023-03-02 03:53 (-07)</t>
  </si>
  <si>
    <t>2023-03-17 13:21 (-07)</t>
  </si>
  <si>
    <t>13:21(-07)</t>
  </si>
  <si>
    <t>2023-03-06 10:26 (-07)</t>
  </si>
  <si>
    <t>2023-03-17 23:29 (PST)</t>
  </si>
  <si>
    <t>2023-03-14 05:08 (PST)</t>
  </si>
  <si>
    <t>2023-03-19 14:53 (-07)</t>
  </si>
  <si>
    <t>2023-03-19 15:06 (-07)</t>
  </si>
  <si>
    <t>2023-03-07 07:22 (-07)</t>
  </si>
  <si>
    <t>2023-03-19 15:34 (-07)</t>
  </si>
  <si>
    <t>2023-01-16 21:00 (-07)</t>
  </si>
  <si>
    <t>2023-03-19 16:05 (-07)</t>
  </si>
  <si>
    <t>2023-03-17 08:00 (-07)</t>
  </si>
  <si>
    <t>2023-03-19 16:11 (-07)</t>
  </si>
  <si>
    <t>2023-03-17 00:00 (-07)</t>
  </si>
  <si>
    <t>2023-03-19 22:06 (PST)</t>
  </si>
  <si>
    <t>2023-03-21 12:41 (-04)</t>
  </si>
  <si>
    <t>12:41(-04)</t>
  </si>
  <si>
    <t>2021-10-06 05:51 (-04)</t>
  </si>
  <si>
    <t>2023-03-21 13:13 (-04)</t>
  </si>
  <si>
    <t>13:13(-04)</t>
  </si>
  <si>
    <t>2023-03-20 10:00 (-04)</t>
  </si>
  <si>
    <t>2023-03-21 13:24 (-04)</t>
  </si>
  <si>
    <t>13:24(-04)</t>
  </si>
  <si>
    <t>2023-03-15 11:00 (-04)</t>
  </si>
  <si>
    <t>2023-03-21 13:33 (-04)</t>
  </si>
  <si>
    <t>13:33(-04)</t>
  </si>
  <si>
    <t>2023-01-09 11:00 (-04)</t>
  </si>
  <si>
    <t>2023-03-21 14:07 (-04)</t>
  </si>
  <si>
    <t>14:07(-04)</t>
  </si>
  <si>
    <t>10 min Focus Flow: Pyramid</t>
  </si>
  <si>
    <t>2022-02-25 11:00 (-04)</t>
  </si>
  <si>
    <t>2023-03-21 23:08 (EST)</t>
  </si>
  <si>
    <t>23:08(EST)</t>
  </si>
  <si>
    <t>2023-03-17 11:00 (EST)</t>
  </si>
  <si>
    <t>2023-03-22 06:56 (EST)</t>
  </si>
  <si>
    <t>06:56(EST)</t>
  </si>
  <si>
    <t>2023-03-21 11:00 (EST)</t>
  </si>
  <si>
    <t>2023-03-23 16:42 (-04)</t>
  </si>
  <si>
    <t>16:42(-04)</t>
  </si>
  <si>
    <t>2019-09-19 07:50 (-04)</t>
  </si>
  <si>
    <t>2023-03-23 17:36 (-04)</t>
  </si>
  <si>
    <t>17:36(-04)</t>
  </si>
  <si>
    <t>2023-03-23 17:54 (-04)</t>
  </si>
  <si>
    <t>17:54(-04)</t>
  </si>
  <si>
    <t>2023-03-21 19:38 (-04)</t>
  </si>
  <si>
    <t>2023-03-23 23:47 (EST)</t>
  </si>
  <si>
    <t>23:47(EST)</t>
  </si>
  <si>
    <t>2023-03-22 14:07 (EST)</t>
  </si>
  <si>
    <t>2023-03-24 03:22 (EST)</t>
  </si>
  <si>
    <t>03:22(EST)</t>
  </si>
  <si>
    <t>2023-03-20 19:06 (EST)</t>
  </si>
  <si>
    <t>2023-03-24 17:00 (EST)</t>
  </si>
  <si>
    <t>17:00(EST)</t>
  </si>
  <si>
    <t>2023-03-15 11:00 (EST)</t>
  </si>
  <si>
    <t>2023-03-24 23:45 (EST)</t>
  </si>
  <si>
    <t>23:45(EST)</t>
  </si>
  <si>
    <t>2023-03-20 11:00 (EST)</t>
  </si>
  <si>
    <t>2023-03-25 12:02 (-04)</t>
  </si>
  <si>
    <t>12:02(-04)</t>
  </si>
  <si>
    <t>30 min Climb Ride</t>
  </si>
  <si>
    <t>2023-02-16 06:54 (-04)</t>
  </si>
  <si>
    <t>2023-03-25 12:35 (-04)</t>
  </si>
  <si>
    <t>12:35(-04)</t>
  </si>
  <si>
    <t>2023-03-14 18:10 (-04)</t>
  </si>
  <si>
    <t>2023-03-25 12:55 (-04)</t>
  </si>
  <si>
    <t>12:55(-04)</t>
  </si>
  <si>
    <t>30 min Balanced Yoga Flow</t>
  </si>
  <si>
    <t>2023-03-17 11:55 (-04)</t>
  </si>
  <si>
    <t>2023-03-25 16:34 (EST)</t>
  </si>
  <si>
    <t>16:34(EST)</t>
  </si>
  <si>
    <t>2023-02-15 11:00 (EST)</t>
  </si>
  <si>
    <t>2023-03-27 06:08 (EST)</t>
  </si>
  <si>
    <t>06:08(EST)</t>
  </si>
  <si>
    <t>2023-03-22 11:00 (EST)</t>
  </si>
  <si>
    <t>2023-03-27 19:53 (PST)</t>
  </si>
  <si>
    <t>2023-03-07 08:00 (PST)</t>
  </si>
  <si>
    <t>2023-03-28 10:51 (PST)</t>
  </si>
  <si>
    <t>30 min H.E.R. Slow Flow</t>
  </si>
  <si>
    <t>2023-03-16 15:25 (PST)</t>
  </si>
  <si>
    <t>2023-03-28 14:37 (-07)</t>
  </si>
  <si>
    <t>2023-03-22 04:23 (-07)</t>
  </si>
  <si>
    <t>2023-03-28 14:50 (-07)</t>
  </si>
  <si>
    <t>14:50(-07)</t>
  </si>
  <si>
    <t>2023-03-28 15:42 (-07)</t>
  </si>
  <si>
    <t>15:42(-07)</t>
  </si>
  <si>
    <t>2023-03-22 08:00 (-07)</t>
  </si>
  <si>
    <t>2023-03-28 16:23 (PST)</t>
  </si>
  <si>
    <t>34 min 36 sec Just Walk: Outdoor</t>
  </si>
  <si>
    <t>2023-03-28 21:32 (PST)</t>
  </si>
  <si>
    <t>2023-03-23 08:00 (PST)</t>
  </si>
  <si>
    <t>2023-03-29 02:59 (PST)</t>
  </si>
  <si>
    <t>02:59(PST)</t>
  </si>
  <si>
    <t>2023-03-27 08:00 (PST)</t>
  </si>
  <si>
    <t>2023-03-29 14:20 (PST)</t>
  </si>
  <si>
    <t>14:20(PST)</t>
  </si>
  <si>
    <t>2023-02-17 08:00 (PST)</t>
  </si>
  <si>
    <t>2023-03-29 14:50 (PST)</t>
  </si>
  <si>
    <t>5 min 49 sec Just Walk: Outdoor</t>
  </si>
  <si>
    <t>2023-03-29 22:13 (PST)</t>
  </si>
  <si>
    <t>2023-03-29 09:28 (PST)</t>
  </si>
  <si>
    <t>2023-03-30 04:07 (PST)</t>
  </si>
  <si>
    <t>04:07(PST)</t>
  </si>
  <si>
    <t>2023-03-28 16:00 (PST)</t>
  </si>
  <si>
    <t>2023-03-30 07:48 (PST)</t>
  </si>
  <si>
    <t>2023-03-27 04:50 (PST)</t>
  </si>
  <si>
    <t>2023-03-30 13:34 (PST)</t>
  </si>
  <si>
    <t>13:34(PST)</t>
  </si>
  <si>
    <t>101 min 37 sec Just Ride: Outdoor</t>
  </si>
  <si>
    <t>2023-03-30 22:01 (PST)</t>
  </si>
  <si>
    <t>2023-03-28 08:00 (PST)</t>
  </si>
  <si>
    <t>2023-03-31 22:40 (PST)</t>
  </si>
  <si>
    <t>2023-03-28 04:57 (PST)</t>
  </si>
  <si>
    <t>2023-04-01 11:17 (-07)</t>
  </si>
  <si>
    <t>11:17(-07)</t>
  </si>
  <si>
    <t>2023-03-08 08:00 (-07)</t>
  </si>
  <si>
    <t>2023-04-01 11:29 (-07)</t>
  </si>
  <si>
    <t>2023-04-01 12:32 (-07)</t>
  </si>
  <si>
    <t>12:32(-07)</t>
  </si>
  <si>
    <t>2022-05-15 08:00 (-07)</t>
  </si>
  <si>
    <t>2023-04-01 12:37 (-07)</t>
  </si>
  <si>
    <t>12:37(-07)</t>
  </si>
  <si>
    <t>2023-03-30 23:00 (-07)</t>
  </si>
  <si>
    <t>2023-04-02 21:18 (PST)</t>
  </si>
  <si>
    <t>2023-04-02 10:11 (PST)</t>
  </si>
  <si>
    <t>2023-04-03 06:19 (PST)</t>
  </si>
  <si>
    <t>06:19(PST)</t>
  </si>
  <si>
    <t>2023-03-28 08:52 (PST)</t>
  </si>
  <si>
    <t>2023-04-03 15:35 (-07)</t>
  </si>
  <si>
    <t>15:35(-07)</t>
  </si>
  <si>
    <t>2023-03-27 06:54 (-07)</t>
  </si>
  <si>
    <t>2023-04-03 16:23 (-07)</t>
  </si>
  <si>
    <t>2023-03-01 05:22 (-07)</t>
  </si>
  <si>
    <t>2023-04-03 16:35 (-07)</t>
  </si>
  <si>
    <t>2023-03-29 04:58 (-07)</t>
  </si>
  <si>
    <t>2023-04-04 09:57 (PST)</t>
  </si>
  <si>
    <t>09:57(PST)</t>
  </si>
  <si>
    <t>2023-03-31 08:55 (PST)</t>
  </si>
  <si>
    <t>2023-04-04 15:17 (-07)</t>
  </si>
  <si>
    <t>10 min Trap Core Strength</t>
  </si>
  <si>
    <t>2023-03-10 08:00 (-07)</t>
  </si>
  <si>
    <t>2023-04-04 15:30 (-07)</t>
  </si>
  <si>
    <t>15:30(-07)</t>
  </si>
  <si>
    <t>2023-03-18 04:55 (-07)</t>
  </si>
  <si>
    <t>2023-04-04 16:31 (-07)</t>
  </si>
  <si>
    <t>2022-12-07 09:00 (-07)</t>
  </si>
  <si>
    <t>2023-04-04 22:30 (PST)</t>
  </si>
  <si>
    <t>2023-04-01 06:01 (PST)</t>
  </si>
  <si>
    <t>2023-04-05 14:33 (PST)</t>
  </si>
  <si>
    <t>30 min Focus Flow: Skandasana</t>
  </si>
  <si>
    <t>2023-03-23 09:23 (PST)</t>
  </si>
  <si>
    <t>2023-04-05 20:22 (PST)</t>
  </si>
  <si>
    <t>2023-04-05 08:00 (PST)</t>
  </si>
  <si>
    <t>2023-04-06 12:56 (-07)</t>
  </si>
  <si>
    <t>2023-03-30 07:00 (-07)</t>
  </si>
  <si>
    <t>2023-04-06 13:08 (-07)</t>
  </si>
  <si>
    <t>13:08(-07)</t>
  </si>
  <si>
    <t>2023-03-31 08:55 (-07)</t>
  </si>
  <si>
    <t>2023-04-06 13:54 (-07)</t>
  </si>
  <si>
    <t>13:54(-07)</t>
  </si>
  <si>
    <t>2023-04-06 07:38 (-07)</t>
  </si>
  <si>
    <t>2023-04-06 14:15 (-07)</t>
  </si>
  <si>
    <t>2023-04-04 23:00 (-07)</t>
  </si>
  <si>
    <t>2023-04-06 22:45 (PST)</t>
  </si>
  <si>
    <t>2023-04-05 11:00 (PST)</t>
  </si>
  <si>
    <t>2023-04-07 12:10 (PST)</t>
  </si>
  <si>
    <t>43 min 7 sec Just Walk: Outdoor</t>
  </si>
  <si>
    <t>2023-04-07 23:33 (PST)</t>
  </si>
  <si>
    <t>2023-04-07 08:00 (PST)</t>
  </si>
  <si>
    <t>2023-04-08 15:39 (PST)</t>
  </si>
  <si>
    <t>2023-03-31 14:24 (PST)</t>
  </si>
  <si>
    <t>2023-04-09 10:37 (-07)</t>
  </si>
  <si>
    <t>10:37(-07)</t>
  </si>
  <si>
    <t>2022-11-10 08:00 (-07)</t>
  </si>
  <si>
    <t>2023-04-09 11:24 (-07)</t>
  </si>
  <si>
    <t>11:24(-07)</t>
  </si>
  <si>
    <t>2023-03-03 15:00 (-07)</t>
  </si>
  <si>
    <t>2023-04-09 11:35 (-07)</t>
  </si>
  <si>
    <t>11:35(-07)</t>
  </si>
  <si>
    <t>2023-03-07 08:00 (-07)</t>
  </si>
  <si>
    <t>2023-04-09 22:29 (PST)</t>
  </si>
  <si>
    <t>2023-03-30 08:00 (PST)</t>
  </si>
  <si>
    <t>2023-04-10 12:03 (PST)</t>
  </si>
  <si>
    <t>2023-04-04 08:52 (PST)</t>
  </si>
  <si>
    <t>2023-04-10 18:08 (-07)</t>
  </si>
  <si>
    <t>2023-03-03 09:55 (-07)</t>
  </si>
  <si>
    <t>2023-04-10 18:55 (-07)</t>
  </si>
  <si>
    <t>2023-04-06 23:00 (-07)</t>
  </si>
  <si>
    <t>2023-04-10 19:07 (-07)</t>
  </si>
  <si>
    <t>2023-04-05 03:00 (-07)</t>
  </si>
  <si>
    <t>2023-04-10 19:19 (-07)</t>
  </si>
  <si>
    <t>2023-04-10 07:00 (-07)</t>
  </si>
  <si>
    <t>2023-04-10 22:50 (PST)</t>
  </si>
  <si>
    <t>2023-03-18 06:11 (PST)</t>
  </si>
  <si>
    <t>2023-04-11 08:57 (PST)</t>
  </si>
  <si>
    <t>2023-04-08 05:24 (PST)</t>
  </si>
  <si>
    <t>2023-04-11 14:13 (PST)</t>
  </si>
  <si>
    <t>14:13(PST)</t>
  </si>
  <si>
    <t>38 min 25 sec Just Walk: Outdoor</t>
  </si>
  <si>
    <t>2023-04-11 15:16 (-07)</t>
  </si>
  <si>
    <t>15:16(-07)</t>
  </si>
  <si>
    <t>2023-04-03 09:24 (-07)</t>
  </si>
  <si>
    <t>2023-04-11 15:48 (-07)</t>
  </si>
  <si>
    <t>2023-04-07 15:42 (-07)</t>
  </si>
  <si>
    <t>2023-04-11 16:02 (-07)</t>
  </si>
  <si>
    <t>2023-04-11 16:36 (-07)</t>
  </si>
  <si>
    <t>2023-04-11 21:51 (PST)</t>
  </si>
  <si>
    <t>2023-04-10 08:00 (PST)</t>
  </si>
  <si>
    <t>2023-04-12 06:45 (PST)</t>
  </si>
  <si>
    <t>06:45(PST)</t>
  </si>
  <si>
    <t>2023-04-08 09:25 (PST)</t>
  </si>
  <si>
    <t>2023-04-12 14:12 (PST)</t>
  </si>
  <si>
    <t>41 min 45 sec Just Walk: Outdoor</t>
  </si>
  <si>
    <t>2023-04-13 12:43 (PST)</t>
  </si>
  <si>
    <t>12:43(PST)</t>
  </si>
  <si>
    <t>38 min 18 sec Just Walk: Outdoor</t>
  </si>
  <si>
    <t>2023-04-13 22:47 (PST)</t>
  </si>
  <si>
    <t>2023-04-13 05:07 (PST)</t>
  </si>
  <si>
    <t>2023-04-15 12:07 (-07)</t>
  </si>
  <si>
    <t>2023-03-04 12:55 (-07)</t>
  </si>
  <si>
    <t>2023-04-15 12:53 (-07)</t>
  </si>
  <si>
    <t>2023-04-12 08:00 (-07)</t>
  </si>
  <si>
    <t>2023-04-15 13:00 (-07)</t>
  </si>
  <si>
    <t>13:00(-07)</t>
  </si>
  <si>
    <t>2023-04-14 08:00 (-07)</t>
  </si>
  <si>
    <t>2023-04-15 13:12 (-07)</t>
  </si>
  <si>
    <t>13:12(-07)</t>
  </si>
  <si>
    <t>2023-03-23 07:00 (-07)</t>
  </si>
  <si>
    <t>2023-04-16 00:04 (PST)</t>
  </si>
  <si>
    <t>00:04(PST)</t>
  </si>
  <si>
    <t>2023-04-13 08:00 (PST)</t>
  </si>
  <si>
    <t>2023-04-16 16:17 (-07)</t>
  </si>
  <si>
    <t>2023-04-16 17:18 (-07)</t>
  </si>
  <si>
    <t>2022-12-20 09:00 (-07)</t>
  </si>
  <si>
    <t>2023-04-16 22:38 (PST)</t>
  </si>
  <si>
    <t>2023-04-16 10:01 (PST)</t>
  </si>
  <si>
    <t>2023-04-17 09:50 (PST)</t>
  </si>
  <si>
    <t>30 min Indie Rock Yoga Flow</t>
  </si>
  <si>
    <t>2023-03-11 09:24 (PST)</t>
  </si>
  <si>
    <t>2023-04-17 14:15 (-07)</t>
  </si>
  <si>
    <t>Christian Vande Velde</t>
  </si>
  <si>
    <t>Pro Cyclist</t>
  </si>
  <si>
    <t>45 min Pro Cyclist Ride</t>
  </si>
  <si>
    <t>2019-11-15 05:50 (-07)</t>
  </si>
  <si>
    <t>2023-04-17 15:02 (-07)</t>
  </si>
  <si>
    <t>15:02(-07)</t>
  </si>
  <si>
    <t>2023-03-03 08:00 (-07)</t>
  </si>
  <si>
    <t>2023-04-17 15:14 (-07)</t>
  </si>
  <si>
    <t>15:14(-07)</t>
  </si>
  <si>
    <t>2023-04-14 01:00 (-07)</t>
  </si>
  <si>
    <t>2023-04-17 22:20 (PST)</t>
  </si>
  <si>
    <t>2023-04-06 08:00 (PST)</t>
  </si>
  <si>
    <t>2023-04-18 06:52 (PST)</t>
  </si>
  <si>
    <t>06:52(PST)</t>
  </si>
  <si>
    <t>2023-01-19 15:22 (PST)</t>
  </si>
  <si>
    <t>2023-04-18 17:36 (PST)</t>
  </si>
  <si>
    <t>17:36(PST)</t>
  </si>
  <si>
    <t>2023-03-18 05:55 (PST)</t>
  </si>
  <si>
    <t>2023-04-18 18:06 (PST)</t>
  </si>
  <si>
    <t>5 min Cool Down Walk</t>
  </si>
  <si>
    <t>2023-01-04 07:00 (PST)</t>
  </si>
  <si>
    <t>2023-04-18 18:16 (PST)</t>
  </si>
  <si>
    <t>18:16(PST)</t>
  </si>
  <si>
    <t>2023-03-22 07:00 (PST)</t>
  </si>
  <si>
    <t>2023-04-19 09:08 (PST)</t>
  </si>
  <si>
    <t>09:08(PST)</t>
  </si>
  <si>
    <t>2023-03-26 11:27 (PST)</t>
  </si>
  <si>
    <t>2023-04-19 10:04 (PST)</t>
  </si>
  <si>
    <t>10:04(PST)</t>
  </si>
  <si>
    <t>2023-04-17 03:25 (PST)</t>
  </si>
  <si>
    <t>2023-04-19 10:14 (PST)</t>
  </si>
  <si>
    <t>10:14(PST)</t>
  </si>
  <si>
    <t>2023-04-11 23:00 (PST)</t>
  </si>
  <si>
    <t>2023-04-20 21:02 (PST)</t>
  </si>
  <si>
    <t>21:02(PST)</t>
  </si>
  <si>
    <t>2023-04-19 10:59 (PST)</t>
  </si>
  <si>
    <t>2023-04-21 05:01 (-07)</t>
  </si>
  <si>
    <t>05:01(-07)</t>
  </si>
  <si>
    <t>2023-02-19 02:55 (-07)</t>
  </si>
  <si>
    <t>2023-04-21 05:47 (-07)</t>
  </si>
  <si>
    <t>05:47(-07)</t>
  </si>
  <si>
    <t>2023-03-30 05:06 (-07)</t>
  </si>
  <si>
    <t>2023-04-21 05:59 (-07)</t>
  </si>
  <si>
    <t>05:59(-07)</t>
  </si>
  <si>
    <t>2023-04-18 16:37 (-07)</t>
  </si>
  <si>
    <t>2023-04-21 06:09 (-07)</t>
  </si>
  <si>
    <t>06:09(-07)</t>
  </si>
  <si>
    <t>2022-01-17 09:00 (-07)</t>
  </si>
  <si>
    <t>2023-04-22 22:53 (PST)</t>
  </si>
  <si>
    <t>15 min Earth Day Meditation</t>
  </si>
  <si>
    <t>2023-04-21 08:00 (PST)</t>
  </si>
  <si>
    <t>2023-04-23 10:16 (PST)</t>
  </si>
  <si>
    <t>10:16(PST)</t>
  </si>
  <si>
    <t>2023-04-14 08:55 (PST)</t>
  </si>
  <si>
    <t>2023-04-23 14:35 (-07)</t>
  </si>
  <si>
    <t>14:35(-07)</t>
  </si>
  <si>
    <t>2023-04-23 15:39 (-07)</t>
  </si>
  <si>
    <t>2023-04-20 23:00 (-07)</t>
  </si>
  <si>
    <t>2023-04-23 22:37 (PST)</t>
  </si>
  <si>
    <t>10 min Meditation for Anxiety</t>
  </si>
  <si>
    <t>2023-04-21 07:00 (PST)</t>
  </si>
  <si>
    <t>2023-04-24 06:15 (PST)</t>
  </si>
  <si>
    <t>2023-04-24 14:45 (PST)</t>
  </si>
  <si>
    <t>40 min 28 sec Just Walk: Outdoor</t>
  </si>
  <si>
    <t>2023-04-24 15:38 (-07)</t>
  </si>
  <si>
    <t>2023-04-07 07:00 (-07)</t>
  </si>
  <si>
    <t>2023-04-24 15:59 (-07)</t>
  </si>
  <si>
    <t>2023-04-21 07:00 (-07)</t>
  </si>
  <si>
    <t>2023-04-24 22:30 (PST)</t>
  </si>
  <si>
    <t>2023-04-18 15:57 (PST)</t>
  </si>
  <si>
    <t>2023-04-25 06:22 (PST)</t>
  </si>
  <si>
    <t>06:22(PST)</t>
  </si>
  <si>
    <t>2023-02-24 14:25 (PST)</t>
  </si>
  <si>
    <t>2023-04-25 13:21 (PST)</t>
  </si>
  <si>
    <t>13:21(PST)</t>
  </si>
  <si>
    <t>52 min 13 sec Just Walk: Outdoor</t>
  </si>
  <si>
    <t>2023-04-25 22:09 (PST)</t>
  </si>
  <si>
    <t>2023-04-25 15:58 (PST)</t>
  </si>
  <si>
    <t>2023-04-26 06:24 (PST)</t>
  </si>
  <si>
    <t>06:24(PST)</t>
  </si>
  <si>
    <t>2023-04-21 14:25 (PST)</t>
  </si>
  <si>
    <t>2023-04-26 14:31 (PST)</t>
  </si>
  <si>
    <t>14:31(PST)</t>
  </si>
  <si>
    <t>99 min 38 sec Just Ride: Outdoor</t>
  </si>
  <si>
    <t>2023-04-27 15:58 (-07)</t>
  </si>
  <si>
    <t>2023-03-13 06:54 (-07)</t>
  </si>
  <si>
    <t>2023-04-27 16:44 (-07)</t>
  </si>
  <si>
    <t>2023-04-24 07:00 (-07)</t>
  </si>
  <si>
    <t>2023-04-27 16:56 (-07)</t>
  </si>
  <si>
    <t>2023-04-27 07:00 (-07)</t>
  </si>
  <si>
    <t>2023-04-27 17:02 (-07)</t>
  </si>
  <si>
    <t>2023-02-21 02:00 (-07)</t>
  </si>
  <si>
    <t>2023-04-29 09:28 (PST)</t>
  </si>
  <si>
    <t>09:28(PST)</t>
  </si>
  <si>
    <t>2023-04-28 14:24 (PST)</t>
  </si>
  <si>
    <t>2023-04-29 23:20 (PST)</t>
  </si>
  <si>
    <t>23:20(PST)</t>
  </si>
  <si>
    <t>2023-04-28 08:00 (PST)</t>
  </si>
  <si>
    <t>2023-04-30 15:59 (-07)</t>
  </si>
  <si>
    <t>2023-03-29 23:45 (-07)</t>
  </si>
  <si>
    <t>2023-04-30 16:45 (-07)</t>
  </si>
  <si>
    <t>2023-04-30 17:19 (-07)</t>
  </si>
  <si>
    <t>2023-04-25 23:00 (-07)</t>
  </si>
  <si>
    <t>2023-04-30 17:30 (-07)</t>
  </si>
  <si>
    <t>2023-04-19 07:00 (-07)</t>
  </si>
  <si>
    <t>2023-04-30 17:42 (-07)</t>
  </si>
  <si>
    <t>20 min Focus Flow: For Riders</t>
  </si>
  <si>
    <t>2023-04-05 15:22 (-07)</t>
  </si>
  <si>
    <t>2023-05-01 13:00 (PST)</t>
  </si>
  <si>
    <t>44 min 44 sec Just Walk: Outdoor</t>
  </si>
  <si>
    <t>2023-05-01 17:29 (-07)</t>
  </si>
  <si>
    <t>2023-04-19 04:25 (-07)</t>
  </si>
  <si>
    <t>2023-05-01 17:50 (-07)</t>
  </si>
  <si>
    <t>2022-12-03 05:55 (-07)</t>
  </si>
  <si>
    <t>2023-05-01 18:53 (-07)</t>
  </si>
  <si>
    <t>2022-11-15 08:00 (-07)</t>
  </si>
  <si>
    <t>2023-05-01 22:31 (PST)</t>
  </si>
  <si>
    <t>2023-04-29 06:01 (PST)</t>
  </si>
  <si>
    <t>2023-05-03 06:30 (PST)</t>
  </si>
  <si>
    <t>06:30(PST)</t>
  </si>
  <si>
    <t>2023-01-09 15:24 (PST)</t>
  </si>
  <si>
    <t>2023-05-03 15:04 (-07)</t>
  </si>
  <si>
    <t>2023-03-31 09:25 (-07)</t>
  </si>
  <si>
    <t>2023-05-04 15:36 (-07)</t>
  </si>
  <si>
    <t>2023-05-02 07:00 (-07)</t>
  </si>
  <si>
    <t>2023-05-04 15:50 (-07)</t>
  </si>
  <si>
    <t>2023-05-04 16:36 (-07)</t>
  </si>
  <si>
    <t>2023-04-26 08:00 (-07)</t>
  </si>
  <si>
    <t>2023-05-04 16:44 (-07)</t>
  </si>
  <si>
    <t>2023-04-27 23:00 (-07)</t>
  </si>
  <si>
    <t>2023-05-04 22:48 (PST)</t>
  </si>
  <si>
    <t>2023-05-03 13:00 (PST)</t>
  </si>
  <si>
    <t>2023-05-05 15:44 (PST)</t>
  </si>
  <si>
    <t>15:44(PST)</t>
  </si>
  <si>
    <t>2023-05-06 18:07 (-07)</t>
  </si>
  <si>
    <t>2023-02-13 11:24 (-07)</t>
  </si>
  <si>
    <t>2023-05-06 18:52 (-07)</t>
  </si>
  <si>
    <t>2023-05-06 22:20 (PST)</t>
  </si>
  <si>
    <t>15 min Peace Meditation</t>
  </si>
  <si>
    <t>2023-05-03 11:08 (PST)</t>
  </si>
  <si>
    <t>2023-05-07 22:17 (PST)</t>
  </si>
  <si>
    <t>2023-05-04 08:00 (PST)</t>
  </si>
  <si>
    <t>2023-05-08 06:34 (PST)</t>
  </si>
  <si>
    <t>2023-05-05 15:00 (PST)</t>
  </si>
  <si>
    <t>2023-05-08 17:06 (-07)</t>
  </si>
  <si>
    <t>30 min Arms &amp; Shoulders Strength</t>
  </si>
  <si>
    <t>2023-05-06 04:55 (-07)</t>
  </si>
  <si>
    <t>2023-05-08 17:38 (-07)</t>
  </si>
  <si>
    <t>2023-04-23 09:25 (-07)</t>
  </si>
  <si>
    <t>2023-05-08 22:00 (PST)</t>
  </si>
  <si>
    <t>10 min Grief Meditation</t>
  </si>
  <si>
    <t>2023-05-08 07:00 (PST)</t>
  </si>
  <si>
    <t>2023-05-09 10:38 (PST)</t>
  </si>
  <si>
    <t>38 min 15 sec Just Walk: Outdoor</t>
  </si>
  <si>
    <t>2023-05-09 16:47 (-07)</t>
  </si>
  <si>
    <t>2023-01-26 11:55 (-07)</t>
  </si>
  <si>
    <t>2023-05-09 17:51 (-07)</t>
  </si>
  <si>
    <t>2023-05-03 07:00 (-07)</t>
  </si>
  <si>
    <t>2023-05-09 22:36 (PST)</t>
  </si>
  <si>
    <t>2023-05-05 08:00 (PST)</t>
  </si>
  <si>
    <t>2023-05-10 07:05 (PST)</t>
  </si>
  <si>
    <t>2023-03-24 14:25 (PST)</t>
  </si>
  <si>
    <t>2023-05-10 17:52 (-07)</t>
  </si>
  <si>
    <t>30 min Hip Hop Upper Body Strength</t>
  </si>
  <si>
    <t>2023-05-05 14:57 (-07)</t>
  </si>
  <si>
    <t>2023-05-10 22:28 (PST)</t>
  </si>
  <si>
    <t>2023-05-11 06:27 (PST)</t>
  </si>
  <si>
    <t>2023-05-10 08:54 (PST)</t>
  </si>
  <si>
    <t>2023-05-11 15:38 (PST)</t>
  </si>
  <si>
    <t>15:38(PST)</t>
  </si>
  <si>
    <t>43 min Just Walk: Outdoor</t>
  </si>
  <si>
    <t>2023-05-11 16:40 (-07)</t>
  </si>
  <si>
    <t>2020-09-02 03:17 (-07)</t>
  </si>
  <si>
    <t>2023-05-11 17:26 (-07)</t>
  </si>
  <si>
    <t>2023-05-10 08:00 (-07)</t>
  </si>
  <si>
    <t>2023-05-11 17:34 (-07)</t>
  </si>
  <si>
    <t>17:34(-07)</t>
  </si>
  <si>
    <t>2023-05-04 23:00 (-07)</t>
  </si>
  <si>
    <t>2023-05-11 22:09 (PST)</t>
  </si>
  <si>
    <t>2023-05-11 08:00 (PST)</t>
  </si>
  <si>
    <t>2023-05-13 17:39 (-07)</t>
  </si>
  <si>
    <t>10 min Yeah Yeah Yeahs Core Strength</t>
  </si>
  <si>
    <t>2023-05-11 07:00 (-07)</t>
  </si>
  <si>
    <t>2023-05-13 17:53 (-07)</t>
  </si>
  <si>
    <t>2023-01-11 04:54 (-07)</t>
  </si>
  <si>
    <t>2023-05-13 18:43 (-07)</t>
  </si>
  <si>
    <t>2023-05-11 23:00 (-07)</t>
  </si>
  <si>
    <t>2023-05-13 22:55 (PST)</t>
  </si>
  <si>
    <t>2023-04-27 08:00 (PST)</t>
  </si>
  <si>
    <t>2023-05-14 21:32 (PST)</t>
  </si>
  <si>
    <t>2023-05-14 10:01 (PST)</t>
  </si>
  <si>
    <t>2023-05-15 06:27 (PST)</t>
  </si>
  <si>
    <t>2023-05-12 08:55 (PST)</t>
  </si>
  <si>
    <t>2023-05-16 06:51 (PST)</t>
  </si>
  <si>
    <t>2023-05-07 07:25 (PST)</t>
  </si>
  <si>
    <t>2023-05-16 09:01 (PST)</t>
  </si>
  <si>
    <t>44 min 13 sec Just Walk: Outdoor</t>
  </si>
  <si>
    <t>2023-05-16 22:16 (PST)</t>
  </si>
  <si>
    <t>15 min Mental Health Meditation</t>
  </si>
  <si>
    <t>2023-05-16 16:12 (PST)</t>
  </si>
  <si>
    <t>2023-05-17 15:10 (-07)</t>
  </si>
  <si>
    <t>15:10(-07)</t>
  </si>
  <si>
    <t>2023-05-03 04:21 (-07)</t>
  </si>
  <si>
    <t>2023-05-17 15:29 (-07)</t>
  </si>
  <si>
    <t>2022-01-08 05:22 (-07)</t>
  </si>
  <si>
    <t>2023-05-17 16:51 (-07)</t>
  </si>
  <si>
    <t>2023-05-16 23:00 (-07)</t>
  </si>
  <si>
    <t>2023-05-18 11:22 (PST)</t>
  </si>
  <si>
    <t>11:22(PST)</t>
  </si>
  <si>
    <t>40 min 26 sec Just Walk: Outdoor</t>
  </si>
  <si>
    <t>2023-05-18 15:51 (-07)</t>
  </si>
  <si>
    <t>2023-05-07 09:25 (-07)</t>
  </si>
  <si>
    <t>2023-05-18 16:18 (-07)</t>
  </si>
  <si>
    <t>2021-04-15 13:51 (-07)</t>
  </si>
  <si>
    <t>2023-05-19 14:45 (PST)</t>
  </si>
  <si>
    <t>30 min Rock Yoga Flow</t>
  </si>
  <si>
    <t>2023-03-24 08:56 (PST)</t>
  </si>
  <si>
    <t>2023-05-19 21:13 (PST)</t>
  </si>
  <si>
    <t>2023-05-17 08:00 (PST)</t>
  </si>
  <si>
    <t>2023-05-19 21:25 (PST)</t>
  </si>
  <si>
    <t>2023-05-19 07:00 (PST)</t>
  </si>
  <si>
    <t>2023-05-20 07:49 (PST)</t>
  </si>
  <si>
    <t>2023-05-02 07:00 (PST)</t>
  </si>
  <si>
    <t>2023-05-22 21:39 (PST)</t>
  </si>
  <si>
    <t>2023-05-22 08:00 (PST)</t>
  </si>
  <si>
    <t>2023-05-23 06:31 (PST)</t>
  </si>
  <si>
    <t>06:31(PST)</t>
  </si>
  <si>
    <t>2023-05-12 14:24 (PST)</t>
  </si>
  <si>
    <t>2023-05-23 16:37 (PST)</t>
  </si>
  <si>
    <t>16:37(PST)</t>
  </si>
  <si>
    <t>39 min Just Walk: Outdoor</t>
  </si>
  <si>
    <t>2023-05-23 17:24 (-07)</t>
  </si>
  <si>
    <t>2021-11-15 17:51 (-07)</t>
  </si>
  <si>
    <t>2023-05-23 18:03 (-07)</t>
  </si>
  <si>
    <t>2023-05-19 14:57 (-07)</t>
  </si>
  <si>
    <t>2023-05-23 18:26 (-07)</t>
  </si>
  <si>
    <t>2023-05-12 08:00 (-07)</t>
  </si>
  <si>
    <t>2023-05-23 22:10 (PST)</t>
  </si>
  <si>
    <t>2023-05-23 08:00 (PST)</t>
  </si>
  <si>
    <t>2023-05-24 06:46 (PST)</t>
  </si>
  <si>
    <t>2023-05-02 08:56 (PST)</t>
  </si>
  <si>
    <t>2023-05-24 10:02 (PST)</t>
  </si>
  <si>
    <t>36 min 27 sec Just Walk: Outdoor</t>
  </si>
  <si>
    <t>2023-05-24 15:09 (-07)</t>
  </si>
  <si>
    <t>2023-04-13 07:00 (-07)</t>
  </si>
  <si>
    <t>2023-05-24 15:27 (-07)</t>
  </si>
  <si>
    <t>15:27(-07)</t>
  </si>
  <si>
    <t>2019-05-30 04:49 (-07)</t>
  </si>
  <si>
    <t>2023-05-24 16:13 (-07)</t>
  </si>
  <si>
    <t>2023-05-23 23:00 (-07)</t>
  </si>
  <si>
    <t>2023-05-24 16:18 (-07)</t>
  </si>
  <si>
    <t>2023-05-24 22:03 (PST)</t>
  </si>
  <si>
    <t>2023-04-17 05:00 (PST)</t>
  </si>
  <si>
    <t>2023-05-25 06:46 (PST)</t>
  </si>
  <si>
    <t>2023-04-18 08:52 (PST)</t>
  </si>
  <si>
    <t>2023-05-25 22:27 (PST)</t>
  </si>
  <si>
    <t>2023-05-24 08:00 (PST)</t>
  </si>
  <si>
    <t>2023-05-26 11:06 (PST)</t>
  </si>
  <si>
    <t>11:06(PST)</t>
  </si>
  <si>
    <t>41 min 28 sec Just Walk: Outdoor</t>
  </si>
  <si>
    <t>2023-05-27 14:33 (-07)</t>
  </si>
  <si>
    <t>14:33(-07)</t>
  </si>
  <si>
    <t>2023-05-24 04:25 (-07)</t>
  </si>
  <si>
    <t>2023-05-27 14:47 (-07)</t>
  </si>
  <si>
    <t>14:47(-07)</t>
  </si>
  <si>
    <t>2023-05-19 07:00 (-07)</t>
  </si>
  <si>
    <t>2023-05-27 15:12 (-07)</t>
  </si>
  <si>
    <t>15:12(-07)</t>
  </si>
  <si>
    <t>2023-04-04 02:55 (-07)</t>
  </si>
  <si>
    <t>2023-05-29 02:09 (PST)</t>
  </si>
  <si>
    <t>2023-05-28 10:10 (PST)</t>
  </si>
  <si>
    <t>2023-05-30 15:56 (-07)</t>
  </si>
  <si>
    <t>2023-05-30 16:42 (-07)</t>
  </si>
  <si>
    <t>16:42(-07)</t>
  </si>
  <si>
    <t>2023-05-16 16:35 (-07)</t>
  </si>
  <si>
    <t>2023-05-30 16:53 (-07)</t>
  </si>
  <si>
    <t>2023-05-30 22:25 (PST)</t>
  </si>
  <si>
    <t>2023-05-27 06:02 (PST)</t>
  </si>
  <si>
    <t>2023-05-30 22:35 (PST)</t>
  </si>
  <si>
    <t>2023-05-30 08:00 (PST)</t>
  </si>
  <si>
    <t>2023-05-31 06:29 (PST)</t>
  </si>
  <si>
    <t>06:29(PST)</t>
  </si>
  <si>
    <t>2023-05-17 08:54 (PST)</t>
  </si>
  <si>
    <t>2023-05-31 15:36 (-07)</t>
  </si>
  <si>
    <t>2023-05-22 09:24 (-07)</t>
  </si>
  <si>
    <t>2023-05-31 16:02 (-07)</t>
  </si>
  <si>
    <t>2019-07-04 08:19 (-07)</t>
  </si>
  <si>
    <t>2023-05-31 16:50 (-07)</t>
  </si>
  <si>
    <t>2023-05-30 23:00 (-07)</t>
  </si>
  <si>
    <t>2023-06-01 10:45 (PST)</t>
  </si>
  <si>
    <t>41 min 40 sec Just Walk: Outdoor</t>
  </si>
  <si>
    <t>2023-06-01 22:39 (PST)</t>
  </si>
  <si>
    <t>2023-06-01 08:00 (PST)</t>
  </si>
  <si>
    <t>2023-06-02 21:22 (PST)</t>
  </si>
  <si>
    <t>2023-05-31 08:00 (PST)</t>
  </si>
  <si>
    <t>2023-06-03 22:14 (PST)</t>
  </si>
  <si>
    <t>2019-10-08 06:50 (PST)</t>
  </si>
  <si>
    <t>2023-06-04 21:23 (PST)</t>
  </si>
  <si>
    <t>21:23(PST)</t>
  </si>
  <si>
    <t>2020-03-05 08:00 (PST)</t>
  </si>
  <si>
    <t>2023-06-05 06:24 (PST)</t>
  </si>
  <si>
    <t>2023-05-26 08:56 (PST)</t>
  </si>
  <si>
    <t>2023-06-05 14:51 (PST)</t>
  </si>
  <si>
    <t>14:51(PST)</t>
  </si>
  <si>
    <t>45 min 21 sec Just Walk: Outdoor</t>
  </si>
  <si>
    <t>2023-06-05 16:34 (-07)</t>
  </si>
  <si>
    <t>2023-03-04 05:55 (-07)</t>
  </si>
  <si>
    <t>2023-06-05 22:15 (PST)</t>
  </si>
  <si>
    <t>2023-06-05 08:00 (PST)</t>
  </si>
  <si>
    <t>2023-06-06 22:10 (PST)</t>
  </si>
  <si>
    <t>2023-06-06 05:08 (PST)</t>
  </si>
  <si>
    <t>2023-06-07 07:15 (PST)</t>
  </si>
  <si>
    <t>30 min Mental Health Awareness Flow</t>
  </si>
  <si>
    <t>2023-05-19 14:25 (PST)</t>
  </si>
  <si>
    <t>2023-06-07 10:29 (PST)</t>
  </si>
  <si>
    <t>10:29(PST)</t>
  </si>
  <si>
    <t>37 min 37 sec Just Walk: Outdoor</t>
  </si>
  <si>
    <t>2023-06-07 15:41 (-07)</t>
  </si>
  <si>
    <t>15:41(-07)</t>
  </si>
  <si>
    <t>20 min API Heritage Core Strength</t>
  </si>
  <si>
    <t>2023-05-21 09:26 (-07)</t>
  </si>
  <si>
    <t>2023-06-07 16:04 (-07)</t>
  </si>
  <si>
    <t>2023-05-24 23:00 (-07)</t>
  </si>
  <si>
    <t>2023-06-07 16:50 (-07)</t>
  </si>
  <si>
    <t>2023-06-06 08:00 (-07)</t>
  </si>
  <si>
    <t>2023-06-07 22:44 (PST)</t>
  </si>
  <si>
    <t>2023-05-25 04:58 (PST)</t>
  </si>
  <si>
    <t>2023-06-08 12:53 (PST)</t>
  </si>
  <si>
    <t>2023-05-20 05:25 (PST)</t>
  </si>
  <si>
    <t>2023-06-08 15:45 (-07)</t>
  </si>
  <si>
    <t>2023-05-30 07:00 (-07)</t>
  </si>
  <si>
    <t>2023-06-08 15:57 (-07)</t>
  </si>
  <si>
    <t>2023-05-25 07:00 (-07)</t>
  </si>
  <si>
    <t>2023-06-08 16:11 (-07)</t>
  </si>
  <si>
    <t>2023-05-20 04:54 (-07)</t>
  </si>
  <si>
    <t>2023-06-08 17:02 (-07)</t>
  </si>
  <si>
    <t>2023-05-18 23:00 (-07)</t>
  </si>
  <si>
    <t>2023-06-10 11:57 (MST)</t>
  </si>
  <si>
    <t>11:57(MST)</t>
  </si>
  <si>
    <t>33 min 41 sec Just Walk: Outdoor</t>
  </si>
  <si>
    <t>2023-06-10 21:20 (MST)</t>
  </si>
  <si>
    <t>21:20(MST)</t>
  </si>
  <si>
    <t>2023-05-03 10:38 (MST)</t>
  </si>
  <si>
    <t>2023-06-11 22:22 (MST)</t>
  </si>
  <si>
    <t>22:22(MST)</t>
  </si>
  <si>
    <t>2020-01-23 09:00 (MST)</t>
  </si>
  <si>
    <t>2023-06-12 22:21 (PST)</t>
  </si>
  <si>
    <t>2019-11-14 08:00 (PST)</t>
  </si>
  <si>
    <t>2023-06-13 06:24 (PST)</t>
  </si>
  <si>
    <t>2023-05-26 14:25 (PST)</t>
  </si>
  <si>
    <t>2023-06-13 11:38 (PST)</t>
  </si>
  <si>
    <t>11:38(PST)</t>
  </si>
  <si>
    <t>39 min 22 sec Just Walk: Outdoor</t>
  </si>
  <si>
    <t>2023-06-13 22:16 (PST)</t>
  </si>
  <si>
    <t>2023-06-13 16:09 (PST)</t>
  </si>
  <si>
    <t>2023-06-14 22:02 (PST)</t>
  </si>
  <si>
    <t>2023-06-14 08:00 (PST)</t>
  </si>
  <si>
    <t>2023-06-15 05:50 (PST)</t>
  </si>
  <si>
    <t>05:50(PST)</t>
  </si>
  <si>
    <t>2023-05-23 04:22 (PST)</t>
  </si>
  <si>
    <t>2023-06-15 06:25 (PST)</t>
  </si>
  <si>
    <t>2023-06-06 08:00 (PST)</t>
  </si>
  <si>
    <t>2023-06-15 22:02 (PST)</t>
  </si>
  <si>
    <t>2019-10-29 07:08 (PST)</t>
  </si>
  <si>
    <t>2023-06-18 23:36 (PST)</t>
  </si>
  <si>
    <t>23:36(PST)</t>
  </si>
  <si>
    <t>2023-06-14 11:08 (PST)</t>
  </si>
  <si>
    <t>2023-06-19 12:22 (-07)</t>
  </si>
  <si>
    <t>2023-06-19 13:09 (-07)</t>
  </si>
  <si>
    <t>13:09(-07)</t>
  </si>
  <si>
    <t>2023-06-13 08:00 (-07)</t>
  </si>
  <si>
    <t>2023-06-19 13:21 (-07)</t>
  </si>
  <si>
    <t>2023-06-18 09:27 (-07)</t>
  </si>
  <si>
    <t>2023-06-20 16:17 (-07)</t>
  </si>
  <si>
    <t>2023-06-06 02:55 (-07)</t>
  </si>
  <si>
    <t>2023-06-20 16:50 (-07)</t>
  </si>
  <si>
    <t>2023-06-02 14:00 (-07)</t>
  </si>
  <si>
    <t>2023-06-20 16:54 (-07)</t>
  </si>
  <si>
    <t>2023-04-26 04:47 (-07)</t>
  </si>
  <si>
    <t>2023-06-20 17:15 (-07)</t>
  </si>
  <si>
    <t>2023-06-18 09:50 (-07)</t>
  </si>
  <si>
    <t>2023-06-20 22:28 (PST)</t>
  </si>
  <si>
    <t>2023-06-20 16:10 (PST)</t>
  </si>
  <si>
    <t>2023-06-21 06:44 (PST)</t>
  </si>
  <si>
    <t>2023-06-06 04:25 (PST)</t>
  </si>
  <si>
    <t>2023-06-21 18:13 (-07)</t>
  </si>
  <si>
    <t>2023-06-21 18:59 (-07)</t>
  </si>
  <si>
    <t>2023-06-15 23:00 (-07)</t>
  </si>
  <si>
    <t>2023-06-21 21:39 (PST)</t>
  </si>
  <si>
    <t>2023-06-13 08:00 (PST)</t>
  </si>
  <si>
    <t>2023-06-22 10:01 (PST)</t>
  </si>
  <si>
    <t>37 min 40 sec Just Walk: Outdoor</t>
  </si>
  <si>
    <t>2023-06-22 16:41 (-07)</t>
  </si>
  <si>
    <t>45 min Pop Full Body Strength</t>
  </si>
  <si>
    <t>2023-06-16 09:25 (-07)</t>
  </si>
  <si>
    <t>2023-06-22 17:26 (-07)</t>
  </si>
  <si>
    <t>2023-06-23 21:54 (PST)</t>
  </si>
  <si>
    <t>2019-12-30 15:31 (PST)</t>
  </si>
  <si>
    <t>2023-06-24 09:00 (PST)</t>
  </si>
  <si>
    <t>09:00(PST)</t>
  </si>
  <si>
    <t>11 min 35 sec Just Walk: Outdoor</t>
  </si>
  <si>
    <t>2023-06-25 21:27 (PST)</t>
  </si>
  <si>
    <t>2023-06-25 10:10 (PST)</t>
  </si>
  <si>
    <t>2023-06-26 07:50 (PST)</t>
  </si>
  <si>
    <t>2023-06-16 14:22 (PST)</t>
  </si>
  <si>
    <t>2023-06-26 15:20 (-07)</t>
  </si>
  <si>
    <t>15:20(-07)</t>
  </si>
  <si>
    <t>2023-04-29 12:25 (-07)</t>
  </si>
  <si>
    <t>2023-06-26 16:22 (-07)</t>
  </si>
  <si>
    <t>2023-06-21 08:00 (-07)</t>
  </si>
  <si>
    <t>2023-06-26 16:27 (-07)</t>
  </si>
  <si>
    <t>16:27(-07)</t>
  </si>
  <si>
    <t>2023-06-22 23:00 (-07)</t>
  </si>
  <si>
    <t>2023-06-26 22:26 (PST)</t>
  </si>
  <si>
    <t>2021-12-16 17:06 (PST)</t>
  </si>
  <si>
    <t>2023-06-28 14:53 (-07)</t>
  </si>
  <si>
    <t>2023-06-28 15:45 (-07)</t>
  </si>
  <si>
    <t>2023-06-22 08:00 (-07)</t>
  </si>
  <si>
    <t>2023-06-28 16:04 (PST)</t>
  </si>
  <si>
    <t>2023-06-28 04:24 (PST)</t>
  </si>
  <si>
    <t>2023-06-28 16:16 (PST)</t>
  </si>
  <si>
    <t>2023-06-09 08:54 (PST)</t>
  </si>
  <si>
    <t>2023-06-28 23:05 (PST)</t>
  </si>
  <si>
    <t>2023-06-27 09:29 (PST)</t>
  </si>
  <si>
    <t>2023-06-29 09:48 (PST)</t>
  </si>
  <si>
    <t>09:48(PST)</t>
  </si>
  <si>
    <t>30 min Pop Yoga Flow</t>
  </si>
  <si>
    <t>2023-06-17 05:25 (PST)</t>
  </si>
  <si>
    <t>2023-06-29 16:04 (-07)</t>
  </si>
  <si>
    <t>2023-05-17 04:24 (-07)</t>
  </si>
  <si>
    <t>2023-06-29 16:26 (-07)</t>
  </si>
  <si>
    <t>30 min 2010s Upper Body Strength</t>
  </si>
  <si>
    <t>2023-06-26 09:25 (-07)</t>
  </si>
  <si>
    <t>2023-06-29 22:10 (PST)</t>
  </si>
  <si>
    <t>15 min Morning Meditation</t>
  </si>
  <si>
    <t>2023-06-24 06:00 (PST)</t>
  </si>
  <si>
    <t>2023-07-01 18:46 (-07)</t>
  </si>
  <si>
    <t>2023-04-06 04:22 (-07)</t>
  </si>
  <si>
    <t>2023-07-01 19:34 (PST)</t>
  </si>
  <si>
    <t>19:34(PST)</t>
  </si>
  <si>
    <t>10 min Madonna Core Strength</t>
  </si>
  <si>
    <t>2023-06-20 07:00 (PST)</t>
  </si>
  <si>
    <t>2023-07-01 21:59 (PST)</t>
  </si>
  <si>
    <t>2023-06-28 09:00 (PST)</t>
  </si>
  <si>
    <t>2023-07-03 14:35 (PST)</t>
  </si>
  <si>
    <t>14:35(PST)</t>
  </si>
  <si>
    <t>2022-12-16 09:25 (PST)</t>
  </si>
  <si>
    <t>2023-07-03 15:23 (-07)</t>
  </si>
  <si>
    <t>15:23(-07)</t>
  </si>
  <si>
    <t>2023-04-01 04:53 (-07)</t>
  </si>
  <si>
    <t>2023-07-03 16:24 (-07)</t>
  </si>
  <si>
    <t>16:24(-07)</t>
  </si>
  <si>
    <t>2023-06-27 08:00 (-07)</t>
  </si>
  <si>
    <t>2023-07-03 16:37 (-07)</t>
  </si>
  <si>
    <t>2023-06-29 07:00 (-07)</t>
  </si>
  <si>
    <t>2023-07-03 16:49 (-07)</t>
  </si>
  <si>
    <t>2023-06-29 23:00 (-07)</t>
  </si>
  <si>
    <t>2023-07-03 22:14 (PST)</t>
  </si>
  <si>
    <t>2023-06-22 08:00 (PST)</t>
  </si>
  <si>
    <t>2023-07-04 10:58 (-07)</t>
  </si>
  <si>
    <t>2023-07-04 11:45 (-07)</t>
  </si>
  <si>
    <t>11:45(-07)</t>
  </si>
  <si>
    <t>2023-06-23 08:00 (-07)</t>
  </si>
  <si>
    <t>2023-07-04 11:56 (-07)</t>
  </si>
  <si>
    <t>11:56(-07)</t>
  </si>
  <si>
    <t>2023-06-30 07:00 (-07)</t>
  </si>
  <si>
    <t>2023-07-04 12:04 (-07)</t>
  </si>
  <si>
    <t>12:04(-07)</t>
  </si>
  <si>
    <t>20 min Focus Flow: For Runners</t>
  </si>
  <si>
    <t>2023-06-07 07:00 (-07)</t>
  </si>
  <si>
    <t>2023-07-05 22:21 (PST)</t>
  </si>
  <si>
    <t>2023-06-21 09:40 (PST)</t>
  </si>
  <si>
    <t>2023-07-06 12:18 (PST)</t>
  </si>
  <si>
    <t>2023-04-23 07:24 (PST)</t>
  </si>
  <si>
    <t>2023-07-06 15:33 (-07)</t>
  </si>
  <si>
    <t>15:33(-07)</t>
  </si>
  <si>
    <t>2023-06-22 07:00 (-07)</t>
  </si>
  <si>
    <t>2023-07-06 15:48 (-07)</t>
  </si>
  <si>
    <t>2023-06-17 04:54 (-07)</t>
  </si>
  <si>
    <t>2023-07-06 16:28 (-07)</t>
  </si>
  <si>
    <t>16:28(-07)</t>
  </si>
  <si>
    <t>2023-05-09 02:55 (-07)</t>
  </si>
  <si>
    <t>2023-07-06 22:29 (PST)</t>
  </si>
  <si>
    <t>Meditation Basics</t>
  </si>
  <si>
    <t>10 min Basics: Sleep</t>
  </si>
  <si>
    <t>2023-06-28 07:00 (PST)</t>
  </si>
  <si>
    <t>2023-07-07 10:36 (PST)</t>
  </si>
  <si>
    <t>42 min 50 sec Just Walk: Outdoor</t>
  </si>
  <si>
    <t>2023-07-08 14:16 (PST)</t>
  </si>
  <si>
    <t>2022-12-19 04:22 (PST)</t>
  </si>
  <si>
    <t>2023-07-08 17:07 (-07)</t>
  </si>
  <si>
    <t>2023-06-09 07:00 (-07)</t>
  </si>
  <si>
    <t>2023-07-08 17:19 (-07)</t>
  </si>
  <si>
    <t>2023-04-01 11:56 (-07)</t>
  </si>
  <si>
    <t>2023-07-08 18:04 (-07)</t>
  </si>
  <si>
    <t>2023-07-05 08:00 (-07)</t>
  </si>
  <si>
    <t>2023-07-09 22:11 (PST)</t>
  </si>
  <si>
    <t>2023-07-07 08:00 (PST)</t>
  </si>
  <si>
    <t>2023-07-10 03:31 (PST)</t>
  </si>
  <si>
    <t>03:31(PST)</t>
  </si>
  <si>
    <t>2023-07-06 05:09 (PST)</t>
  </si>
  <si>
    <t>2023-07-10 06:34 (PST)</t>
  </si>
  <si>
    <t>2023-05-06 05:26 (PST)</t>
  </si>
  <si>
    <t>2023-07-10 14:40 (PST)</t>
  </si>
  <si>
    <t>14:40(PST)</t>
  </si>
  <si>
    <t>39 min 55 sec Just Walk: Outdoor</t>
  </si>
  <si>
    <t>2023-07-10 16:47 (-07)</t>
  </si>
  <si>
    <t>2023-03-04 05:26 (-07)</t>
  </si>
  <si>
    <t>2023-07-10 18:06 (-07)</t>
  </si>
  <si>
    <t>2023-06-27 23:00 (-07)</t>
  </si>
  <si>
    <t>2023-07-10 22:34 (PST)</t>
  </si>
  <si>
    <t>2023-07-10 08:00 (PST)</t>
  </si>
  <si>
    <t>2023-07-11 15:51 (-07)</t>
  </si>
  <si>
    <t>45 min Rock Bootcamp</t>
  </si>
  <si>
    <t>2023-05-15 16:25 (-07)</t>
  </si>
  <si>
    <t>2023-07-11 16:38 (-07)</t>
  </si>
  <si>
    <t>2023-06-13 15:32 (-07)</t>
  </si>
  <si>
    <t>2023-07-11 22:12 (PST)</t>
  </si>
  <si>
    <t>2023-07-10 04:22 (PST)</t>
  </si>
  <si>
    <t>2023-07-12 09:30 (PST)</t>
  </si>
  <si>
    <t>40 min 32 sec Just Walk: Outdoor</t>
  </si>
  <si>
    <t>2023-07-12 14:43 (-07)</t>
  </si>
  <si>
    <t>14:43(-07)</t>
  </si>
  <si>
    <t>2020-01-02 03:49 (-07)</t>
  </si>
  <si>
    <t>2023-07-12 15:28 (-07)</t>
  </si>
  <si>
    <t>15:28(-07)</t>
  </si>
  <si>
    <t>2023-07-12 08:00 (-07)</t>
  </si>
  <si>
    <t>2023-07-12 15:46 (-07)</t>
  </si>
  <si>
    <t>15:46(-07)</t>
  </si>
  <si>
    <t>2023-06-13 23:00 (-07)</t>
  </si>
  <si>
    <t>2023-07-12 22:42 (PST)</t>
  </si>
  <si>
    <t>2023-06-12 04:22 (PST)</t>
  </si>
  <si>
    <t>2023-07-13 10:41 (PST)</t>
  </si>
  <si>
    <t>39 min 44 sec Just Walk: Outdoor</t>
  </si>
  <si>
    <t>2023-07-13 22:16 (PST)</t>
  </si>
  <si>
    <t>2023-05-15 04:23 (PST)</t>
  </si>
  <si>
    <t>2023-07-14 13:08 (PST)</t>
  </si>
  <si>
    <t>2023-07-07 14:24 (PST)</t>
  </si>
  <si>
    <t>2023-07-14 15:20 (-07)</t>
  </si>
  <si>
    <t>2020-02-06 05:49 (-07)</t>
  </si>
  <si>
    <t>2023-07-14 16:06 (-07)</t>
  </si>
  <si>
    <t>2023-06-08 23:00 (-07)</t>
  </si>
  <si>
    <t>2023-07-15 13:43 (PST)</t>
  </si>
  <si>
    <t>13:43(PST)</t>
  </si>
  <si>
    <t>2023-06-12 08:00 (PST)</t>
  </si>
  <si>
    <t>2023-07-15 13:54 (PST)</t>
  </si>
  <si>
    <t>13:54(PST)</t>
  </si>
  <si>
    <t>2023-05-16 09:39 (PST)</t>
  </si>
  <si>
    <t>2023-07-15 14:06 (PST)</t>
  </si>
  <si>
    <t>14:06(PST)</t>
  </si>
  <si>
    <t>2023-05-01 16:08 (PST)</t>
  </si>
  <si>
    <t>2023-07-16 09:05 (PST)</t>
  </si>
  <si>
    <t>09:05(PST)</t>
  </si>
  <si>
    <t>2023-07-01 09:24 (PST)</t>
  </si>
  <si>
    <t>2023-07-16 21:39 (PST)</t>
  </si>
  <si>
    <t>2023-07-11 09:40 (PST)</t>
  </si>
  <si>
    <t>2023-07-17 07:35 (PST)</t>
  </si>
  <si>
    <t>30 min Bruce Springsteen Yoga Flow</t>
  </si>
  <si>
    <t>2023-05-18 15:26 (PST)</t>
  </si>
  <si>
    <t>2023-07-17 17:33 (-07)</t>
  </si>
  <si>
    <t>2023-04-23 12:38 (-07)</t>
  </si>
  <si>
    <t>2023-07-17 18:34 (-07)</t>
  </si>
  <si>
    <t>2023-06-28 08:00 (-07)</t>
  </si>
  <si>
    <t>2023-07-17 18:41 (-07)</t>
  </si>
  <si>
    <t>10 min Madonna Arms &amp; Light Weights</t>
  </si>
  <si>
    <t>2023-06-21 01:00 (-07)</t>
  </si>
  <si>
    <t>2023-07-18 07:24 (PST)</t>
  </si>
  <si>
    <t>38 min 12 sec Just Walk: Outdoor</t>
  </si>
  <si>
    <t>2023-07-18 12:15 (-07)</t>
  </si>
  <si>
    <t>2023-06-26 16:25 (-07)</t>
  </si>
  <si>
    <t>2023-07-18 22:08 (PST)</t>
  </si>
  <si>
    <t>2023-07-18 16:10 (PST)</t>
  </si>
  <si>
    <t>2023-07-19 11:31 (PST)</t>
  </si>
  <si>
    <t>40 min 56 sec Just Walk: Outdoor</t>
  </si>
  <si>
    <t>2023-07-19 15:07 (-07)</t>
  </si>
  <si>
    <t>15:07(-07)</t>
  </si>
  <si>
    <t>2023-07-19 04:22 (-07)</t>
  </si>
  <si>
    <t>2023-07-19 15:25 (-07)</t>
  </si>
  <si>
    <t>2020-02-06 03:48 (-07)</t>
  </si>
  <si>
    <t>2023-07-19 16:11 (-07)</t>
  </si>
  <si>
    <t>2023-07-07 08:00 (-07)</t>
  </si>
  <si>
    <t>2023-07-19 16:17 (-07)</t>
  </si>
  <si>
    <t>2023-07-18 08:00 (-07)</t>
  </si>
  <si>
    <t>2023-07-19 16:42 (PST)</t>
  </si>
  <si>
    <t>2023-06-09 14:25 (PST)</t>
  </si>
  <si>
    <t>2023-07-20 15:48 (-07)</t>
  </si>
  <si>
    <t>Ash Pryor</t>
  </si>
  <si>
    <t>2023-06-27 16:26 (-07)</t>
  </si>
  <si>
    <t>2023-07-20 16:22 (-07)</t>
  </si>
  <si>
    <t>2023-07-18 07:00 (-07)</t>
  </si>
  <si>
    <t>2023-07-20 16:35 (-07)</t>
  </si>
  <si>
    <t>2023-07-19 03:55 (-07)</t>
  </si>
  <si>
    <t>2023-07-20 16:52 (-07)</t>
  </si>
  <si>
    <t>10 min Country Pop Barre</t>
  </si>
  <si>
    <t>2023-07-19 06:30 (-07)</t>
  </si>
  <si>
    <t>2023-07-21 09:38 (-07)</t>
  </si>
  <si>
    <t>09:38(-07)</t>
  </si>
  <si>
    <t>2023-04-26 04:22 (-07)</t>
  </si>
  <si>
    <t>2023-07-21 09:50 (-07)</t>
  </si>
  <si>
    <t>09:50(-07)</t>
  </si>
  <si>
    <t>2021-05-01 04:53 (-07)</t>
  </si>
  <si>
    <t>2023-07-21 10:51 (-07)</t>
  </si>
  <si>
    <t>10 min Christina Aguilera Cool Down Ride</t>
  </si>
  <si>
    <t>2023-07-13 16:40 (-07)</t>
  </si>
  <si>
    <t>2023-07-21 11:03 (-07)</t>
  </si>
  <si>
    <t>2023-07-20 23:00 (-07)</t>
  </si>
  <si>
    <t>2023-07-21 23:19 (PST)</t>
  </si>
  <si>
    <t>2023-07-11 16:09 (PST)</t>
  </si>
  <si>
    <t>2023-07-23 09:49 (-07)</t>
  </si>
  <si>
    <t>09:49(-07)</t>
  </si>
  <si>
    <t>2023-07-23 10:35 (-07)</t>
  </si>
  <si>
    <t>10 min Madonna Cool Down Ride</t>
  </si>
  <si>
    <t>2023-06-20 01:00 (-07)</t>
  </si>
  <si>
    <t>2023-07-23 10:45 (-07)</t>
  </si>
  <si>
    <t>10:45(-07)</t>
  </si>
  <si>
    <t>2023-07-11 23:00 (-07)</t>
  </si>
  <si>
    <t>2023-07-24 03:10 (EST)</t>
  </si>
  <si>
    <t>03:10(EST)</t>
  </si>
  <si>
    <t>2021-05-25 10:00 (EST)</t>
  </si>
  <si>
    <t>2023-07-25 04:59 (EST)</t>
  </si>
  <si>
    <t>04:59(EST)</t>
  </si>
  <si>
    <t>30 min Pride Walk</t>
  </si>
  <si>
    <t>2023-06-11 12:57 (EST)</t>
  </si>
  <si>
    <t>2023-07-25 05:33 (EST)</t>
  </si>
  <si>
    <t>05:33(EST)</t>
  </si>
  <si>
    <t>2023-07-17 10:00 (EST)</t>
  </si>
  <si>
    <t>2023-07-25 05:49 (EST)</t>
  </si>
  <si>
    <t>05:49(EST)</t>
  </si>
  <si>
    <t>2023-06-08 10:00 (EST)</t>
  </si>
  <si>
    <t>2023-07-26 21:56 (EST)</t>
  </si>
  <si>
    <t>21:56(EST)</t>
  </si>
  <si>
    <t>2023-07-26 11:00 (EST)</t>
  </si>
  <si>
    <t>2023-07-29 01:48 (PST)</t>
  </si>
  <si>
    <t>01:48(PST)</t>
  </si>
  <si>
    <t>2023-07-26 08:00 (PST)</t>
  </si>
  <si>
    <t>2023-07-29 20:48 (PST)</t>
  </si>
  <si>
    <t>2023-07-26 11:00 (PST)</t>
  </si>
  <si>
    <t>2023-07-29 23:41 (PST)</t>
  </si>
  <si>
    <t>2023-07-24 16:08 (PST)</t>
  </si>
  <si>
    <t>2023-07-30 09:19 (PST)</t>
  </si>
  <si>
    <t>40 min Just Walk: Outdoor</t>
  </si>
  <si>
    <t>2023-07-30 12:11 (-07)</t>
  </si>
  <si>
    <t>12:11(-07)</t>
  </si>
  <si>
    <t>2023-07-22 04:55 (-07)</t>
  </si>
  <si>
    <t>2023-07-30 12:57 (-07)</t>
  </si>
  <si>
    <t>12:57(-07)</t>
  </si>
  <si>
    <t>2023-07-26 08:00 (-07)</t>
  </si>
  <si>
    <t>2023-07-30 13:02 (-07)</t>
  </si>
  <si>
    <t>2023-07-27 23:00 (-07)</t>
  </si>
  <si>
    <t>2023-07-31 15:53 (-07)</t>
  </si>
  <si>
    <t>2023-07-30 09:25 (-07)</t>
  </si>
  <si>
    <t>2023-07-31 16:15 (-07)</t>
  </si>
  <si>
    <t>2020-02-15 10:35 (-07)</t>
  </si>
  <si>
    <t>2023-07-31 17:16 (-07)</t>
  </si>
  <si>
    <t>17:16(-07)</t>
  </si>
  <si>
    <t>2023-07-31 17:23 (-07)</t>
  </si>
  <si>
    <t>2023-07-13 08:00 (-07)</t>
  </si>
  <si>
    <t>2023-07-31 18:55 (PST)</t>
  </si>
  <si>
    <t>18:55(PST)</t>
  </si>
  <si>
    <t>42 min 51 sec Just Walk: Outdoor</t>
  </si>
  <si>
    <t>2023-07-31 22:39 (PST)</t>
  </si>
  <si>
    <t>2023-08-01 09:33 (PST)</t>
  </si>
  <si>
    <t>09:33(PST)</t>
  </si>
  <si>
    <t>46 min 14 sec Just Walk: Outdoor</t>
  </si>
  <si>
    <t>2023-08-01 13:29 (-07)</t>
  </si>
  <si>
    <t>13:29(-07)</t>
  </si>
  <si>
    <t>2023-05-15 02:54 (-07)</t>
  </si>
  <si>
    <t>2023-08-01 21:51 (PST)</t>
  </si>
  <si>
    <t>2023-08-01 16:00 (PST)</t>
  </si>
  <si>
    <t>2023-08-03 08:02 (PST)</t>
  </si>
  <si>
    <t>30 min Balanced Slow Flow</t>
  </si>
  <si>
    <t>2023-06-18 07:24 (PST)</t>
  </si>
  <si>
    <t>2023-08-03 12:11 (-07)</t>
  </si>
  <si>
    <t>2022-10-05 03:53 (-07)</t>
  </si>
  <si>
    <t>2023-08-03 12:57 (-07)</t>
  </si>
  <si>
    <t>2023-08-03 21:31 (PST)</t>
  </si>
  <si>
    <t>21:31(PST)</t>
  </si>
  <si>
    <t>2020-04-30 05:45 (PST)</t>
  </si>
  <si>
    <t>2023-08-05 21:56 (PST)</t>
  </si>
  <si>
    <t>2023-08-06 11:48 (-07)</t>
  </si>
  <si>
    <t>11:48(-07)</t>
  </si>
  <si>
    <t>2023-08-06 13:21 (-07)</t>
  </si>
  <si>
    <t>2023-07-25 23:00 (-07)</t>
  </si>
  <si>
    <t>2023-08-06 22:25 (PST)</t>
  </si>
  <si>
    <t>2023-08-06 10:00 (PST)</t>
  </si>
  <si>
    <t>2023-08-07 03:18 (PST)</t>
  </si>
  <si>
    <t>03:18(PST)</t>
  </si>
  <si>
    <t>2023-07-06 08:00 (PST)</t>
  </si>
  <si>
    <t>2023-08-07 07:15 (PST)</t>
  </si>
  <si>
    <t>2023-06-23 08:56 (PST)</t>
  </si>
  <si>
    <t>2023-08-07 15:52 (-07)</t>
  </si>
  <si>
    <t>2023-04-28 07:00 (-07)</t>
  </si>
  <si>
    <t>2023-08-07 16:38 (-07)</t>
  </si>
  <si>
    <t>2023-08-02 08:00 (-07)</t>
  </si>
  <si>
    <t>2023-08-07 16:47 (-07)</t>
  </si>
  <si>
    <t xml:space="preserve">Adrian &amp; Ben </t>
  </si>
  <si>
    <t>10 min Live from LA Two for One Strength</t>
  </si>
  <si>
    <t>2023-07-18 12:00 (-07)</t>
  </si>
  <si>
    <t>2023-08-07 17:00 (-07)</t>
  </si>
  <si>
    <t>2023-06-06 15:29 (-07)</t>
  </si>
  <si>
    <t>2023-08-07 22:44 (PST)</t>
  </si>
  <si>
    <t>2023-08-07 16:07 (PST)</t>
  </si>
  <si>
    <t>2023-08-08 22:17 (PST)</t>
  </si>
  <si>
    <t>2023-08-08 08:00 (PST)</t>
  </si>
  <si>
    <t>2023-08-09 07:45 (PST)</t>
  </si>
  <si>
    <t>30 min Yeah Yeah Yeahs Yoga Flow</t>
  </si>
  <si>
    <t>2023-05-11 15:25 (PST)</t>
  </si>
  <si>
    <t>2023-08-09 15:38 (-07)</t>
  </si>
  <si>
    <t>2020-03-12 04:48 (-07)</t>
  </si>
  <si>
    <t>2023-08-09 21:29 (PST)</t>
  </si>
  <si>
    <t>2023-08-09 07:00 (PST)</t>
  </si>
  <si>
    <t>2023-08-10 21:20 (PST)</t>
  </si>
  <si>
    <t>21:20(PST)</t>
  </si>
  <si>
    <t>2023-08-11 10:16 (-07)</t>
  </si>
  <si>
    <t>2023-04-09 12:24 (-07)</t>
  </si>
  <si>
    <t>2023-08-12 00:57 (EST)</t>
  </si>
  <si>
    <t>00:57(EST)</t>
  </si>
  <si>
    <t>2023-08-08 12:29 (EST)</t>
  </si>
  <si>
    <t>2023-08-12 10:05 (EST)</t>
  </si>
  <si>
    <t>10:05(EST)</t>
  </si>
  <si>
    <t>2022-05-20 10:00 (EST)</t>
  </si>
  <si>
    <t>2023-08-12 10:36 (EST)</t>
  </si>
  <si>
    <t>10:36(EST)</t>
  </si>
  <si>
    <t>Extra 10: Walk</t>
  </si>
  <si>
    <t>2023-08-12 10:47 (EST)</t>
  </si>
  <si>
    <t>10:47(EST)</t>
  </si>
  <si>
    <t>2023-08-12 10:54 (EST)</t>
  </si>
  <si>
    <t>10:54(EST)</t>
  </si>
  <si>
    <t>2023-07-16 12:55 (EST)</t>
  </si>
  <si>
    <t>2023-08-13 00:35 (EST)</t>
  </si>
  <si>
    <t>00:35(EST)</t>
  </si>
  <si>
    <t>2023-08-10 11:00 (EST)</t>
  </si>
  <si>
    <t>2023-08-13 20:07 (EST)</t>
  </si>
  <si>
    <t>20:07(EST)</t>
  </si>
  <si>
    <t>2021-07-09 11:11 (EST)</t>
  </si>
  <si>
    <t>2023-08-13 22:04 (EST)</t>
  </si>
  <si>
    <t>22:04(EST)</t>
  </si>
  <si>
    <t>15 min Breathwork: Ratio Breath</t>
  </si>
  <si>
    <t>2021-05-18 10:00 (EST)</t>
  </si>
  <si>
    <t>2023-08-14 15:38 (-07)</t>
  </si>
  <si>
    <t>2023-06-12 16:25 (-07)</t>
  </si>
  <si>
    <t>2023-08-14 16:26 (-07)</t>
  </si>
  <si>
    <t>Extra 5: Endurance Row</t>
  </si>
  <si>
    <t>2023-08-07 07:00 (-07)</t>
  </si>
  <si>
    <t>2023-08-14 16:31 (-07)</t>
  </si>
  <si>
    <t>2023-08-11 14:00 (-07)</t>
  </si>
  <si>
    <t>2023-08-14 19:06 (PST)</t>
  </si>
  <si>
    <t>2023-05-06 09:24 (PST)</t>
  </si>
  <si>
    <t>2023-08-14 20:34 (PST)</t>
  </si>
  <si>
    <t>2023-08-15 21:34 (PST)</t>
  </si>
  <si>
    <t>2023-08-16 07:59 (PST)</t>
  </si>
  <si>
    <t>30 min 90s Rock Yoga Flow</t>
  </si>
  <si>
    <t>2023-05-21 07:26 (PST)</t>
  </si>
  <si>
    <t>2023-08-16 16:10 (-07)</t>
  </si>
  <si>
    <t>16:10(-07)</t>
  </si>
  <si>
    <t>2023-07-28 08:00 (-07)</t>
  </si>
  <si>
    <t>2023-08-16 16:22 (-07)</t>
  </si>
  <si>
    <t>2023-08-16 16:45 (-07)</t>
  </si>
  <si>
    <t>2023-08-16 21:34 (PST)</t>
  </si>
  <si>
    <t>2023-08-17 17:31 (-07)</t>
  </si>
  <si>
    <t>2023-08-12 04:54 (-07)</t>
  </si>
  <si>
    <t>2023-08-17 18:03 (-07)</t>
  </si>
  <si>
    <t>2023-04-25 16:24 (-07)</t>
  </si>
  <si>
    <t>2023-08-18 02:50 (PST)</t>
  </si>
  <si>
    <t>02:50(PST)</t>
  </si>
  <si>
    <t>2023-08-15 16:01 (PST)</t>
  </si>
  <si>
    <t>2023-08-18 13:09 (PST)</t>
  </si>
  <si>
    <t>5 min Intro to Density Training</t>
  </si>
  <si>
    <t>2023-05-15 07:00 (PST)</t>
  </si>
  <si>
    <t>2023-08-18 17:13 (-07)</t>
  </si>
  <si>
    <t>45 min Power Zone Endurance</t>
  </si>
  <si>
    <t>2023-06-20 14:24 (-07)</t>
  </si>
  <si>
    <t>2023-08-18 17:59 (-07)</t>
  </si>
  <si>
    <t>2023-08-11 01:00 (-07)</t>
  </si>
  <si>
    <t>2023-08-18 22:06 (PST)</t>
  </si>
  <si>
    <t>2023-08-19 22:21 (PST)</t>
  </si>
  <si>
    <t>15 min Kindness Meditation</t>
  </si>
  <si>
    <t>2021-12-17 07:00 (PST)</t>
  </si>
  <si>
    <t>2023-08-20 11:29 (-07)</t>
  </si>
  <si>
    <t>30 min Density Training: Week 1, Day 1</t>
  </si>
  <si>
    <t>2023-05-15 07:00 (-07)</t>
  </si>
  <si>
    <t>2023-08-20 12:09 (-07)</t>
  </si>
  <si>
    <t>12:09(-07)</t>
  </si>
  <si>
    <t>2023-03-14 02:54 (-07)</t>
  </si>
  <si>
    <t>2023-08-20 12:42 (-07)</t>
  </si>
  <si>
    <t>12:42(-07)</t>
  </si>
  <si>
    <t>5 min Extra 5:  Endurance Row</t>
  </si>
  <si>
    <t>2023-08-14 07:00 (-07)</t>
  </si>
  <si>
    <t>2023-08-20 12:48 (-07)</t>
  </si>
  <si>
    <t>12:48(-07)</t>
  </si>
  <si>
    <t>2021-12-01 08:41 (-07)</t>
  </si>
  <si>
    <t>2023-08-20 13:49 (PST)</t>
  </si>
  <si>
    <t>13:49(PST)</t>
  </si>
  <si>
    <t>2023-07-01 05:24 (PST)</t>
  </si>
  <si>
    <t>2023-08-20 21:25 (PST)</t>
  </si>
  <si>
    <t>2020-08-12 13:30 (PST)</t>
  </si>
  <si>
    <t>2023-08-21 07:59 (PST)</t>
  </si>
  <si>
    <t>30 min Indie Yoga Flow</t>
  </si>
  <si>
    <t>2023-06-23 14:24 (PST)</t>
  </si>
  <si>
    <t>2023-08-21 16:34 (-07)</t>
  </si>
  <si>
    <t>2023-08-21 03:30 (-07)</t>
  </si>
  <si>
    <t>2023-08-21 16:47 (-07)</t>
  </si>
  <si>
    <t>2022-06-30 05:23 (-07)</t>
  </si>
  <si>
    <t>2023-08-21 17:40 (-07)</t>
  </si>
  <si>
    <t>2023-08-08 23:00 (-07)</t>
  </si>
  <si>
    <t>2023-08-21 21:49 (PST)</t>
  </si>
  <si>
    <t>2023-08-21 16:11 (PST)</t>
  </si>
  <si>
    <t>2023-08-22 16:38 (-07)</t>
  </si>
  <si>
    <t>20 min Density Training: Week 1, Day 2</t>
  </si>
  <si>
    <t>2023-08-22 17:00 (-07)</t>
  </si>
  <si>
    <t>Mobility</t>
  </si>
  <si>
    <t>20 min Full Body Mobility</t>
  </si>
  <si>
    <t>2023-08-22 21:54 (PST)</t>
  </si>
  <si>
    <t>2020-02-05 05:31 (PST)</t>
  </si>
  <si>
    <t>2023-08-23 07:30 (PST)</t>
  </si>
  <si>
    <t>30 min Grounded Slow Flow</t>
  </si>
  <si>
    <t>2023-06-29 09:00 (PST)</t>
  </si>
  <si>
    <t>2023-08-23 13:53 (-07)</t>
  </si>
  <si>
    <t>13:53(-07)</t>
  </si>
  <si>
    <t>2023-05-27 04:55 (-07)</t>
  </si>
  <si>
    <t>2023-08-23 14:54 (-07)</t>
  </si>
  <si>
    <t>14:54(-07)</t>
  </si>
  <si>
    <t>2023-08-11 08:00 (-07)</t>
  </si>
  <si>
    <t>2023-08-23 15:00 (-07)</t>
  </si>
  <si>
    <t>15:00(-07)</t>
  </si>
  <si>
    <t>2023-04-13 09:38 (-07)</t>
  </si>
  <si>
    <t>2023-08-23 15:11 (-07)</t>
  </si>
  <si>
    <t>15:11(-07)</t>
  </si>
  <si>
    <t>2023-07-13 23:00 (-07)</t>
  </si>
  <si>
    <t>2023-08-23 22:18 (PST)</t>
  </si>
  <si>
    <t>2020-08-10 08:36 (PST)</t>
  </si>
  <si>
    <t>2023-08-24 15:48 (-07)</t>
  </si>
  <si>
    <t>30 min Density Training: Week 1, Day 3</t>
  </si>
  <si>
    <t>2023-08-24 16:21 (-07)</t>
  </si>
  <si>
    <t>2023-07-28 14:56 (-07)</t>
  </si>
  <si>
    <t>2023-08-24 16:40 (-07)</t>
  </si>
  <si>
    <t>2023-04-07 02:54 (-07)</t>
  </si>
  <si>
    <t>2023-08-26 23:11 (PST)</t>
  </si>
  <si>
    <t>2023-08-27 10:07 (-07)</t>
  </si>
  <si>
    <t>10:07(-07)</t>
  </si>
  <si>
    <t>2023-04-22 04:55 (-07)</t>
  </si>
  <si>
    <t>2023-08-27 10:54 (-07)</t>
  </si>
  <si>
    <t>10:54(-07)</t>
  </si>
  <si>
    <t>2023-08-21 07:00 (-07)</t>
  </si>
  <si>
    <t>2023-08-27 11:05 (-07)</t>
  </si>
  <si>
    <t>11:05(-07)</t>
  </si>
  <si>
    <t>2023-08-25 01:00 (-07)</t>
  </si>
  <si>
    <t>2023-08-27 11:31 (PST)</t>
  </si>
  <si>
    <t>2023-08-18 08:55 (PST)</t>
  </si>
  <si>
    <t>2023-08-27 21:44 (PST)</t>
  </si>
  <si>
    <t>2023-08-24 08:00 (PST)</t>
  </si>
  <si>
    <t>2023-08-28 15:49 (-07)</t>
  </si>
  <si>
    <t>2023-08-28 16:35 (-07)</t>
  </si>
  <si>
    <t>2023-08-28 07:00 (-07)</t>
  </si>
  <si>
    <t>2023-08-28 16:46 (-07)</t>
  </si>
  <si>
    <t>2023-08-15 23:00 (-07)</t>
  </si>
  <si>
    <t>2023-08-28 17:03 (-07)</t>
  </si>
  <si>
    <t>2023-08-23 14:53 (-07)</t>
  </si>
  <si>
    <t>2023-08-28 17:25 (-07)</t>
  </si>
  <si>
    <t>2023-08-18 14:55 (-07)</t>
  </si>
  <si>
    <t>2023-08-28 21:56 (PST)</t>
  </si>
  <si>
    <t>2023-08-28 08:00 (PST)</t>
  </si>
  <si>
    <t>2023-08-29 22:09 (PST)</t>
  </si>
  <si>
    <t>2023-08-30 07:51 (-07)</t>
  </si>
  <si>
    <t>30 min Density Training: Week 2, Day 1</t>
  </si>
  <si>
    <t>2023-05-22 07:00 (-07)</t>
  </si>
  <si>
    <t>2023-08-30 08:23 (-07)</t>
  </si>
  <si>
    <t>08:23(-07)</t>
  </si>
  <si>
    <t>2023-08-13 09:51 (-07)</t>
  </si>
  <si>
    <t>2023-08-30 08:34 (-07)</t>
  </si>
  <si>
    <t>08:34(-07)</t>
  </si>
  <si>
    <t>2023-08-22 23:00 (-07)</t>
  </si>
  <si>
    <t>2023-08-30 22:04 (PST)</t>
  </si>
  <si>
    <t>2021-07-09 05:29 (PST)</t>
  </si>
  <si>
    <t>2023-08-31 07:12 (PST)</t>
  </si>
  <si>
    <t>2023-06-20 15:26 (PST)</t>
  </si>
  <si>
    <t>2023-08-31 15:43 (-07)</t>
  </si>
  <si>
    <t>15:43(-07)</t>
  </si>
  <si>
    <t>2021-03-21 10:22 (-07)</t>
  </si>
  <si>
    <t>2023-08-31 16:46 (-07)</t>
  </si>
  <si>
    <t>10 min Duran Duran Cool Down Ride</t>
  </si>
  <si>
    <t>2023-01-11 09:00 (-07)</t>
  </si>
  <si>
    <t>2023-08-31 16:57 (-07)</t>
  </si>
  <si>
    <t>2023-08-29 08:00 (-07)</t>
  </si>
  <si>
    <t>2023-08-31 21:32 (PST)</t>
  </si>
  <si>
    <t>2023-08-31 08:00 (PST)</t>
  </si>
  <si>
    <t>2023-09-01 23:28 (PST)</t>
  </si>
  <si>
    <t>23:28(PST)</t>
  </si>
  <si>
    <t>2023-08-30 08:00 (PST)</t>
  </si>
  <si>
    <t>2023-09-02 10:40 (-07)</t>
  </si>
  <si>
    <t>10:40(-07)</t>
  </si>
  <si>
    <t>20 min Density Training: Week 2, Day 2</t>
  </si>
  <si>
    <t>2023-09-02 11:01 (-07)</t>
  </si>
  <si>
    <t>2023-08-13 09:27 (-07)</t>
  </si>
  <si>
    <t>2023-09-02 11:16 (-07)</t>
  </si>
  <si>
    <t>11:16(-07)</t>
  </si>
  <si>
    <t>2023-08-25 07:26 (-07)</t>
  </si>
  <si>
    <t>2023-09-02 11:48 (-07)</t>
  </si>
  <si>
    <t>10 min Form &amp; Drills Row: The Catch</t>
  </si>
  <si>
    <t>2023-08-31 07:00 (-07)</t>
  </si>
  <si>
    <t>2023-09-02 12:08 (PST)</t>
  </si>
  <si>
    <t>2023-08-18 14:24 (PST)</t>
  </si>
  <si>
    <t>2023-09-02 22:43 (PST)</t>
  </si>
  <si>
    <t>2023-09-04 00:07 (PST)</t>
  </si>
  <si>
    <t>10 min Basics: Mantra</t>
  </si>
  <si>
    <t>2023-08-30 07:00 (PST)</t>
  </si>
  <si>
    <t>2023-09-04 11:53 (-07)</t>
  </si>
  <si>
    <t>2023-01-10 09:56 (-07)</t>
  </si>
  <si>
    <t>2023-09-04 12:40 (-07)</t>
  </si>
  <si>
    <t>2023-09-04 12:51 (-07)</t>
  </si>
  <si>
    <t>12:51(-07)</t>
  </si>
  <si>
    <t>2023-09-01 01:00 (-07)</t>
  </si>
  <si>
    <t>2023-09-04 12:56 (-07)</t>
  </si>
  <si>
    <t>2023-08-24 23:00 (-07)</t>
  </si>
  <si>
    <t>2023-09-04 21:02 (PST)</t>
  </si>
  <si>
    <t>30 min Hip Hop 50 Yoga Flow</t>
  </si>
  <si>
    <t>2023-08-11 08:56 (PST)</t>
  </si>
  <si>
    <t>2023-09-04 21:55 (PST)</t>
  </si>
  <si>
    <t>2020-09-04 06:25 (PST)</t>
  </si>
  <si>
    <t>2023-09-05 02:54 (PST)</t>
  </si>
  <si>
    <t>15 min Breathwork: Cooling Breath</t>
  </si>
  <si>
    <t>2021-06-16 05:36 (PST)</t>
  </si>
  <si>
    <t>2023-09-05 20:52 (PST)</t>
  </si>
  <si>
    <t>20:52(PST)</t>
  </si>
  <si>
    <t>2023-08-07 04:22 (PST)</t>
  </si>
  <si>
    <t>2023-09-06 20:19 (PST)</t>
  </si>
  <si>
    <t>2023-09-07 20:26 (PST)</t>
  </si>
  <si>
    <t>2023-09-08 12:20 (PST)</t>
  </si>
  <si>
    <t>2023-08-25 08:56 (PST)</t>
  </si>
  <si>
    <t>2023-09-08 20:36 (PST)</t>
  </si>
  <si>
    <t>2021-12-07 04:54 (PST)</t>
  </si>
  <si>
    <t>2023-09-09 09:56 (PST)</t>
  </si>
  <si>
    <t>30 min Chaka Khan Walk</t>
  </si>
  <si>
    <t>2023-09-07 09:30 (PST)</t>
  </si>
  <si>
    <t>2023-09-09 10:27 (PST)</t>
  </si>
  <si>
    <t>12 min 29 sec Just Walk: Outdoor</t>
  </si>
  <si>
    <t>2023-09-09 16:56 (PST)</t>
  </si>
  <si>
    <t>2023-07-14 08:56 (PST)</t>
  </si>
  <si>
    <t>2023-09-09 20:54 (PST)</t>
  </si>
  <si>
    <t>20:54(PST)</t>
  </si>
  <si>
    <t>2023-03-19 10:01 (PST)</t>
  </si>
  <si>
    <t>2023-09-10 10:55 (PST)</t>
  </si>
  <si>
    <t>10:55(PST)</t>
  </si>
  <si>
    <t>45 min ABBA Walk</t>
  </si>
  <si>
    <t>2023-07-27 08:00 (PST)</t>
  </si>
  <si>
    <t>2023-09-10 11:59 (-07)</t>
  </si>
  <si>
    <t>11:59(-07)</t>
  </si>
  <si>
    <t>30 min Density Training: Week 2, Day 3</t>
  </si>
  <si>
    <t>2023-09-10 12:34 (-07)</t>
  </si>
  <si>
    <t>12:34(-07)</t>
  </si>
  <si>
    <t>10 min Dave Core Strength</t>
  </si>
  <si>
    <t>2023-09-06 22:40 (-07)</t>
  </si>
  <si>
    <t>2023-09-10 12:53 (-07)</t>
  </si>
  <si>
    <t>5 min Lanebreak Ride</t>
  </si>
  <si>
    <t>2023-09-10 13:00 (-07)</t>
  </si>
  <si>
    <t>2023-08-24 04:23 (-07)</t>
  </si>
  <si>
    <t>2023-09-10 13:31 (-07)</t>
  </si>
  <si>
    <t>13:31(-07)</t>
  </si>
  <si>
    <t>2023-07-24 07:00 (-07)</t>
  </si>
  <si>
    <t>2023-09-11 15:20 (-07)</t>
  </si>
  <si>
    <t>2023-08-08 08:00 (-07)</t>
  </si>
  <si>
    <t>2023-09-11 15:28 (-07)</t>
  </si>
  <si>
    <t>2023-09-11 16:14 (-07)</t>
  </si>
  <si>
    <t>2023-06-05 07:00 (-07)</t>
  </si>
  <si>
    <t>2023-09-11 16:26 (-07)</t>
  </si>
  <si>
    <t>2023-08-24 08:00 (-07)</t>
  </si>
  <si>
    <t>2023-09-11 16:38 (-07)</t>
  </si>
  <si>
    <t>2023-09-11 03:50 (-07)</t>
  </si>
  <si>
    <t>2023-09-11 16:49 (-07)</t>
  </si>
  <si>
    <t>10 min LP Giobbi Full Body Stretch</t>
  </si>
  <si>
    <t>2023-09-07 22:40 (-07)</t>
  </si>
  <si>
    <t>2023-09-11 20:38 (PST)</t>
  </si>
  <si>
    <t>10 min Hozier Meditation</t>
  </si>
  <si>
    <t>2023-09-09 06:40 (PST)</t>
  </si>
  <si>
    <t>2023-09-12 08:47 (PST)</t>
  </si>
  <si>
    <t>30 min Listening Party Yoga Flow</t>
  </si>
  <si>
    <t>2023-09-07 23:00 (PST)</t>
  </si>
  <si>
    <t>2023-09-12 15:25 (-07)</t>
  </si>
  <si>
    <t>2023-07-19 23:00 (-07)</t>
  </si>
  <si>
    <t>2023-09-12 16:12 (-07)</t>
  </si>
  <si>
    <t>2023-05-08 07:00 (-07)</t>
  </si>
  <si>
    <t>2023-09-12 16:23 (-07)</t>
  </si>
  <si>
    <t>2023-09-06 08:00 (-07)</t>
  </si>
  <si>
    <t>2023-09-12 16:28 (-07)</t>
  </si>
  <si>
    <t>2023-09-12 21:28 (PST)</t>
  </si>
  <si>
    <t>2023-09-12 08:00 (PST)</t>
  </si>
  <si>
    <t>2023-09-13 08:03 (PST)</t>
  </si>
  <si>
    <t>2023-08-11 14:24 (PST)</t>
  </si>
  <si>
    <t>2023-09-13 15:16 (-07)</t>
  </si>
  <si>
    <t>30 min Density Training: Week 3, Day 1</t>
  </si>
  <si>
    <t>2023-05-29 07:00 (-07)</t>
  </si>
  <si>
    <t>2023-09-13 15:50 (-07)</t>
  </si>
  <si>
    <t>2023-07-31 02:54 (-07)</t>
  </si>
  <si>
    <t>2023-09-13 21:47 (PST)</t>
  </si>
  <si>
    <t>2023-09-12 11:08 (PST)</t>
  </si>
  <si>
    <t>2023-09-14 14:24 (-07)</t>
  </si>
  <si>
    <t>2023-09-14 15:26 (-07)</t>
  </si>
  <si>
    <t>15:26(-07)</t>
  </si>
  <si>
    <t>2023-08-30 08:00 (-07)</t>
  </si>
  <si>
    <t>2023-09-14 15:34 (-07)</t>
  </si>
  <si>
    <t>2023-08-03 23:00 (-07)</t>
  </si>
  <si>
    <t>2023-09-15 15:41 (MST)</t>
  </si>
  <si>
    <t>15:41(MST)</t>
  </si>
  <si>
    <t>2021-03-12 08:00 (MST)</t>
  </si>
  <si>
    <t>2023-09-16 12:51 (MST)</t>
  </si>
  <si>
    <t>12:51(MST)</t>
  </si>
  <si>
    <t>2023-09-13 09:00 (MST)</t>
  </si>
  <si>
    <t>2023-09-16 23:13 (MST)</t>
  </si>
  <si>
    <t>23:13(MST)</t>
  </si>
  <si>
    <t>2023-09-12 09:00 (MST)</t>
  </si>
  <si>
    <t>2023-09-17 22:27 (MST)</t>
  </si>
  <si>
    <t>22:27(MST)</t>
  </si>
  <si>
    <t>2023-09-17 11:01 (MST)</t>
  </si>
  <si>
    <t>2023-09-18 23:47 (MST)</t>
  </si>
  <si>
    <t>23:47(MST)</t>
  </si>
  <si>
    <t>2023-09-20 15:49 (-07)</t>
  </si>
  <si>
    <t>2021-11-03 02:52 (-07)</t>
  </si>
  <si>
    <t>2023-09-20 16:36 (-07)</t>
  </si>
  <si>
    <t>2023-09-19 15:06 (-07)</t>
  </si>
  <si>
    <t>2023-09-20 16:55 (-07)</t>
  </si>
  <si>
    <t>2023-09-14 08:00 (-07)</t>
  </si>
  <si>
    <t>2023-09-20 21:56 (PST)</t>
  </si>
  <si>
    <t>2023-09-19 08:00 (PST)</t>
  </si>
  <si>
    <t>2023-09-21 13:39 (-07)</t>
  </si>
  <si>
    <t>13:39(-07)</t>
  </si>
  <si>
    <t>2021-11-02 13:52 (-07)</t>
  </si>
  <si>
    <t>2023-09-21 14:29 (-07)</t>
  </si>
  <si>
    <t>14:29(-07)</t>
  </si>
  <si>
    <t>2023-09-18 07:00 (-07)</t>
  </si>
  <si>
    <t>2023-09-21 14:40 (-07)</t>
  </si>
  <si>
    <t>14:40(-07)</t>
  </si>
  <si>
    <t>2023-09-15 08:00 (-07)</t>
  </si>
  <si>
    <t>2023-09-21 14:48 (-07)</t>
  </si>
  <si>
    <t>2023-09-21 16:24 (PST)</t>
  </si>
  <si>
    <t>2023-07-14 14:25 (PST)</t>
  </si>
  <si>
    <t>2023-09-21 22:34 (PST)</t>
  </si>
  <si>
    <t>2023-08-22 09:39 (PST)</t>
  </si>
  <si>
    <t>2023-09-23 18:48 (PST)</t>
  </si>
  <si>
    <t>18:48(PST)</t>
  </si>
  <si>
    <t>2023-09-20 11:09 (PST)</t>
  </si>
  <si>
    <t>2023-09-24 14:14 (-07)</t>
  </si>
  <si>
    <t>14:14(-07)</t>
  </si>
  <si>
    <t>2023-09-22 07:00 (-07)</t>
  </si>
  <si>
    <t>2023-09-24 14:32 (-07)</t>
  </si>
  <si>
    <t>2023-09-18 09:24 (-07)</t>
  </si>
  <si>
    <t>2023-09-24 14:55 (-07)</t>
  </si>
  <si>
    <t>14:55(-07)</t>
  </si>
  <si>
    <t>2023-06-18 12:24 (-07)</t>
  </si>
  <si>
    <t>2023-09-24 15:56 (-07)</t>
  </si>
  <si>
    <t>2023-09-21 23:00 (-07)</t>
  </si>
  <si>
    <t>2023-09-25 07:50 (PST)</t>
  </si>
  <si>
    <t>2023-07-07 10:54 (PST)</t>
  </si>
  <si>
    <t>2023-09-25 16:09 (-07)</t>
  </si>
  <si>
    <t>16:09(-07)</t>
  </si>
  <si>
    <t>2023-08-18 14:00 (-07)</t>
  </si>
  <si>
    <t>2023-09-26 14:04 (-07)</t>
  </si>
  <si>
    <t>14:04(-07)</t>
  </si>
  <si>
    <t>2023-09-26 14:49 (-07)</t>
  </si>
  <si>
    <t>2023-08-23 08:00 (-07)</t>
  </si>
  <si>
    <t>2023-09-26 14:57 (-07)</t>
  </si>
  <si>
    <t>2023-09-20 04:24 (-07)</t>
  </si>
  <si>
    <t>2023-09-26 15:08 (-07)</t>
  </si>
  <si>
    <t>2023-09-14 23:00 (-07)</t>
  </si>
  <si>
    <t>2023-09-26 22:37 (PST)</t>
  </si>
  <si>
    <t>2023-09-26 08:00 (PST)</t>
  </si>
  <si>
    <t>2023-09-27 21:26 (PST)</t>
  </si>
  <si>
    <t>2023-09-27 08:00 (PST)</t>
  </si>
  <si>
    <t>2023-09-28 07:55 (PST)</t>
  </si>
  <si>
    <t>30 min 80s Rock Yoga Flow</t>
  </si>
  <si>
    <t>2023-07-02 07:25 (PST)</t>
  </si>
  <si>
    <t>2023-09-28 15:03 (-07)</t>
  </si>
  <si>
    <t>15:03(-07)</t>
  </si>
  <si>
    <t>2023-06-05 10:25 (-07)</t>
  </si>
  <si>
    <t>2023-09-28 15:50 (-07)</t>
  </si>
  <si>
    <t>2023-09-25 07:00 (-07)</t>
  </si>
  <si>
    <t>2023-09-28 16:01 (-07)</t>
  </si>
  <si>
    <t>2023-09-26 23:00 (-07)</t>
  </si>
  <si>
    <t>2023-09-28 16:15 (-07)</t>
  </si>
  <si>
    <t>2023-09-12 15:26 (-07)</t>
  </si>
  <si>
    <t>2023-09-28 16:26 (-07)</t>
  </si>
  <si>
    <t>2023-09-27 23:00 (-07)</t>
  </si>
  <si>
    <t>2023-09-28 22:34 (PST)</t>
  </si>
  <si>
    <t>2023-09-29 15:30 (PST)</t>
  </si>
  <si>
    <t>2023-09-26 04:58 (PST)</t>
  </si>
  <si>
    <t>2023-09-30 23:57 (PST)</t>
  </si>
  <si>
    <t>2023-09-30 06:00 (PST)</t>
  </si>
  <si>
    <t>2023-10-01 16:37 (-07)</t>
  </si>
  <si>
    <t>2023-10-01 17:53 (-07)</t>
  </si>
  <si>
    <t>2023-09-29 08:00 (-07)</t>
  </si>
  <si>
    <t>2023-10-01 18:02 (-07)</t>
  </si>
  <si>
    <t>2023-10-01 22:35 (PST)</t>
  </si>
  <si>
    <t>2023-09-21 08:00 (PST)</t>
  </si>
  <si>
    <t>2023-10-02 07:22 (PST)</t>
  </si>
  <si>
    <t>2023-07-21 14:25 (PST)</t>
  </si>
  <si>
    <t>2023-10-02 16:31 (-07)</t>
  </si>
  <si>
    <t>2023-10-02 15:26 (-07)</t>
  </si>
  <si>
    <t>2023-10-02 16:37 (-07)</t>
  </si>
  <si>
    <t>2023-10-02 07:00 (-07)</t>
  </si>
  <si>
    <t>2023-10-02 16:50 (-07)</t>
  </si>
  <si>
    <t>2023-03-27 02:55 (-07)</t>
  </si>
  <si>
    <t>2023-10-02 22:45 (PST)</t>
  </si>
  <si>
    <t>2023-09-20 08:00 (PST)</t>
  </si>
  <si>
    <t>2023-10-03 13:54 (-07)</t>
  </si>
  <si>
    <t>2021-08-17 04:55 (-07)</t>
  </si>
  <si>
    <t>2023-10-03 14:44 (-07)</t>
  </si>
  <si>
    <t>14:44(-07)</t>
  </si>
  <si>
    <t>2023-08-18 08:00 (-07)</t>
  </si>
  <si>
    <t>2023-10-03 22:28 (PST)</t>
  </si>
  <si>
    <t>2023-09-19 09:28 (PST)</t>
  </si>
  <si>
    <t>2023-10-04 14:17 (-07)</t>
  </si>
  <si>
    <t>14:17(-07)</t>
  </si>
  <si>
    <t>2023-06-15 04:22 (-07)</t>
  </si>
  <si>
    <t>2023-10-04 14:49 (-07)</t>
  </si>
  <si>
    <t>2023-10-03 16:35 (-07)</t>
  </si>
  <si>
    <t>2023-10-04 15:04 (-07)</t>
  </si>
  <si>
    <t>2023-09-22 08:00 (-07)</t>
  </si>
  <si>
    <t>2023-10-04 15:12 (-07)</t>
  </si>
  <si>
    <t>2023-09-20 14:54 (-07)</t>
  </si>
  <si>
    <t>2023-10-04 15:51 (PST)</t>
  </si>
  <si>
    <t>2023-09-23 09:24 (PST)</t>
  </si>
  <si>
    <t>2023-10-05 22:52 (PST)</t>
  </si>
  <si>
    <t>22:52(PST)</t>
  </si>
  <si>
    <t>2023-10-05 08:00 (PST)</t>
  </si>
  <si>
    <t>2023-10-08 22:46 (PST)</t>
  </si>
  <si>
    <t>2023-10-04 11:00 (PST)</t>
  </si>
  <si>
    <t>2023-10-09 16:27 (-07)</t>
  </si>
  <si>
    <t>2023-08-12 04:55 (-07)</t>
  </si>
  <si>
    <t>2023-10-09 17:13 (-07)</t>
  </si>
  <si>
    <t>2023-10-09 07:00 (-07)</t>
  </si>
  <si>
    <t>2023-10-09 17:24 (-07)</t>
  </si>
  <si>
    <t>2023-10-04 08:00 (-07)</t>
  </si>
  <si>
    <t>2023-10-09 17:30 (-07)</t>
  </si>
  <si>
    <t>2023-10-03 08:00 (-07)</t>
  </si>
  <si>
    <t>2023-10-09 22:19 (PST)</t>
  </si>
  <si>
    <t>15 min Restorative</t>
  </si>
  <si>
    <t>2023-10-09 16:07 (PST)</t>
  </si>
  <si>
    <t>2023-10-10 10:39 (PST)</t>
  </si>
  <si>
    <t>10:39(PST)</t>
  </si>
  <si>
    <t>15 min Focus Flow: Healthy Back</t>
  </si>
  <si>
    <t>2023-09-26 09:23 (PST)</t>
  </si>
  <si>
    <t>2023-10-11 16:18 (PST)</t>
  </si>
  <si>
    <t>16:18(PST)</t>
  </si>
  <si>
    <t>2023-07-16 07:26 (PST)</t>
  </si>
  <si>
    <t>2023-10-11 18:54 (-07)</t>
  </si>
  <si>
    <t>2023-10-11 19:40 (-07)</t>
  </si>
  <si>
    <t>19:40(-07)</t>
  </si>
  <si>
    <t>2023-10-11 08:00 (-07)</t>
  </si>
  <si>
    <t>2023-10-11 19:50 (-07)</t>
  </si>
  <si>
    <t>2023-10-10 23:00 (-07)</t>
  </si>
  <si>
    <t>2023-10-12 16:11 (-07)</t>
  </si>
  <si>
    <t>2023-10-06 07:00 (-07)</t>
  </si>
  <si>
    <t>2023-10-12 16:32 (-07)</t>
  </si>
  <si>
    <t>2023-10-12 16:47 (-07)</t>
  </si>
  <si>
    <t>2023-07-26 04:21 (-07)</t>
  </si>
  <si>
    <t>2023-10-12 16:59 (-07)</t>
  </si>
  <si>
    <t>20 min Endurance Row</t>
  </si>
  <si>
    <t>2023-10-04 07:24 (-07)</t>
  </si>
  <si>
    <t>2023-10-12 17:21 (-07)</t>
  </si>
  <si>
    <t>2023-10-01 23:00 (-07)</t>
  </si>
  <si>
    <t>2023-10-12 22:49 (PST)</t>
  </si>
  <si>
    <t>2023-10-12 04:57 (PST)</t>
  </si>
  <si>
    <t>2023-10-14 21:51 (PST)</t>
  </si>
  <si>
    <t>2023-10-15 15:08 (-07)</t>
  </si>
  <si>
    <t>2023-10-15 12:54 (-07)</t>
  </si>
  <si>
    <t>2023-10-15 15:55 (-07)</t>
  </si>
  <si>
    <t>15:55(-07)</t>
  </si>
  <si>
    <t>10 min Janet Jackson Cool Down Ride</t>
  </si>
  <si>
    <t>2023-09-28 16:40 (-07)</t>
  </si>
  <si>
    <t>2023-10-15 16:05 (-07)</t>
  </si>
  <si>
    <t>2023-10-12 23:00 (-07)</t>
  </si>
  <si>
    <t>2023-10-15 20:39 (PST)</t>
  </si>
  <si>
    <t>2023-10-10 09:39 (PST)</t>
  </si>
  <si>
    <t>2023-10-15 20:49 (PST)</t>
  </si>
  <si>
    <t>2023-10-10 08:00 (PST)</t>
  </si>
  <si>
    <t>2023-10-15 23:53 (PST)</t>
  </si>
  <si>
    <t>23:53(PST)</t>
  </si>
  <si>
    <t>2023-10-09 23:00 (PST)</t>
  </si>
  <si>
    <t>2023-10-16 17:12 (EST)</t>
  </si>
  <si>
    <t>17:12(EST)</t>
  </si>
  <si>
    <t>2023-06-17 08:56 (EST)</t>
  </si>
  <si>
    <t>2023-10-16 17:58 (EST)</t>
  </si>
  <si>
    <t>17:58(EST)</t>
  </si>
  <si>
    <t>Warm Up, Cool Down</t>
  </si>
  <si>
    <t>10 min AFO Cool Down Walk: John Mayer</t>
  </si>
  <si>
    <t>2022-08-19 10:00 (EST)</t>
  </si>
  <si>
    <t>2023-10-16 18:11 (EST)</t>
  </si>
  <si>
    <t>18:11(EST)</t>
  </si>
  <si>
    <t>2023-10-12 02:00 (EST)</t>
  </si>
  <si>
    <t>2023-10-16 23:55 (EST)</t>
  </si>
  <si>
    <t>23:55(EST)</t>
  </si>
  <si>
    <t>10 min Body Appreciation Meditation</t>
  </si>
  <si>
    <t>2023-10-12 16:10 (EST)</t>
  </si>
  <si>
    <t>2023-10-17 22:54 (EST)</t>
  </si>
  <si>
    <t>22:54(EST)</t>
  </si>
  <si>
    <t>2023-10-17 11:00 (EST)</t>
  </si>
  <si>
    <t>2023-10-18 17:01 (EST)</t>
  </si>
  <si>
    <t>17:01(EST)</t>
  </si>
  <si>
    <t>Tread Bootcamp</t>
  </si>
  <si>
    <t>60 min Hiking Bootcamp</t>
  </si>
  <si>
    <t>2023-07-06 11:55 (EST)</t>
  </si>
  <si>
    <t>2023-10-18 23:26 (EST)</t>
  </si>
  <si>
    <t>23:26(EST)</t>
  </si>
  <si>
    <t>2023-10-18 11:00 (EST)</t>
  </si>
  <si>
    <t>2023-10-19 21:13 (PST)</t>
  </si>
  <si>
    <t>2023-10-18 11:10 (PST)</t>
  </si>
  <si>
    <t>2023-10-19 21:30 (PST)</t>
  </si>
  <si>
    <t>2023-10-20 22:16 (PST)</t>
  </si>
  <si>
    <t>2023-10-19 08:00 (PST)</t>
  </si>
  <si>
    <t>2023-10-21 10:55 (-07)</t>
  </si>
  <si>
    <t>2023-09-12 14:23 (-07)</t>
  </si>
  <si>
    <t>2023-10-21 11:41 (-07)</t>
  </si>
  <si>
    <t>11:41(-07)</t>
  </si>
  <si>
    <t>2023-10-05 23:00 (-07)</t>
  </si>
  <si>
    <t>2023-10-21 11:48 (-07)</t>
  </si>
  <si>
    <t>2023-08-17 08:00 (-07)</t>
  </si>
  <si>
    <t>2023-10-21 12:01 (-07)</t>
  </si>
  <si>
    <t>2023-10-18 04:23 (-07)</t>
  </si>
  <si>
    <t>2023-10-21 12:14 (-07)</t>
  </si>
  <si>
    <t>2023-10-19 23:00 (-07)</t>
  </si>
  <si>
    <t>2023-10-22 17:18 (-07)</t>
  </si>
  <si>
    <t>2023-10-02 14:55 (-07)</t>
  </si>
  <si>
    <t>2023-10-22 17:40 (-07)</t>
  </si>
  <si>
    <t>2023-10-16 03:54 (-07)</t>
  </si>
  <si>
    <t>2023-10-22 17:53 (-07)</t>
  </si>
  <si>
    <t>2023-09-19 02:55 (-07)</t>
  </si>
  <si>
    <t>2023-10-22 18:14 (-07)</t>
  </si>
  <si>
    <t>2023-10-22 18:20 (-07)</t>
  </si>
  <si>
    <t>2023-10-22 22:15 (PST)</t>
  </si>
  <si>
    <t>10 min Mindfulness of Emotions</t>
  </si>
  <si>
    <t>2023-10-04 08:00 (PST)</t>
  </si>
  <si>
    <t>2023-10-23 22:29 (PST)</t>
  </si>
  <si>
    <t>2023-10-23 10:57 (PST)</t>
  </si>
  <si>
    <t>2023-10-24 10:47 (PST)</t>
  </si>
  <si>
    <t>2023-09-25 04:50 (PST)</t>
  </si>
  <si>
    <t>2023-10-24 17:23 (-07)</t>
  </si>
  <si>
    <t>2023-05-04 04:22 (-07)</t>
  </si>
  <si>
    <t>2023-10-24 18:09 (-07)</t>
  </si>
  <si>
    <t>2023-10-18 08:00 (-07)</t>
  </si>
  <si>
    <t>2023-10-24 18:24 (-07)</t>
  </si>
  <si>
    <t>2023-09-04 07:00 (-07)</t>
  </si>
  <si>
    <t>2023-10-24 18:36 (-07)</t>
  </si>
  <si>
    <t>2023-10-24 21:59 (PST)</t>
  </si>
  <si>
    <t>2023-10-24 08:00 (PST)</t>
  </si>
  <si>
    <t>2023-10-25 14:51 (-07)</t>
  </si>
  <si>
    <t>14:51(-07)</t>
  </si>
  <si>
    <t>2023-08-08 15:27 (-07)</t>
  </si>
  <si>
    <t>2023-10-25 15:03 (-07)</t>
  </si>
  <si>
    <t>20 min Strength Roll Call: Upper Body</t>
  </si>
  <si>
    <t>2023-05-04 04:24 (-07)</t>
  </si>
  <si>
    <t>2023-10-25 15:27 (-07)</t>
  </si>
  <si>
    <t>2023-08-26 04:56 (-07)</t>
  </si>
  <si>
    <t>2023-10-25 16:27 (-07)</t>
  </si>
  <si>
    <t>2023-10-25 08:00 (-07)</t>
  </si>
  <si>
    <t>2023-10-25 22:33 (PST)</t>
  </si>
  <si>
    <t>2023-10-24 15:25 (PST)</t>
  </si>
  <si>
    <t>2023-10-26 22:36 (PST)</t>
  </si>
  <si>
    <t>2023-10-25 08:00 (PST)</t>
  </si>
  <si>
    <t>2023-10-27 22:14 (PST)</t>
  </si>
  <si>
    <t>2023-10-26 15:09 (PST)</t>
  </si>
  <si>
    <t>2023-10-28 23:29 (PST)</t>
  </si>
  <si>
    <t>2023-10-28 06:01 (PST)</t>
  </si>
  <si>
    <t>2023-10-29 22:32 (PST)</t>
  </si>
  <si>
    <t>2023-10-26 08:00 (PST)</t>
  </si>
  <si>
    <t>2023-10-30 06:23 (PST)</t>
  </si>
  <si>
    <t>2023-10-03 08:54 (PST)</t>
  </si>
  <si>
    <t>2023-10-30 15:05 (-07)</t>
  </si>
  <si>
    <t>15:05(-07)</t>
  </si>
  <si>
    <t>2022-03-13 10:22 (-07)</t>
  </si>
  <si>
    <t>2023-10-30 16:37 (-07)</t>
  </si>
  <si>
    <t>2023-10-19 08:00 (-07)</t>
  </si>
  <si>
    <t>2023-10-30 22:56 (PST)</t>
  </si>
  <si>
    <t>2023-10-30 16:07 (PST)</t>
  </si>
  <si>
    <t>2023-10-31 12:14 (-07)</t>
  </si>
  <si>
    <t>2023-10-31 12:48 (-07)</t>
  </si>
  <si>
    <t>2023-10-23 09:25 (-07)</t>
  </si>
  <si>
    <t>2023-10-31 13:10 (-07)</t>
  </si>
  <si>
    <t>2023-10-10 14:55 (-07)</t>
  </si>
  <si>
    <t>2023-10-31 22:56 (PST)</t>
  </si>
  <si>
    <t>2023-10-31 09:39 (PST)</t>
  </si>
  <si>
    <t>2023-11-01 11:24 (PST)</t>
  </si>
  <si>
    <t>11:24(PST)</t>
  </si>
  <si>
    <t>2023-07-15 07:24 (PST)</t>
  </si>
  <si>
    <t>2023-11-01 14:22 (-07)</t>
  </si>
  <si>
    <t>14:22(-07)</t>
  </si>
  <si>
    <t>2019-12-12 03:48 (-07)</t>
  </si>
  <si>
    <t>2023-11-01 22:28 (PST)</t>
  </si>
  <si>
    <t>2023-11-01 08:00 (PST)</t>
  </si>
  <si>
    <t>2023-11-02 22:30 (PST)</t>
  </si>
  <si>
    <t>2023-11-02 15:11 (PST)</t>
  </si>
  <si>
    <t>2023-11-03 14:10 (PST)</t>
  </si>
  <si>
    <t>2023-10-27 14:25 (PST)</t>
  </si>
  <si>
    <t>2023-11-03 15:44 (-07)</t>
  </si>
  <si>
    <t>15:44(-07)</t>
  </si>
  <si>
    <t>2023-11-02 07:00 (-07)</t>
  </si>
  <si>
    <t>2023-11-03 15:55 (-07)</t>
  </si>
  <si>
    <t>2023-11-03 02:54 (-07)</t>
  </si>
  <si>
    <t>2023-11-03 22:13 (PST)</t>
  </si>
  <si>
    <t>2023-10-23 04:25 (PST)</t>
  </si>
  <si>
    <t>2023-11-04 11:38 (-07)</t>
  </si>
  <si>
    <t>2023-11-03 09:55 (-07)</t>
  </si>
  <si>
    <t>2023-11-04 11:50 (-07)</t>
  </si>
  <si>
    <t>2020-01-16 03:47 (-07)</t>
  </si>
  <si>
    <t>2023-11-04 12:37 (-07)</t>
  </si>
  <si>
    <t>2023-10-16 07:00 (-07)</t>
  </si>
  <si>
    <t>2023-11-04 12:48 (-07)</t>
  </si>
  <si>
    <t>2023-10-31 08:00 (-07)</t>
  </si>
  <si>
    <t>2023-11-04 12:58 (-07)</t>
  </si>
  <si>
    <t>12:58(-07)</t>
  </si>
  <si>
    <t>2023-10-24 23:00 (-07)</t>
  </si>
  <si>
    <t>2023-11-05 22:25 (PST)</t>
  </si>
  <si>
    <t>2023-10-16 16:07 (PST)</t>
  </si>
  <si>
    <t>2023-11-06 08:07 (PST)</t>
  </si>
  <si>
    <t>30 min Ludacris Yoga Flow</t>
  </si>
  <si>
    <t>2023-10-26 16:26 (PST)</t>
  </si>
  <si>
    <t>2023-11-06 09:54 (-08)</t>
  </si>
  <si>
    <t>09:54(-08)</t>
  </si>
  <si>
    <t>2023-01-25 03:53 (-08)</t>
  </si>
  <si>
    <t>2023-11-06 10:42 (-08)</t>
  </si>
  <si>
    <t>10:42(-08)</t>
  </si>
  <si>
    <t>2023-10-26 22:00 (-08)</t>
  </si>
  <si>
    <t>2023-11-06 10:47 (-08)</t>
  </si>
  <si>
    <t>10:47(-08)</t>
  </si>
  <si>
    <t>2023-10-31 23:00 (-08)</t>
  </si>
  <si>
    <t>2023-11-06 21:57 (PST)</t>
  </si>
  <si>
    <t>2023-11-06 08:00 (PST)</t>
  </si>
  <si>
    <t>2023-11-07 15:28 (-08)</t>
  </si>
  <si>
    <t>15:28(-08)</t>
  </si>
  <si>
    <t>2023-07-10 06:00 (-08)</t>
  </si>
  <si>
    <t>2023-11-07 15:40 (-08)</t>
  </si>
  <si>
    <t>15:40(-08)</t>
  </si>
  <si>
    <t>2021-06-16 01:53 (-08)</t>
  </si>
  <si>
    <t>2023-11-07 16:27 (-08)</t>
  </si>
  <si>
    <t>2023-10-20 07:00 (-08)</t>
  </si>
  <si>
    <t>2023-11-07 22:57 (PST)</t>
  </si>
  <si>
    <t>2023-11-07 05:08 (PST)</t>
  </si>
  <si>
    <t>2023-11-08 07:59 (PST)</t>
  </si>
  <si>
    <t>2023-11-08 10:29 (-08)</t>
  </si>
  <si>
    <t>10:29(-08)</t>
  </si>
  <si>
    <t>2023-02-24 14:00 (-08)</t>
  </si>
  <si>
    <t>2023-11-08 11:03 (-08)</t>
  </si>
  <si>
    <t>11:03(-08)</t>
  </si>
  <si>
    <t>2023-08-02 03:24 (-08)</t>
  </si>
  <si>
    <t>2023-11-09 10:15 (-08)</t>
  </si>
  <si>
    <t>10:15(-08)</t>
  </si>
  <si>
    <t>2023-11-04 05:57 (-08)</t>
  </si>
  <si>
    <t>2023-11-09 10:58 (-08)</t>
  </si>
  <si>
    <t>2023-11-09 12:56 (PST)</t>
  </si>
  <si>
    <t>30 min Trevor Hall Yoga Flow</t>
  </si>
  <si>
    <t>2023-08-11 04:25 (PST)</t>
  </si>
  <si>
    <t>2023-11-10 22:00 (PST)</t>
  </si>
  <si>
    <t>2023-11-10 13:00 (PST)</t>
  </si>
  <si>
    <t>2023-11-11 10:14 (-08)</t>
  </si>
  <si>
    <t>10:14(-08)</t>
  </si>
  <si>
    <t>2023-11-08 07:00 (-08)</t>
  </si>
  <si>
    <t>2023-11-11 10:26 (-08)</t>
  </si>
  <si>
    <t>2023-11-11 11:12 (-08)</t>
  </si>
  <si>
    <t>2023-06-08 22:00 (-08)</t>
  </si>
  <si>
    <t>2023-11-11 11:18 (-08)</t>
  </si>
  <si>
    <t>11:18(-08)</t>
  </si>
  <si>
    <t>2023-11-02 04:40 (-08)</t>
  </si>
  <si>
    <t>2023-11-11 11:28 (-08)</t>
  </si>
  <si>
    <t>11:28(-08)</t>
  </si>
  <si>
    <t>2023-11-09 23:00 (-08)</t>
  </si>
  <si>
    <t>2023-11-12 13:32 (-08)</t>
  </si>
  <si>
    <t>2023-09-30 03:55 (-08)</t>
  </si>
  <si>
    <t>2023-11-12 14:34 (-08)</t>
  </si>
  <si>
    <t>14:34(-08)</t>
  </si>
  <si>
    <t>2023-11-07 23:00 (-08)</t>
  </si>
  <si>
    <t>2023-11-12 23:26 (PST)</t>
  </si>
  <si>
    <t>23:26(PST)</t>
  </si>
  <si>
    <t>20 min Full Body Stretch</t>
  </si>
  <si>
    <t>2023-11-12 23:00 (PST)</t>
  </si>
  <si>
    <t>2023-11-13 11:05 (PST)</t>
  </si>
  <si>
    <t>44 min 53 sec Just Walk: Outdoor</t>
  </si>
  <si>
    <t>2023-11-13 17:49 (-08)</t>
  </si>
  <si>
    <t>2023-10-09 01:55 (-08)</t>
  </si>
  <si>
    <t>2023-11-13 18:23 (-08)</t>
  </si>
  <si>
    <t>2023-11-06 03:24 (-08)</t>
  </si>
  <si>
    <t>2023-11-13 18:35 (-08)</t>
  </si>
  <si>
    <t>18:35(-08)</t>
  </si>
  <si>
    <t>2023-11-09 07:00 (-08)</t>
  </si>
  <si>
    <t>2023-11-13 18:55 (-08)</t>
  </si>
  <si>
    <t>18:55(-08)</t>
  </si>
  <si>
    <t>2023-11-13 21:39 (PST)</t>
  </si>
  <si>
    <t>2023-11-09 15:15 (PST)</t>
  </si>
  <si>
    <t>2023-11-14 21:55 (PST)</t>
  </si>
  <si>
    <t>2023-11-15 17:43 (PST)</t>
  </si>
  <si>
    <t>2023-05-17 05:53 (PST)</t>
  </si>
  <si>
    <t>2023-11-15 18:14 (PST)</t>
  </si>
  <si>
    <t>15 min 90s Dance Walk</t>
  </si>
  <si>
    <t>2023-10-18 06:40 (PST)</t>
  </si>
  <si>
    <t>2023-11-15 18:33 (PST)</t>
  </si>
  <si>
    <t>2023-10-22 09:26 (PST)</t>
  </si>
  <si>
    <t>2023-11-15 22:52 (PST)</t>
  </si>
  <si>
    <t>2023-11-12 10:01 (PST)</t>
  </si>
  <si>
    <t>2023-11-16 22:51 (PST)</t>
  </si>
  <si>
    <t>2023-11-15 10:58 (PST)</t>
  </si>
  <si>
    <t>2023-11-18 02:40 (PST)</t>
  </si>
  <si>
    <t>02:40(PST)</t>
  </si>
  <si>
    <t>2023-11-16 15:09 (PST)</t>
  </si>
  <si>
    <t>2023-11-18 15:04 (-08)</t>
  </si>
  <si>
    <t>15:04(-08)</t>
  </si>
  <si>
    <t>2022-11-09 03:53 (-08)</t>
  </si>
  <si>
    <t>2023-11-18 15:50 (-08)</t>
  </si>
  <si>
    <t>2023-11-17 08:00 (-08)</t>
  </si>
  <si>
    <t>2023-11-18 15:57 (-08)</t>
  </si>
  <si>
    <t>15:57(-08)</t>
  </si>
  <si>
    <t>2023-11-16 23:00 (-08)</t>
  </si>
  <si>
    <t>2023-11-18 23:16 (PST)</t>
  </si>
  <si>
    <t>2023-11-17 05:00 (PST)</t>
  </si>
  <si>
    <t>2023-11-19 15:39 (-08)</t>
  </si>
  <si>
    <t>2022-06-30 04:23 (-08)</t>
  </si>
  <si>
    <t>2023-11-19 16:26 (-08)</t>
  </si>
  <si>
    <t>2023-11-19 16:37 (-08)</t>
  </si>
  <si>
    <t>2023-11-14 08:00 (-08)</t>
  </si>
  <si>
    <t>2023-11-19 16:49 (-08)</t>
  </si>
  <si>
    <t>2023-11-19 10:56 (-08)</t>
  </si>
  <si>
    <t>2023-11-19 17:01 (PST)</t>
  </si>
  <si>
    <t>17:01(PST)</t>
  </si>
  <si>
    <t>2023-11-03 14:24 (PST)</t>
  </si>
  <si>
    <t>2023-11-19 22:22 (PST)</t>
  </si>
  <si>
    <t>2023-11-15 08:00 (PST)</t>
  </si>
  <si>
    <t>2023-11-20 16:29 (-08)</t>
  </si>
  <si>
    <t>2022-09-29 09:53 (-08)</t>
  </si>
  <si>
    <t>2023-11-20 17:20 (-08)</t>
  </si>
  <si>
    <t>2023-11-20 07:00 (-08)</t>
  </si>
  <si>
    <t>2023-11-20 17:33 (-08)</t>
  </si>
  <si>
    <t>2023-11-20 22:20 (PST)</t>
  </si>
  <si>
    <t>2023-10-03 09:39 (PST)</t>
  </si>
  <si>
    <t>2023-11-21 08:51 (PST)</t>
  </si>
  <si>
    <t>2023-11-10 14:24 (PST)</t>
  </si>
  <si>
    <t>2023-11-21 22:41 (PST)</t>
  </si>
  <si>
    <t>2023-11-21 08:00 (PST)</t>
  </si>
  <si>
    <t>2023-11-22 17:05 (-08)</t>
  </si>
  <si>
    <t>2020-07-31 07:22 (-08)</t>
  </si>
  <si>
    <t>2023-11-22 17:33 (-08)</t>
  </si>
  <si>
    <t>2023-11-01 13:25 (-08)</t>
  </si>
  <si>
    <t>2023-11-22 18:33 (PST)</t>
  </si>
  <si>
    <t>2023-11-22 04:26 (PST)</t>
  </si>
  <si>
    <t>2023-11-22 18:45 (PST)</t>
  </si>
  <si>
    <t>18:45(PST)</t>
  </si>
  <si>
    <t>2023-10-25 08:54 (PST)</t>
  </si>
  <si>
    <t>2023-11-26 13:03 (-08)</t>
  </si>
  <si>
    <t>2023-10-23 09:25 (-08)</t>
  </si>
  <si>
    <t>2023-11-26 13:51 (-08)</t>
  </si>
  <si>
    <t>13:51(-08)</t>
  </si>
  <si>
    <t>2023-11-15 08:00 (-08)</t>
  </si>
  <si>
    <t>2023-11-26 13:57 (-08)</t>
  </si>
  <si>
    <t>13:57(-08)</t>
  </si>
  <si>
    <t>2023-11-26 21:25 (PST)</t>
  </si>
  <si>
    <t>2023-11-27 01:03 (PST)</t>
  </si>
  <si>
    <t>01:03(PST)</t>
  </si>
  <si>
    <t>2023-11-26 10:11 (PST)</t>
  </si>
  <si>
    <t>2023-11-27 01:15 (PST)</t>
  </si>
  <si>
    <t>01:15(PST)</t>
  </si>
  <si>
    <t>2023-11-20 05:09 (PST)</t>
  </si>
  <si>
    <t>2023-11-27 19:05 (PST)</t>
  </si>
  <si>
    <t>19:05(PST)</t>
  </si>
  <si>
    <t>10 min Hip Hop Core Strength</t>
  </si>
  <si>
    <t>2023-11-24 07:00 (PST)</t>
  </si>
  <si>
    <t>2023-11-28 09:00 (PST)</t>
  </si>
  <si>
    <t>30 min Turkey Burn Yoga Flow</t>
  </si>
  <si>
    <t>2023-11-23 07:56 (PST)</t>
  </si>
  <si>
    <t>2023-11-28 09:32 (PST)</t>
  </si>
  <si>
    <t>2023-11-17 10:27 (PST)</t>
  </si>
  <si>
    <t>2023-11-28 10:58 (PST)</t>
  </si>
  <si>
    <t>10 min Level Up Meditation</t>
  </si>
  <si>
    <t>2023-11-28 22:31 (PST)</t>
  </si>
  <si>
    <t>2023-11-22 15:09 (PST)</t>
  </si>
  <si>
    <t>2023-11-29 22:06 (PST)</t>
  </si>
  <si>
    <t>2023-11-29 08:00 (PST)</t>
  </si>
  <si>
    <t>2023-11-30 09:07 (PST)</t>
  </si>
  <si>
    <t>09:07(PST)</t>
  </si>
  <si>
    <t>2023-11-29 07:00 (PST)</t>
  </si>
  <si>
    <t>2023-11-30 09:37 (PST)</t>
  </si>
  <si>
    <t>09:37(PST)</t>
  </si>
  <si>
    <t>2023-12-01 00:06 (PST)</t>
  </si>
  <si>
    <t>00:06(PST)</t>
  </si>
  <si>
    <t>2023-11-30 08:00 (PST)</t>
  </si>
  <si>
    <t>2023-12-01 00:17 (PST)</t>
  </si>
  <si>
    <t>00:17(PST)</t>
  </si>
  <si>
    <t>2023-12-01 23:52 (PST)</t>
  </si>
  <si>
    <t>2023-11-29 10:56 (PST)</t>
  </si>
  <si>
    <t>2023-12-02 21:28 (PST)</t>
  </si>
  <si>
    <t>2023-11-21 16:09 (PST)</t>
  </si>
  <si>
    <t>2023-12-03 20:01 (PST)</t>
  </si>
  <si>
    <t>20:01(PST)</t>
  </si>
  <si>
    <t>10 min Mindfulness of Thought Meditation</t>
  </si>
  <si>
    <t>2023-11-09 08:00 (PST)</t>
  </si>
  <si>
    <t>2023-12-03 20:12 (PST)</t>
  </si>
  <si>
    <t>2023-11-11 06:10 (PST)</t>
  </si>
  <si>
    <t>2023-12-04 07:49 (PST)</t>
  </si>
  <si>
    <t>30 min Grounded Yoga Flow</t>
  </si>
  <si>
    <t>2023-08-22 08:53 (PST)</t>
  </si>
  <si>
    <t>2023-12-04 15:29 (-08)</t>
  </si>
  <si>
    <t>15:29(-08)</t>
  </si>
  <si>
    <t>2023-12-01 15:27 (-08)</t>
  </si>
  <si>
    <t>2023-12-04 15:41 (-08)</t>
  </si>
  <si>
    <t>2023-11-25 10:24 (-08)</t>
  </si>
  <si>
    <t>2023-12-04 16:10 (-08)</t>
  </si>
  <si>
    <t>16:10(-08)</t>
  </si>
  <si>
    <t>2023-01-18 03:51 (-08)</t>
  </si>
  <si>
    <t>2023-12-04 16:42 (-08)</t>
  </si>
  <si>
    <t>2023-11-13 07:00 (-08)</t>
  </si>
  <si>
    <t>2023-12-04 16:52 (-08)</t>
  </si>
  <si>
    <t>2023-11-30 23:00 (-08)</t>
  </si>
  <si>
    <t>2023-12-05 15:31 (-08)</t>
  </si>
  <si>
    <t>15:31(-08)</t>
  </si>
  <si>
    <t>2023-11-21 14:26 (-08)</t>
  </si>
  <si>
    <t>2023-12-05 16:17 (-08)</t>
  </si>
  <si>
    <t>16:17(-08)</t>
  </si>
  <si>
    <t>2023-12-01 08:00 (-08)</t>
  </si>
  <si>
    <t>2023-12-05 16:24 (-08)</t>
  </si>
  <si>
    <t>16:24(-08)</t>
  </si>
  <si>
    <t>2022-08-31 08:37 (-08)</t>
  </si>
  <si>
    <t>2023-12-05 16:41 (-08)</t>
  </si>
  <si>
    <t>2023-07-21 06:00 (-08)</t>
  </si>
  <si>
    <t>2023-12-05 22:20 (PST)</t>
  </si>
  <si>
    <t>2023-12-05 08:00 (PST)</t>
  </si>
  <si>
    <t>2023-12-06 15:39 (-08)</t>
  </si>
  <si>
    <t>2022-07-12 06:32 (-08)</t>
  </si>
  <si>
    <t>2023-12-06 15:53 (-08)</t>
  </si>
  <si>
    <t>15:53(-08)</t>
  </si>
  <si>
    <t>2023-09-29 01:55 (-08)</t>
  </si>
  <si>
    <t>2023-12-06 16:29 (-08)</t>
  </si>
  <si>
    <t>2023-12-05 06:46 (-08)</t>
  </si>
  <si>
    <t>2023-12-06 21:39 (PST)</t>
  </si>
  <si>
    <t>2023-10-17 07:00 (PST)</t>
  </si>
  <si>
    <t>2023-12-06 22:02 (PST)</t>
  </si>
  <si>
    <t>2023-12-05 15:30 (PST)</t>
  </si>
  <si>
    <t>2023-12-07 21:58 (PST)</t>
  </si>
  <si>
    <t>2023-12-05 05:08 (PST)</t>
  </si>
  <si>
    <t>2023-12-08 08:48 (PST)</t>
  </si>
  <si>
    <t>2023-07-18 04:22 (PST)</t>
  </si>
  <si>
    <t>2023-12-08 10:05 (PST)</t>
  </si>
  <si>
    <t>2023-12-06 08:00 (PST)</t>
  </si>
  <si>
    <t>2023-12-09 11:06 (-08)</t>
  </si>
  <si>
    <t>2023-12-08 07:00 (-08)</t>
  </si>
  <si>
    <t>2023-12-09 11:20 (-08)</t>
  </si>
  <si>
    <t>11:20(-08)</t>
  </si>
  <si>
    <t>2023-10-31 07:00 (-08)</t>
  </si>
  <si>
    <t>2023-12-09 11:26 (-08)</t>
  </si>
  <si>
    <t>2023-11-26 10:55 (-08)</t>
  </si>
  <si>
    <t>2023-12-09 12:07 (-08)</t>
  </si>
  <si>
    <t>12:07(-08)</t>
  </si>
  <si>
    <t>2023-11-28 08:00 (-08)</t>
  </si>
  <si>
    <t>2023-12-09 12:18 (-08)</t>
  </si>
  <si>
    <t>12:18(-08)</t>
  </si>
  <si>
    <t>2023-11-28 23:00 (-08)</t>
  </si>
  <si>
    <t>2023-12-10 22:31 (PST)</t>
  </si>
  <si>
    <t>2023-12-10 10:01 (PST)</t>
  </si>
  <si>
    <t>2023-12-11 07:46 (PST)</t>
  </si>
  <si>
    <t>30 min 1989 (Taylor's Version) Yoga Flow</t>
  </si>
  <si>
    <t>2023-11-02 16:24 (PST)</t>
  </si>
  <si>
    <t>2023-12-11 15:17 (-08)</t>
  </si>
  <si>
    <t>2023-11-19 10:27 (-08)</t>
  </si>
  <si>
    <t>2023-12-11 16:35 (-08)</t>
  </si>
  <si>
    <t>16:35(-08)</t>
  </si>
  <si>
    <t>2023-12-05 14:25 (-08)</t>
  </si>
  <si>
    <t>2023-12-11 22:10 (PST)</t>
  </si>
  <si>
    <t>2023-12-11 16:08 (PST)</t>
  </si>
  <si>
    <t>2023-12-12 10:25 (PST)</t>
  </si>
  <si>
    <t>30 min 2000s Pop Yoga Flow</t>
  </si>
  <si>
    <t>2023-08-13 07:26 (PST)</t>
  </si>
  <si>
    <t>2023-12-12 14:38 (-08)</t>
  </si>
  <si>
    <t>14:38(-08)</t>
  </si>
  <si>
    <t>2023-12-05 15:26 (-08)</t>
  </si>
  <si>
    <t>2023-12-12 14:51 (-08)</t>
  </si>
  <si>
    <t>14:51(-08)</t>
  </si>
  <si>
    <t>45 min Power Zone Endurance EDM Ride</t>
  </si>
  <si>
    <t>2023-10-11 22:00 (-08)</t>
  </si>
  <si>
    <t>2023-12-12 15:37 (-08)</t>
  </si>
  <si>
    <t>15:37(-08)</t>
  </si>
  <si>
    <t>2023-11-02 23:00 (-08)</t>
  </si>
  <si>
    <t>2023-12-12 23:01 (PST)</t>
  </si>
  <si>
    <t>2023-12-12 08:00 (PST)</t>
  </si>
  <si>
    <t>2023-12-13 07:41 (PST)</t>
  </si>
  <si>
    <t>07:41(PST)</t>
  </si>
  <si>
    <t>2023-12-05 09:00 (PST)</t>
  </si>
  <si>
    <t>2023-12-13 15:15 (-08)</t>
  </si>
  <si>
    <t>15:15(-08)</t>
  </si>
  <si>
    <t>2023-12-11 15:00 (-08)</t>
  </si>
  <si>
    <t>2023-12-13 15:37 (-08)</t>
  </si>
  <si>
    <t>2023-12-07 04:25 (-08)</t>
  </si>
  <si>
    <t>2023-12-13 15:49 (-08)</t>
  </si>
  <si>
    <t>2023-11-26 07:24 (-08)</t>
  </si>
  <si>
    <t>2023-12-13 16:22 (-08)</t>
  </si>
  <si>
    <t>2023-12-13 22:43 (PST)</t>
  </si>
  <si>
    <t>2023-12-13 08:00 (PST)</t>
  </si>
  <si>
    <t>2023-12-14 14:47 (-08)</t>
  </si>
  <si>
    <t>2023-11-11 04:54 (-08)</t>
  </si>
  <si>
    <t>2023-12-14 16:04 (-08)</t>
  </si>
  <si>
    <t>16:04(-08)</t>
  </si>
  <si>
    <t>2023-12-13 23:00 (-08)</t>
  </si>
  <si>
    <t>2023-12-14 16:19 (-08)</t>
  </si>
  <si>
    <t>2023-12-14 04:24 (-08)</t>
  </si>
  <si>
    <t>2023-12-14 16:30 (-08)</t>
  </si>
  <si>
    <t>2023-12-13 15:59 (-08)</t>
  </si>
  <si>
    <t>2023-12-16 22:45 (PST)</t>
  </si>
  <si>
    <t>2020-02-06 08:00 (PST)</t>
  </si>
  <si>
    <t>2023-12-17 13:07 (-08)</t>
  </si>
  <si>
    <t>2023-10-25 03:24 (-08)</t>
  </si>
  <si>
    <t>2023-12-17 13:26 (-08)</t>
  </si>
  <si>
    <t>13:26(-08)</t>
  </si>
  <si>
    <t>2023-12-03 06:55 (-08)</t>
  </si>
  <si>
    <t>2023-12-17 23:34 (PST)</t>
  </si>
  <si>
    <t>23:34(PST)</t>
  </si>
  <si>
    <t>2023-12-12 09:18 (PST)</t>
  </si>
  <si>
    <t>2023-12-18 08:03 (PST)</t>
  </si>
  <si>
    <t>2023-12-01 08:56 (PST)</t>
  </si>
  <si>
    <t>2023-12-18 22:13 (PST)</t>
  </si>
  <si>
    <t>2023-12-13 11:01 (PST)</t>
  </si>
  <si>
    <t>2023-12-19 15:05 (-08)</t>
  </si>
  <si>
    <t>2023-07-15 03:54 (-08)</t>
  </si>
  <si>
    <t>2023-12-19 16:06 (-08)</t>
  </si>
  <si>
    <t>2023-12-15 08:00 (-08)</t>
  </si>
  <si>
    <t>2023-12-19 16:17 (-08)</t>
  </si>
  <si>
    <t>2023-12-14 23:00 (-08)</t>
  </si>
  <si>
    <t>2023-12-19 21:52 (PST)</t>
  </si>
  <si>
    <t>15 min Beyonce Courage Meditation</t>
  </si>
  <si>
    <t>2021-11-10 07:00 (PST)</t>
  </si>
  <si>
    <t>2023-12-20 23:20 (PST)</t>
  </si>
  <si>
    <t>5 min Meditation for Anxiety</t>
  </si>
  <si>
    <t>2023-12-19 08:00 (PST)</t>
  </si>
  <si>
    <t>2023-12-21 09:32 (PST)</t>
  </si>
  <si>
    <t>2023-09-06 07:00 (PST)</t>
  </si>
  <si>
    <t>2023-12-21 09:39 (PST)</t>
  </si>
  <si>
    <t>2023-12-04 04:49 (PST)</t>
  </si>
  <si>
    <t>2023-12-21 15:23 (-08)</t>
  </si>
  <si>
    <t>15:23(-08)</t>
  </si>
  <si>
    <t>45 min Power Zone Endurance Country Ride</t>
  </si>
  <si>
    <t>2023-10-21 05:54 (-08)</t>
  </si>
  <si>
    <t>2023-12-21 16:09 (-08)</t>
  </si>
  <si>
    <t>16:09(-08)</t>
  </si>
  <si>
    <t>2023-10-10 07:00 (-08)</t>
  </si>
  <si>
    <t>2023-12-21 16:21 (-08)</t>
  </si>
  <si>
    <t>20 min Power &amp; Performance Benchmark</t>
  </si>
  <si>
    <t>2023-12-18 02:00 (-08)</t>
  </si>
  <si>
    <t>2023-12-21 16:46 (-08)</t>
  </si>
  <si>
    <t>2023-12-21 22:53 (PST)</t>
  </si>
  <si>
    <t>2023-12-21 08:00 (PST)</t>
  </si>
  <si>
    <t>2023-12-24 22:09 (PST)</t>
  </si>
  <si>
    <t>2023-12-25 12:57 (-08)</t>
  </si>
  <si>
    <t>2023-10-21 05:56 (-08)</t>
  </si>
  <si>
    <t>2023-12-25 13:18 (-08)</t>
  </si>
  <si>
    <t>13:18(-08)</t>
  </si>
  <si>
    <t>10 min Lower Body Strength Warm Up</t>
  </si>
  <si>
    <t>2023-12-25 13:31 (-08)</t>
  </si>
  <si>
    <t>30 min Power &amp; Performance</t>
  </si>
  <si>
    <t>2023-12-25 14:05 (-08)</t>
  </si>
  <si>
    <t>2023-12-19 02:52 (-08)</t>
  </si>
  <si>
    <t>2023-12-25 14:36 (-08)</t>
  </si>
  <si>
    <t>14:36(-08)</t>
  </si>
  <si>
    <t>5 min Body Appreciation Post-Row Stretch</t>
  </si>
  <si>
    <t>2023-09-27 06:00 (-08)</t>
  </si>
  <si>
    <t>2023-12-25 22:17 (PST)</t>
  </si>
  <si>
    <t>2023-12-19 04:58 (PST)</t>
  </si>
  <si>
    <t>2023-12-26 08:08 (PST)</t>
  </si>
  <si>
    <t>2023-11-17 14:24 (PST)</t>
  </si>
  <si>
    <t>2023-12-26 16:37 (-08)</t>
  </si>
  <si>
    <t>2023-12-09 04:24 (-08)</t>
  </si>
  <si>
    <t>2023-12-26 17:53 (-08)</t>
  </si>
  <si>
    <t>17:53(-08)</t>
  </si>
  <si>
    <t>2023-12-20 08:00 (-08)</t>
  </si>
  <si>
    <t>2023-12-26 18:00 (-08)</t>
  </si>
  <si>
    <t>2023-12-21 23:00 (-08)</t>
  </si>
  <si>
    <t>2023-12-26 23:25 (PST)</t>
  </si>
  <si>
    <t>2023-12-20 08:00 (PST)</t>
  </si>
  <si>
    <t>2023-12-27 22:39 (PST)</t>
  </si>
  <si>
    <t>2023-12-19 15:55 (PST)</t>
  </si>
  <si>
    <t>2023-12-28 10:13 (-08)</t>
  </si>
  <si>
    <t>10:13(-08)</t>
  </si>
  <si>
    <t>2023-12-28 10:54 (-08)</t>
  </si>
  <si>
    <t>45 min Endurance Row</t>
  </si>
  <si>
    <t>2023-10-25 06:24 (-08)</t>
  </si>
  <si>
    <t>2023-12-28 11:59 (-08)</t>
  </si>
  <si>
    <t>11:59(-08)</t>
  </si>
  <si>
    <t>2023-12-22 09:56 (-08)</t>
  </si>
  <si>
    <t>2023-12-28 22:31 (PST)</t>
  </si>
  <si>
    <t>2020-11-10 08:00 (PST)</t>
  </si>
  <si>
    <t>2023-12-29 22:35 (PST)</t>
  </si>
  <si>
    <t>2020-12-28 07:00 (PST)</t>
  </si>
  <si>
    <t>2023-12-30 16:11 (-08)</t>
  </si>
  <si>
    <t>16:11(-08)</t>
  </si>
  <si>
    <t>2023-12-24 02:00 (-08)</t>
  </si>
  <si>
    <t>2023-12-30 16:44 (-08)</t>
  </si>
  <si>
    <t>2023-12-20 15:27 (-08)</t>
  </si>
  <si>
    <t>2023-12-30 16:58 (-08)</t>
  </si>
  <si>
    <t>2023-12-02 04:54 (-08)</t>
  </si>
  <si>
    <t>2023-12-30 17:44 (-08)</t>
  </si>
  <si>
    <t>2023-12-07 23:00 (-08)</t>
  </si>
  <si>
    <t>2023-12-30 22:53 (PST)</t>
  </si>
  <si>
    <t>20 min Walking Body Scan Meditation</t>
  </si>
  <si>
    <t>2024-01-01 16:01 (-08)</t>
  </si>
  <si>
    <t>2024-01-01 16:42 (-08)</t>
  </si>
  <si>
    <t>2023-12-21 04:25 (-08)</t>
  </si>
  <si>
    <t>2024-01-01 19:07 (PST)</t>
  </si>
  <si>
    <t>2023-09-22 14:24 (PST)</t>
  </si>
  <si>
    <t>2024-01-01 21:47 (PST)</t>
  </si>
  <si>
    <t>2023-12-31 14:00 (PST)</t>
  </si>
  <si>
    <t>2024-01-02 07:02 (PST)</t>
  </si>
  <si>
    <t>2023-12-08 08:56 (PST)</t>
  </si>
  <si>
    <t>2024-01-02 13:31 (PST)</t>
  </si>
  <si>
    <t>38 min 33 sec Just Walk: Outdoor</t>
  </si>
  <si>
    <t>2024-01-02 15:51 (-08)</t>
  </si>
  <si>
    <t>15:51(-08)</t>
  </si>
  <si>
    <t>2023-12-19 14:25 (-08)</t>
  </si>
  <si>
    <t>2024-01-02 16:52 (-08)</t>
  </si>
  <si>
    <t>2023-10-13 07:00 (-08)</t>
  </si>
  <si>
    <t>2024-01-02 16:57 (-08)</t>
  </si>
  <si>
    <t>2023-09-12 22:00 (-08)</t>
  </si>
  <si>
    <t>2024-01-02 21:58 (PST)</t>
  </si>
  <si>
    <t>2024-01-02 15:45 (PST)</t>
  </si>
  <si>
    <t>2024-01-03 14:46 (PST)</t>
  </si>
  <si>
    <t>14:46(PST)</t>
  </si>
  <si>
    <t>41 min 23 sec Just Walk: Outdoor</t>
  </si>
  <si>
    <t>2024-01-03 16:28 (-08)</t>
  </si>
  <si>
    <t>2024-01-01 02:00 (-08)</t>
  </si>
  <si>
    <t>2024-01-03 17:01 (-08)</t>
  </si>
  <si>
    <t>2024-01-03 03:45 (-08)</t>
  </si>
  <si>
    <t>2024-01-03 17:13 (-08)</t>
  </si>
  <si>
    <t>2024-01-03 03:25 (-08)</t>
  </si>
  <si>
    <t>2024-01-03 17:29 (-08)</t>
  </si>
  <si>
    <t>17:29(-08)</t>
  </si>
  <si>
    <t>2023-12-13 07:24 (-08)</t>
  </si>
  <si>
    <t>2024-01-03 22:19 (PST)</t>
  </si>
  <si>
    <t>20 min Grounded Walking Meditation</t>
  </si>
  <si>
    <t>2024-01-04 10:15 (PST)</t>
  </si>
  <si>
    <t>2023-12-29 06:00 (PST)</t>
  </si>
  <si>
    <t>2024-01-04 11:54 (PST)</t>
  </si>
  <si>
    <t>11:54(PST)</t>
  </si>
  <si>
    <t>40 min 22 sec Just Walk: Outdoor</t>
  </si>
  <si>
    <t>2024-01-04 15:24 (-08)</t>
  </si>
  <si>
    <t>15:24(-08)</t>
  </si>
  <si>
    <t>10 min Standing Core</t>
  </si>
  <si>
    <t>2024-01-04 07:00 (-08)</t>
  </si>
  <si>
    <t>2024-01-04 15:38 (-08)</t>
  </si>
  <si>
    <t>15:38(-08)</t>
  </si>
  <si>
    <t>2022-11-15 10:54 (-08)</t>
  </si>
  <si>
    <t>2024-01-04 16:10 (-08)</t>
  </si>
  <si>
    <t>2024-01-03 23:00 (-08)</t>
  </si>
  <si>
    <t>2024-01-04 21:55 (PST)</t>
  </si>
  <si>
    <t>2024-01-04 08:00 (PST)</t>
  </si>
  <si>
    <t>2024-01-05 16:56 (PST)</t>
  </si>
  <si>
    <t>2023-12-01 14:27 (PST)</t>
  </si>
  <si>
    <t>2024-01-06 23:27 (PST)</t>
  </si>
  <si>
    <t>20 min Witness Walking Meditation</t>
  </si>
  <si>
    <t>2024-01-07 13:59 (-08)</t>
  </si>
  <si>
    <t>2024-01-05 07:00 (-08)</t>
  </si>
  <si>
    <t>2024-01-07 14:18 (-08)</t>
  </si>
  <si>
    <t>14:18(-08)</t>
  </si>
  <si>
    <t>2024-01-07 10:56 (-08)</t>
  </si>
  <si>
    <t>2024-01-07 15:09 (-08)</t>
  </si>
  <si>
    <t>15:09(-08)</t>
  </si>
  <si>
    <t>2023-12-11 07:00 (-08)</t>
  </si>
  <si>
    <t>2024-01-07 15:20 (-08)</t>
  </si>
  <si>
    <t>15:20(-08)</t>
  </si>
  <si>
    <t>2023-12-12 23:00 (-08)</t>
  </si>
  <si>
    <t>2024-01-07 22:23 (PST)</t>
  </si>
  <si>
    <t>2024-01-07 10:01 (PST)</t>
  </si>
  <si>
    <t>2024-01-08 07:33 (PST)</t>
  </si>
  <si>
    <t>2023-08-26 05:26 (PST)</t>
  </si>
  <si>
    <t>2024-01-08 15:09 (PST)</t>
  </si>
  <si>
    <t>15:09(PST)</t>
  </si>
  <si>
    <t>2023-11-02 08:00 (PST)</t>
  </si>
  <si>
    <t>2024-01-08 16:17 (-08)</t>
  </si>
  <si>
    <t>2022-06-08 01:52 (-08)</t>
  </si>
  <si>
    <t>2024-01-08 17:05 (-08)</t>
  </si>
  <si>
    <t>2024-01-08 07:00 (-08)</t>
  </si>
  <si>
    <t>2024-01-08 17:19 (-08)</t>
  </si>
  <si>
    <t>17:19(-08)</t>
  </si>
  <si>
    <t>2024-01-08 15:27 (-08)</t>
  </si>
  <si>
    <t>2024-01-08 22:10 (PST)</t>
  </si>
  <si>
    <t>2024-01-02 09:25 (PST)</t>
  </si>
  <si>
    <t>2024-01-09 16:49 (-08)</t>
  </si>
  <si>
    <t>2023-12-02 07:25 (-08)</t>
  </si>
  <si>
    <t>2024-01-09 17:23 (-08)</t>
  </si>
  <si>
    <t>17:23(-08)</t>
  </si>
  <si>
    <t>2024-01-02 03:25 (-08)</t>
  </si>
  <si>
    <t>2024-01-09 17:35 (-08)</t>
  </si>
  <si>
    <t>2024-01-05 09:53 (-08)</t>
  </si>
  <si>
    <t>2024-01-09 18:10 (PST)</t>
  </si>
  <si>
    <t>2023-12-30 06:00 (PST)</t>
  </si>
  <si>
    <t>2024-01-09 21:54 (PST)</t>
  </si>
  <si>
    <t>15 min Stacking Stuffer: Body Scan</t>
  </si>
  <si>
    <t>2021-12-06 05:30 (PST)</t>
  </si>
  <si>
    <t>2024-01-10 12:11 (PST)</t>
  </si>
  <si>
    <t>12:11(PST)</t>
  </si>
  <si>
    <t>101 min 18 sec Just Walk: Outdoor</t>
  </si>
  <si>
    <t>2024-01-10 16:11 (-08)</t>
  </si>
  <si>
    <t>2023-05-24 22:00 (-08)</t>
  </si>
  <si>
    <t>2024-01-10 22:12 (PST)</t>
  </si>
  <si>
    <t>2024-01-10 08:00 (PST)</t>
  </si>
  <si>
    <t>2024-01-11 23:07 (PST)</t>
  </si>
  <si>
    <t>2024-01-10 11:09 (PST)</t>
  </si>
  <si>
    <t>2024-01-12 22:44 (PST)</t>
  </si>
  <si>
    <t>2024-01-09 15:55 (PST)</t>
  </si>
  <si>
    <t>2024-01-13 14:29 (-08)</t>
  </si>
  <si>
    <t>14:29(-08)</t>
  </si>
  <si>
    <t>2020-12-06 10:21 (-08)</t>
  </si>
  <si>
    <t>2024-01-13 21:18 (PST)</t>
  </si>
  <si>
    <t>2023-03-20 04:25 (PST)</t>
  </si>
  <si>
    <t>2024-01-14 22:44 (PST)</t>
  </si>
  <si>
    <t>2024-01-11 08:00 (PST)</t>
  </si>
  <si>
    <t>2024-01-15 12:35 (-08)</t>
  </si>
  <si>
    <t>15 min Move for You: Core</t>
  </si>
  <si>
    <t>2024-01-14 10:25 (-08)</t>
  </si>
  <si>
    <t>2024-01-15 12:52 (-08)</t>
  </si>
  <si>
    <t>12:52(-08)</t>
  </si>
  <si>
    <t>2024-01-15 13:38 (-08)</t>
  </si>
  <si>
    <t>13:38(-08)</t>
  </si>
  <si>
    <t>2024-01-12 08:00 (-08)</t>
  </si>
  <si>
    <t>2024-01-15 13:49 (-08)</t>
  </si>
  <si>
    <t>2024-01-11 08:00 (-08)</t>
  </si>
  <si>
    <t>2024-01-15 21:49 (PST)</t>
  </si>
  <si>
    <t>10 min Martin Luther King Jr. Meditation</t>
  </si>
  <si>
    <t>2024-01-15 05:08 (PST)</t>
  </si>
  <si>
    <t>2024-01-16 13:44 (PST)</t>
  </si>
  <si>
    <t>30 min Hozier Slow Flow</t>
  </si>
  <si>
    <t>2023-09-09 05:55 (PST)</t>
  </si>
  <si>
    <t>2024-01-16 14:46 (PST)</t>
  </si>
  <si>
    <t>2024-01-16 16:41 (-08)</t>
  </si>
  <si>
    <t>2023-11-22 02:54 (-08)</t>
  </si>
  <si>
    <t>2024-01-16 17:13 (-08)</t>
  </si>
  <si>
    <t>2024-01-10 09:47 (-08)</t>
  </si>
  <si>
    <t>2024-01-16 21:44 (PST)</t>
  </si>
  <si>
    <t>2024-01-16 15:58 (PST)</t>
  </si>
  <si>
    <t>2024-01-17 15:42 (-08)</t>
  </si>
  <si>
    <t>15:42(-08)</t>
  </si>
  <si>
    <t>2023-11-14 22:55 (-08)</t>
  </si>
  <si>
    <t>2024-01-17 16:28 (-08)</t>
  </si>
  <si>
    <t>2024-01-17 16:42 (-08)</t>
  </si>
  <si>
    <t>Row Labels</t>
  </si>
  <si>
    <t>Grand Total</t>
  </si>
  <si>
    <t>Count of Class Timestamp</t>
  </si>
  <si>
    <t>Sum of Distance (mi)</t>
  </si>
  <si>
    <t>Count of Time</t>
  </si>
  <si>
    <t>5-15 Minute Workouts</t>
  </si>
  <si>
    <t>45-60 Minute Workouts</t>
  </si>
  <si>
    <t>20-30 Minute Workouts</t>
  </si>
  <si>
    <t>&gt; 60 minute Workouts</t>
  </si>
  <si>
    <t>Total Workouts</t>
  </si>
  <si>
    <t>Workout Percentage</t>
  </si>
  <si>
    <t>Total Minutes</t>
  </si>
  <si>
    <t>Minute Percentage</t>
  </si>
  <si>
    <t>Other Percentage</t>
  </si>
  <si>
    <t>(blank)</t>
  </si>
  <si>
    <t>Years (Date)</t>
  </si>
  <si>
    <t>Jan</t>
  </si>
  <si>
    <t>Jul</t>
  </si>
  <si>
    <t>Oct</t>
  </si>
  <si>
    <t>Nov</t>
  </si>
  <si>
    <t>Dec</t>
  </si>
  <si>
    <t>Feb</t>
  </si>
  <si>
    <t>Mar</t>
  </si>
  <si>
    <t>Apr</t>
  </si>
  <si>
    <t>May</t>
  </si>
  <si>
    <t>Jun</t>
  </si>
  <si>
    <t>Aug</t>
  </si>
  <si>
    <t>Sep</t>
  </si>
  <si>
    <t>2022</t>
  </si>
  <si>
    <t>2023</t>
  </si>
  <si>
    <t>2021</t>
  </si>
  <si>
    <t>Month</t>
  </si>
  <si>
    <t>2021 workouts</t>
  </si>
  <si>
    <t>2022 workouts</t>
  </si>
  <si>
    <t>2023 workouts</t>
  </si>
  <si>
    <t>Sum of Length (minutes)</t>
  </si>
  <si>
    <t>2021 Minutes</t>
  </si>
  <si>
    <t>2022 Minutes</t>
  </si>
  <si>
    <t>2023 Minutes</t>
  </si>
  <si>
    <t>Count of Workout Timestamp</t>
  </si>
  <si>
    <t>Instructor</t>
  </si>
  <si>
    <t># of Workouts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</si>
</sst>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9" fontId="0" fillId="0" borderId="0" xfId="0" applyNumberFormat="1"/>
    <xf numFmtId="2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6" fillId="2" borderId="0" xfId="6"/>
    <xf numFmtId="0" fontId="6" fillId="2" borderId="0" xfId="6" applyBorder="1"/>
    <xf numFmtId="9" fontId="0" fillId="0" borderId="0" xfId="42" applyFont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25FB5D"/>
      <color rgb="FF33C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18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25FB5D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2F0D-4B9E-9057-B9CF2ABE6984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2F0D-4B9E-9057-B9CF2ABE698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F0D-4B9E-9057-B9CF2ABE69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Pivots!$G$35:$H$35</c:f>
              <c:numCache>
                <c:formatCode>0%</c:formatCode>
                <c:ptCount val="2"/>
                <c:pt idx="0">
                  <c:v>0.14651837524177949</c:v>
                </c:pt>
                <c:pt idx="1">
                  <c:v>0.85348162475822054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F0D-4B9E-9057-B9CF2ABE698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0-2087-4D04-82D4-1320BBC8A63E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2-2087-4D04-82D4-1320BBC8A6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2087-4D04-82D4-1320BBC8A6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Pivots!$J$35:$K$35</c:f>
              <c:numCache>
                <c:formatCode>0%</c:formatCode>
                <c:ptCount val="2"/>
                <c:pt idx="0">
                  <c:v>0.36082662765179224</c:v>
                </c:pt>
                <c:pt idx="1">
                  <c:v>0.6391733723482077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087-4D04-82D4-1320BBC8A63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6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25FB5D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E647-473F-AD1C-21637FDFDEE0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E647-473F-AD1C-21637FDFDEE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647-473F-AD1C-21637FDFDE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Pivots!$G$36:$H$36</c:f>
              <c:numCache>
                <c:formatCode>0%</c:formatCode>
                <c:ptCount val="2"/>
                <c:pt idx="0">
                  <c:v>7.4951644100580269E-3</c:v>
                </c:pt>
                <c:pt idx="1">
                  <c:v>0.99250483558994196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647-473F-AD1C-21637FDFDEE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12-4F99-A167-CFC82A3C54D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12-4F99-A167-CFC82A3C54DD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12-4F99-A167-CFC82A3C54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Pivots!$J$36:$K$36</c:f>
              <c:numCache>
                <c:formatCode>0%</c:formatCode>
                <c:ptCount val="2"/>
                <c:pt idx="0">
                  <c:v>1.5910753474762254E-2</c:v>
                </c:pt>
                <c:pt idx="1">
                  <c:v>0.98408924652523777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12-4F99-A167-CFC82A3C54D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6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25FB5D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B49-4614-8874-CB816CDD9335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B49-4614-8874-CB816CDD933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49-4614-8874-CB816CDD93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Pivots!$G$34:$H$34</c:f>
              <c:numCache>
                <c:formatCode>0%</c:formatCode>
                <c:ptCount val="2"/>
                <c:pt idx="0">
                  <c:v>0.28094777562862672</c:v>
                </c:pt>
                <c:pt idx="1">
                  <c:v>0.71905222437137328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49-4614-8874-CB816CDD933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09A-44E7-8460-CAACA422C0C9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09A-44E7-8460-CAACA422C0C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09A-44E7-8460-CAACA422C0C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Pivots!$J$34:$K$34</c:f>
              <c:numCache>
                <c:formatCode>0%</c:formatCode>
                <c:ptCount val="2"/>
                <c:pt idx="0">
                  <c:v>0.37051938551572788</c:v>
                </c:pt>
                <c:pt idx="1">
                  <c:v>0.62948061448427217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9A-44E7-8460-CAACA422C0C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6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25FB5D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12D-4DF5-AF54-7AAFEA3034E1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12D-4DF5-AF54-7AAFEA3034E1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2D-4DF5-AF54-7AAFEA3034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Pivots!$G$33:$H$33</c:f>
              <c:numCache>
                <c:formatCode>0%</c:formatCode>
                <c:ptCount val="2"/>
                <c:pt idx="0">
                  <c:v>0.56503868471953578</c:v>
                </c:pt>
                <c:pt idx="1">
                  <c:v>0.43496131528046422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12D-4DF5-AF54-7AAFEA3034E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94F9-4531-9C17-C8BD228E6D8B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94F9-4531-9C17-C8BD228E6D8B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F9-4531-9C17-C8BD228E6D8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Pivots!$J$33:$K$33</c:f>
              <c:numCache>
                <c:formatCode>0%</c:formatCode>
                <c:ptCount val="2"/>
                <c:pt idx="0">
                  <c:v>0.25274323335771764</c:v>
                </c:pt>
                <c:pt idx="1">
                  <c:v>0.74725676664228236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F9-4531-9C17-C8BD228E6D8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6"/>
      </c:doughnut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Sheet1!$K$3</c:f>
              <c:strCache>
                <c:ptCount val="1"/>
                <c:pt idx="0">
                  <c:v>2021 workouts</c:v>
                </c:pt>
              </c:strCache>
            </c:strRef>
          </c:tx>
          <c:spPr>
            <a:ln w="28575" cap="rnd">
              <a:solidFill>
                <a:srgbClr val="33CA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cat>
            <c:strRef>
              <c:f>Sheet1!$J$4:$J$15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Sheet1!$K$4:$K$15</c:f>
              <c:numCache>
                <c:formatCode>General</c:formatCode>
                <c:ptCount val="12"/>
                <c:pt idx="0">
                  <c:v>81</c:v>
                </c:pt>
                <c:pt idx="1">
                  <c:v>81</c:v>
                </c:pt>
                <c:pt idx="2">
                  <c:v>103</c:v>
                </c:pt>
                <c:pt idx="3">
                  <c:v>93</c:v>
                </c:pt>
                <c:pt idx="4">
                  <c:v>112</c:v>
                </c:pt>
                <c:pt idx="5">
                  <c:v>109</c:v>
                </c:pt>
                <c:pt idx="6">
                  <c:v>114</c:v>
                </c:pt>
                <c:pt idx="7">
                  <c:v>105</c:v>
                </c:pt>
                <c:pt idx="8">
                  <c:v>124</c:v>
                </c:pt>
                <c:pt idx="9">
                  <c:v>117</c:v>
                </c:pt>
                <c:pt idx="10">
                  <c:v>129</c:v>
                </c:pt>
                <c:pt idx="11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27-4D4D-B18F-9B544E55DA8D}"/>
            </c:ext>
          </c:extLst>
        </c:ser>
        <c:ser>
          <c:idx val="1"/>
          <c:order val="1"/>
          <c:tx>
            <c:strRef>
              <c:f>Sheet1!$L$3</c:f>
              <c:strCache>
                <c:ptCount val="1"/>
                <c:pt idx="0">
                  <c:v>2022 workouts</c:v>
                </c:pt>
              </c:strCache>
            </c:strRef>
          </c:tx>
          <c:spPr>
            <a:ln w="28575" cap="rnd">
              <a:solidFill>
                <a:srgbClr val="25FB5D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cat>
            <c:strRef>
              <c:f>Sheet1!$J$4:$J$15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Sheet1!$L$4:$L$15</c:f>
              <c:numCache>
                <c:formatCode>General</c:formatCode>
                <c:ptCount val="12"/>
                <c:pt idx="0">
                  <c:v>164</c:v>
                </c:pt>
                <c:pt idx="1">
                  <c:v>138</c:v>
                </c:pt>
                <c:pt idx="2">
                  <c:v>158</c:v>
                </c:pt>
                <c:pt idx="3">
                  <c:v>137</c:v>
                </c:pt>
                <c:pt idx="4">
                  <c:v>131</c:v>
                </c:pt>
                <c:pt idx="5">
                  <c:v>118</c:v>
                </c:pt>
                <c:pt idx="6">
                  <c:v>125</c:v>
                </c:pt>
                <c:pt idx="7">
                  <c:v>107</c:v>
                </c:pt>
                <c:pt idx="8">
                  <c:v>98</c:v>
                </c:pt>
                <c:pt idx="9">
                  <c:v>95</c:v>
                </c:pt>
                <c:pt idx="10">
                  <c:v>71</c:v>
                </c:pt>
                <c:pt idx="11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27-4D4D-B18F-9B544E55DA8D}"/>
            </c:ext>
          </c:extLst>
        </c:ser>
        <c:ser>
          <c:idx val="2"/>
          <c:order val="2"/>
          <c:tx>
            <c:strRef>
              <c:f>Sheet1!$M$3</c:f>
              <c:strCache>
                <c:ptCount val="1"/>
                <c:pt idx="0">
                  <c:v>2023 workouts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noFill/>
              </a:ln>
              <a:effectLst/>
            </c:spPr>
          </c:marker>
          <c:cat>
            <c:strRef>
              <c:f>Sheet1!$J$4:$J$15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Sheet1!$M$4:$M$15</c:f>
              <c:numCache>
                <c:formatCode>General</c:formatCode>
                <c:ptCount val="12"/>
                <c:pt idx="0">
                  <c:v>113</c:v>
                </c:pt>
                <c:pt idx="1">
                  <c:v>86</c:v>
                </c:pt>
                <c:pt idx="2">
                  <c:v>105</c:v>
                </c:pt>
                <c:pt idx="3">
                  <c:v>89</c:v>
                </c:pt>
                <c:pt idx="4">
                  <c:v>75</c:v>
                </c:pt>
                <c:pt idx="5">
                  <c:v>58</c:v>
                </c:pt>
                <c:pt idx="6">
                  <c:v>84</c:v>
                </c:pt>
                <c:pt idx="7">
                  <c:v>95</c:v>
                </c:pt>
                <c:pt idx="8">
                  <c:v>85</c:v>
                </c:pt>
                <c:pt idx="9">
                  <c:v>87</c:v>
                </c:pt>
                <c:pt idx="10">
                  <c:v>84</c:v>
                </c:pt>
                <c:pt idx="11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127-4D4D-B18F-9B544E55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90831"/>
        <c:axId val="1382367311"/>
      </c:lineChart>
      <c:catAx>
        <c:axId val="138239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67311"/>
        <c:crosses val="autoZero"/>
        <c:auto val="1"/>
        <c:lblAlgn val="ctr"/>
        <c:lblOffset val="100"/>
        <c:noMultiLvlLbl val="0"/>
      </c:catAx>
      <c:valAx>
        <c:axId val="138236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9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Sheet1!$K$20</c:f>
              <c:strCache>
                <c:ptCount val="1"/>
                <c:pt idx="0">
                  <c:v>2021 Minutes</c:v>
                </c:pt>
              </c:strCache>
            </c:strRef>
          </c:tx>
          <c:spPr>
            <a:solidFill>
              <a:srgbClr val="33CAFF"/>
            </a:solidFill>
            <a:ln>
              <a:noFill/>
            </a:ln>
            <a:effectLst/>
          </c:spPr>
          <c:invertIfNegative val="0"/>
          <c:cat>
            <c:strRef>
              <c:f>Sheet1!$J$21:$J$32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Sheet1!$K$21:$K$32</c:f>
              <c:numCache>
                <c:formatCode>General</c:formatCode>
                <c:ptCount val="12"/>
                <c:pt idx="0">
                  <c:v>1945</c:v>
                </c:pt>
                <c:pt idx="1">
                  <c:v>1530</c:v>
                </c:pt>
                <c:pt idx="2">
                  <c:v>2275</c:v>
                </c:pt>
                <c:pt idx="3">
                  <c:v>2055</c:v>
                </c:pt>
                <c:pt idx="4">
                  <c:v>2395</c:v>
                </c:pt>
                <c:pt idx="5">
                  <c:v>2110</c:v>
                </c:pt>
                <c:pt idx="6">
                  <c:v>2175</c:v>
                </c:pt>
                <c:pt idx="7">
                  <c:v>2340</c:v>
                </c:pt>
                <c:pt idx="8">
                  <c:v>2340</c:v>
                </c:pt>
                <c:pt idx="9">
                  <c:v>2320</c:v>
                </c:pt>
                <c:pt idx="10">
                  <c:v>2355</c:v>
                </c:pt>
                <c:pt idx="11">
                  <c:v>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7E-44B6-B7F8-8F48E14F9679}"/>
            </c:ext>
          </c:extLst>
        </c:ser>
        <c:ser>
          <c:idx val="1"/>
          <c:order val="1"/>
          <c:tx>
            <c:strRef>
              <c:f>Sheet1!$L$20</c:f>
              <c:strCache>
                <c:ptCount val="1"/>
                <c:pt idx="0">
                  <c:v>2022 Minutes</c:v>
                </c:pt>
              </c:strCache>
            </c:strRef>
          </c:tx>
          <c:spPr>
            <a:solidFill>
              <a:srgbClr val="25FB5D"/>
            </a:solidFill>
            <a:ln>
              <a:noFill/>
            </a:ln>
            <a:effectLst/>
          </c:spPr>
          <c:invertIfNegative val="0"/>
          <c:cat>
            <c:strRef>
              <c:f>Sheet1!$J$21:$J$32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Sheet1!$L$21:$L$32</c:f>
              <c:numCache>
                <c:formatCode>General</c:formatCode>
                <c:ptCount val="12"/>
                <c:pt idx="0">
                  <c:v>3280</c:v>
                </c:pt>
                <c:pt idx="1">
                  <c:v>2740</c:v>
                </c:pt>
                <c:pt idx="2">
                  <c:v>3085</c:v>
                </c:pt>
                <c:pt idx="3">
                  <c:v>2670</c:v>
                </c:pt>
                <c:pt idx="4">
                  <c:v>2695</c:v>
                </c:pt>
                <c:pt idx="5">
                  <c:v>2281</c:v>
                </c:pt>
                <c:pt idx="6">
                  <c:v>2324</c:v>
                </c:pt>
                <c:pt idx="7">
                  <c:v>2136</c:v>
                </c:pt>
                <c:pt idx="8">
                  <c:v>2013</c:v>
                </c:pt>
                <c:pt idx="9">
                  <c:v>2188</c:v>
                </c:pt>
                <c:pt idx="10">
                  <c:v>1410</c:v>
                </c:pt>
                <c:pt idx="11">
                  <c:v>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47E-44B6-B7F8-8F48E14F9679}"/>
            </c:ext>
          </c:extLst>
        </c:ser>
        <c:ser>
          <c:idx val="2"/>
          <c:order val="2"/>
          <c:tx>
            <c:strRef>
              <c:f>Sheet1!$M$20</c:f>
              <c:strCache>
                <c:ptCount val="1"/>
                <c:pt idx="0">
                  <c:v>2023 Minutes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Sheet1!$J$21:$J$32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Sheet1!$M$21:$M$32</c:f>
              <c:numCache>
                <c:formatCode>General</c:formatCode>
                <c:ptCount val="12"/>
                <c:pt idx="0">
                  <c:v>2438</c:v>
                </c:pt>
                <c:pt idx="1">
                  <c:v>2007</c:v>
                </c:pt>
                <c:pt idx="2">
                  <c:v>2276</c:v>
                </c:pt>
                <c:pt idx="3">
                  <c:v>2141</c:v>
                </c:pt>
                <c:pt idx="4">
                  <c:v>1930</c:v>
                </c:pt>
                <c:pt idx="5">
                  <c:v>1463</c:v>
                </c:pt>
                <c:pt idx="6">
                  <c:v>2075</c:v>
                </c:pt>
                <c:pt idx="7">
                  <c:v>2016</c:v>
                </c:pt>
                <c:pt idx="8">
                  <c:v>1702</c:v>
                </c:pt>
                <c:pt idx="9">
                  <c:v>1605</c:v>
                </c:pt>
                <c:pt idx="10">
                  <c:v>1629</c:v>
                </c:pt>
                <c:pt idx="11">
                  <c:v>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47E-44B6-B7F8-8F48E14F96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0390959"/>
        <c:axId val="1460393359"/>
      </c:barChart>
      <c:catAx>
        <c:axId val="146039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0393359"/>
        <c:crosses val="autoZero"/>
        <c:auto val="1"/>
        <c:lblAlgn val="ctr"/>
        <c:lblOffset val="100"/>
        <c:noMultiLvlLbl val="0"/>
      </c:catAx>
      <c:valAx>
        <c:axId val="146039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039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bg1"/>
      </a:solidFill>
      <a:round/>
    </a:ln>
    <a:effectLst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Sheet1!$K$3</c:f>
              <c:strCache>
                <c:ptCount val="1"/>
                <c:pt idx="0">
                  <c:v>2021 workouts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Sheet1!$J$4:$J$15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Sheet1!$K$4:$K$15</c:f>
              <c:numCache>
                <c:formatCode>General</c:formatCode>
                <c:ptCount val="12"/>
                <c:pt idx="0">
                  <c:v>81</c:v>
                </c:pt>
                <c:pt idx="1">
                  <c:v>81</c:v>
                </c:pt>
                <c:pt idx="2">
                  <c:v>103</c:v>
                </c:pt>
                <c:pt idx="3">
                  <c:v>93</c:v>
                </c:pt>
                <c:pt idx="4">
                  <c:v>112</c:v>
                </c:pt>
                <c:pt idx="5">
                  <c:v>109</c:v>
                </c:pt>
                <c:pt idx="6">
                  <c:v>114</c:v>
                </c:pt>
                <c:pt idx="7">
                  <c:v>105</c:v>
                </c:pt>
                <c:pt idx="8">
                  <c:v>124</c:v>
                </c:pt>
                <c:pt idx="9">
                  <c:v>117</c:v>
                </c:pt>
                <c:pt idx="10">
                  <c:v>129</c:v>
                </c:pt>
                <c:pt idx="11">
                  <c:v>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12-4481-8027-72DB1AC2E38E}"/>
            </c:ext>
          </c:extLst>
        </c:ser>
        <c:ser>
          <c:idx val="1"/>
          <c:order val="1"/>
          <c:tx>
            <c:strRef>
              <c:f>Sheet1!$L$3</c:f>
              <c:strCache>
                <c:ptCount val="1"/>
                <c:pt idx="0">
                  <c:v>2022 workouts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Sheet1!$J$4:$J$15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Sheet1!$L$4:$L$15</c:f>
              <c:numCache>
                <c:formatCode>General</c:formatCode>
                <c:ptCount val="12"/>
                <c:pt idx="0">
                  <c:v>164</c:v>
                </c:pt>
                <c:pt idx="1">
                  <c:v>138</c:v>
                </c:pt>
                <c:pt idx="2">
                  <c:v>158</c:v>
                </c:pt>
                <c:pt idx="3">
                  <c:v>137</c:v>
                </c:pt>
                <c:pt idx="4">
                  <c:v>131</c:v>
                </c:pt>
                <c:pt idx="5">
                  <c:v>118</c:v>
                </c:pt>
                <c:pt idx="6">
                  <c:v>125</c:v>
                </c:pt>
                <c:pt idx="7">
                  <c:v>107</c:v>
                </c:pt>
                <c:pt idx="8">
                  <c:v>98</c:v>
                </c:pt>
                <c:pt idx="9">
                  <c:v>95</c:v>
                </c:pt>
                <c:pt idx="10">
                  <c:v>71</c:v>
                </c:pt>
                <c:pt idx="11">
                  <c:v>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12-4481-8027-72DB1AC2E38E}"/>
            </c:ext>
          </c:extLst>
        </c:ser>
        <c:ser>
          <c:idx val="2"/>
          <c:order val="2"/>
          <c:tx>
            <c:strRef>
              <c:f>Sheet1!$M$3</c:f>
              <c:strCache>
                <c:ptCount val="1"/>
                <c:pt idx="0">
                  <c:v>2023 workouts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Sheet1!$J$4:$J$15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Sheet1!$M$4:$M$15</c:f>
              <c:numCache>
                <c:formatCode>General</c:formatCode>
                <c:ptCount val="12"/>
                <c:pt idx="0">
                  <c:v>113</c:v>
                </c:pt>
                <c:pt idx="1">
                  <c:v>86</c:v>
                </c:pt>
                <c:pt idx="2">
                  <c:v>105</c:v>
                </c:pt>
                <c:pt idx="3">
                  <c:v>89</c:v>
                </c:pt>
                <c:pt idx="4">
                  <c:v>75</c:v>
                </c:pt>
                <c:pt idx="5">
                  <c:v>58</c:v>
                </c:pt>
                <c:pt idx="6">
                  <c:v>84</c:v>
                </c:pt>
                <c:pt idx="7">
                  <c:v>95</c:v>
                </c:pt>
                <c:pt idx="8">
                  <c:v>85</c:v>
                </c:pt>
                <c:pt idx="9">
                  <c:v>87</c:v>
                </c:pt>
                <c:pt idx="10">
                  <c:v>84</c:v>
                </c:pt>
                <c:pt idx="11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212-4481-8027-72DB1AC2E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390831"/>
        <c:axId val="1382367311"/>
      </c:lineChart>
      <c:catAx>
        <c:axId val="1382390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67311"/>
        <c:crosses val="autoZero"/>
        <c:auto val="1"/>
        <c:lblAlgn val="ctr"/>
        <c:lblOffset val="100"/>
        <c:noMultiLvlLbl val="0"/>
      </c:catAx>
      <c:valAx>
        <c:axId val="1382367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390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Sheet1!$K$20</c:f>
              <c:strCache>
                <c:ptCount val="1"/>
                <c:pt idx="0">
                  <c:v>2021 Minutes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Sheet1!$J$21:$J$32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Sheet1!$K$21:$K$32</c:f>
              <c:numCache>
                <c:formatCode>General</c:formatCode>
                <c:ptCount val="12"/>
                <c:pt idx="0">
                  <c:v>1945</c:v>
                </c:pt>
                <c:pt idx="1">
                  <c:v>1530</c:v>
                </c:pt>
                <c:pt idx="2">
                  <c:v>2275</c:v>
                </c:pt>
                <c:pt idx="3">
                  <c:v>2055</c:v>
                </c:pt>
                <c:pt idx="4">
                  <c:v>2395</c:v>
                </c:pt>
                <c:pt idx="5">
                  <c:v>2110</c:v>
                </c:pt>
                <c:pt idx="6">
                  <c:v>2175</c:v>
                </c:pt>
                <c:pt idx="7">
                  <c:v>2340</c:v>
                </c:pt>
                <c:pt idx="8">
                  <c:v>2340</c:v>
                </c:pt>
                <c:pt idx="9">
                  <c:v>2320</c:v>
                </c:pt>
                <c:pt idx="10">
                  <c:v>2355</c:v>
                </c:pt>
                <c:pt idx="11">
                  <c:v>3045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97-48B8-8E82-BBF13B2912B8}"/>
            </c:ext>
          </c:extLst>
        </c:ser>
        <c:ser>
          <c:idx val="1"/>
          <c:order val="1"/>
          <c:tx>
            <c:strRef>
              <c:f>Sheet1!$L$20</c:f>
              <c:strCache>
                <c:ptCount val="1"/>
                <c:pt idx="0">
                  <c:v>2022 Minutes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Sheet1!$J$21:$J$32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Sheet1!$L$21:$L$32</c:f>
              <c:numCache>
                <c:formatCode>General</c:formatCode>
                <c:ptCount val="12"/>
                <c:pt idx="0">
                  <c:v>3280</c:v>
                </c:pt>
                <c:pt idx="1">
                  <c:v>2740</c:v>
                </c:pt>
                <c:pt idx="2">
                  <c:v>3085</c:v>
                </c:pt>
                <c:pt idx="3">
                  <c:v>2670</c:v>
                </c:pt>
                <c:pt idx="4">
                  <c:v>2695</c:v>
                </c:pt>
                <c:pt idx="5">
                  <c:v>2281</c:v>
                </c:pt>
                <c:pt idx="6">
                  <c:v>2324</c:v>
                </c:pt>
                <c:pt idx="7">
                  <c:v>2136</c:v>
                </c:pt>
                <c:pt idx="8">
                  <c:v>2013</c:v>
                </c:pt>
                <c:pt idx="9">
                  <c:v>2188</c:v>
                </c:pt>
                <c:pt idx="10">
                  <c:v>1410</c:v>
                </c:pt>
                <c:pt idx="11">
                  <c:v>2504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97-48B8-8E82-BBF13B2912B8}"/>
            </c:ext>
          </c:extLst>
        </c:ser>
        <c:ser>
          <c:idx val="2"/>
          <c:order val="2"/>
          <c:tx>
            <c:strRef>
              <c:f>Sheet1!$M$20</c:f>
              <c:strCache>
                <c:ptCount val="1"/>
                <c:pt idx="0">
                  <c:v>2023 Minutes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Sheet1!$J$21:$J$32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Sheet1!$M$21:$M$32</c:f>
              <c:numCache>
                <c:formatCode>General</c:formatCode>
                <c:ptCount val="12"/>
                <c:pt idx="0">
                  <c:v>2438</c:v>
                </c:pt>
                <c:pt idx="1">
                  <c:v>2007</c:v>
                </c:pt>
                <c:pt idx="2">
                  <c:v>2276</c:v>
                </c:pt>
                <c:pt idx="3">
                  <c:v>2141</c:v>
                </c:pt>
                <c:pt idx="4">
                  <c:v>1930</c:v>
                </c:pt>
                <c:pt idx="5">
                  <c:v>1463</c:v>
                </c:pt>
                <c:pt idx="6">
                  <c:v>2075</c:v>
                </c:pt>
                <c:pt idx="7">
                  <c:v>2016</c:v>
                </c:pt>
                <c:pt idx="8">
                  <c:v>1702</c:v>
                </c:pt>
                <c:pt idx="9">
                  <c:v>1605</c:v>
                </c:pt>
                <c:pt idx="10">
                  <c:v>1629</c:v>
                </c:pt>
                <c:pt idx="11">
                  <c:v>1705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97-48B8-8E82-BBF13B29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0390959"/>
        <c:axId val="1460393359"/>
      </c:barChart>
      <c:catAx>
        <c:axId val="14603909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0393359"/>
        <c:crosses val="autoZero"/>
        <c:auto val="1"/>
        <c:lblAlgn val="ctr"/>
        <c:lblOffset val="100"/>
        <c:noMultiLvlLbl val="0"/>
      </c:catAx>
      <c:valAx>
        <c:axId val="146039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0390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25FB5D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B4C-467B-8552-E6E1CD5044EF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7B4C-467B-8552-E6E1CD5044E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4C-467B-8552-E6E1CD5044E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Pivots!$J$33:$K$33</c:f>
              <c:numCache>
                <c:formatCode>0%</c:formatCode>
                <c:ptCount val="2"/>
                <c:pt idx="0">
                  <c:v>0.25274323335771764</c:v>
                </c:pt>
                <c:pt idx="1">
                  <c:v>0.74725676664228236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4C-467B-8552-E6E1CD5044E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18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series layoutId="treemap" uniqueId="{D8E0E7E5-4A31-42C2-8D22-004FAD7E33C4}">
          <cx:tx>
            <cx:txData>
              <cx:f>_xlchart.v1.1</cx:f>
              <cx:v># of Workouts</cx:v>
            </cx:txData>
          </cx:tx>
          <cx:spPr>
            <a:ln w="50800">
              <a:solidFill>
                <a:schemeClr val="accent1"/>
              </a:solidFill>
            </a:ln>
          </cx:spPr>
          <cx:dataLabels pos="inEnd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>
                    <a:solidFill>
                      <a:schemeClr val="tx1"/>
                    </a:solidFill>
                  </a:defRPr>
                </a:pPr>
                <a:endParaRPr lang="en-US" sz="900" b="0" i="0" u="none" strike="noStrike" baseline="0">
                  <a:solidFill>
                    <a:schemeClr val="tx1"/>
                  </a:solidFill>
                  <a:latin typeface="Aptos Narrow" panose="02110004020202020204"/>
                </a:endParaRPr>
              </a:p>
            </cx:txPr>
            <cx:visibility seriesName="0" categoryName="1" value="1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size">
        <cx:f>_xlchart.v1.5</cx:f>
      </cx:numDim>
    </cx:data>
  </cx:chartData>
  <cx:chart>
    <cx:plotArea>
      <cx:plotAreaRegion>
        <cx:series layoutId="treemap" uniqueId="{D8E0E7E5-4A31-42C2-8D22-004FAD7E33C4}">
          <cx:tx>
            <cx:txData>
              <cx:f>_xlchart.v1.4</cx:f>
              <cx:v># of Workouts</cx:v>
            </cx:txData>
          </cx:tx>
          <cx:dataLabels pos="inEnd">
            <cx:numFmt formatCode="General" sourceLinked="0"/>
            <cx:visibility seriesName="0" categoryName="1" value="1"/>
            <cx:separator>;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410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 w="19050"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microsoft.com/office/2014/relationships/chartEx" Target="../charts/chartEx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133349</xdr:colOff>
      <xdr:row>32</xdr:row>
      <xdr:rowOff>190499</xdr:rowOff>
    </xdr:from>
    <xdr:to>
      <xdr:col>14</xdr:col>
      <xdr:colOff>290513</xdr:colOff>
      <xdr:row>50</xdr:row>
      <xdr:rowOff>0</xdr:rowOff>
    </xdr:to>
    <xdr:sp macro="" textlink="">
      <xdr:nvSpPr>
        <xdr:cNvPr id="73" name="Rectangle: Rounded Corners 72">
          <a:extLst>
            <a:ext uri="{FF2B5EF4-FFF2-40B4-BE49-F238E27FC236}">
              <a16:creationId xmlns:a16="http://schemas.microsoft.com/office/drawing/2014/main" id="{F13EF787-16A9-44D0-914B-E400E90C32BB}"/>
            </a:ext>
          </a:extLst>
        </xdr:cNvPr>
        <xdr:cNvSpPr/>
      </xdr:nvSpPr>
      <xdr:spPr>
        <a:xfrm>
          <a:off x="3181349" y="6286499"/>
          <a:ext cx="5643564" cy="3238501"/>
        </a:xfrm>
        <a:prstGeom prst="roundRect">
          <a:avLst>
            <a:gd name="adj" fmla="val 868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238125</xdr:colOff>
      <xdr:row>0</xdr:row>
      <xdr:rowOff>104775</xdr:rowOff>
    </xdr:from>
    <xdr:to>
      <xdr:col>4</xdr:col>
      <xdr:colOff>542925</xdr:colOff>
      <xdr:row>53</xdr:row>
      <xdr:rowOff>66675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8344CC6-5F09-C6D6-4E39-1CE167B679F5}"/>
            </a:ext>
          </a:extLst>
        </xdr:cNvPr>
        <xdr:cNvSpPr/>
      </xdr:nvSpPr>
      <xdr:spPr>
        <a:xfrm>
          <a:off x="238125" y="104775"/>
          <a:ext cx="2743200" cy="10058400"/>
        </a:xfrm>
        <a:prstGeom prst="roundRect">
          <a:avLst>
            <a:gd name="adj" fmla="val 868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200024</xdr:colOff>
      <xdr:row>1</xdr:row>
      <xdr:rowOff>28575</xdr:rowOff>
    </xdr:from>
    <xdr:to>
      <xdr:col>24</xdr:col>
      <xdr:colOff>0</xdr:colOff>
      <xdr:row>7</xdr:row>
      <xdr:rowOff>28575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BE78DB1-4519-7353-5447-FEBA723AD520}"/>
            </a:ext>
          </a:extLst>
        </xdr:cNvPr>
        <xdr:cNvSpPr/>
      </xdr:nvSpPr>
      <xdr:spPr>
        <a:xfrm>
          <a:off x="3248024" y="219075"/>
          <a:ext cx="11382376" cy="1143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342900</xdr:colOff>
      <xdr:row>1</xdr:row>
      <xdr:rowOff>161925</xdr:rowOff>
    </xdr:from>
    <xdr:to>
      <xdr:col>13</xdr:col>
      <xdr:colOff>600075</xdr:colOff>
      <xdr:row>5</xdr:row>
      <xdr:rowOff>161925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D3F3D76D-277B-78AA-E6D5-6741168AFE94}"/>
            </a:ext>
          </a:extLst>
        </xdr:cNvPr>
        <xdr:cNvSpPr txBox="1"/>
      </xdr:nvSpPr>
      <xdr:spPr>
        <a:xfrm>
          <a:off x="3390900" y="352425"/>
          <a:ext cx="5133975" cy="762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6000">
              <a:solidFill>
                <a:srgbClr val="25FB5D"/>
              </a:solidFill>
              <a:latin typeface="LilyUPC" panose="020B0502040204020203" pitchFamily="34" charset="-34"/>
              <a:cs typeface="LilyUPC" panose="020B0502040204020203" pitchFamily="34" charset="-34"/>
            </a:rPr>
            <a:t>PELO</a:t>
          </a:r>
          <a:r>
            <a:rPr lang="en-US" sz="6000">
              <a:solidFill>
                <a:srgbClr val="33CAFF"/>
              </a:solidFill>
              <a:latin typeface="LilyUPC" panose="020B0502040204020203" pitchFamily="34" charset="-34"/>
              <a:cs typeface="LilyUPC" panose="020B0502040204020203" pitchFamily="34" charset="-34"/>
            </a:rPr>
            <a:t>TASTIC</a:t>
          </a:r>
          <a:r>
            <a:rPr lang="en-US" sz="6000">
              <a:solidFill>
                <a:srgbClr val="25FB5D"/>
              </a:solidFill>
              <a:latin typeface="LilyUPC" panose="020B0502040204020203" pitchFamily="34" charset="-34"/>
              <a:cs typeface="LilyUPC" panose="020B0502040204020203" pitchFamily="34" charset="-34"/>
            </a:rPr>
            <a:t>!</a:t>
          </a:r>
        </a:p>
      </xdr:txBody>
    </xdr:sp>
    <xdr:clientData/>
  </xdr:twoCellAnchor>
  <xdr:twoCellAnchor>
    <xdr:from>
      <xdr:col>17</xdr:col>
      <xdr:colOff>0</xdr:colOff>
      <xdr:row>2</xdr:row>
      <xdr:rowOff>0</xdr:rowOff>
    </xdr:from>
    <xdr:to>
      <xdr:col>22</xdr:col>
      <xdr:colOff>0</xdr:colOff>
      <xdr:row>3</xdr:row>
      <xdr:rowOff>129540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D3A2F947-0FD9-AAF8-95A2-51F2F7AD6E89}"/>
            </a:ext>
          </a:extLst>
        </xdr:cNvPr>
        <xdr:cNvSpPr txBox="1"/>
      </xdr:nvSpPr>
      <xdr:spPr>
        <a:xfrm>
          <a:off x="10363200" y="381000"/>
          <a:ext cx="3048000" cy="32004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r>
            <a:rPr lang="en-US" sz="240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rPr>
            <a:t>Total Number of Workouts:</a:t>
          </a:r>
        </a:p>
        <a:p>
          <a:endParaRPr lang="en-US" sz="60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</xdr:txBody>
    </xdr:sp>
    <xdr:clientData/>
  </xdr:twoCellAnchor>
  <xdr:twoCellAnchor>
    <xdr:from>
      <xdr:col>22</xdr:col>
      <xdr:colOff>475107</xdr:colOff>
      <xdr:row>2</xdr:row>
      <xdr:rowOff>0</xdr:rowOff>
    </xdr:from>
    <xdr:to>
      <xdr:col>24</xdr:col>
      <xdr:colOff>0</xdr:colOff>
      <xdr:row>3</xdr:row>
      <xdr:rowOff>128588</xdr:rowOff>
    </xdr:to>
    <xdr:sp macro="" textlink="Pivots!F37">
      <xdr:nvSpPr>
        <xdr:cNvPr id="7" name="TextBox 6">
          <a:extLst>
            <a:ext uri="{FF2B5EF4-FFF2-40B4-BE49-F238E27FC236}">
              <a16:creationId xmlns:a16="http://schemas.microsoft.com/office/drawing/2014/main" id="{042B625E-B664-8E89-F31E-80FC13B72A76}"/>
            </a:ext>
          </a:extLst>
        </xdr:cNvPr>
        <xdr:cNvSpPr txBox="1"/>
      </xdr:nvSpPr>
      <xdr:spPr>
        <a:xfrm>
          <a:off x="13886307" y="381000"/>
          <a:ext cx="744093" cy="319088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B4E775E0-F6DE-45C3-841B-AA990FB253DE}" type="TxLink">
            <a:rPr lang="en-US" sz="2400" b="0" i="0" u="none" strike="noStrike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pPr marL="0" indent="0" algn="r"/>
            <a:t>4136</a:t>
          </a:fld>
          <a:endParaRPr lang="en-US" sz="2400" b="0" i="0" u="none" strike="noStrike">
            <a:solidFill>
              <a:srgbClr val="25FB5D"/>
            </a:solidFill>
            <a:latin typeface="LilyUPC" panose="020B0604020202020204" pitchFamily="34" charset="-34"/>
            <a:ea typeface="+mn-ea"/>
            <a:cs typeface="LilyUPC" panose="020B0604020202020204" pitchFamily="34" charset="-34"/>
          </a:endParaRPr>
        </a:p>
      </xdr:txBody>
    </xdr:sp>
    <xdr:clientData/>
  </xdr:twoCellAnchor>
  <xdr:twoCellAnchor>
    <xdr:from>
      <xdr:col>4</xdr:col>
      <xdr:colOff>323850</xdr:colOff>
      <xdr:row>11</xdr:row>
      <xdr:rowOff>38100</xdr:rowOff>
    </xdr:from>
    <xdr:to>
      <xdr:col>10</xdr:col>
      <xdr:colOff>95250</xdr:colOff>
      <xdr:row>22</xdr:row>
      <xdr:rowOff>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89BAFA35-E7DE-4D8F-9DF3-CA481D90843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3</xdr:row>
      <xdr:rowOff>118110</xdr:rowOff>
    </xdr:from>
    <xdr:to>
      <xdr:col>22</xdr:col>
      <xdr:colOff>0</xdr:colOff>
      <xdr:row>5</xdr:row>
      <xdr:rowOff>57150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11C794B5-6F79-41B4-A70C-02C7AF745FCD}"/>
            </a:ext>
          </a:extLst>
        </xdr:cNvPr>
        <xdr:cNvSpPr txBox="1"/>
      </xdr:nvSpPr>
      <xdr:spPr>
        <a:xfrm>
          <a:off x="9753600" y="689610"/>
          <a:ext cx="3657600" cy="32004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r>
            <a:rPr lang="en-US" sz="2400">
              <a:solidFill>
                <a:srgbClr val="33CAFF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rPr>
            <a:t>Total Minutes Worked Out:</a:t>
          </a:r>
        </a:p>
        <a:p>
          <a:endParaRPr lang="en-US" sz="60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</xdr:txBody>
    </xdr:sp>
    <xdr:clientData/>
  </xdr:twoCellAnchor>
  <xdr:twoCellAnchor>
    <xdr:from>
      <xdr:col>22</xdr:col>
      <xdr:colOff>1</xdr:colOff>
      <xdr:row>3</xdr:row>
      <xdr:rowOff>109537</xdr:rowOff>
    </xdr:from>
    <xdr:to>
      <xdr:col>24</xdr:col>
      <xdr:colOff>1</xdr:colOff>
      <xdr:row>5</xdr:row>
      <xdr:rowOff>47625</xdr:rowOff>
    </xdr:to>
    <xdr:sp macro="" textlink="Pivots!I37">
      <xdr:nvSpPr>
        <xdr:cNvPr id="25" name="TextBox 24">
          <a:extLst>
            <a:ext uri="{FF2B5EF4-FFF2-40B4-BE49-F238E27FC236}">
              <a16:creationId xmlns:a16="http://schemas.microsoft.com/office/drawing/2014/main" id="{242167D2-52E2-4007-B2E5-4E2AAFD0F940}"/>
            </a:ext>
          </a:extLst>
        </xdr:cNvPr>
        <xdr:cNvSpPr txBox="1"/>
      </xdr:nvSpPr>
      <xdr:spPr>
        <a:xfrm>
          <a:off x="13411201" y="681037"/>
          <a:ext cx="1219200" cy="319088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505E471C-8B6B-4825-AB4E-4B26F85B5130}" type="TxLink">
            <a:rPr lang="en-US" sz="2400" b="0" i="0" u="none" strike="noStrike">
              <a:solidFill>
                <a:srgbClr val="33CAFF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pPr marL="0" indent="0" algn="r"/>
            <a:t>82020</a:t>
          </a:fld>
          <a:endParaRPr lang="en-US" sz="2400" b="0" i="0" u="none" strike="noStrike">
            <a:solidFill>
              <a:srgbClr val="33CAFF"/>
            </a:solidFill>
            <a:latin typeface="LilyUPC" panose="020B0604020202020204" pitchFamily="34" charset="-34"/>
            <a:ea typeface="+mn-ea"/>
            <a:cs typeface="LilyUPC" panose="020B0604020202020204" pitchFamily="34" charset="-34"/>
          </a:endParaRPr>
        </a:p>
      </xdr:txBody>
    </xdr:sp>
    <xdr:clientData/>
  </xdr:twoCellAnchor>
  <xdr:twoCellAnchor>
    <xdr:from>
      <xdr:col>14</xdr:col>
      <xdr:colOff>419100</xdr:colOff>
      <xdr:row>8</xdr:row>
      <xdr:rowOff>0</xdr:rowOff>
    </xdr:from>
    <xdr:to>
      <xdr:col>19</xdr:col>
      <xdr:colOff>114300</xdr:colOff>
      <xdr:row>32</xdr:row>
      <xdr:rowOff>0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14964959-397C-7BC2-3018-CE916C521150}"/>
            </a:ext>
          </a:extLst>
        </xdr:cNvPr>
        <xdr:cNvGrpSpPr/>
      </xdr:nvGrpSpPr>
      <xdr:grpSpPr>
        <a:xfrm>
          <a:off x="8953500" y="1524000"/>
          <a:ext cx="2743200" cy="4572000"/>
          <a:chOff x="8953500" y="1524000"/>
          <a:chExt cx="2743200" cy="4572000"/>
        </a:xfrm>
      </xdr:grpSpPr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2A23A3FB-5D2B-4936-A81B-BAADBC76B62B}"/>
              </a:ext>
            </a:extLst>
          </xdr:cNvPr>
          <xdr:cNvSpPr/>
        </xdr:nvSpPr>
        <xdr:spPr>
          <a:xfrm>
            <a:off x="8953500" y="1552574"/>
            <a:ext cx="2743200" cy="4543426"/>
          </a:xfrm>
          <a:prstGeom prst="roundRect">
            <a:avLst>
              <a:gd name="adj" fmla="val 12017"/>
            </a:avLst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D5EE610-C6BE-4D7C-8195-CC9BB15B5200}"/>
              </a:ext>
            </a:extLst>
          </xdr:cNvPr>
          <xdr:cNvSpPr txBox="1"/>
        </xdr:nvSpPr>
        <xdr:spPr>
          <a:xfrm>
            <a:off x="8996363" y="1524000"/>
            <a:ext cx="2657474" cy="32004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r>
              <a:rPr lang="en-US" sz="2400" baseline="0">
                <a:solidFill>
                  <a:srgbClr val="25FB5D"/>
                </a:solidFill>
                <a:latin typeface="LilyUPC" panose="020B0502040204020203" pitchFamily="34" charset="-34"/>
                <a:ea typeface="+mn-ea"/>
                <a:cs typeface="LilyUPC" panose="020B0502040204020203" pitchFamily="34" charset="-34"/>
              </a:rPr>
              <a:t>45-60 Minute Workouts</a:t>
            </a:r>
          </a:p>
          <a:p>
            <a:pPr marL="0" indent="0" algn="ctr"/>
            <a:endParaRPr lang="en-US" sz="2400" baseline="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endParaRPr>
          </a:p>
          <a:p>
            <a:pPr marL="0" indent="0" algn="ctr"/>
            <a:endParaRPr lang="en-US" sz="240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endParaRPr>
          </a:p>
          <a:p>
            <a:endParaRPr lang="en-US" sz="600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endParaRPr>
          </a:p>
        </xdr:txBody>
      </xdr:sp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7EA568C7-7230-A7DE-D62C-91E3B858C1A9}"/>
              </a:ext>
            </a:extLst>
          </xdr:cNvPr>
          <xdr:cNvGrpSpPr/>
        </xdr:nvGrpSpPr>
        <xdr:grpSpPr>
          <a:xfrm>
            <a:off x="9296400" y="1850230"/>
            <a:ext cx="2057400" cy="2057400"/>
            <a:chOff x="9296400" y="1850230"/>
            <a:chExt cx="2057400" cy="2057400"/>
          </a:xfrm>
        </xdr:grpSpPr>
        <xdr:graphicFrame macro="">
          <xdr:nvGraphicFramePr>
            <xdr:cNvPr id="22" name="Chart 21">
              <a:extLst>
                <a:ext uri="{FF2B5EF4-FFF2-40B4-BE49-F238E27FC236}">
                  <a16:creationId xmlns:a16="http://schemas.microsoft.com/office/drawing/2014/main" id="{38F405B7-58FA-42A2-B149-7693365A711A}"/>
                </a:ext>
              </a:extLst>
            </xdr:cNvPr>
            <xdr:cNvGraphicFramePr>
              <a:graphicFrameLocks/>
            </xdr:cNvGraphicFramePr>
          </xdr:nvGraphicFramePr>
          <xdr:xfrm>
            <a:off x="9296400" y="1850230"/>
            <a:ext cx="2057400" cy="2057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Pivots!F35">
          <xdr:nvSpPr>
            <xdr:cNvPr id="15" name="TextBox 14">
              <a:extLst>
                <a:ext uri="{FF2B5EF4-FFF2-40B4-BE49-F238E27FC236}">
                  <a16:creationId xmlns:a16="http://schemas.microsoft.com/office/drawing/2014/main" id="{55043A49-AF9C-41DF-8CC7-EA7E075A59B6}"/>
                </a:ext>
              </a:extLst>
            </xdr:cNvPr>
            <xdr:cNvSpPr txBox="1"/>
          </xdr:nvSpPr>
          <xdr:spPr>
            <a:xfrm>
              <a:off x="9677400" y="2600325"/>
              <a:ext cx="1295400" cy="5715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C8861367-7871-4363-B720-2B9BE9838655}" type="TxLink">
                <a:rPr lang="en-US" sz="3600" b="0" i="0" u="none" strike="noStrike">
                  <a:solidFill>
                    <a:srgbClr val="25FB5D"/>
                  </a:solidFill>
                  <a:latin typeface="LilyUPC" panose="020B0604020202020204" pitchFamily="34" charset="-34"/>
                  <a:ea typeface="+mn-ea"/>
                  <a:cs typeface="LilyUPC" panose="020B0604020202020204" pitchFamily="34" charset="-34"/>
                </a:rPr>
                <a:pPr marL="0" indent="0" algn="ctr"/>
                <a:t>606</a:t>
              </a:fld>
              <a:endParaRPr lang="en-US" sz="3600" b="0" i="0" u="none" strike="noStrike">
                <a:solidFill>
                  <a:srgbClr val="25FB5D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endParaRPr>
            </a:p>
          </xdr:txBody>
        </xdr:sp>
      </xdr:grpSp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3DA64FB3-7F32-F9BB-2585-C48BC1FA2410}"/>
              </a:ext>
            </a:extLst>
          </xdr:cNvPr>
          <xdr:cNvGrpSpPr/>
        </xdr:nvGrpSpPr>
        <xdr:grpSpPr>
          <a:xfrm>
            <a:off x="9296400" y="3848100"/>
            <a:ext cx="2057400" cy="2057400"/>
            <a:chOff x="9296400" y="4121943"/>
            <a:chExt cx="2057400" cy="2057400"/>
          </a:xfrm>
        </xdr:grpSpPr>
        <xdr:graphicFrame macro="">
          <xdr:nvGraphicFramePr>
            <xdr:cNvPr id="29" name="Chart 28">
              <a:extLst>
                <a:ext uri="{FF2B5EF4-FFF2-40B4-BE49-F238E27FC236}">
                  <a16:creationId xmlns:a16="http://schemas.microsoft.com/office/drawing/2014/main" id="{48E1F117-58D7-9A9C-BB82-A7F556E67601}"/>
                </a:ext>
              </a:extLst>
            </xdr:cNvPr>
            <xdr:cNvGraphicFramePr>
              <a:graphicFrameLocks/>
            </xdr:cNvGraphicFramePr>
          </xdr:nvGraphicFramePr>
          <xdr:xfrm>
            <a:off x="9296400" y="4121943"/>
            <a:ext cx="2057400" cy="20574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Pivots!I35">
          <xdr:nvSpPr>
            <xdr:cNvPr id="31" name="TextBox 30">
              <a:extLst>
                <a:ext uri="{FF2B5EF4-FFF2-40B4-BE49-F238E27FC236}">
                  <a16:creationId xmlns:a16="http://schemas.microsoft.com/office/drawing/2014/main" id="{60DF145F-ED4C-AA9E-B432-A9A24ED9ED98}"/>
                </a:ext>
              </a:extLst>
            </xdr:cNvPr>
            <xdr:cNvSpPr txBox="1"/>
          </xdr:nvSpPr>
          <xdr:spPr>
            <a:xfrm>
              <a:off x="9677400" y="4872038"/>
              <a:ext cx="1295400" cy="5715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 algn="ctr"/>
              <a:fld id="{3ECF29D9-7C91-445B-9948-BA021A10895B}" type="TxLink">
                <a:rPr lang="en-US" sz="3600" b="0" i="0" u="none" strike="noStrike">
                  <a:solidFill>
                    <a:srgbClr val="00B0F0"/>
                  </a:solidFill>
                  <a:latin typeface="LilyUPC" panose="020B0604020202020204" pitchFamily="34" charset="-34"/>
                  <a:ea typeface="+mn-ea"/>
                  <a:cs typeface="LilyUPC" panose="020B0604020202020204" pitchFamily="34" charset="-34"/>
                </a:rPr>
                <a:pPr marL="0" indent="0" algn="ctr"/>
                <a:t>29595</a:t>
              </a:fld>
              <a:endParaRPr lang="en-US" sz="3600" b="0" i="0" u="none" strike="noStrike">
                <a:solidFill>
                  <a:srgbClr val="00B0F0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endParaRPr>
            </a:p>
          </xdr:txBody>
        </xdr:sp>
      </xdr:grp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442F8791-C6CB-B2E3-CD14-BFCA4FF00CA1}"/>
              </a:ext>
            </a:extLst>
          </xdr:cNvPr>
          <xdr:cNvSpPr txBox="1"/>
        </xdr:nvSpPr>
        <xdr:spPr>
          <a:xfrm>
            <a:off x="9205913" y="3619500"/>
            <a:ext cx="2190750" cy="381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rtlCol="0" anchor="t"/>
          <a:lstStyle/>
          <a:p>
            <a:pPr marL="0" indent="0" algn="ctr"/>
            <a:r>
              <a:rPr lang="en-US" sz="1800" b="0" i="0" u="none" strike="noStrike" spc="0" baseline="0">
                <a:solidFill>
                  <a:srgbClr val="25FB5D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t>#WORKOUTS</a:t>
            </a:r>
          </a:p>
        </xdr:txBody>
      </xdr:sp>
      <xdr:sp macro="" textlink="">
        <xdr:nvSpPr>
          <xdr:cNvPr id="36" name="TextBox 35">
            <a:extLst>
              <a:ext uri="{FF2B5EF4-FFF2-40B4-BE49-F238E27FC236}">
                <a16:creationId xmlns:a16="http://schemas.microsoft.com/office/drawing/2014/main" id="{B9DFC35F-D3F4-46EE-A953-D20E90196968}"/>
              </a:ext>
            </a:extLst>
          </xdr:cNvPr>
          <xdr:cNvSpPr txBox="1"/>
        </xdr:nvSpPr>
        <xdr:spPr>
          <a:xfrm>
            <a:off x="9144000" y="5638800"/>
            <a:ext cx="2238375" cy="2667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square" rtlCol="0" anchor="t"/>
          <a:lstStyle/>
          <a:p>
            <a:pPr marL="0" indent="0" algn="ctr"/>
            <a:r>
              <a:rPr lang="en-US" sz="1800" b="0" i="0" u="none" strike="noStrike" spc="0" baseline="0">
                <a:solidFill>
                  <a:srgbClr val="33CAFF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t>#MINUTES</a:t>
            </a:r>
          </a:p>
          <a:p>
            <a:pPr marL="0" indent="0" algn="ctr"/>
            <a:endParaRPr lang="en-US" sz="1800" b="0" i="0" u="none" strike="noStrike" spc="-900" baseline="0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19</xdr:col>
      <xdr:colOff>261938</xdr:colOff>
      <xdr:row>8</xdr:row>
      <xdr:rowOff>38098</xdr:rowOff>
    </xdr:from>
    <xdr:to>
      <xdr:col>23</xdr:col>
      <xdr:colOff>566738</xdr:colOff>
      <xdr:row>32</xdr:row>
      <xdr:rowOff>9524</xdr:rowOff>
    </xdr:to>
    <xdr:sp macro="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ED3E2C4F-F57B-F0BA-5E98-6125F4A29900}"/>
            </a:ext>
          </a:extLst>
        </xdr:cNvPr>
        <xdr:cNvSpPr/>
      </xdr:nvSpPr>
      <xdr:spPr>
        <a:xfrm>
          <a:off x="11844338" y="1562098"/>
          <a:ext cx="2743200" cy="4543426"/>
        </a:xfrm>
        <a:prstGeom prst="roundRect">
          <a:avLst>
            <a:gd name="adj" fmla="val 1201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19</xdr:col>
      <xdr:colOff>304801</xdr:colOff>
      <xdr:row>8</xdr:row>
      <xdr:rowOff>9524</xdr:rowOff>
    </xdr:from>
    <xdr:to>
      <xdr:col>23</xdr:col>
      <xdr:colOff>523875</xdr:colOff>
      <xdr:row>9</xdr:row>
      <xdr:rowOff>139064</xdr:rowOff>
    </xdr:to>
    <xdr:sp macro="" textlink="">
      <xdr:nvSpPr>
        <xdr:cNvPr id="40" name="TextBox 39">
          <a:extLst>
            <a:ext uri="{FF2B5EF4-FFF2-40B4-BE49-F238E27FC236}">
              <a16:creationId xmlns:a16="http://schemas.microsoft.com/office/drawing/2014/main" id="{D98434A4-AA1C-06C2-BA76-6D1738152157}"/>
            </a:ext>
          </a:extLst>
        </xdr:cNvPr>
        <xdr:cNvSpPr txBox="1"/>
      </xdr:nvSpPr>
      <xdr:spPr>
        <a:xfrm>
          <a:off x="11887201" y="1533524"/>
          <a:ext cx="2657474" cy="32004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2400" baseline="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rPr>
            <a:t>60+ Minute Workouts</a:t>
          </a:r>
        </a:p>
        <a:p>
          <a:pPr marL="0" indent="0" algn="ctr"/>
          <a:endParaRPr lang="en-US" sz="2400" baseline="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  <a:p>
          <a:pPr marL="0" indent="0" algn="ctr"/>
          <a:endParaRPr lang="en-US" sz="24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  <a:p>
          <a:endParaRPr lang="en-US" sz="60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</xdr:txBody>
    </xdr:sp>
    <xdr:clientData/>
  </xdr:twoCellAnchor>
  <xdr:twoCellAnchor>
    <xdr:from>
      <xdr:col>19</xdr:col>
      <xdr:colOff>604838</xdr:colOff>
      <xdr:row>9</xdr:row>
      <xdr:rowOff>145254</xdr:rowOff>
    </xdr:from>
    <xdr:to>
      <xdr:col>23</xdr:col>
      <xdr:colOff>223838</xdr:colOff>
      <xdr:row>20</xdr:row>
      <xdr:rowOff>107154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2EB3B909-421B-9BC3-50B0-F48F01BAE402}"/>
            </a:ext>
          </a:extLst>
        </xdr:cNvPr>
        <xdr:cNvGrpSpPr/>
      </xdr:nvGrpSpPr>
      <xdr:grpSpPr>
        <a:xfrm>
          <a:off x="12187238" y="1859754"/>
          <a:ext cx="2057400" cy="2057400"/>
          <a:chOff x="9296400" y="1850230"/>
          <a:chExt cx="2057400" cy="2057400"/>
        </a:xfrm>
      </xdr:grpSpPr>
      <xdr:graphicFrame macro="">
        <xdr:nvGraphicFramePr>
          <xdr:cNvPr id="47" name="Chart 46">
            <a:extLst>
              <a:ext uri="{FF2B5EF4-FFF2-40B4-BE49-F238E27FC236}">
                <a16:creationId xmlns:a16="http://schemas.microsoft.com/office/drawing/2014/main" id="{F702E906-98D5-C271-0871-EF964E1DC3DC}"/>
              </a:ext>
            </a:extLst>
          </xdr:cNvPr>
          <xdr:cNvGraphicFramePr>
            <a:graphicFrameLocks/>
          </xdr:cNvGraphicFramePr>
        </xdr:nvGraphicFramePr>
        <xdr:xfrm>
          <a:off x="9296400" y="1850230"/>
          <a:ext cx="2057400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Pivots!F36">
        <xdr:nvSpPr>
          <xdr:cNvPr id="48" name="TextBox 47">
            <a:extLst>
              <a:ext uri="{FF2B5EF4-FFF2-40B4-BE49-F238E27FC236}">
                <a16:creationId xmlns:a16="http://schemas.microsoft.com/office/drawing/2014/main" id="{B8D3316E-E44B-11A6-6120-05C744E8FC8E}"/>
              </a:ext>
            </a:extLst>
          </xdr:cNvPr>
          <xdr:cNvSpPr txBox="1"/>
        </xdr:nvSpPr>
        <xdr:spPr>
          <a:xfrm>
            <a:off x="9677400" y="2600325"/>
            <a:ext cx="1295400" cy="5715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ACF47929-3264-4560-8F1C-9FD4BD5010E8}" type="TxLink">
              <a:rPr lang="en-US" sz="3600" b="0" i="0" u="none" strike="noStrike">
                <a:solidFill>
                  <a:srgbClr val="25FB5D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pPr marL="0" indent="0" algn="ctr"/>
              <a:t>31</a:t>
            </a:fld>
            <a:endParaRPr lang="en-US" sz="3600" b="0" i="0" u="none" strike="noStrike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19</xdr:col>
      <xdr:colOff>604838</xdr:colOff>
      <xdr:row>20</xdr:row>
      <xdr:rowOff>47624</xdr:rowOff>
    </xdr:from>
    <xdr:to>
      <xdr:col>23</xdr:col>
      <xdr:colOff>223838</xdr:colOff>
      <xdr:row>31</xdr:row>
      <xdr:rowOff>9524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D332D726-0D05-5A56-B2D2-85D93A9B2533}"/>
            </a:ext>
          </a:extLst>
        </xdr:cNvPr>
        <xdr:cNvGrpSpPr/>
      </xdr:nvGrpSpPr>
      <xdr:grpSpPr>
        <a:xfrm>
          <a:off x="12187238" y="3857624"/>
          <a:ext cx="2057400" cy="2057400"/>
          <a:chOff x="9296400" y="4121943"/>
          <a:chExt cx="2057400" cy="2057400"/>
        </a:xfrm>
      </xdr:grpSpPr>
      <xdr:graphicFrame macro="">
        <xdr:nvGraphicFramePr>
          <xdr:cNvPr id="45" name="Chart 44">
            <a:extLst>
              <a:ext uri="{FF2B5EF4-FFF2-40B4-BE49-F238E27FC236}">
                <a16:creationId xmlns:a16="http://schemas.microsoft.com/office/drawing/2014/main" id="{FC3D9C20-178F-CB44-1EEF-644CDE9AB9F1}"/>
              </a:ext>
            </a:extLst>
          </xdr:cNvPr>
          <xdr:cNvGraphicFramePr>
            <a:graphicFrameLocks/>
          </xdr:cNvGraphicFramePr>
        </xdr:nvGraphicFramePr>
        <xdr:xfrm>
          <a:off x="9296400" y="4121943"/>
          <a:ext cx="2057400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Pivots!I36">
        <xdr:nvSpPr>
          <xdr:cNvPr id="46" name="TextBox 45">
            <a:extLst>
              <a:ext uri="{FF2B5EF4-FFF2-40B4-BE49-F238E27FC236}">
                <a16:creationId xmlns:a16="http://schemas.microsoft.com/office/drawing/2014/main" id="{561D2F0B-C7B6-1B9A-5708-AFEB0DB122C2}"/>
              </a:ext>
            </a:extLst>
          </xdr:cNvPr>
          <xdr:cNvSpPr txBox="1"/>
        </xdr:nvSpPr>
        <xdr:spPr>
          <a:xfrm>
            <a:off x="9677400" y="4872038"/>
            <a:ext cx="1295400" cy="5715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F1DBA118-110F-4CAD-8599-4B1DAE53E2B6}" type="TxLink">
              <a:rPr lang="en-US" sz="3600" b="0" i="0" u="none" strike="noStrike">
                <a:solidFill>
                  <a:srgbClr val="00B0F0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pPr marL="0" indent="0" algn="ctr"/>
              <a:t>1305</a:t>
            </a:fld>
            <a:endParaRPr lang="en-US" sz="3600" b="0" i="0" u="none" strike="noStrike">
              <a:solidFill>
                <a:srgbClr val="00B0F0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19</xdr:col>
      <xdr:colOff>514351</xdr:colOff>
      <xdr:row>19</xdr:row>
      <xdr:rowOff>9524</xdr:rowOff>
    </xdr:from>
    <xdr:to>
      <xdr:col>23</xdr:col>
      <xdr:colOff>266701</xdr:colOff>
      <xdr:row>21</xdr:row>
      <xdr:rowOff>9524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776F98AE-02DD-E08F-DD50-AE80D618196C}"/>
            </a:ext>
          </a:extLst>
        </xdr:cNvPr>
        <xdr:cNvSpPr txBox="1"/>
      </xdr:nvSpPr>
      <xdr:spPr>
        <a:xfrm>
          <a:off x="12096751" y="3629024"/>
          <a:ext cx="2190750" cy="381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pPr marL="0" indent="0" algn="ctr"/>
          <a:r>
            <a:rPr lang="en-US" sz="1800" b="0" i="0" u="none" strike="noStrike" spc="0" baseline="0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t>#WORKOUTS</a:t>
          </a:r>
        </a:p>
      </xdr:txBody>
    </xdr:sp>
    <xdr:clientData/>
  </xdr:twoCellAnchor>
  <xdr:twoCellAnchor>
    <xdr:from>
      <xdr:col>19</xdr:col>
      <xdr:colOff>452438</xdr:colOff>
      <xdr:row>29</xdr:row>
      <xdr:rowOff>123824</xdr:rowOff>
    </xdr:from>
    <xdr:to>
      <xdr:col>23</xdr:col>
      <xdr:colOff>252413</xdr:colOff>
      <xdr:row>31</xdr:row>
      <xdr:rowOff>9524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45CA4A4F-8E61-E430-16C4-2CE8AE82178C}"/>
            </a:ext>
          </a:extLst>
        </xdr:cNvPr>
        <xdr:cNvSpPr txBox="1"/>
      </xdr:nvSpPr>
      <xdr:spPr>
        <a:xfrm>
          <a:off x="12034838" y="5648324"/>
          <a:ext cx="2238375" cy="2667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pPr marL="0" indent="0" algn="ctr"/>
          <a:r>
            <a:rPr lang="en-US" sz="1800" b="0" i="0" u="none" strike="noStrike" spc="0" baseline="0">
              <a:solidFill>
                <a:srgbClr val="33CAFF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t>#MINUTES</a:t>
          </a:r>
        </a:p>
        <a:p>
          <a:pPr marL="0" indent="0" algn="ctr"/>
          <a:endParaRPr lang="en-US" sz="1800" b="0" i="0" u="none" strike="noStrike" spc="-900" baseline="0">
            <a:solidFill>
              <a:srgbClr val="25FB5D"/>
            </a:solidFill>
            <a:latin typeface="LilyUPC" panose="020B0604020202020204" pitchFamily="34" charset="-34"/>
            <a:ea typeface="+mn-ea"/>
            <a:cs typeface="LilyUPC" panose="020B0604020202020204" pitchFamily="34" charset="-34"/>
          </a:endParaRPr>
        </a:p>
      </xdr:txBody>
    </xdr:sp>
    <xdr:clientData/>
  </xdr:twoCellAnchor>
  <xdr:twoCellAnchor>
    <xdr:from>
      <xdr:col>9</xdr:col>
      <xdr:colOff>595313</xdr:colOff>
      <xdr:row>8</xdr:row>
      <xdr:rowOff>14288</xdr:rowOff>
    </xdr:from>
    <xdr:to>
      <xdr:col>14</xdr:col>
      <xdr:colOff>290513</xdr:colOff>
      <xdr:row>31</xdr:row>
      <xdr:rowOff>176214</xdr:rowOff>
    </xdr:to>
    <xdr:sp macro="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A9D8D0BC-89C6-5433-1AEB-51D0B36FC24E}"/>
            </a:ext>
          </a:extLst>
        </xdr:cNvPr>
        <xdr:cNvSpPr/>
      </xdr:nvSpPr>
      <xdr:spPr>
        <a:xfrm>
          <a:off x="6081713" y="1538288"/>
          <a:ext cx="2743200" cy="4543426"/>
        </a:xfrm>
        <a:prstGeom prst="roundRect">
          <a:avLst>
            <a:gd name="adj" fmla="val 1201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28576</xdr:colOff>
      <xdr:row>8</xdr:row>
      <xdr:rowOff>0</xdr:rowOff>
    </xdr:from>
    <xdr:to>
      <xdr:col>14</xdr:col>
      <xdr:colOff>247650</xdr:colOff>
      <xdr:row>9</xdr:row>
      <xdr:rowOff>129540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027B2EAC-38C3-0EFB-34FB-D10733D3EB77}"/>
            </a:ext>
          </a:extLst>
        </xdr:cNvPr>
        <xdr:cNvSpPr txBox="1"/>
      </xdr:nvSpPr>
      <xdr:spPr>
        <a:xfrm>
          <a:off x="6124576" y="1524000"/>
          <a:ext cx="2657474" cy="32004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2400" baseline="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rPr>
            <a:t>20-30 Minute Workouts</a:t>
          </a:r>
        </a:p>
        <a:p>
          <a:pPr marL="0" indent="0" algn="ctr"/>
          <a:endParaRPr lang="en-US" sz="2400" baseline="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  <a:p>
          <a:pPr marL="0" indent="0" algn="ctr"/>
          <a:endParaRPr lang="en-US" sz="24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  <a:p>
          <a:endParaRPr lang="en-US" sz="60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</xdr:txBody>
    </xdr:sp>
    <xdr:clientData/>
  </xdr:twoCellAnchor>
  <xdr:twoCellAnchor>
    <xdr:from>
      <xdr:col>10</xdr:col>
      <xdr:colOff>328613</xdr:colOff>
      <xdr:row>9</xdr:row>
      <xdr:rowOff>135730</xdr:rowOff>
    </xdr:from>
    <xdr:to>
      <xdr:col>13</xdr:col>
      <xdr:colOff>557213</xdr:colOff>
      <xdr:row>20</xdr:row>
      <xdr:rowOff>97630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4E16CD31-75A5-0A78-6BA3-6F47FE7EE361}"/>
            </a:ext>
          </a:extLst>
        </xdr:cNvPr>
        <xdr:cNvGrpSpPr/>
      </xdr:nvGrpSpPr>
      <xdr:grpSpPr>
        <a:xfrm>
          <a:off x="6424613" y="1850230"/>
          <a:ext cx="2057400" cy="2057400"/>
          <a:chOff x="9296400" y="1850230"/>
          <a:chExt cx="2057400" cy="2057400"/>
        </a:xfrm>
      </xdr:grpSpPr>
      <xdr:graphicFrame macro="">
        <xdr:nvGraphicFramePr>
          <xdr:cNvPr id="59" name="Chart 58">
            <a:extLst>
              <a:ext uri="{FF2B5EF4-FFF2-40B4-BE49-F238E27FC236}">
                <a16:creationId xmlns:a16="http://schemas.microsoft.com/office/drawing/2014/main" id="{F891A671-EED0-64DE-4AB6-708467D7984F}"/>
              </a:ext>
            </a:extLst>
          </xdr:cNvPr>
          <xdr:cNvGraphicFramePr>
            <a:graphicFrameLocks/>
          </xdr:cNvGraphicFramePr>
        </xdr:nvGraphicFramePr>
        <xdr:xfrm>
          <a:off x="9296400" y="1850230"/>
          <a:ext cx="2057400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Pivots!F34">
        <xdr:nvSpPr>
          <xdr:cNvPr id="60" name="TextBox 59">
            <a:extLst>
              <a:ext uri="{FF2B5EF4-FFF2-40B4-BE49-F238E27FC236}">
                <a16:creationId xmlns:a16="http://schemas.microsoft.com/office/drawing/2014/main" id="{F14D4E7A-B507-27C4-6875-892FC5A24E7B}"/>
              </a:ext>
            </a:extLst>
          </xdr:cNvPr>
          <xdr:cNvSpPr txBox="1"/>
        </xdr:nvSpPr>
        <xdr:spPr>
          <a:xfrm>
            <a:off x="9677400" y="2600325"/>
            <a:ext cx="1295400" cy="5715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1D498D2A-EF45-4BA6-B6C9-B2505EAC1C56}" type="TxLink">
              <a:rPr lang="en-US" sz="3600" b="0" i="0" u="none" strike="noStrike">
                <a:solidFill>
                  <a:srgbClr val="25FB5D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pPr marL="0" indent="0" algn="ctr"/>
              <a:t>1162</a:t>
            </a:fld>
            <a:endParaRPr lang="en-US" sz="3600" b="0" i="0" u="none" strike="noStrike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10</xdr:col>
      <xdr:colOff>328613</xdr:colOff>
      <xdr:row>20</xdr:row>
      <xdr:rowOff>38100</xdr:rowOff>
    </xdr:from>
    <xdr:to>
      <xdr:col>13</xdr:col>
      <xdr:colOff>557213</xdr:colOff>
      <xdr:row>31</xdr:row>
      <xdr:rowOff>0</xdr:rowOff>
    </xdr:to>
    <xdr:grpSp>
      <xdr:nvGrpSpPr>
        <xdr:cNvPr id="54" name="Group 53">
          <a:extLst>
            <a:ext uri="{FF2B5EF4-FFF2-40B4-BE49-F238E27FC236}">
              <a16:creationId xmlns:a16="http://schemas.microsoft.com/office/drawing/2014/main" id="{D256D86A-4537-6DE9-1F9E-4AF24B823A80}"/>
            </a:ext>
          </a:extLst>
        </xdr:cNvPr>
        <xdr:cNvGrpSpPr/>
      </xdr:nvGrpSpPr>
      <xdr:grpSpPr>
        <a:xfrm>
          <a:off x="6424613" y="3848100"/>
          <a:ext cx="2057400" cy="2057400"/>
          <a:chOff x="9296400" y="4121943"/>
          <a:chExt cx="2057400" cy="2057400"/>
        </a:xfrm>
      </xdr:grpSpPr>
      <xdr:graphicFrame macro="">
        <xdr:nvGraphicFramePr>
          <xdr:cNvPr id="57" name="Chart 56">
            <a:extLst>
              <a:ext uri="{FF2B5EF4-FFF2-40B4-BE49-F238E27FC236}">
                <a16:creationId xmlns:a16="http://schemas.microsoft.com/office/drawing/2014/main" id="{279C9AAC-53B8-AB63-5DA6-FE8800353914}"/>
              </a:ext>
            </a:extLst>
          </xdr:cNvPr>
          <xdr:cNvGraphicFramePr>
            <a:graphicFrameLocks/>
          </xdr:cNvGraphicFramePr>
        </xdr:nvGraphicFramePr>
        <xdr:xfrm>
          <a:off x="9296400" y="4121943"/>
          <a:ext cx="2057400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Pivots!I34">
        <xdr:nvSpPr>
          <xdr:cNvPr id="58" name="TextBox 57">
            <a:extLst>
              <a:ext uri="{FF2B5EF4-FFF2-40B4-BE49-F238E27FC236}">
                <a16:creationId xmlns:a16="http://schemas.microsoft.com/office/drawing/2014/main" id="{22018008-7D40-C173-A29E-1CC7D28C42A2}"/>
              </a:ext>
            </a:extLst>
          </xdr:cNvPr>
          <xdr:cNvSpPr txBox="1"/>
        </xdr:nvSpPr>
        <xdr:spPr>
          <a:xfrm>
            <a:off x="9677400" y="4872038"/>
            <a:ext cx="1295400" cy="5715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20CEB0A3-4CF5-4311-A835-F5EAA53912ED}" type="TxLink">
              <a:rPr lang="en-US" sz="3600" b="0" i="0" u="none" strike="noStrike">
                <a:solidFill>
                  <a:srgbClr val="00B0F0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pPr marL="0" indent="0" algn="ctr"/>
              <a:t>30390</a:t>
            </a:fld>
            <a:endParaRPr lang="en-US" sz="3600" b="0" i="0" u="none" strike="noStrike">
              <a:solidFill>
                <a:srgbClr val="00B0F0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10</xdr:col>
      <xdr:colOff>238126</xdr:colOff>
      <xdr:row>19</xdr:row>
      <xdr:rowOff>0</xdr:rowOff>
    </xdr:from>
    <xdr:to>
      <xdr:col>13</xdr:col>
      <xdr:colOff>600076</xdr:colOff>
      <xdr:row>21</xdr:row>
      <xdr:rowOff>0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4689CC7D-AD76-DC54-2D9D-72EF0B192D80}"/>
            </a:ext>
          </a:extLst>
        </xdr:cNvPr>
        <xdr:cNvSpPr txBox="1"/>
      </xdr:nvSpPr>
      <xdr:spPr>
        <a:xfrm>
          <a:off x="6334126" y="3619500"/>
          <a:ext cx="2190750" cy="381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pPr marL="0" indent="0" algn="ctr"/>
          <a:r>
            <a:rPr lang="en-US" sz="1800" b="0" i="0" u="none" strike="noStrike" spc="0" baseline="0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t>#WORKOUTS</a:t>
          </a:r>
        </a:p>
      </xdr:txBody>
    </xdr:sp>
    <xdr:clientData/>
  </xdr:twoCellAnchor>
  <xdr:twoCellAnchor>
    <xdr:from>
      <xdr:col>10</xdr:col>
      <xdr:colOff>176213</xdr:colOff>
      <xdr:row>29</xdr:row>
      <xdr:rowOff>114300</xdr:rowOff>
    </xdr:from>
    <xdr:to>
      <xdr:col>13</xdr:col>
      <xdr:colOff>585788</xdr:colOff>
      <xdr:row>31</xdr:row>
      <xdr:rowOff>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F34A89D8-5354-7AC5-C4D0-1E2C8C3FA9F8}"/>
            </a:ext>
          </a:extLst>
        </xdr:cNvPr>
        <xdr:cNvSpPr txBox="1"/>
      </xdr:nvSpPr>
      <xdr:spPr>
        <a:xfrm>
          <a:off x="6272213" y="5638800"/>
          <a:ext cx="2238375" cy="2667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pPr marL="0" indent="0" algn="ctr"/>
          <a:r>
            <a:rPr lang="en-US" sz="1800" b="0" i="0" u="none" strike="noStrike" spc="0" baseline="0">
              <a:solidFill>
                <a:srgbClr val="33CAFF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t>#MINUTES</a:t>
          </a:r>
        </a:p>
        <a:p>
          <a:pPr marL="0" indent="0" algn="ctr"/>
          <a:endParaRPr lang="en-US" sz="1800" b="0" i="0" u="none" strike="noStrike" spc="-900" baseline="0">
            <a:solidFill>
              <a:srgbClr val="25FB5D"/>
            </a:solidFill>
            <a:latin typeface="LilyUPC" panose="020B0604020202020204" pitchFamily="34" charset="-34"/>
            <a:ea typeface="+mn-ea"/>
            <a:cs typeface="LilyUPC" panose="020B0604020202020204" pitchFamily="34" charset="-34"/>
          </a:endParaRPr>
        </a:p>
      </xdr:txBody>
    </xdr:sp>
    <xdr:clientData/>
  </xdr:twoCellAnchor>
  <xdr:twoCellAnchor>
    <xdr:from>
      <xdr:col>5</xdr:col>
      <xdr:colOff>133349</xdr:colOff>
      <xdr:row>8</xdr:row>
      <xdr:rowOff>19047</xdr:rowOff>
    </xdr:from>
    <xdr:to>
      <xdr:col>9</xdr:col>
      <xdr:colOff>438149</xdr:colOff>
      <xdr:row>31</xdr:row>
      <xdr:rowOff>180973</xdr:rowOff>
    </xdr:to>
    <xdr:sp macro="" textlink="">
      <xdr:nvSpPr>
        <xdr:cNvPr id="62" name="Rectangle: Rounded Corners 61">
          <a:extLst>
            <a:ext uri="{FF2B5EF4-FFF2-40B4-BE49-F238E27FC236}">
              <a16:creationId xmlns:a16="http://schemas.microsoft.com/office/drawing/2014/main" id="{72121550-BFB5-158D-47E1-7F4FB5595803}"/>
            </a:ext>
          </a:extLst>
        </xdr:cNvPr>
        <xdr:cNvSpPr/>
      </xdr:nvSpPr>
      <xdr:spPr>
        <a:xfrm>
          <a:off x="3181349" y="1543047"/>
          <a:ext cx="2743200" cy="4543426"/>
        </a:xfrm>
        <a:prstGeom prst="roundRect">
          <a:avLst>
            <a:gd name="adj" fmla="val 1201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176212</xdr:colOff>
      <xdr:row>7</xdr:row>
      <xdr:rowOff>180973</xdr:rowOff>
    </xdr:from>
    <xdr:to>
      <xdr:col>9</xdr:col>
      <xdr:colOff>395286</xdr:colOff>
      <xdr:row>9</xdr:row>
      <xdr:rowOff>120013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654A3C02-5058-F22F-1703-3FB8FC74BB9A}"/>
            </a:ext>
          </a:extLst>
        </xdr:cNvPr>
        <xdr:cNvSpPr txBox="1"/>
      </xdr:nvSpPr>
      <xdr:spPr>
        <a:xfrm>
          <a:off x="3224212" y="1514473"/>
          <a:ext cx="2657474" cy="32004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en-US" sz="2400" baseline="0">
              <a:solidFill>
                <a:srgbClr val="25FB5D"/>
              </a:solidFill>
              <a:latin typeface="LilyUPC" panose="020B0502040204020203" pitchFamily="34" charset="-34"/>
              <a:ea typeface="+mn-ea"/>
              <a:cs typeface="LilyUPC" panose="020B0502040204020203" pitchFamily="34" charset="-34"/>
            </a:rPr>
            <a:t>5-15 Minute Workouts</a:t>
          </a:r>
        </a:p>
        <a:p>
          <a:pPr marL="0" indent="0" algn="ctr"/>
          <a:endParaRPr lang="en-US" sz="2400" baseline="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  <a:p>
          <a:pPr marL="0" indent="0" algn="ctr"/>
          <a:endParaRPr lang="en-US" sz="24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  <a:p>
          <a:endParaRPr lang="en-US" sz="6000">
            <a:solidFill>
              <a:srgbClr val="25FB5D"/>
            </a:solidFill>
            <a:latin typeface="LilyUPC" panose="020B0502040204020203" pitchFamily="34" charset="-34"/>
            <a:ea typeface="+mn-ea"/>
            <a:cs typeface="LilyUPC" panose="020B0502040204020203" pitchFamily="34" charset="-34"/>
          </a:endParaRPr>
        </a:p>
      </xdr:txBody>
    </xdr:sp>
    <xdr:clientData/>
  </xdr:twoCellAnchor>
  <xdr:twoCellAnchor>
    <xdr:from>
      <xdr:col>5</xdr:col>
      <xdr:colOff>476249</xdr:colOff>
      <xdr:row>9</xdr:row>
      <xdr:rowOff>126203</xdr:rowOff>
    </xdr:from>
    <xdr:to>
      <xdr:col>9</xdr:col>
      <xdr:colOff>95249</xdr:colOff>
      <xdr:row>20</xdr:row>
      <xdr:rowOff>88103</xdr:rowOff>
    </xdr:to>
    <xdr:grpSp>
      <xdr:nvGrpSpPr>
        <xdr:cNvPr id="64" name="Group 63">
          <a:extLst>
            <a:ext uri="{FF2B5EF4-FFF2-40B4-BE49-F238E27FC236}">
              <a16:creationId xmlns:a16="http://schemas.microsoft.com/office/drawing/2014/main" id="{B2EF1340-965E-292E-11AC-4CDB283E3958}"/>
            </a:ext>
          </a:extLst>
        </xdr:cNvPr>
        <xdr:cNvGrpSpPr/>
      </xdr:nvGrpSpPr>
      <xdr:grpSpPr>
        <a:xfrm>
          <a:off x="3524249" y="1840703"/>
          <a:ext cx="2057400" cy="2057400"/>
          <a:chOff x="9296400" y="1850230"/>
          <a:chExt cx="2057400" cy="2057400"/>
        </a:xfrm>
      </xdr:grpSpPr>
      <xdr:graphicFrame macro="">
        <xdr:nvGraphicFramePr>
          <xdr:cNvPr id="70" name="Chart 69">
            <a:extLst>
              <a:ext uri="{FF2B5EF4-FFF2-40B4-BE49-F238E27FC236}">
                <a16:creationId xmlns:a16="http://schemas.microsoft.com/office/drawing/2014/main" id="{BD8427FC-04DD-DE53-C5AE-7FA2CADC8429}"/>
              </a:ext>
            </a:extLst>
          </xdr:cNvPr>
          <xdr:cNvGraphicFramePr>
            <a:graphicFrameLocks/>
          </xdr:cNvGraphicFramePr>
        </xdr:nvGraphicFramePr>
        <xdr:xfrm>
          <a:off x="9296400" y="1850230"/>
          <a:ext cx="2057400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Pivots!F33">
        <xdr:nvSpPr>
          <xdr:cNvPr id="71" name="TextBox 70">
            <a:extLst>
              <a:ext uri="{FF2B5EF4-FFF2-40B4-BE49-F238E27FC236}">
                <a16:creationId xmlns:a16="http://schemas.microsoft.com/office/drawing/2014/main" id="{37627A3C-68DB-4311-9EBC-B5678DB486F9}"/>
              </a:ext>
            </a:extLst>
          </xdr:cNvPr>
          <xdr:cNvSpPr txBox="1"/>
        </xdr:nvSpPr>
        <xdr:spPr>
          <a:xfrm>
            <a:off x="9677400" y="2600325"/>
            <a:ext cx="1295400" cy="5715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3264050B-4EC4-4551-A6EA-D5191093D2DE}" type="TxLink">
              <a:rPr lang="en-US" sz="3600" b="0" i="0" u="none" strike="noStrike">
                <a:solidFill>
                  <a:srgbClr val="25FB5D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pPr marL="0" indent="0" algn="ctr"/>
              <a:t>2337</a:t>
            </a:fld>
            <a:endParaRPr lang="en-US" sz="3600" b="0" i="0" u="none" strike="noStrike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5</xdr:col>
      <xdr:colOff>476249</xdr:colOff>
      <xdr:row>20</xdr:row>
      <xdr:rowOff>28573</xdr:rowOff>
    </xdr:from>
    <xdr:to>
      <xdr:col>9</xdr:col>
      <xdr:colOff>95249</xdr:colOff>
      <xdr:row>30</xdr:row>
      <xdr:rowOff>180973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577B0275-F62A-BDA1-34CB-5D9ED31B9771}"/>
            </a:ext>
          </a:extLst>
        </xdr:cNvPr>
        <xdr:cNvGrpSpPr/>
      </xdr:nvGrpSpPr>
      <xdr:grpSpPr>
        <a:xfrm>
          <a:off x="3524249" y="3838573"/>
          <a:ext cx="2057400" cy="2057400"/>
          <a:chOff x="9296400" y="4121943"/>
          <a:chExt cx="2057400" cy="2057400"/>
        </a:xfrm>
      </xdr:grpSpPr>
      <xdr:graphicFrame macro="">
        <xdr:nvGraphicFramePr>
          <xdr:cNvPr id="68" name="Chart 67">
            <a:extLst>
              <a:ext uri="{FF2B5EF4-FFF2-40B4-BE49-F238E27FC236}">
                <a16:creationId xmlns:a16="http://schemas.microsoft.com/office/drawing/2014/main" id="{5EB4814C-651C-3153-907B-4C2D73BC2279}"/>
              </a:ext>
            </a:extLst>
          </xdr:cNvPr>
          <xdr:cNvGraphicFramePr>
            <a:graphicFrameLocks/>
          </xdr:cNvGraphicFramePr>
        </xdr:nvGraphicFramePr>
        <xdr:xfrm>
          <a:off x="9296400" y="4121943"/>
          <a:ext cx="2057400" cy="2057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Pivots!I33">
        <xdr:nvSpPr>
          <xdr:cNvPr id="69" name="TextBox 68">
            <a:extLst>
              <a:ext uri="{FF2B5EF4-FFF2-40B4-BE49-F238E27FC236}">
                <a16:creationId xmlns:a16="http://schemas.microsoft.com/office/drawing/2014/main" id="{0590B647-B550-79E5-4C23-5B38C68DFDBB}"/>
              </a:ext>
            </a:extLst>
          </xdr:cNvPr>
          <xdr:cNvSpPr txBox="1"/>
        </xdr:nvSpPr>
        <xdr:spPr>
          <a:xfrm>
            <a:off x="9677400" y="4872038"/>
            <a:ext cx="1295400" cy="5715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94C915F8-7CF9-4745-934E-405A259ED291}" type="TxLink">
              <a:rPr lang="en-US" sz="3600" b="0" i="0" u="none" strike="noStrike">
                <a:solidFill>
                  <a:srgbClr val="00B0F0"/>
                </a:solidFill>
                <a:latin typeface="LilyUPC" panose="020B0604020202020204" pitchFamily="34" charset="-34"/>
                <a:ea typeface="+mn-ea"/>
                <a:cs typeface="LilyUPC" panose="020B0604020202020204" pitchFamily="34" charset="-34"/>
              </a:rPr>
              <a:pPr marL="0" indent="0" algn="ctr"/>
              <a:t>20730</a:t>
            </a:fld>
            <a:endParaRPr lang="en-US" sz="3600" b="0" i="0" u="none" strike="noStrike">
              <a:solidFill>
                <a:srgbClr val="00B0F0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endParaRPr>
          </a:p>
        </xdr:txBody>
      </xdr:sp>
    </xdr:grpSp>
    <xdr:clientData/>
  </xdr:twoCellAnchor>
  <xdr:twoCellAnchor>
    <xdr:from>
      <xdr:col>5</xdr:col>
      <xdr:colOff>385762</xdr:colOff>
      <xdr:row>18</xdr:row>
      <xdr:rowOff>180973</xdr:rowOff>
    </xdr:from>
    <xdr:to>
      <xdr:col>9</xdr:col>
      <xdr:colOff>138112</xdr:colOff>
      <xdr:row>20</xdr:row>
      <xdr:rowOff>180973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A3341EEF-548B-47BD-E465-06927A4AEBA3}"/>
            </a:ext>
          </a:extLst>
        </xdr:cNvPr>
        <xdr:cNvSpPr txBox="1"/>
      </xdr:nvSpPr>
      <xdr:spPr>
        <a:xfrm>
          <a:off x="3433762" y="3609973"/>
          <a:ext cx="2190750" cy="381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pPr marL="0" indent="0" algn="ctr"/>
          <a:r>
            <a:rPr lang="en-US" sz="1800" b="0" i="0" u="none" strike="noStrike" spc="0" baseline="0">
              <a:solidFill>
                <a:srgbClr val="25FB5D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t>#WORKOUTS</a:t>
          </a:r>
        </a:p>
      </xdr:txBody>
    </xdr:sp>
    <xdr:clientData/>
  </xdr:twoCellAnchor>
  <xdr:twoCellAnchor>
    <xdr:from>
      <xdr:col>5</xdr:col>
      <xdr:colOff>323849</xdr:colOff>
      <xdr:row>29</xdr:row>
      <xdr:rowOff>104773</xdr:rowOff>
    </xdr:from>
    <xdr:to>
      <xdr:col>9</xdr:col>
      <xdr:colOff>123824</xdr:colOff>
      <xdr:row>30</xdr:row>
      <xdr:rowOff>180973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EA9782C7-7579-B3CE-BA7E-D40DBDB88DAF}"/>
            </a:ext>
          </a:extLst>
        </xdr:cNvPr>
        <xdr:cNvSpPr txBox="1"/>
      </xdr:nvSpPr>
      <xdr:spPr>
        <a:xfrm>
          <a:off x="3371849" y="5629273"/>
          <a:ext cx="2238375" cy="2667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t"/>
        <a:lstStyle/>
        <a:p>
          <a:pPr marL="0" indent="0" algn="ctr"/>
          <a:r>
            <a:rPr lang="en-US" sz="1800" b="0" i="0" u="none" strike="noStrike" spc="0" baseline="0">
              <a:solidFill>
                <a:srgbClr val="33CAFF"/>
              </a:solidFill>
              <a:latin typeface="LilyUPC" panose="020B0604020202020204" pitchFamily="34" charset="-34"/>
              <a:ea typeface="+mn-ea"/>
              <a:cs typeface="LilyUPC" panose="020B0604020202020204" pitchFamily="34" charset="-34"/>
            </a:rPr>
            <a:t>#MINUTES</a:t>
          </a:r>
        </a:p>
        <a:p>
          <a:pPr marL="0" indent="0" algn="ctr"/>
          <a:endParaRPr lang="en-US" sz="1800" b="0" i="0" u="none" strike="noStrike" spc="-900" baseline="0">
            <a:solidFill>
              <a:srgbClr val="25FB5D"/>
            </a:solidFill>
            <a:latin typeface="LilyUPC" panose="020B0604020202020204" pitchFamily="34" charset="-34"/>
            <a:ea typeface="+mn-ea"/>
            <a:cs typeface="LilyUPC" panose="020B0604020202020204" pitchFamily="34" charset="-34"/>
          </a:endParaRPr>
        </a:p>
      </xdr:txBody>
    </xdr:sp>
    <xdr:clientData/>
  </xdr:twoCellAnchor>
  <xdr:twoCellAnchor>
    <xdr:from>
      <xdr:col>5</xdr:col>
      <xdr:colOff>304799</xdr:colOff>
      <xdr:row>34</xdr:row>
      <xdr:rowOff>2286</xdr:rowOff>
    </xdr:from>
    <xdr:to>
      <xdr:col>14</xdr:col>
      <xdr:colOff>123825</xdr:colOff>
      <xdr:row>49</xdr:row>
      <xdr:rowOff>2286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3EEA4CB3-B095-40C5-B98A-15535F3D47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452436</xdr:colOff>
      <xdr:row>33</xdr:row>
      <xdr:rowOff>9525</xdr:rowOff>
    </xdr:from>
    <xdr:to>
      <xdr:col>24</xdr:col>
      <xdr:colOff>0</xdr:colOff>
      <xdr:row>50</xdr:row>
      <xdr:rowOff>9526</xdr:rowOff>
    </xdr:to>
    <xdr:sp macro="" textlink="">
      <xdr:nvSpPr>
        <xdr:cNvPr id="74" name="Rectangle: Rounded Corners 73">
          <a:extLst>
            <a:ext uri="{FF2B5EF4-FFF2-40B4-BE49-F238E27FC236}">
              <a16:creationId xmlns:a16="http://schemas.microsoft.com/office/drawing/2014/main" id="{1D05D801-1B47-4A50-9765-00B70031D2C5}"/>
            </a:ext>
          </a:extLst>
        </xdr:cNvPr>
        <xdr:cNvSpPr/>
      </xdr:nvSpPr>
      <xdr:spPr>
        <a:xfrm>
          <a:off x="8986836" y="6296025"/>
          <a:ext cx="5643564" cy="3238501"/>
        </a:xfrm>
        <a:prstGeom prst="roundRect">
          <a:avLst>
            <a:gd name="adj" fmla="val 868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47625</xdr:colOff>
      <xdr:row>34</xdr:row>
      <xdr:rowOff>0</xdr:rowOff>
    </xdr:from>
    <xdr:to>
      <xdr:col>23</xdr:col>
      <xdr:colOff>474345</xdr:colOff>
      <xdr:row>49</xdr:row>
      <xdr:rowOff>4572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E8DDDF8D-0714-41EC-B270-D83A181B33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376237</xdr:colOff>
      <xdr:row>1</xdr:row>
      <xdr:rowOff>28573</xdr:rowOff>
    </xdr:from>
    <xdr:to>
      <xdr:col>4</xdr:col>
      <xdr:colOff>406717</xdr:colOff>
      <xdr:row>52</xdr:row>
      <xdr:rowOff>142873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77" name="Chart 76">
              <a:extLst>
                <a:ext uri="{FF2B5EF4-FFF2-40B4-BE49-F238E27FC236}">
                  <a16:creationId xmlns:a16="http://schemas.microsoft.com/office/drawing/2014/main" id="{64B18382-FAFF-41AE-B8AD-B13178F2FBE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76237" y="219073"/>
              <a:ext cx="2468880" cy="9829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</xdr:row>
      <xdr:rowOff>157162</xdr:rowOff>
    </xdr:from>
    <xdr:to>
      <xdr:col>21</xdr:col>
      <xdr:colOff>200025</xdr:colOff>
      <xdr:row>16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5D37F8-6B22-435F-EA2D-1351E4D3A5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114300</xdr:colOff>
      <xdr:row>19</xdr:row>
      <xdr:rowOff>0</xdr:rowOff>
    </xdr:from>
    <xdr:to>
      <xdr:col>21</xdr:col>
      <xdr:colOff>419100</xdr:colOff>
      <xdr:row>33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7FF9B1F-A873-7869-E377-E66006F54A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42</xdr:row>
      <xdr:rowOff>0</xdr:rowOff>
    </xdr:from>
    <xdr:to>
      <xdr:col>10</xdr:col>
      <xdr:colOff>1028701</xdr:colOff>
      <xdr:row>49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137EE407-400F-2C77-CCCB-232A3362257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401300" y="8001000"/>
              <a:ext cx="3810001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3</xdr:col>
      <xdr:colOff>1276350</xdr:colOff>
      <xdr:row>40</xdr:row>
      <xdr:rowOff>0</xdr:rowOff>
    </xdr:from>
    <xdr:to>
      <xdr:col>7</xdr:col>
      <xdr:colOff>0</xdr:colOff>
      <xdr:row>54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1DAE883-56C6-9D34-C130-4E8B48B9E9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452437</xdr:colOff>
      <xdr:row>1</xdr:row>
      <xdr:rowOff>0</xdr:rowOff>
    </xdr:from>
    <xdr:to>
      <xdr:col>10</xdr:col>
      <xdr:colOff>0</xdr:colOff>
      <xdr:row>23</xdr:row>
      <xdr:rowOff>42862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799A827-B16D-F9B6-98C4-24CAFA2591D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91337" y="190500"/>
              <a:ext cx="2595563" cy="42338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y Deane" refreshedDate="45407.566382175923" createdVersion="8" refreshedVersion="8" minRefreshableVersion="3" recordCount="4221" xr:uid="{00000000-000A-0000-FFFF-FFFF12000000}">
  <cacheSource type="worksheet">
    <worksheetSource ref="A1:U1048576" sheet="workouts"/>
  </cacheSource>
  <cacheFields count="23">
    <cacheField name="Workout Timestamp" numFmtId="0">
      <sharedItems containsBlank="1"/>
    </cacheField>
    <cacheField name="Date" numFmtId="0">
      <sharedItems containsNonDate="0" containsDate="1" containsString="0" containsBlank="1" minDate="2018-08-21T00:00:00" maxDate="2024-01-18T00:00:00" count="1177">
        <d v="2019-06-14T00:00:00"/>
        <d v="2020-01-17T00:00:00"/>
        <d v="2020-10-16T00:00:00"/>
        <d v="2020-10-23T00:00:00"/>
        <d v="2020-11-06T00:00:00"/>
        <d v="2020-11-20T00:00:00"/>
        <d v="2020-11-27T00:00:00"/>
        <d v="2020-12-04T00:00:00"/>
        <d v="2020-12-11T00:00:00"/>
        <d v="2020-12-18T00:00:00"/>
        <d v="2021-01-01T00:00:00"/>
        <d v="2021-01-08T00:00:00"/>
        <d v="2021-01-15T00:00:00"/>
        <d v="2021-01-22T00:00:00"/>
        <d v="2021-01-29T00:00:00"/>
        <d v="2021-02-05T00:00:00"/>
        <d v="2021-02-12T00:00:00"/>
        <d v="2021-02-19T00:00:00"/>
        <d v="2021-02-26T00:00:00"/>
        <d v="2021-03-05T00:00:00"/>
        <d v="2021-03-12T00:00:00"/>
        <d v="2021-03-19T00:00:00"/>
        <d v="2021-03-26T00:00:00"/>
        <d v="2021-04-02T00:00:00"/>
        <d v="2021-04-09T00:00:00"/>
        <d v="2021-04-16T00:00:00"/>
        <d v="2021-04-23T00:00:00"/>
        <d v="2021-04-30T00:00:00"/>
        <d v="2021-05-07T00:00:00"/>
        <d v="2021-05-14T00:00:00"/>
        <d v="2021-05-21T00:00:00"/>
        <d v="2021-06-04T00:00:00"/>
        <d v="2021-06-11T00:00:00"/>
        <d v="2021-06-18T00:00:00"/>
        <d v="2021-06-25T00:00:00"/>
        <d v="2021-07-02T00:00:00"/>
        <d v="2021-07-09T00:00:00"/>
        <d v="2021-07-16T00:00:00"/>
        <d v="2021-07-23T00:00:00"/>
        <d v="2021-07-30T00:00:00"/>
        <d v="2021-08-06T00:00:00"/>
        <d v="2021-08-13T00:00:00"/>
        <d v="2021-08-20T00:00:00"/>
        <d v="2021-08-27T00:00:00"/>
        <d v="2021-09-03T00:00:00"/>
        <d v="2021-09-10T00:00:00"/>
        <d v="2021-09-24T00:00:00"/>
        <d v="2021-10-01T00:00:00"/>
        <d v="2021-10-08T00:00:00"/>
        <d v="2021-10-15T00:00:00"/>
        <d v="2021-10-29T00:00:00"/>
        <d v="2021-11-05T00:00:00"/>
        <d v="2021-11-12T00:00:00"/>
        <d v="2021-11-19T00:00:00"/>
        <d v="2021-12-03T00:00:00"/>
        <d v="2021-12-10T00:00:00"/>
        <d v="2021-12-17T00:00:00"/>
        <d v="2021-12-24T00:00:00"/>
        <d v="2021-12-31T00:00:00"/>
        <d v="2022-01-07T00:00:00"/>
        <d v="2022-01-14T00:00:00"/>
        <d v="2022-01-21T00:00:00"/>
        <d v="2022-01-28T00:00:00"/>
        <d v="2022-02-04T00:00:00"/>
        <d v="2022-02-11T00:00:00"/>
        <d v="2022-02-18T00:00:00"/>
        <d v="2022-02-25T00:00:00"/>
        <d v="2022-03-04T00:00:00"/>
        <d v="2022-03-11T00:00:00"/>
        <d v="2022-03-18T00:00:00"/>
        <d v="2022-03-25T00:00:00"/>
        <d v="2022-04-01T00:00:00"/>
        <d v="2022-04-08T00:00:00"/>
        <d v="2022-04-15T00:00:00"/>
        <d v="2022-04-22T00:00:00"/>
        <d v="2022-04-29T00:00:00"/>
        <d v="2022-05-06T00:00:00"/>
        <d v="2022-05-13T00:00:00"/>
        <d v="2022-05-20T00:00:00"/>
        <d v="2022-05-27T00:00:00"/>
        <d v="2022-06-03T00:00:00"/>
        <d v="2022-06-10T00:00:00"/>
        <d v="2022-06-17T00:00:00"/>
        <d v="2022-06-24T00:00:00"/>
        <d v="2022-07-01T00:00:00"/>
        <d v="2022-07-08T00:00:00"/>
        <d v="2022-07-15T00:00:00"/>
        <d v="2022-07-22T00:00:00"/>
        <d v="2022-07-29T00:00:00"/>
        <d v="2022-08-05T00:00:00"/>
        <d v="2022-08-19T00:00:00"/>
        <d v="2022-08-26T00:00:00"/>
        <d v="2022-09-02T00:00:00"/>
        <d v="2022-09-16T00:00:00"/>
        <d v="2022-09-23T00:00:00"/>
        <d v="2022-09-30T00:00:00"/>
        <d v="2022-10-07T00:00:00"/>
        <d v="2022-10-14T00:00:00"/>
        <d v="2022-10-21T00:00:00"/>
        <d v="2022-10-28T00:00:00"/>
        <d v="2022-11-04T00:00:00"/>
        <d v="2022-11-11T00:00:00"/>
        <d v="2022-11-18T00:00:00"/>
        <d v="2022-12-02T00:00:00"/>
        <d v="2022-12-09T00:00:00"/>
        <d v="2022-12-16T00:00:00"/>
        <d v="2022-12-23T00:00:00"/>
        <d v="2022-12-30T00:00:00"/>
        <d v="2023-01-06T00:00:00"/>
        <d v="2023-01-13T00:00:00"/>
        <d v="2023-01-20T00:00:00"/>
        <d v="2023-01-27T00:00:00"/>
        <d v="2023-02-03T00:00:00"/>
        <d v="2023-02-10T00:00:00"/>
        <d v="2023-02-17T00:00:00"/>
        <d v="2023-02-24T00:00:00"/>
        <d v="2023-03-03T00:00:00"/>
        <d v="2023-03-10T00:00:00"/>
        <d v="2023-03-17T00:00:00"/>
        <d v="2023-03-24T00:00:00"/>
        <d v="2023-03-31T00:00:00"/>
        <d v="2023-04-07T00:00:00"/>
        <d v="2023-04-21T00:00:00"/>
        <d v="2023-05-05T00:00:00"/>
        <d v="2023-05-19T00:00:00"/>
        <d v="2023-05-26T00:00:00"/>
        <d v="2023-06-02T00:00:00"/>
        <d v="2023-06-23T00:00:00"/>
        <d v="2023-07-07T00:00:00"/>
        <d v="2023-07-14T00:00:00"/>
        <d v="2023-07-21T00:00:00"/>
        <d v="2023-08-11T00:00:00"/>
        <d v="2023-08-18T00:00:00"/>
        <d v="2023-09-01T00:00:00"/>
        <d v="2023-09-08T00:00:00"/>
        <d v="2023-09-15T00:00:00"/>
        <d v="2023-09-29T00:00:00"/>
        <d v="2023-10-20T00:00:00"/>
        <d v="2023-10-27T00:00:00"/>
        <d v="2023-11-03T00:00:00"/>
        <d v="2023-11-10T00:00:00"/>
        <d v="2023-12-01T00:00:00"/>
        <d v="2023-12-08T00:00:00"/>
        <d v="2023-12-29T00:00:00"/>
        <d v="2024-01-05T00:00:00"/>
        <d v="2024-01-12T00:00:00"/>
        <d v="2018-09-17T00:00:00"/>
        <d v="2018-11-12T00:00:00"/>
        <d v="2018-11-19T00:00:00"/>
        <d v="2018-11-26T00:00:00"/>
        <d v="2018-12-10T00:00:00"/>
        <d v="2019-11-11T00:00:00"/>
        <d v="2020-01-06T00:00:00"/>
        <d v="2020-01-20T00:00:00"/>
        <d v="2020-02-03T00:00:00"/>
        <d v="2020-02-17T00:00:00"/>
        <d v="2020-10-19T00:00:00"/>
        <d v="2020-11-09T00:00:00"/>
        <d v="2020-11-16T00:00:00"/>
        <d v="2020-11-23T00:00:00"/>
        <d v="2020-11-30T00:00:00"/>
        <d v="2020-12-07T00:00:00"/>
        <d v="2020-12-14T00:00:00"/>
        <d v="2020-12-21T00:00:00"/>
        <d v="2020-12-28T00:00:00"/>
        <d v="2021-01-04T00:00:00"/>
        <d v="2021-01-11T00:00:00"/>
        <d v="2021-01-18T00:00:00"/>
        <d v="2021-01-25T00:00:00"/>
        <d v="2021-02-01T00:00:00"/>
        <d v="2021-02-08T00:00:00"/>
        <d v="2021-02-15T00:00:00"/>
        <d v="2021-02-22T00:00:00"/>
        <d v="2021-03-01T00:00:00"/>
        <d v="2021-03-08T00:00:00"/>
        <d v="2021-03-15T00:00:00"/>
        <d v="2021-03-22T00:00:00"/>
        <d v="2021-03-29T00:00:00"/>
        <d v="2021-04-05T00:00:00"/>
        <d v="2021-04-12T00:00:00"/>
        <d v="2021-04-19T00:00:00"/>
        <d v="2021-04-26T00:00:00"/>
        <d v="2021-05-03T00:00:00"/>
        <d v="2021-05-10T00:00:00"/>
        <d v="2021-05-17T00:00:00"/>
        <d v="2021-05-24T00:00:00"/>
        <d v="2021-05-31T00:00:00"/>
        <d v="2021-06-07T00:00:00"/>
        <d v="2021-06-14T00:00:00"/>
        <d v="2021-06-21T00:00:00"/>
        <d v="2021-06-28T00:00:00"/>
        <d v="2021-07-05T00:00:00"/>
        <d v="2021-07-12T00:00:00"/>
        <d v="2021-07-19T00:00:00"/>
        <d v="2021-07-26T00:00:00"/>
        <d v="2021-08-02T00:00:00"/>
        <d v="2021-08-09T00:00:00"/>
        <d v="2021-08-16T00:00:00"/>
        <d v="2021-08-23T00:00:00"/>
        <d v="2021-08-30T00:00:00"/>
        <d v="2021-09-06T00:00:00"/>
        <d v="2021-09-13T00:00:00"/>
        <d v="2021-09-20T00:00:00"/>
        <d v="2021-09-27T00:00:00"/>
        <d v="2021-10-04T00:00:00"/>
        <d v="2021-10-11T00:00:00"/>
        <d v="2021-10-18T00:00:00"/>
        <d v="2021-10-25T00:00:00"/>
        <d v="2021-11-01T00:00:00"/>
        <d v="2021-11-08T00:00:00"/>
        <d v="2021-11-15T00:00:00"/>
        <d v="2021-11-22T00:00:00"/>
        <d v="2021-11-29T00:00:00"/>
        <d v="2021-12-06T00:00:00"/>
        <d v="2021-12-13T00:00:00"/>
        <d v="2021-12-20T00:00:00"/>
        <d v="2021-12-27T00:00:00"/>
        <d v="2022-01-03T00:00:00"/>
        <d v="2022-01-10T00:00:00"/>
        <d v="2022-01-17T00:00:00"/>
        <d v="2022-01-24T00:00:00"/>
        <d v="2022-01-31T00:00:00"/>
        <d v="2022-02-07T00:00:00"/>
        <d v="2022-02-14T00:00:00"/>
        <d v="2022-02-21T00:00:00"/>
        <d v="2022-02-28T00:00:00"/>
        <d v="2022-03-07T00:00:00"/>
        <d v="2022-03-14T00:00:00"/>
        <d v="2022-03-21T00:00:00"/>
        <d v="2022-03-28T00:00:00"/>
        <d v="2022-04-04T00:00:00"/>
        <d v="2022-04-11T00:00:00"/>
        <d v="2022-04-18T00:00:00"/>
        <d v="2022-04-25T00:00:00"/>
        <d v="2022-05-02T00:00:00"/>
        <d v="2022-05-09T00:00:00"/>
        <d v="2022-05-16T00:00:00"/>
        <d v="2022-05-23T00:00:00"/>
        <d v="2022-05-30T00:00:00"/>
        <d v="2022-06-06T00:00:00"/>
        <d v="2022-06-13T00:00:00"/>
        <d v="2022-06-20T00:00:00"/>
        <d v="2022-06-27T00:00:00"/>
        <d v="2022-07-04T00:00:00"/>
        <d v="2022-07-11T00:00:00"/>
        <d v="2022-07-18T00:00:00"/>
        <d v="2022-07-25T00:00:00"/>
        <d v="2022-08-01T00:00:00"/>
        <d v="2022-08-08T00:00:00"/>
        <d v="2022-08-15T00:00:00"/>
        <d v="2022-08-22T00:00:00"/>
        <d v="2022-08-29T00:00:00"/>
        <d v="2022-09-05T00:00:00"/>
        <d v="2022-09-12T00:00:00"/>
        <d v="2022-09-19T00:00:00"/>
        <d v="2022-09-26T00:00:00"/>
        <d v="2022-10-03T00:00:00"/>
        <d v="2022-10-10T00:00:00"/>
        <d v="2022-10-17T00:00:00"/>
        <d v="2022-10-24T00:00:00"/>
        <d v="2022-10-31T00:00:00"/>
        <d v="2022-11-14T00:00:00"/>
        <d v="2022-11-21T00:00:00"/>
        <d v="2022-11-28T00:00:00"/>
        <d v="2022-12-05T00:00:00"/>
        <d v="2022-12-12T00:00:00"/>
        <d v="2022-12-19T00:00:00"/>
        <d v="2022-12-26T00:00:00"/>
        <d v="2023-01-02T00:00:00"/>
        <d v="2023-01-09T00:00:00"/>
        <d v="2023-01-16T00:00:00"/>
        <d v="2023-01-23T00:00:00"/>
        <d v="2023-01-30T00:00:00"/>
        <d v="2023-02-06T00:00:00"/>
        <d v="2023-02-13T00:00:00"/>
        <d v="2023-02-20T00:00:00"/>
        <d v="2023-02-27T00:00:00"/>
        <d v="2023-03-06T00:00:00"/>
        <d v="2023-03-13T00:00:00"/>
        <d v="2023-03-27T00:00:00"/>
        <d v="2023-04-03T00:00:00"/>
        <d v="2023-04-10T00:00:00"/>
        <d v="2023-04-17T00:00:00"/>
        <d v="2023-04-24T00:00:00"/>
        <d v="2023-05-01T00:00:00"/>
        <d v="2023-05-08T00:00:00"/>
        <d v="2023-05-15T00:00:00"/>
        <d v="2023-05-22T00:00:00"/>
        <d v="2023-05-29T00:00:00"/>
        <d v="2023-06-05T00:00:00"/>
        <d v="2023-06-12T00:00:00"/>
        <d v="2023-06-19T00:00:00"/>
        <d v="2023-06-26T00:00:00"/>
        <d v="2023-07-03T00:00:00"/>
        <d v="2023-07-10T00:00:00"/>
        <d v="2023-07-17T00:00:00"/>
        <d v="2023-07-24T00:00:00"/>
        <d v="2023-07-31T00:00:00"/>
        <d v="2023-08-07T00:00:00"/>
        <d v="2023-08-14T00:00:00"/>
        <d v="2023-08-21T00:00:00"/>
        <d v="2023-08-28T00:00:00"/>
        <d v="2023-09-04T00:00:00"/>
        <d v="2023-09-11T00:00:00"/>
        <d v="2023-09-18T00:00:00"/>
        <d v="2023-09-25T00:00:00"/>
        <d v="2023-10-02T00:00:00"/>
        <d v="2023-10-09T00:00:00"/>
        <d v="2023-10-16T00:00:00"/>
        <d v="2023-10-23T00:00:00"/>
        <d v="2023-10-30T00:00:00"/>
        <d v="2023-11-06T00:00:00"/>
        <d v="2023-11-13T00:00:00"/>
        <d v="2023-11-20T00:00:00"/>
        <d v="2023-11-27T00:00:00"/>
        <d v="2023-12-04T00:00:00"/>
        <d v="2023-12-11T00:00:00"/>
        <d v="2023-12-18T00:00:00"/>
        <d v="2023-12-25T00:00:00"/>
        <d v="2024-01-01T00:00:00"/>
        <d v="2024-01-08T00:00:00"/>
        <d v="2024-01-15T00:00:00"/>
        <d v="2020-10-24T00:00:00"/>
        <d v="2020-10-31T00:00:00"/>
        <d v="2020-11-07T00:00:00"/>
        <d v="2020-11-14T00:00:00"/>
        <d v="2020-11-21T00:00:00"/>
        <d v="2020-12-05T00:00:00"/>
        <d v="2020-12-12T00:00:00"/>
        <d v="2020-12-19T00:00:00"/>
        <d v="2020-12-26T00:00:00"/>
        <d v="2021-01-02T00:00:00"/>
        <d v="2021-01-09T00:00:00"/>
        <d v="2021-01-16T00:00:00"/>
        <d v="2021-01-23T00:00:00"/>
        <d v="2021-01-30T00:00:00"/>
        <d v="2021-02-06T00:00:00"/>
        <d v="2021-02-13T00:00:00"/>
        <d v="2021-02-20T00:00:00"/>
        <d v="2021-03-06T00:00:00"/>
        <d v="2021-03-13T00:00:00"/>
        <d v="2021-03-20T00:00:00"/>
        <d v="2021-03-27T00:00:00"/>
        <d v="2021-04-03T00:00:00"/>
        <d v="2021-04-10T00:00:00"/>
        <d v="2021-04-17T00:00:00"/>
        <d v="2021-04-24T00:00:00"/>
        <d v="2021-05-01T00:00:00"/>
        <d v="2021-05-08T00:00:00"/>
        <d v="2021-05-15T00:00:00"/>
        <d v="2021-05-22T00:00:00"/>
        <d v="2021-05-29T00:00:00"/>
        <d v="2021-06-05T00:00:00"/>
        <d v="2021-06-12T00:00:00"/>
        <d v="2021-06-19T00:00:00"/>
        <d v="2021-06-26T00:00:00"/>
        <d v="2021-07-03T00:00:00"/>
        <d v="2021-07-10T00:00:00"/>
        <d v="2021-07-24T00:00:00"/>
        <d v="2021-07-31T00:00:00"/>
        <d v="2021-08-07T00:00:00"/>
        <d v="2021-08-14T00:00:00"/>
        <d v="2021-08-21T00:00:00"/>
        <d v="2021-08-28T00:00:00"/>
        <d v="2021-09-04T00:00:00"/>
        <d v="2021-09-11T00:00:00"/>
        <d v="2021-09-18T00:00:00"/>
        <d v="2021-09-25T00:00:00"/>
        <d v="2021-10-02T00:00:00"/>
        <d v="2021-10-09T00:00:00"/>
        <d v="2021-10-16T00:00:00"/>
        <d v="2021-10-30T00:00:00"/>
        <d v="2021-11-06T00:00:00"/>
        <d v="2021-11-13T00:00:00"/>
        <d v="2021-11-20T00:00:00"/>
        <d v="2021-12-04T00:00:00"/>
        <d v="2021-12-11T00:00:00"/>
        <d v="2021-12-18T00:00:00"/>
        <d v="2021-12-25T00:00:00"/>
        <d v="2022-01-01T00:00:00"/>
        <d v="2022-01-08T00:00:00"/>
        <d v="2022-01-15T00:00:00"/>
        <d v="2022-01-22T00:00:00"/>
        <d v="2022-01-29T00:00:00"/>
        <d v="2022-02-05T00:00:00"/>
        <d v="2022-02-12T00:00:00"/>
        <d v="2022-02-19T00:00:00"/>
        <d v="2022-02-26T00:00:00"/>
        <d v="2022-03-05T00:00:00"/>
        <d v="2022-03-12T00:00:00"/>
        <d v="2022-03-19T00:00:00"/>
        <d v="2022-03-26T00:00:00"/>
        <d v="2022-04-02T00:00:00"/>
        <d v="2022-04-09T00:00:00"/>
        <d v="2022-04-16T00:00:00"/>
        <d v="2022-04-23T00:00:00"/>
        <d v="2022-04-30T00:00:00"/>
        <d v="2022-05-07T00:00:00"/>
        <d v="2022-05-14T00:00:00"/>
        <d v="2022-05-21T00:00:00"/>
        <d v="2022-05-28T00:00:00"/>
        <d v="2022-06-04T00:00:00"/>
        <d v="2022-06-11T00:00:00"/>
        <d v="2022-06-18T00:00:00"/>
        <d v="2022-06-25T00:00:00"/>
        <d v="2022-07-02T00:00:00"/>
        <d v="2022-07-09T00:00:00"/>
        <d v="2022-07-16T00:00:00"/>
        <d v="2022-07-23T00:00:00"/>
        <d v="2022-07-30T00:00:00"/>
        <d v="2022-08-06T00:00:00"/>
        <d v="2022-08-20T00:00:00"/>
        <d v="2022-08-27T00:00:00"/>
        <d v="2022-09-03T00:00:00"/>
        <d v="2022-09-17T00:00:00"/>
        <d v="2022-10-01T00:00:00"/>
        <d v="2022-10-15T00:00:00"/>
        <d v="2022-10-22T00:00:00"/>
        <d v="2022-10-29T00:00:00"/>
        <d v="2022-11-12T00:00:00"/>
        <d v="2022-11-19T00:00:00"/>
        <d v="2022-12-03T00:00:00"/>
        <d v="2022-12-10T00:00:00"/>
        <d v="2022-12-17T00:00:00"/>
        <d v="2022-12-24T00:00:00"/>
        <d v="2023-01-07T00:00:00"/>
        <d v="2023-01-14T00:00:00"/>
        <d v="2023-01-21T00:00:00"/>
        <d v="2023-01-28T00:00:00"/>
        <d v="2023-02-04T00:00:00"/>
        <d v="2023-02-11T00:00:00"/>
        <d v="2023-02-18T00:00:00"/>
        <d v="2023-02-25T00:00:00"/>
        <d v="2023-03-04T00:00:00"/>
        <d v="2023-03-25T00:00:00"/>
        <d v="2023-04-01T00:00:00"/>
        <d v="2023-04-08T00:00:00"/>
        <d v="2023-04-15T00:00:00"/>
        <d v="2023-04-22T00:00:00"/>
        <d v="2023-04-29T00:00:00"/>
        <d v="2023-05-06T00:00:00"/>
        <d v="2023-05-13T00:00:00"/>
        <d v="2023-05-20T00:00:00"/>
        <d v="2023-05-27T00:00:00"/>
        <d v="2023-06-03T00:00:00"/>
        <d v="2023-06-10T00:00:00"/>
        <d v="2023-06-24T00:00:00"/>
        <d v="2023-07-01T00:00:00"/>
        <d v="2023-07-08T00:00:00"/>
        <d v="2023-07-15T00:00:00"/>
        <d v="2023-07-29T00:00:00"/>
        <d v="2023-08-05T00:00:00"/>
        <d v="2023-08-12T00:00:00"/>
        <d v="2023-08-19T00:00:00"/>
        <d v="2023-08-26T00:00:00"/>
        <d v="2023-09-02T00:00:00"/>
        <d v="2023-09-09T00:00:00"/>
        <d v="2023-09-16T00:00:00"/>
        <d v="2023-09-23T00:00:00"/>
        <d v="2023-09-30T00:00:00"/>
        <d v="2023-10-14T00:00:00"/>
        <d v="2023-10-21T00:00:00"/>
        <d v="2023-10-28T00:00:00"/>
        <d v="2023-11-04T00:00:00"/>
        <d v="2023-11-11T00:00:00"/>
        <d v="2023-11-18T00:00:00"/>
        <d v="2023-12-02T00:00:00"/>
        <d v="2023-12-09T00:00:00"/>
        <d v="2023-12-16T00:00:00"/>
        <d v="2023-12-30T00:00:00"/>
        <d v="2024-01-06T00:00:00"/>
        <d v="2024-01-13T00:00:00"/>
        <d v="2020-02-09T00:00:00"/>
        <d v="2020-03-15T00:00:00"/>
        <d v="2020-04-05T00:00:00"/>
        <d v="2020-05-03T00:00:00"/>
        <d v="2020-11-01T00:00:00"/>
        <d v="2020-11-08T00:00:00"/>
        <d v="2020-11-15T00:00:00"/>
        <d v="2020-11-22T00:00:00"/>
        <d v="2020-12-06T00:00:00"/>
        <d v="2020-12-13T00:00:00"/>
        <d v="2020-12-20T00:00:00"/>
        <d v="2020-12-27T00:00:00"/>
        <d v="2021-01-03T00:00:00"/>
        <d v="2021-01-10T00:00:00"/>
        <d v="2021-01-17T00:00:00"/>
        <d v="2021-01-24T00:00:00"/>
        <d v="2021-01-31T00:00:00"/>
        <d v="2021-02-07T00:00:00"/>
        <d v="2021-02-21T00:00:00"/>
        <d v="2021-02-28T00:00:00"/>
        <d v="2021-03-07T00:00:00"/>
        <d v="2021-03-14T00:00:00"/>
        <d v="2021-03-21T00:00:00"/>
        <d v="2021-03-28T00:00:00"/>
        <d v="2021-04-04T00:00:00"/>
        <d v="2021-04-11T00:00:00"/>
        <d v="2021-04-18T00:00:00"/>
        <d v="2021-04-25T00:00:00"/>
        <d v="2021-05-02T00:00:00"/>
        <d v="2021-05-09T00:00:00"/>
        <d v="2021-05-16T00:00:00"/>
        <d v="2021-05-23T00:00:00"/>
        <d v="2021-05-30T00:00:00"/>
        <d v="2021-06-06T00:00:00"/>
        <d v="2021-06-13T00:00:00"/>
        <d v="2021-06-20T00:00:00"/>
        <d v="2021-06-27T00:00:00"/>
        <d v="2021-07-11T00:00:00"/>
        <d v="2021-07-25T00:00:00"/>
        <d v="2021-08-01T00:00:00"/>
        <d v="2021-08-08T00:00:00"/>
        <d v="2021-08-15T00:00:00"/>
        <d v="2021-08-22T00:00:00"/>
        <d v="2021-08-29T00:00:00"/>
        <d v="2021-09-05T00:00:00"/>
        <d v="2021-09-12T00:00:00"/>
        <d v="2021-09-19T00:00:00"/>
        <d v="2021-09-26T00:00:00"/>
        <d v="2021-10-03T00:00:00"/>
        <d v="2021-10-10T00:00:00"/>
        <d v="2021-10-17T00:00:00"/>
        <d v="2021-10-24T00:00:00"/>
        <d v="2021-10-31T00:00:00"/>
        <d v="2021-11-07T00:00:00"/>
        <d v="2021-11-14T00:00:00"/>
        <d v="2021-11-21T00:00:00"/>
        <d v="2021-12-05T00:00:00"/>
        <d v="2021-12-12T00:00:00"/>
        <d v="2021-12-19T00:00:00"/>
        <d v="2021-12-26T00:00:00"/>
        <d v="2022-01-02T00:00:00"/>
        <d v="2022-01-09T00:00:00"/>
        <d v="2022-01-16T00:00:00"/>
        <d v="2022-01-23T00:00:00"/>
        <d v="2022-01-30T00:00:00"/>
        <d v="2022-02-06T00:00:00"/>
        <d v="2022-02-13T00:00:00"/>
        <d v="2022-02-20T00:00:00"/>
        <d v="2022-02-27T00:00:00"/>
        <d v="2022-03-06T00:00:00"/>
        <d v="2022-03-13T00:00:00"/>
        <d v="2022-03-20T00:00:00"/>
        <d v="2022-03-27T00:00:00"/>
        <d v="2022-04-03T00:00:00"/>
        <d v="2022-04-10T00:00:00"/>
        <d v="2022-04-17T00:00:00"/>
        <d v="2022-04-24T00:00:00"/>
        <d v="2022-05-01T00:00:00"/>
        <d v="2022-05-08T00:00:00"/>
        <d v="2022-05-15T00:00:00"/>
        <d v="2022-05-22T00:00:00"/>
        <d v="2022-05-29T00:00:00"/>
        <d v="2022-06-05T00:00:00"/>
        <d v="2022-06-12T00:00:00"/>
        <d v="2022-06-19T00:00:00"/>
        <d v="2022-06-26T00:00:00"/>
        <d v="2022-07-03T00:00:00"/>
        <d v="2022-07-10T00:00:00"/>
        <d v="2022-07-17T00:00:00"/>
        <d v="2022-07-24T00:00:00"/>
        <d v="2022-07-31T00:00:00"/>
        <d v="2022-08-07T00:00:00"/>
        <d v="2022-08-14T00:00:00"/>
        <d v="2022-08-21T00:00:00"/>
        <d v="2022-08-28T00:00:00"/>
        <d v="2022-09-04T00:00:00"/>
        <d v="2022-09-11T00:00:00"/>
        <d v="2022-09-18T00:00:00"/>
        <d v="2022-09-25T00:00:00"/>
        <d v="2022-10-02T00:00:00"/>
        <d v="2022-10-09T00:00:00"/>
        <d v="2022-10-16T00:00:00"/>
        <d v="2022-10-23T00:00:00"/>
        <d v="2022-10-30T00:00:00"/>
        <d v="2022-11-06T00:00:00"/>
        <d v="2022-11-20T00:00:00"/>
        <d v="2022-12-04T00:00:00"/>
        <d v="2022-12-11T00:00:00"/>
        <d v="2022-12-18T00:00:00"/>
        <d v="2022-12-25T00:00:00"/>
        <d v="2023-01-01T00:00:00"/>
        <d v="2023-01-08T00:00:00"/>
        <d v="2023-01-15T00:00:00"/>
        <d v="2023-01-22T00:00:00"/>
        <d v="2023-01-29T00:00:00"/>
        <d v="2023-02-05T00:00:00"/>
        <d v="2023-02-12T00:00:00"/>
        <d v="2023-02-19T00:00:00"/>
        <d v="2023-02-26T00:00:00"/>
        <d v="2023-03-05T00:00:00"/>
        <d v="2023-03-12T00:00:00"/>
        <d v="2023-03-19T00:00:00"/>
        <d v="2023-04-02T00:00:00"/>
        <d v="2023-04-09T00:00:00"/>
        <d v="2023-04-16T00:00:00"/>
        <d v="2023-04-23T00:00:00"/>
        <d v="2023-04-30T00:00:00"/>
        <d v="2023-05-07T00:00:00"/>
        <d v="2023-05-14T00:00:00"/>
        <d v="2023-06-04T00:00:00"/>
        <d v="2023-06-11T00:00:00"/>
        <d v="2023-06-18T00:00:00"/>
        <d v="2023-06-25T00:00:00"/>
        <d v="2023-07-09T00:00:00"/>
        <d v="2023-07-16T00:00:00"/>
        <d v="2023-07-23T00:00:00"/>
        <d v="2023-07-30T00:00:00"/>
        <d v="2023-08-06T00:00:00"/>
        <d v="2023-08-13T00:00:00"/>
        <d v="2023-08-20T00:00:00"/>
        <d v="2023-08-27T00:00:00"/>
        <d v="2023-09-10T00:00:00"/>
        <d v="2023-09-17T00:00:00"/>
        <d v="2023-09-24T00:00:00"/>
        <d v="2023-10-01T00:00:00"/>
        <d v="2023-10-08T00:00:00"/>
        <d v="2023-10-15T00:00:00"/>
        <d v="2023-10-22T00:00:00"/>
        <d v="2023-10-29T00:00:00"/>
        <d v="2023-11-05T00:00:00"/>
        <d v="2023-11-12T00:00:00"/>
        <d v="2023-11-19T00:00:00"/>
        <d v="2023-11-26T00:00:00"/>
        <d v="2023-12-03T00:00:00"/>
        <d v="2023-12-10T00:00:00"/>
        <d v="2023-12-17T00:00:00"/>
        <d v="2023-12-24T00:00:00"/>
        <d v="2024-01-07T00:00:00"/>
        <d v="2024-01-14T00:00:00"/>
        <d v="2018-08-23T00:00:00"/>
        <d v="2018-08-30T00:00:00"/>
        <d v="2018-09-06T00:00:00"/>
        <d v="2018-09-13T00:00:00"/>
        <d v="2018-09-20T00:00:00"/>
        <d v="2018-10-04T00:00:00"/>
        <d v="2018-10-11T00:00:00"/>
        <d v="2018-11-29T00:00:00"/>
        <d v="2018-12-13T00:00:00"/>
        <d v="2019-01-24T00:00:00"/>
        <d v="2019-06-06T00:00:00"/>
        <d v="2019-06-13T00:00:00"/>
        <d v="2019-06-20T00:00:00"/>
        <d v="2019-06-27T00:00:00"/>
        <d v="2019-07-11T00:00:00"/>
        <d v="2019-07-18T00:00:00"/>
        <d v="2019-09-05T00:00:00"/>
        <d v="2020-01-02T00:00:00"/>
        <d v="2020-01-16T00:00:00"/>
        <d v="2020-10-15T00:00:00"/>
        <d v="2020-11-05T00:00:00"/>
        <d v="2020-11-12T00:00:00"/>
        <d v="2020-11-19T00:00:00"/>
        <d v="2020-11-26T00:00:00"/>
        <d v="2020-12-03T00:00:00"/>
        <d v="2020-12-10T00:00:00"/>
        <d v="2020-12-17T00:00:00"/>
        <d v="2020-12-24T00:00:00"/>
        <d v="2020-12-31T00:00:00"/>
        <d v="2021-01-07T00:00:00"/>
        <d v="2021-01-14T00:00:00"/>
        <d v="2021-01-21T00:00:00"/>
        <d v="2021-01-28T00:00:00"/>
        <d v="2021-02-04T00:00:00"/>
        <d v="2021-02-11T00:00:00"/>
        <d v="2021-02-18T00:00:00"/>
        <d v="2021-02-25T00:00:00"/>
        <d v="2021-03-11T00:00:00"/>
        <d v="2021-03-18T00:00:00"/>
        <d v="2021-03-25T00:00:00"/>
        <d v="2021-04-01T00:00:00"/>
        <d v="2021-04-08T00:00:00"/>
        <d v="2021-04-15T00:00:00"/>
        <d v="2021-04-22T00:00:00"/>
        <d v="2021-04-29T00:00:00"/>
        <d v="2021-05-06T00:00:00"/>
        <d v="2021-05-13T00:00:00"/>
        <d v="2021-05-20T00:00:00"/>
        <d v="2021-05-27T00:00:00"/>
        <d v="2021-06-03T00:00:00"/>
        <d v="2021-06-10T00:00:00"/>
        <d v="2021-06-17T00:00:00"/>
        <d v="2021-06-24T00:00:00"/>
        <d v="2021-07-01T00:00:00"/>
        <d v="2021-07-08T00:00:00"/>
        <d v="2021-07-15T00:00:00"/>
        <d v="2021-07-22T00:00:00"/>
        <d v="2021-07-29T00:00:00"/>
        <d v="2021-08-05T00:00:00"/>
        <d v="2021-08-12T00:00:00"/>
        <d v="2021-08-19T00:00:00"/>
        <d v="2021-08-26T00:00:00"/>
        <d v="2021-09-02T00:00:00"/>
        <d v="2021-09-09T00:00:00"/>
        <d v="2021-09-16T00:00:00"/>
        <d v="2021-09-23T00:00:00"/>
        <d v="2021-09-30T00:00:00"/>
        <d v="2021-10-07T00:00:00"/>
        <d v="2021-10-14T00:00:00"/>
        <d v="2021-10-21T00:00:00"/>
        <d v="2021-10-28T00:00:00"/>
        <d v="2021-11-04T00:00:00"/>
        <d v="2021-11-11T00:00:00"/>
        <d v="2021-11-18T00:00:00"/>
        <d v="2021-11-25T00:00:00"/>
        <d v="2021-12-02T00:00:00"/>
        <d v="2021-12-09T00:00:00"/>
        <d v="2021-12-16T00:00:00"/>
        <d v="2021-12-23T00:00:00"/>
        <d v="2021-12-30T00:00:00"/>
        <d v="2022-01-06T00:00:00"/>
        <d v="2022-01-13T00:00:00"/>
        <d v="2022-01-20T00:00:00"/>
        <d v="2022-01-27T00:00:00"/>
        <d v="2022-02-03T00:00:00"/>
        <d v="2022-02-10T00:00:00"/>
        <d v="2022-02-17T00:00:00"/>
        <d v="2022-02-24T00:00:00"/>
        <d v="2022-03-03T00:00:00"/>
        <d v="2022-03-10T00:00:00"/>
        <d v="2022-03-17T00:00:00"/>
        <d v="2022-03-24T00:00:00"/>
        <d v="2022-03-31T00:00:00"/>
        <d v="2022-04-07T00:00:00"/>
        <d v="2022-04-14T00:00:00"/>
        <d v="2022-04-21T00:00:00"/>
        <d v="2022-04-28T00:00:00"/>
        <d v="2022-05-05T00:00:00"/>
        <d v="2022-05-12T00:00:00"/>
        <d v="2022-05-19T00:00:00"/>
        <d v="2022-05-26T00:00:00"/>
        <d v="2022-06-02T00:00:00"/>
        <d v="2022-06-09T00:00:00"/>
        <d v="2022-06-16T00:00:00"/>
        <d v="2022-06-23T00:00:00"/>
        <d v="2022-06-30T00:00:00"/>
        <d v="2022-07-07T00:00:00"/>
        <d v="2022-07-14T00:00:00"/>
        <d v="2022-07-21T00:00:00"/>
        <d v="2022-07-28T00:00:00"/>
        <d v="2022-08-04T00:00:00"/>
        <d v="2022-08-11T00:00:00"/>
        <d v="2022-08-18T00:00:00"/>
        <d v="2022-08-25T00:00:00"/>
        <d v="2022-09-01T00:00:00"/>
        <d v="2022-09-08T00:00:00"/>
        <d v="2022-09-15T00:00:00"/>
        <d v="2022-09-22T00:00:00"/>
        <d v="2022-09-29T00:00:00"/>
        <d v="2022-10-06T00:00:00"/>
        <d v="2022-10-13T00:00:00"/>
        <d v="2022-10-20T00:00:00"/>
        <d v="2022-10-27T00:00:00"/>
        <d v="2022-11-03T00:00:00"/>
        <d v="2022-11-10T00:00:00"/>
        <d v="2022-11-17T00:00:00"/>
        <d v="2022-11-24T00:00:00"/>
        <d v="2022-12-01T00:00:00"/>
        <d v="2022-12-08T00:00:00"/>
        <d v="2022-12-15T00:00:00"/>
        <d v="2022-12-22T00:00:00"/>
        <d v="2022-12-29T00:00:00"/>
        <d v="2023-01-05T00:00:00"/>
        <d v="2023-01-12T00:00:00"/>
        <d v="2023-01-19T00:00:00"/>
        <d v="2023-01-26T00:00:00"/>
        <d v="2023-02-02T00:00:00"/>
        <d v="2023-02-09T00:00:00"/>
        <d v="2023-02-16T00:00:00"/>
        <d v="2023-02-23T00:00:00"/>
        <d v="2023-03-02T00:00:00"/>
        <d v="2023-03-09T00:00:00"/>
        <d v="2023-03-16T00:00:00"/>
        <d v="2023-03-23T00:00:00"/>
        <d v="2023-03-30T00:00:00"/>
        <d v="2023-04-06T00:00:00"/>
        <d v="2023-04-13T00:00:00"/>
        <d v="2023-04-20T00:00:00"/>
        <d v="2023-04-27T00:00:00"/>
        <d v="2023-05-04T00:00:00"/>
        <d v="2023-05-11T00:00:00"/>
        <d v="2023-05-18T00:00:00"/>
        <d v="2023-05-25T00:00:00"/>
        <d v="2023-06-01T00:00:00"/>
        <d v="2023-06-08T00:00:00"/>
        <d v="2023-06-15T00:00:00"/>
        <d v="2023-06-22T00:00:00"/>
        <d v="2023-06-29T00:00:00"/>
        <d v="2023-07-06T00:00:00"/>
        <d v="2023-07-13T00:00:00"/>
        <d v="2023-07-20T00:00:00"/>
        <d v="2023-08-03T00:00:00"/>
        <d v="2023-08-10T00:00:00"/>
        <d v="2023-08-17T00:00:00"/>
        <d v="2023-08-24T00:00:00"/>
        <d v="2023-08-31T00:00:00"/>
        <d v="2023-09-07T00:00:00"/>
        <d v="2023-09-14T00:00:00"/>
        <d v="2023-09-21T00:00:00"/>
        <d v="2023-09-28T00:00:00"/>
        <d v="2023-10-05T00:00:00"/>
        <d v="2023-10-12T00:00:00"/>
        <d v="2023-10-19T00:00:00"/>
        <d v="2023-10-26T00:00:00"/>
        <d v="2023-11-02T00:00:00"/>
        <d v="2023-11-09T00:00:00"/>
        <d v="2023-11-16T00:00:00"/>
        <d v="2023-11-30T00:00:00"/>
        <d v="2023-12-07T00:00:00"/>
        <d v="2023-12-14T00:00:00"/>
        <d v="2023-12-21T00:00:00"/>
        <d v="2023-12-28T00:00:00"/>
        <d v="2024-01-04T00:00:00"/>
        <d v="2024-01-11T00:00:00"/>
        <d v="2018-08-21T00:00:00"/>
        <d v="2018-09-11T00:00:00"/>
        <d v="2018-09-25T00:00:00"/>
        <d v="2018-10-02T00:00:00"/>
        <d v="2018-10-09T00:00:00"/>
        <d v="2018-10-16T00:00:00"/>
        <d v="2018-10-30T00:00:00"/>
        <d v="2018-11-20T00:00:00"/>
        <d v="2018-12-11T00:00:00"/>
        <d v="2019-06-11T00:00:00"/>
        <d v="2019-06-18T00:00:00"/>
        <d v="2019-06-25T00:00:00"/>
        <d v="2019-07-02T00:00:00"/>
        <d v="2019-07-16T00:00:00"/>
        <d v="2019-11-05T00:00:00"/>
        <d v="2020-01-07T00:00:00"/>
        <d v="2020-01-28T00:00:00"/>
        <d v="2020-02-04T00:00:00"/>
        <d v="2020-03-10T00:00:00"/>
        <d v="2020-03-24T00:00:00"/>
        <d v="2020-10-20T00:00:00"/>
        <d v="2020-11-03T00:00:00"/>
        <d v="2020-11-10T00:00:00"/>
        <d v="2020-11-17T00:00:00"/>
        <d v="2020-11-24T00:00:00"/>
        <d v="2020-12-01T00:00:00"/>
        <d v="2020-12-08T00:00:00"/>
        <d v="2020-12-15T00:00:00"/>
        <d v="2020-12-22T00:00:00"/>
        <d v="2020-12-29T00:00:00"/>
        <d v="2021-01-05T00:00:00"/>
        <d v="2021-01-12T00:00:00"/>
        <d v="2021-01-19T00:00:00"/>
        <d v="2021-01-26T00:00:00"/>
        <d v="2021-02-02T00:00:00"/>
        <d v="2021-02-09T00:00:00"/>
        <d v="2021-02-16T00:00:00"/>
        <d v="2021-02-23T00:00:00"/>
        <d v="2021-03-02T00:00:00"/>
        <d v="2021-03-09T00:00:00"/>
        <d v="2021-03-16T00:00:00"/>
        <d v="2021-03-23T00:00:00"/>
        <d v="2021-03-30T00:00:00"/>
        <d v="2021-04-06T00:00:00"/>
        <d v="2021-04-13T00:00:00"/>
        <d v="2021-04-20T00:00:00"/>
        <d v="2021-04-27T00:00:00"/>
        <d v="2021-05-04T00:00:00"/>
        <d v="2021-05-11T00:00:00"/>
        <d v="2021-05-18T00:00:00"/>
        <d v="2021-05-25T00:00:00"/>
        <d v="2021-06-01T00:00:00"/>
        <d v="2021-06-08T00:00:00"/>
        <d v="2021-06-15T00:00:00"/>
        <d v="2021-06-22T00:00:00"/>
        <d v="2021-06-29T00:00:00"/>
        <d v="2021-07-06T00:00:00"/>
        <d v="2021-07-13T00:00:00"/>
        <d v="2021-07-20T00:00:00"/>
        <d v="2021-07-27T00:00:00"/>
        <d v="2021-08-03T00:00:00"/>
        <d v="2021-08-10T00:00:00"/>
        <d v="2021-08-17T00:00:00"/>
        <d v="2021-08-24T00:00:00"/>
        <d v="2021-08-31T00:00:00"/>
        <d v="2021-09-07T00:00:00"/>
        <d v="2021-09-14T00:00:00"/>
        <d v="2021-09-21T00:00:00"/>
        <d v="2021-09-28T00:00:00"/>
        <d v="2021-10-05T00:00:00"/>
        <d v="2021-10-12T00:00:00"/>
        <d v="2021-10-19T00:00:00"/>
        <d v="2021-10-26T00:00:00"/>
        <d v="2021-11-02T00:00:00"/>
        <d v="2021-11-09T00:00:00"/>
        <d v="2021-11-16T00:00:00"/>
        <d v="2021-11-23T00:00:00"/>
        <d v="2021-11-30T00:00:00"/>
        <d v="2021-12-07T00:00:00"/>
        <d v="2021-12-14T00:00:00"/>
        <d v="2021-12-21T00:00:00"/>
        <d v="2021-12-28T00:00:00"/>
        <d v="2022-01-04T00:00:00"/>
        <d v="2022-01-11T00:00:00"/>
        <d v="2022-01-18T00:00:00"/>
        <d v="2022-01-25T00:00:00"/>
        <d v="2022-02-01T00:00:00"/>
        <d v="2022-02-08T00:00:00"/>
        <d v="2022-02-15T00:00:00"/>
        <d v="2022-02-22T00:00:00"/>
        <d v="2022-03-01T00:00:00"/>
        <d v="2022-03-08T00:00:00"/>
        <d v="2022-03-15T00:00:00"/>
        <d v="2022-03-22T00:00:00"/>
        <d v="2022-03-29T00:00:00"/>
        <d v="2022-04-05T00:00:00"/>
        <d v="2022-04-12T00:00:00"/>
        <d v="2022-04-19T00:00:00"/>
        <d v="2022-04-26T00:00:00"/>
        <d v="2022-05-03T00:00:00"/>
        <d v="2022-05-10T00:00:00"/>
        <d v="2022-05-17T00:00:00"/>
        <d v="2022-05-24T00:00:00"/>
        <d v="2022-05-31T00:00:00"/>
        <d v="2022-06-07T00:00:00"/>
        <d v="2022-06-14T00:00:00"/>
        <d v="2022-06-21T00:00:00"/>
        <d v="2022-06-28T00:00:00"/>
        <d v="2022-07-05T00:00:00"/>
        <d v="2022-07-12T00:00:00"/>
        <d v="2022-07-19T00:00:00"/>
        <d v="2022-07-26T00:00:00"/>
        <d v="2022-08-02T00:00:00"/>
        <d v="2022-08-09T00:00:00"/>
        <d v="2022-08-16T00:00:00"/>
        <d v="2022-08-23T00:00:00"/>
        <d v="2022-08-30T00:00:00"/>
        <d v="2022-09-06T00:00:00"/>
        <d v="2022-09-13T00:00:00"/>
        <d v="2022-09-20T00:00:00"/>
        <d v="2022-09-27T00:00:00"/>
        <d v="2022-10-04T00:00:00"/>
        <d v="2022-10-11T00:00:00"/>
        <d v="2022-10-18T00:00:00"/>
        <d v="2022-10-25T00:00:00"/>
        <d v="2022-11-01T00:00:00"/>
        <d v="2022-11-15T00:00:00"/>
        <d v="2022-11-22T00:00:00"/>
        <d v="2022-11-29T00:00:00"/>
        <d v="2022-12-06T00:00:00"/>
        <d v="2022-12-13T00:00:00"/>
        <d v="2022-12-20T00:00:00"/>
        <d v="2022-12-27T00:00:00"/>
        <d v="2023-01-03T00:00:00"/>
        <d v="2023-01-10T00:00:00"/>
        <d v="2023-01-17T00:00:00"/>
        <d v="2023-01-24T00:00:00"/>
        <d v="2023-01-31T00:00:00"/>
        <d v="2023-02-07T00:00:00"/>
        <d v="2023-02-14T00:00:00"/>
        <d v="2023-02-21T00:00:00"/>
        <d v="2023-02-28T00:00:00"/>
        <d v="2023-03-07T00:00:00"/>
        <d v="2023-03-14T00:00:00"/>
        <d v="2023-03-21T00:00:00"/>
        <d v="2023-03-28T00:00:00"/>
        <d v="2023-04-04T00:00:00"/>
        <d v="2023-04-11T00:00:00"/>
        <d v="2023-04-18T00:00:00"/>
        <d v="2023-04-25T00:00:00"/>
        <d v="2023-05-09T00:00:00"/>
        <d v="2023-05-16T00:00:00"/>
        <d v="2023-05-23T00:00:00"/>
        <d v="2023-05-30T00:00:00"/>
        <d v="2023-06-06T00:00:00"/>
        <d v="2023-06-13T00:00:00"/>
        <d v="2023-06-20T00:00:00"/>
        <d v="2023-07-04T00:00:00"/>
        <d v="2023-07-11T00:00:00"/>
        <d v="2023-07-18T00:00:00"/>
        <d v="2023-07-25T00:00:00"/>
        <d v="2023-08-01T00:00:00"/>
        <d v="2023-08-08T00:00:00"/>
        <d v="2023-08-15T00:00:00"/>
        <d v="2023-08-22T00:00:00"/>
        <d v="2023-08-29T00:00:00"/>
        <d v="2023-09-05T00:00:00"/>
        <d v="2023-09-12T00:00:00"/>
        <d v="2023-09-26T00:00:00"/>
        <d v="2023-10-03T00:00:00"/>
        <d v="2023-10-10T00:00:00"/>
        <d v="2023-10-17T00:00:00"/>
        <d v="2023-10-24T00:00:00"/>
        <d v="2023-10-31T00:00:00"/>
        <d v="2023-11-07T00:00:00"/>
        <d v="2023-11-14T00:00:00"/>
        <d v="2023-11-21T00:00:00"/>
        <d v="2023-11-28T00:00:00"/>
        <d v="2023-12-05T00:00:00"/>
        <d v="2023-12-12T00:00:00"/>
        <d v="2023-12-19T00:00:00"/>
        <d v="2023-12-26T00:00:00"/>
        <d v="2024-01-02T00:00:00"/>
        <d v="2024-01-09T00:00:00"/>
        <d v="2024-01-16T00:00:00"/>
        <d v="2018-10-03T00:00:00"/>
        <d v="2018-11-07T00:00:00"/>
        <d v="2018-12-26T00:00:00"/>
        <d v="2019-07-10T00:00:00"/>
        <d v="2020-01-01T00:00:00"/>
        <d v="2020-01-29T00:00:00"/>
        <d v="2020-02-05T00:00:00"/>
        <d v="2020-10-14T00:00:00"/>
        <d v="2020-10-21T00:00:00"/>
        <d v="2020-11-04T00:00:00"/>
        <d v="2020-11-11T00:00:00"/>
        <d v="2020-11-18T00:00:00"/>
        <d v="2020-11-25T00:00:00"/>
        <d v="2020-12-02T00:00:00"/>
        <d v="2020-12-09T00:00:00"/>
        <d v="2020-12-16T00:00:00"/>
        <d v="2020-12-23T00:00:00"/>
        <d v="2020-12-30T00:00:00"/>
        <d v="2021-01-06T00:00:00"/>
        <d v="2021-01-13T00:00:00"/>
        <d v="2021-01-20T00:00:00"/>
        <d v="2021-01-27T00:00:00"/>
        <d v="2021-02-03T00:00:00"/>
        <d v="2021-02-10T00:00:00"/>
        <d v="2021-02-17T00:00:00"/>
        <d v="2021-02-24T00:00:00"/>
        <d v="2021-03-03T00:00:00"/>
        <d v="2021-03-10T00:00:00"/>
        <d v="2021-03-17T00:00:00"/>
        <d v="2021-03-24T00:00:00"/>
        <d v="2021-03-31T00:00:00"/>
        <d v="2021-04-07T00:00:00"/>
        <d v="2021-04-14T00:00:00"/>
        <d v="2021-04-21T00:00:00"/>
        <d v="2021-04-28T00:00:00"/>
        <d v="2021-05-05T00:00:00"/>
        <d v="2021-05-12T00:00:00"/>
        <d v="2021-05-19T00:00:00"/>
        <d v="2021-05-26T00:00:00"/>
        <d v="2021-06-02T00:00:00"/>
        <d v="2021-06-09T00:00:00"/>
        <d v="2021-06-16T00:00:00"/>
        <d v="2021-06-23T00:00:00"/>
        <d v="2021-06-30T00:00:00"/>
        <d v="2021-07-07T00:00:00"/>
        <d v="2021-07-14T00:00:00"/>
        <d v="2021-07-21T00:00:00"/>
        <d v="2021-07-28T00:00:00"/>
        <d v="2021-08-04T00:00:00"/>
        <d v="2021-08-11T00:00:00"/>
        <d v="2021-08-18T00:00:00"/>
        <d v="2021-08-25T00:00:00"/>
        <d v="2021-09-01T00:00:00"/>
        <d v="2021-09-08T00:00:00"/>
        <d v="2021-09-15T00:00:00"/>
        <d v="2021-09-22T00:00:00"/>
        <d v="2021-09-29T00:00:00"/>
        <d v="2021-10-06T00:00:00"/>
        <d v="2021-10-13T00:00:00"/>
        <d v="2021-10-20T00:00:00"/>
        <d v="2021-10-27T00:00:00"/>
        <d v="2021-11-03T00:00:00"/>
        <d v="2021-11-10T00:00:00"/>
        <d v="2021-11-17T00:00:00"/>
        <d v="2021-11-24T00:00:00"/>
        <d v="2021-12-01T00:00:00"/>
        <d v="2021-12-08T00:00:00"/>
        <d v="2021-12-15T00:00:00"/>
        <d v="2021-12-22T00:00:00"/>
        <d v="2021-12-29T00:00:00"/>
        <d v="2022-01-05T00:00:00"/>
        <d v="2022-01-12T00:00:00"/>
        <d v="2022-01-19T00:00:00"/>
        <d v="2022-01-26T00:00:00"/>
        <d v="2022-02-02T00:00:00"/>
        <d v="2022-02-09T00:00:00"/>
        <d v="2022-02-16T00:00:00"/>
        <d v="2022-02-23T00:00:00"/>
        <d v="2022-03-02T00:00:00"/>
        <d v="2022-03-09T00:00:00"/>
        <d v="2022-03-16T00:00:00"/>
        <d v="2022-03-23T00:00:00"/>
        <d v="2022-03-30T00:00:00"/>
        <d v="2022-04-06T00:00:00"/>
        <d v="2022-04-13T00:00:00"/>
        <d v="2022-04-20T00:00:00"/>
        <d v="2022-04-27T00:00:00"/>
        <d v="2022-05-04T00:00:00"/>
        <d v="2022-05-11T00:00:00"/>
        <d v="2022-05-18T00:00:00"/>
        <d v="2022-05-25T00:00:00"/>
        <d v="2022-06-01T00:00:00"/>
        <d v="2022-06-08T00:00:00"/>
        <d v="2022-06-15T00:00:00"/>
        <d v="2022-06-22T00:00:00"/>
        <d v="2022-06-29T00:00:00"/>
        <d v="2022-07-06T00:00:00"/>
        <d v="2022-07-13T00:00:00"/>
        <d v="2022-07-20T00:00:00"/>
        <d v="2022-07-27T00:00:00"/>
        <d v="2022-08-03T00:00:00"/>
        <d v="2022-08-10T00:00:00"/>
        <d v="2022-08-17T00:00:00"/>
        <d v="2022-08-24T00:00:00"/>
        <d v="2022-08-31T00:00:00"/>
        <d v="2022-09-07T00:00:00"/>
        <d v="2022-09-14T00:00:00"/>
        <d v="2022-09-21T00:00:00"/>
        <d v="2022-09-28T00:00:00"/>
        <d v="2022-10-05T00:00:00"/>
        <d v="2022-10-12T00:00:00"/>
        <d v="2022-10-19T00:00:00"/>
        <d v="2022-10-26T00:00:00"/>
        <d v="2022-11-02T00:00:00"/>
        <d v="2022-11-09T00:00:00"/>
        <d v="2022-11-16T00:00:00"/>
        <d v="2022-11-23T00:00:00"/>
        <d v="2022-11-30T00:00:00"/>
        <d v="2022-12-07T00:00:00"/>
        <d v="2022-12-14T00:00:00"/>
        <d v="2022-12-21T00:00:00"/>
        <d v="2022-12-28T00:00:00"/>
        <d v="2023-01-04T00:00:00"/>
        <d v="2023-01-11T00:00:00"/>
        <d v="2023-01-18T00:00:00"/>
        <d v="2023-01-25T00:00:00"/>
        <d v="2023-02-01T00:00:00"/>
        <d v="2023-02-08T00:00:00"/>
        <d v="2023-02-15T00:00:00"/>
        <d v="2023-02-22T00:00:00"/>
        <d v="2023-03-01T00:00:00"/>
        <d v="2023-03-08T00:00:00"/>
        <d v="2023-03-15T00:00:00"/>
        <d v="2023-03-22T00:00:00"/>
        <d v="2023-03-29T00:00:00"/>
        <d v="2023-04-05T00:00:00"/>
        <d v="2023-04-12T00:00:00"/>
        <d v="2023-04-19T00:00:00"/>
        <d v="2023-04-26T00:00:00"/>
        <d v="2023-05-03T00:00:00"/>
        <d v="2023-05-10T00:00:00"/>
        <d v="2023-05-17T00:00:00"/>
        <d v="2023-05-24T00:00:00"/>
        <d v="2023-05-31T00:00:00"/>
        <d v="2023-06-07T00:00:00"/>
        <d v="2023-06-14T00:00:00"/>
        <d v="2023-06-21T00:00:00"/>
        <d v="2023-06-28T00:00:00"/>
        <d v="2023-07-05T00:00:00"/>
        <d v="2023-07-12T00:00:00"/>
        <d v="2023-07-19T00:00:00"/>
        <d v="2023-07-26T00:00:00"/>
        <d v="2023-08-09T00:00:00"/>
        <d v="2023-08-16T00:00:00"/>
        <d v="2023-08-23T00:00:00"/>
        <d v="2023-08-30T00:00:00"/>
        <d v="2023-09-06T00:00:00"/>
        <d v="2023-09-13T00:00:00"/>
        <d v="2023-09-20T00:00:00"/>
        <d v="2023-09-27T00:00:00"/>
        <d v="2023-10-04T00:00:00"/>
        <d v="2023-10-11T00:00:00"/>
        <d v="2023-10-18T00:00:00"/>
        <d v="2023-10-25T00:00:00"/>
        <d v="2023-11-01T00:00:00"/>
        <d v="2023-11-08T00:00:00"/>
        <d v="2023-11-15T00:00:00"/>
        <d v="2023-11-22T00:00:00"/>
        <d v="2023-11-29T00:00:00"/>
        <d v="2023-12-06T00:00:00"/>
        <d v="2023-12-13T00:00:00"/>
        <d v="2023-12-20T00:00:00"/>
        <d v="2023-12-27T00:00:00"/>
        <d v="2024-01-03T00:00:00"/>
        <d v="2024-01-10T00:00:00"/>
        <d v="2024-01-17T00:00:00"/>
        <m/>
      </sharedItems>
      <fieldGroup par="22"/>
    </cacheField>
    <cacheField name="Time" numFmtId="0">
      <sharedItems containsBlank="1" count="2017">
        <s v="11:56(PST)"/>
        <s v="07:09(PST)"/>
        <s v="16:02(PST)"/>
        <s v="16:57(PST)"/>
        <s v="18:36(PST)"/>
        <s v="06:53(PST)"/>
        <s v="07:26(PST)"/>
        <s v="18:44(PST)"/>
        <s v="19:47(PST)"/>
        <s v="10:48(PST)"/>
        <s v="11:34(PST)"/>
        <s v="07:10(PST)"/>
        <s v="07:57(PST)"/>
        <s v="07:11(PST)"/>
        <s v="07:01(PST)"/>
        <s v="11:29(PST)"/>
        <s v="15:06(PST)"/>
        <s v="15:13(PST)"/>
        <s v="16:04(PST)"/>
        <s v="18:14(PST)"/>
        <s v="19:16(PST)"/>
        <s v="19:30(PST)"/>
        <s v="20:46(PST)"/>
        <s v="20:59(PST)"/>
        <s v="07:07(-08)"/>
        <s v="08:07(-08)"/>
        <s v="07:12(-08)"/>
        <s v="08:13(-08)"/>
        <s v="07:56(PST)"/>
        <s v="09:12(PST)"/>
        <s v="09:17(PST)"/>
        <s v="08:15(PST)"/>
        <s v="08:45(PST)"/>
        <s v="08:52(PST)"/>
        <s v="08:33(PST)"/>
        <s v="08:39(PST)"/>
        <s v="09:40(PST)"/>
        <s v="09:51(PST)"/>
        <s v="08:29(-08)"/>
        <s v="08:36(-08)"/>
        <s v="09:37(-08)"/>
        <s v="09:43(-08)"/>
        <s v="06:58(PST)"/>
        <s v="18:39(-08)"/>
        <s v="14:52(PST)"/>
        <s v="18:12(-08)"/>
        <s v="19:49(PST)"/>
        <s v="07:05(-07)"/>
        <s v="07:50(-07)"/>
        <s v="07:56(-07)"/>
        <s v="08:07(-07)"/>
        <s v="22:16(PST)"/>
        <s v="07:02(-07)"/>
        <s v="08:03(-07)"/>
        <s v="18:06(PST)"/>
        <s v="18:29(PST)"/>
        <s v="22:26(PST)"/>
        <s v="22:30(PST)"/>
        <s v="07:30(PST)"/>
        <s v="23:30(PST)"/>
        <s v="21:55(PST)"/>
        <s v="06:37(PST)"/>
        <s v="22:01(PST)"/>
        <s v="20:51(PST)"/>
        <s v="07:00(-07)"/>
        <s v="07:30(-07)"/>
        <s v="07:38(-07)"/>
        <s v="22:40(PST)"/>
        <s v="00:23(PST)"/>
        <s v="07:05(PST)"/>
        <s v="07:38(PST)"/>
        <s v="07:50(PST)"/>
        <s v="22:49(PST)"/>
        <s v="08:06(-07)"/>
        <s v="22:54(PST)"/>
        <s v="10:15(-07)"/>
        <s v="11:19(-07)"/>
        <s v="11:32(-07)"/>
        <s v="11:38(-07)"/>
        <s v="23:04(PST)"/>
        <s v="13:37(-07)"/>
        <s v="14:39(-07)"/>
        <s v="14:57(-07)"/>
        <s v="15:09(-07)"/>
        <s v="22:58(PST)"/>
        <s v="06:59(-07)"/>
        <s v="07:59(-07)"/>
        <s v="06:42(-07)"/>
        <s v="07:43(-07)"/>
        <s v="07:49(-07)"/>
        <s v="08:00(-07)"/>
        <s v="14:38(PST)"/>
        <s v="06:57(-07)"/>
        <s v="07:57(-07)"/>
        <s v="08:14(-07)"/>
        <s v="07:49(PST)"/>
        <s v="21:59(PST)"/>
        <s v="07:36(PST)"/>
        <s v="12:03(-07)"/>
        <s v="16:34(PST)"/>
        <s v="16:46(PST)"/>
        <s v="22:38(PST)"/>
        <s v="22:36(PST)"/>
        <s v="18:52(-07)"/>
        <s v="07:29(PST)"/>
        <s v="19:44(-07)"/>
        <s v="20:45(-07)"/>
        <s v="07:16(PST)"/>
        <s v="23:54(PST)"/>
        <s v="17:27(-07)"/>
        <s v="18:13(-07)"/>
        <s v="18:20(-07)"/>
        <s v="18:31(-07)"/>
        <s v="23:17(PST)"/>
        <s v="07:17(PST)"/>
        <s v="18:27(-07)"/>
        <s v="23:51(PST)"/>
        <s v="22:18(PST)"/>
        <s v="07:33(PST)"/>
        <s v="23:07(PST)"/>
        <s v="07:06(PST)"/>
        <s v="18:54(-07)"/>
        <s v="19:55(-07)"/>
        <s v="20:01(-07)"/>
        <s v="22:25(PST)"/>
        <s v="03:40(PST)"/>
        <s v="07:45(PST)"/>
        <s v="18:10(-07)"/>
        <s v="18:30(-07)"/>
        <s v="23:00(PST)"/>
        <s v="07:34(PST)"/>
        <s v="12:26(-08)"/>
        <s v="13:12(-08)"/>
        <s v="13:24(-08)"/>
        <s v="03:45(PST)"/>
        <s v="03:58(PST)"/>
        <s v="07:42(PST)"/>
        <s v="22:11(PST)"/>
        <s v="07:35(PST)"/>
        <s v="12:27(PST)"/>
        <s v="18:30(-08)"/>
        <s v="19:31(-08)"/>
        <s v="19:38(-08)"/>
        <s v="19:45(-08)"/>
        <s v="23:27(PST)"/>
        <s v="12:47(PST)"/>
        <s v="16:21(-08)"/>
        <s v="16:44(-08)"/>
        <s v="23:09(PST)"/>
        <s v="07:53(PST)"/>
        <s v="09:41(-08)"/>
        <s v="10:27(-08)"/>
        <s v="21:54(PST)"/>
        <s v="17:17(PST)"/>
        <s v="17:37(PST)"/>
        <s v="18:01(PST)"/>
        <s v="13:32(PST)"/>
        <s v="16:18(-08)"/>
        <s v="16:29(-08)"/>
        <s v="17:16(-08)"/>
        <s v="17:27(-08)"/>
        <s v="13:28(-08)"/>
        <s v="13:59(-08)"/>
        <s v="23:08(PST)"/>
        <s v="10:51(-08)"/>
        <s v="11:52(-08)"/>
        <s v="12:00(-08)"/>
        <s v="12:06(-08)"/>
        <s v="23:22(PST)"/>
        <s v="07:21(PST)"/>
        <s v="07:54(PST)"/>
        <s v="03:11(PST)"/>
        <s v="12:15(-08)"/>
        <s v="13:00(-08)"/>
        <s v="13:10(-08)"/>
        <s v="13:21(-08)"/>
        <s v="23:16(PST)"/>
        <s v="07:46(PST)"/>
        <s v="15:36(-08)"/>
        <s v="15:49(-08)"/>
        <s v="16:07(-08)"/>
        <s v="16:33(-08)"/>
        <s v="16:42(-08)"/>
        <s v="23:49(PST)"/>
        <s v="18:29(-08)"/>
        <s v="19:30(-08)"/>
        <s v="09:50(PST)"/>
        <s v="10:41(PST)"/>
        <s v="10:53(PST)"/>
        <s v="21:41(PST)"/>
        <s v="07:58(PST)"/>
        <s v="12:18(PST)"/>
        <s v="13:03(PST)"/>
        <s v="22:46(PST)"/>
        <s v="07:48(PST)"/>
        <s v="13:33(-07)"/>
        <s v="13:46(-07)"/>
        <s v="14:32(-07)"/>
        <s v="14:42(-07)"/>
        <s v="13:05(-07)"/>
        <s v="13:11(-07)"/>
        <s v="13:58(-07)"/>
        <s v="14:09(-07)"/>
        <s v="16:39(-07)"/>
        <s v="17:01(-07)"/>
        <s v="17:18(-07)"/>
        <s v="17:51(-07)"/>
        <s v="22:47(PST)"/>
        <s v="07:51(PST)"/>
        <s v="08:23(PST)"/>
        <s v="12:45(PST)"/>
        <s v="23:21(PST)"/>
        <s v="23:45(PST)"/>
        <s v="08:29(PST)"/>
        <s v="12:12(-07)"/>
        <s v="12:23(-07)"/>
        <s v="23:15(PST)"/>
        <s v="09:20(PST)"/>
        <s v="11:02(PST)"/>
        <s v="18:05(PST)"/>
        <s v="21:16(PST)"/>
        <s v="11:17(PST)"/>
        <s v="12:24(PST)"/>
        <s v="23:50(PST)"/>
        <s v="08:00(PST)"/>
        <s v="12:21(PST)"/>
        <s v="12:44(PST)"/>
        <s v="21:49(PST)"/>
        <s v="07:23(PST)"/>
        <s v="17:21(-07)"/>
        <s v="22:41(PST)"/>
        <s v="04:32(PST)"/>
        <s v="22:33(PST)"/>
        <s v="22:12(PST)"/>
        <s v="07:28(PST)"/>
        <s v="22:13(PST)"/>
        <s v="16:21(-07)"/>
        <s v="16:45(-07)"/>
        <s v="17:46(-07)"/>
        <s v="17:52(-07)"/>
        <s v="19:06(-07)"/>
        <s v="19:53(-07)"/>
        <s v="19:59(-07)"/>
        <s v="22:31(PST)"/>
        <s v="10:32(-07)"/>
        <s v="11:34(-07)"/>
        <s v="11:40(-07)"/>
        <s v="22:37(PST)"/>
        <s v="17:15(-07)"/>
        <s v="18:07(-07)"/>
        <s v="18:24(-07)"/>
        <s v="23:41(PST)"/>
        <s v="08:01(PST)"/>
        <s v="13:35(-07)"/>
        <s v="13:48(-07)"/>
        <s v="14:49(-07)"/>
        <s v="16:56(-07)"/>
        <s v="17:56(-07)"/>
        <s v="18:04(-07)"/>
        <s v="18:27(PST)"/>
        <s v="13:07(-07)"/>
        <s v="14:08(-07)"/>
        <s v="12:24(-07)"/>
        <s v="12:59(-07)"/>
        <s v="23:59(PST)"/>
        <s v="11:49(PST)"/>
        <s v="16:01(-07)"/>
        <s v="16:34(-07)"/>
        <s v="23:13(PST)"/>
        <s v="05:52(PST)"/>
        <s v="06:13(-07)"/>
        <s v="07:58(-07)"/>
        <s v="08:32(-07)"/>
        <s v="08:44(-07)"/>
        <s v="00:52(GMT)"/>
        <s v="10:05(-05)"/>
        <s v="10:57(EST)"/>
        <s v="11:08(EST)"/>
        <s v="00:02(EST)"/>
        <s v="16:47(-08)"/>
        <s v="16:55(-08)"/>
        <s v="17:56(-08)"/>
        <s v="23:56(PST)"/>
        <s v="10:08(-05)"/>
        <s v="11:27(-05)"/>
        <s v="13:00(PST)"/>
        <s v="17:35(-08)"/>
        <s v="08:57(PST)"/>
        <s v="11:36(-08)"/>
        <s v="11:48(-08)"/>
        <s v="12:35(-08)"/>
        <s v="13:07(-08)"/>
        <s v="12:33(PST)"/>
        <s v="15:33(-08)"/>
        <s v="16:23(PST)"/>
        <s v="23:01(PST)"/>
        <s v="07:19(PST)"/>
        <s v="07:52(PST)"/>
        <s v="16:59(-08)"/>
        <s v="17:48(-08)"/>
        <s v="18:09(-08)"/>
        <s v="12:59(-08)"/>
        <s v="13:13(-08)"/>
        <s v="11:25(-05)"/>
        <s v="11:56(-05)"/>
        <s v="12:14(-05)"/>
        <s v="12:46(-05)"/>
        <s v="11:21(PST)"/>
        <s v="12:35(PST)"/>
        <s v="13:09(PST)"/>
        <s v="18:33(-08)"/>
        <s v="15:41(-08)"/>
        <s v="16:28(-08)"/>
        <s v="22:51(PST)"/>
        <s v="17:28(-08)"/>
        <s v="21:28(PST)"/>
        <s v="13:16(-08)"/>
        <s v="13:25(-08)"/>
        <s v="14:12(-08)"/>
        <s v="14:24(-08)"/>
        <s v="14:37(-08)"/>
        <s v="10:40(PST)"/>
        <s v="11:46(-08)"/>
        <s v="12:35(-07)"/>
        <s v="12:49(-07)"/>
        <s v="13:21(-07)"/>
        <s v="23:29(PST)"/>
        <s v="03:22(EST)"/>
        <s v="17:00(EST)"/>
        <s v="23:45(EST)"/>
        <s v="12:10(PST)"/>
        <s v="23:33(PST)"/>
        <s v="05:01(-07)"/>
        <s v="05:47(-07)"/>
        <s v="05:59(-07)"/>
        <s v="06:09(-07)"/>
        <s v="15:44(PST)"/>
        <s v="14:45(PST)"/>
        <s v="21:13(PST)"/>
        <s v="21:25(PST)"/>
        <s v="11:06(PST)"/>
        <s v="21:22(PST)"/>
        <s v="10:36(PST)"/>
        <s v="13:08(PST)"/>
        <s v="15:20(-07)"/>
        <s v="16:06(-07)"/>
        <s v="09:38(-07)"/>
        <s v="09:50(-07)"/>
        <s v="10:51(-07)"/>
        <s v="11:03(-07)"/>
        <s v="23:19(PST)"/>
        <s v="10:16(-07)"/>
        <s v="02:50(PST)"/>
        <s v="17:13(-07)"/>
        <s v="17:59(-07)"/>
        <s v="22:06(PST)"/>
        <s v="23:28(PST)"/>
        <s v="12:20(PST)"/>
        <s v="20:36(PST)"/>
        <s v="15:41(MST)"/>
        <s v="15:30(PST)"/>
        <s v="22:14(PST)"/>
        <s v="14:10(PST)"/>
        <s v="15:44(-07)"/>
        <s v="15:55(-07)"/>
        <s v="22:00(PST)"/>
        <s v="00:06(PST)"/>
        <s v="00:17(PST)"/>
        <s v="23:52(PST)"/>
        <s v="08:48(PST)"/>
        <s v="10:05(PST)"/>
        <s v="22:35(PST)"/>
        <s v="16:56(PST)"/>
        <s v="22:44(PST)"/>
        <s v="05:35(PST)"/>
        <s v="16:24(PST)"/>
        <s v="12:13(PST)"/>
        <s v="16:26(PST)"/>
        <s v="18:13(PST)"/>
        <s v="12:08(PST)"/>
        <s v="20:22(PST)"/>
        <s v="20:25(PST)"/>
        <s v="19:04(PST)"/>
        <s v="18:26(PST)"/>
        <s v="19:17(PST)"/>
        <s v="07:00(PST)"/>
        <s v="18:41(PST)"/>
        <s v="06:57(PST)"/>
        <s v="06:15(PST)"/>
        <s v="07:02(PST)"/>
        <s v="14:36(PST)"/>
        <s v="15:49(PST)"/>
        <s v="16:01(PST)"/>
        <s v="12:16(PST)"/>
        <s v="07:32(PST)"/>
        <s v="18:03(PST)"/>
        <s v="18:52(PST)"/>
        <s v="07:03(PST)"/>
        <s v="21:52(PST)"/>
        <s v="22:02(PST)"/>
        <s v="18:17(PST)"/>
        <s v="18:49(PST)"/>
        <s v="19:03(PST)"/>
        <s v="17:02(PST)"/>
        <s v="17:49(PST)"/>
        <s v="07:08(-08)"/>
        <s v="07:53(-08)"/>
        <s v="21:04(PST)"/>
        <s v="21:42(PST)"/>
        <s v="20:43(-08)"/>
        <s v="21:29(-08)"/>
        <s v="21:36(-08)"/>
        <s v="06:17(PST)"/>
        <s v="06:23(PST)"/>
        <s v="07:08(PST)"/>
        <s v="07:14(PST)"/>
        <s v="18:00(PST)"/>
        <s v="18:08(PST)"/>
        <s v="19:02(PST)"/>
        <s v="19:13(PST)"/>
        <s v="19:36(PST)"/>
        <s v="20:09(PST)"/>
        <s v="07:25(PST)"/>
        <s v="21:29(PST)"/>
        <s v="21:48(PST)"/>
        <s v="05:46(PST)"/>
        <s v="22:39(PST)"/>
        <s v="18:48(-07)"/>
        <s v="19:34(-07)"/>
        <s v="19:45(-07)"/>
        <s v="19:51(-07)"/>
        <s v="06:54(PST)"/>
        <s v="21:46(PST)"/>
        <s v="06:49(-07)"/>
        <s v="07:36(-07)"/>
        <s v="22:08(PST)"/>
        <s v="19:35(-07)"/>
        <s v="19:48(-07)"/>
        <s v="16:22(-07)"/>
        <s v="16:33(-07)"/>
        <s v="17:19(-07)"/>
        <s v="17:25(-07)"/>
        <s v="17:31(-07)"/>
        <s v="17:54(PST)"/>
        <s v="06:27(PST)"/>
        <s v="20:18(-07)"/>
        <s v="21:04(-07)"/>
        <s v="21:10(-07)"/>
        <s v="22:27(PST)"/>
        <s v="06:46(-07)"/>
        <s v="08:07(PST)"/>
        <s v="06:18(-07)"/>
        <s v="07:34(-07)"/>
        <s v="07:39(-07)"/>
        <s v="22:32(PST)"/>
        <s v="16:32(-07)"/>
        <s v="17:33(-07)"/>
        <s v="17:41(-07)"/>
        <s v="21:30(PST)"/>
        <s v="20:38(-07)"/>
        <s v="21:24(-07)"/>
        <s v="21:30(-07)"/>
        <s v="22:48(PST)"/>
        <s v="10:41(-07)"/>
        <s v="12:21(-07)"/>
        <s v="20:38(PST)"/>
        <s v="17:08(-07)"/>
        <s v="18:02(-07)"/>
        <s v="22:09(PST)"/>
        <s v="06:54(-07)"/>
        <s v="21:15(PST)"/>
        <s v="19:10(-07)"/>
        <s v="22:28(PST)"/>
        <s v="00:27(PST)"/>
        <s v="23:05(PST)"/>
        <s v="06:32(-07)"/>
        <s v="07:32(-07)"/>
        <s v="22:43(PST)"/>
        <s v="06:35(-07)"/>
        <s v="07:21(-07)"/>
        <s v="07:42(-07)"/>
        <s v="07:53(-07)"/>
        <s v="06:38(-07)"/>
        <s v="07:23(-07)"/>
        <s v="07:40(PST)"/>
        <s v="06:33(-07)"/>
        <s v="07:18(-07)"/>
        <s v="17:35(-07)"/>
        <s v="19:11(-07)"/>
        <s v="06:38(PST)"/>
        <s v="16:16(-07)"/>
        <s v="17:02(-07)"/>
        <s v="21:26(PST)"/>
        <s v="22:22(PST)"/>
        <s v="07:04(PST)"/>
        <s v="18:22(-07)"/>
        <s v="19:23(-07)"/>
        <s v="19:31(-07)"/>
        <s v="18:26(-07)"/>
        <s v="00:58(PST)"/>
        <s v="07:13(PST)"/>
        <s v="18:15(-07)"/>
        <s v="21:43(PST)"/>
        <s v="07:07(PST)"/>
        <s v="17:43(-07)"/>
        <s v="18:42(-07)"/>
        <s v="02:00(PST)"/>
        <s v="07:20(PST)"/>
        <s v="17:50(-07)"/>
        <s v="18:41(-07)"/>
        <s v="18:47(-07)"/>
        <s v="21:37(PST)"/>
        <s v="18:34(-07)"/>
        <s v="19:05(-07)"/>
        <s v="19:16(-07)"/>
        <s v="19:27(-07)"/>
        <s v="19:22(-07)"/>
        <s v="17:10(-07)"/>
        <s v="18:09(-07)"/>
        <s v="18:19(-07)"/>
        <s v="19:36(-07)"/>
        <s v="20:22(-07)"/>
        <s v="20:28(-07)"/>
        <s v="20:41(PST)"/>
        <s v="06:59(PST)"/>
        <s v="18:19(-08)"/>
        <s v="18:41(-08)"/>
        <s v="19:12(-08)"/>
        <s v="19:23(-08)"/>
        <s v="22:04(PST)"/>
        <s v="02:37(PST)"/>
        <s v="02:51(PST)"/>
        <s v="07:12(PST)"/>
        <s v="12:57(PST)"/>
        <s v="16:23(-08)"/>
        <s v="16:56(-08)"/>
        <s v="17:12(-08)"/>
        <s v="21:45(PST)"/>
        <s v="17:00(-08)"/>
        <s v="17:06(-08)"/>
        <s v="17:52(-08)"/>
        <s v="17:59(-08)"/>
        <s v="18:21(-08)"/>
        <s v="15:27(-08)"/>
        <s v="15:34(-08)"/>
        <s v="16:19(-08)"/>
        <s v="16:25(-08)"/>
        <s v="16:40(-08)"/>
        <s v="16:46(-08)"/>
        <s v="21:34(PST)"/>
        <s v="01:14(PST)"/>
        <s v="05:40(PST)"/>
        <s v="06:14(PST)"/>
        <s v="17:37(-08)"/>
        <s v="17:49(-08)"/>
        <s v="18:23(-08)"/>
        <s v="20:18(PST)"/>
        <s v="17:02(-08)"/>
        <s v="17:50(-08)"/>
        <s v="18:03(-08)"/>
        <s v="18:14(-08)"/>
        <s v="06:33(PST)"/>
        <s v="06:50(PST)"/>
        <s v="17:24(-08)"/>
        <s v="17:36(-08)"/>
        <s v="18:27(-08)"/>
        <s v="21:44(PST)"/>
        <s v="07:43(PST)"/>
        <s v="12:26(PST)"/>
        <s v="17:05(-08)"/>
        <s v="18:09(PST)"/>
        <s v="16:08(-08)"/>
        <s v="16:14(-08)"/>
        <s v="17:01(-08)"/>
        <s v="17:07(-08)"/>
        <s v="17:20(-08)"/>
        <s v="18:05(-08)"/>
        <s v="18:38(-08)"/>
        <s v="18:49(-08)"/>
        <s v="17:51(-08)"/>
        <s v="18:04(-08)"/>
        <s v="18:58(-08)"/>
        <s v="19:08(-08)"/>
        <s v="19:14(-08)"/>
        <s v="21:58(PST)"/>
        <s v="06:56(PST)"/>
        <s v="18:36(-08)"/>
        <s v="18:43(-08)"/>
        <s v="21:56(PST)"/>
        <s v="16:05(PST)"/>
        <s v="17:18(-08)"/>
        <s v="17:39(-08)"/>
        <s v="18:11(-08)"/>
        <s v="22:15(PST)"/>
        <s v="07:31(PST)"/>
        <s v="11:33(PST)"/>
        <s v="22:34(PST)"/>
        <s v="11:08(PST)"/>
        <s v="11:19(PST)"/>
        <s v="16:58(-08)"/>
        <s v="17:57(-08)"/>
        <s v="07:44(PST)"/>
        <s v="21:39(PST)"/>
        <s v="18:06(-08)"/>
        <s v="18:53(-08)"/>
        <s v="19:01(-08)"/>
        <s v="17:42(PST)"/>
        <s v="17:09(-07)"/>
        <s v="17:55(-07)"/>
        <s v="16:37(-07)"/>
        <s v="16:48(-07)"/>
        <s v="16:54(-07)"/>
        <s v="18:01(-07)"/>
        <s v="02:20(PST)"/>
        <s v="07:27(PST)"/>
        <s v="16:38(-07)"/>
        <s v="17:39(-07)"/>
        <s v="15:45(-07)"/>
        <s v="15:59(-07)"/>
        <s v="17:20(-07)"/>
        <s v="22:10(PST)"/>
        <s v="12:22(PST)"/>
        <s v="16:18(-07)"/>
        <s v="17:17(-07)"/>
        <s v="17:24(-07)"/>
        <s v="15:58(-07)"/>
        <s v="16:14(-07)"/>
        <s v="16:59(-07)"/>
        <s v="17:06(-07)"/>
        <s v="08:08(PST)"/>
        <s v="19:01(-07)"/>
        <s v="19:13(-07)"/>
        <s v="20:12(-07)"/>
        <s v="16:40(PST)"/>
        <s v="21:50(PST)"/>
        <s v="15:58(PST)"/>
        <s v="17:58(-07)"/>
        <s v="19:49(-07)"/>
        <s v="20:08(-07)"/>
        <s v="22:29(PST)"/>
        <s v="12:48(PST)"/>
        <s v="19:28(-07)"/>
        <s v="02:43(PST)"/>
        <s v="09:15(PST)"/>
        <s v="19:43(-07)"/>
        <s v="16:33(PST)"/>
        <s v="16:54(PST)"/>
        <s v="18:40(-07)"/>
        <s v="18:14(-07)"/>
        <s v="18:28(-07)"/>
        <s v="01:46(PST)"/>
        <s v="02:08(PST)"/>
        <s v="15:51(-07)"/>
        <s v="16:46(-07)"/>
        <s v="16:58(-07)"/>
        <s v="22:05(PST)"/>
        <s v="07:47(PST)"/>
        <s v="19:00(-07)"/>
        <s v="19:21(-07)"/>
        <s v="19:33(-07)"/>
        <s v="11:42(-07)"/>
        <s v="11:55(-07)"/>
        <s v="12:41(-07)"/>
        <s v="13:42(-07)"/>
        <s v="13:47(-07)"/>
        <s v="07:13(-07)"/>
        <s v="08:13(-07)"/>
        <s v="08:19(-07)"/>
        <s v="23:57(PST)"/>
        <s v="13:38(-07)"/>
        <s v="14:24(-07)"/>
        <s v="14:30(-07)"/>
        <s v="03:48(PST)"/>
        <s v="17:37(-07)"/>
        <s v="17:54(-07)"/>
        <s v="18:35(PST)"/>
        <s v="22:45(PST)"/>
        <s v="17:44(-07)"/>
        <s v="22:42(PST)"/>
        <s v="11:46(PST)"/>
        <s v="17:40(-07)"/>
        <s v="18:43(-07)"/>
        <s v="18:53(-07)"/>
        <s v="07:39(PST)"/>
        <s v="08:12(PST)"/>
        <s v="11:36(PST)"/>
        <s v="16:51(-07)"/>
        <s v="17:42(-07)"/>
        <s v="18:25(-07)"/>
        <s v="00:35(PST)"/>
        <s v="06:47(-07)"/>
        <s v="18:17(-07)"/>
        <s v="05:48(-07)"/>
        <s v="05:53(-07)"/>
        <s v="06:00(-07)"/>
        <s v="07:01(-07)"/>
        <s v="03:13(PST)"/>
        <s v="10:28(PST)"/>
        <s v="10:38(PST)"/>
        <s v="18:44(-07)"/>
        <s v="20:15(GMT)"/>
        <s v="20:27(GMT)"/>
        <s v="04:57(EST)"/>
        <s v="10:54(-05)"/>
        <s v="15:31(PST)"/>
        <s v="15:51(PST)"/>
        <s v="16:06(-08)"/>
        <s v="17:08(-08)"/>
        <s v="09:08(-05)"/>
        <s v="09:15(-05)"/>
        <s v="10:01(-05)"/>
        <s v="10:13(-05)"/>
        <s v="15:00(EST)"/>
        <s v="22:40(EST)"/>
        <s v="09:13(-05)"/>
        <s v="09:22(-05)"/>
        <s v="10:15(-05)"/>
        <s v="10:32(EST)"/>
        <s v="11:01(-08)"/>
        <s v="10:45(PST)"/>
        <s v="12:57(-08)"/>
        <s v="13:48(-08)"/>
        <s v="03:50(PST)"/>
        <s v="11:59(PST)"/>
        <s v="12:09(PST)"/>
        <s v="17:54(-08)"/>
        <s v="18:26(-08)"/>
        <s v="14:44(PST)"/>
        <s v="15:15(PST)"/>
        <s v="16:26(-08)"/>
        <s v="17:03(PST)"/>
        <s v="00:33(EST)"/>
        <s v="23:01(EST)"/>
        <s v="10:00(-05)"/>
        <s v="10:34(-05)"/>
        <s v="23:31(EST)"/>
        <s v="15:39(PST)"/>
        <s v="11:42(-08)"/>
        <s v="12:43(-08)"/>
        <s v="12:49(-08)"/>
        <s v="22:21(PST)"/>
        <s v="12:53(PST)"/>
        <s v="13:53(-08)"/>
        <s v="14:05(-08)"/>
        <s v="15:07(-08)"/>
        <s v="23:02(PST)"/>
        <s v="10:25(-08)"/>
        <s v="10:43(-08)"/>
        <s v="11:30(-08)"/>
        <s v="15:34(-07)"/>
        <s v="16:43(-07)"/>
        <s v="06:08(EST)"/>
        <s v="19:53(PST)"/>
        <s v="06:19(PST)"/>
        <s v="15:35(-07)"/>
        <s v="16:23(-07)"/>
        <s v="16:35(-07)"/>
        <s v="12:03(PST)"/>
        <s v="18:08(-07)"/>
        <s v="18:55(-07)"/>
        <s v="19:07(-07)"/>
        <s v="19:19(-07)"/>
        <s v="22:50(PST)"/>
        <s v="14:15(-07)"/>
        <s v="15:02(-07)"/>
        <s v="15:14(-07)"/>
        <s v="22:20(PST)"/>
        <s v="15:38(-07)"/>
        <s v="17:29(-07)"/>
        <s v="06:34(PST)"/>
        <s v="17:38(-07)"/>
        <s v="02:09(PST)"/>
        <s v="06:24(PST)"/>
        <s v="14:51(PST)"/>
        <s v="12:22(-07)"/>
        <s v="13:09(-07)"/>
        <s v="16:27(-07)"/>
        <s v="14:35(PST)"/>
        <s v="15:23(-07)"/>
        <s v="16:24(-07)"/>
        <s v="16:49(-07)"/>
        <s v="03:31(PST)"/>
        <s v="14:40(PST)"/>
        <s v="16:47(-07)"/>
        <s v="18:06(-07)"/>
        <s v="03:10(EST)"/>
        <s v="15:53(-07)"/>
        <s v="16:15(-07)"/>
        <s v="17:16(-07)"/>
        <s v="17:23(-07)"/>
        <s v="18:55(PST)"/>
        <s v="03:18(PST)"/>
        <s v="07:15(PST)"/>
        <s v="15:52(-07)"/>
        <s v="17:00(-07)"/>
        <s v="16:26(-07)"/>
        <s v="16:31(-07)"/>
        <s v="19:06(PST)"/>
        <s v="20:34(PST)"/>
        <s v="07:59(PST)"/>
        <s v="15:49(-07)"/>
        <s v="17:03(-07)"/>
        <s v="00:07(PST)"/>
        <s v="11:53(-07)"/>
        <s v="12:40(-07)"/>
        <s v="12:51(-07)"/>
        <s v="12:56(-07)"/>
        <s v="21:02(PST)"/>
        <s v="15:28(-07)"/>
        <s v="23:47(MST)"/>
        <s v="16:09(-07)"/>
        <s v="07:22(PST)"/>
        <s v="16:50(-07)"/>
        <s v="17:30(-07)"/>
        <s v="22:19(PST)"/>
        <s v="17:12(EST)"/>
        <s v="17:58(EST)"/>
        <s v="18:11(EST)"/>
        <s v="23:55(EST)"/>
        <s v="15:05(-07)"/>
        <s v="22:56(PST)"/>
        <s v="09:54(-08)"/>
        <s v="10:42(-08)"/>
        <s v="10:47(-08)"/>
        <s v="21:57(PST)"/>
        <s v="11:05(PST)"/>
        <s v="18:35(-08)"/>
        <s v="18:55(-08)"/>
        <s v="17:33(-08)"/>
        <s v="01:03(PST)"/>
        <s v="01:15(PST)"/>
        <s v="19:05(PST)"/>
        <s v="15:29(-08)"/>
        <s v="16:10(-08)"/>
        <s v="16:52(-08)"/>
        <s v="15:17(-08)"/>
        <s v="16:35(-08)"/>
        <s v="08:03(PST)"/>
        <s v="13:18(-08)"/>
        <s v="13:31(-08)"/>
        <s v="14:36(-08)"/>
        <s v="22:17(PST)"/>
        <s v="16:01(-08)"/>
        <s v="19:07(PST)"/>
        <s v="21:47(PST)"/>
        <s v="15:09(PST)"/>
        <s v="16:17(-08)"/>
        <s v="17:19(-08)"/>
        <s v="12:52(-08)"/>
        <s v="13:38(-08)"/>
        <s v="13:49(-08)"/>
        <s v="09:04(PST)"/>
        <s v="09:45(PST)"/>
        <s v="10:35(PST)"/>
        <s v="17:21(PST)"/>
        <s v="17:59(PST)"/>
        <s v="08:32(PST)"/>
        <s v="09:47(PST)"/>
        <s v="10:01(PST)"/>
        <s v="10:32(PST)"/>
        <s v="10:47(PST)"/>
        <s v="10:30(PST)"/>
        <s v="11:11(PST)"/>
        <s v="16:58(PST)"/>
        <s v="17:05(PST)"/>
        <s v="17:33(PST)"/>
        <s v="13:55(PST)"/>
        <s v="14:42(PST)"/>
        <s v="15:00(PST)"/>
        <s v="10:27(PST)"/>
        <s v="10:58(PST)"/>
        <s v="11:09(PST)"/>
        <s v="13:31(PST)"/>
        <s v="14:33(PST)"/>
        <s v="21:14(PST)"/>
        <s v="21:21(PST)"/>
        <s v="19:19(PST)"/>
        <s v="20:20(PST)"/>
        <s v="20:56(PST)"/>
        <s v="20:02(PST)"/>
        <s v="08:47(PST)"/>
        <s v="08:53(PST)"/>
        <s v="09:01(PST)"/>
        <s v="10:02(PST)"/>
        <s v="10:08(PST)"/>
        <s v="20:57(PST)"/>
        <s v="20:12(-08)"/>
        <s v="21:08(PST)"/>
        <s v="20:11(PST)"/>
        <s v="08:29(-07)"/>
        <s v="09:01(-07)"/>
        <s v="10:04(-07)"/>
        <s v="10:17(-07)"/>
        <s v="01:37(PST)"/>
        <s v="00:01(PST)"/>
        <s v="09:30(-07)"/>
        <s v="09:36(-07)"/>
        <s v="10:25(-07)"/>
        <s v="11:28(-07)"/>
        <s v="11:55(PST)"/>
        <s v="21:53(PST)"/>
        <s v="10:43(-07)"/>
        <s v="11:14(-07)"/>
        <s v="12:15(-07)"/>
        <s v="12:26(-07)"/>
        <s v="08:15(-07)"/>
        <s v="09:02(-07)"/>
        <s v="05:27(PST)"/>
        <s v="06:11(-07)"/>
        <s v="10:17(PST)"/>
        <s v="20:19(PST)"/>
        <s v="15:55(PST)"/>
        <s v="13:17(-07)"/>
        <s v="20:06(PST)"/>
        <s v="21:12(PST)"/>
        <s v="11:52(-07)"/>
        <s v="12:50(-07)"/>
        <s v="13:59(PST)"/>
        <s v="23:35(PST)"/>
        <s v="05:50(-07)"/>
        <s v="21:38(PST)"/>
        <s v="08:12(-07)"/>
        <s v="09:43(-07)"/>
        <s v="08:38(PST)"/>
        <s v="14:16(PST)"/>
        <s v="11:51(-07)"/>
        <s v="11:57(-07)"/>
        <s v="12:10(-07)"/>
        <s v="18:24(PST)"/>
        <s v="18:57(PST)"/>
        <s v="14:53(-07)"/>
        <s v="15:50(-07)"/>
        <s v="10:35(-07)"/>
        <s v="11:22(-07)"/>
        <s v="11:37(-07)"/>
        <s v="10:31(-07)"/>
        <s v="11:06(-07)"/>
        <s v="11:36(-07)"/>
        <s v="15:36(-07)"/>
        <s v="17:07(-07)"/>
        <s v="10:55(-07)"/>
        <s v="12:01(-07)"/>
        <s v="19:38(PST)"/>
        <s v="19:56(PST)"/>
        <s v="12:06(PST)"/>
        <s v="17:42(-08)"/>
        <s v="18:42(-08)"/>
        <s v="18:54(-08)"/>
        <s v="13:01(-08)"/>
        <s v="14:01(-08)"/>
        <s v="14:09(-08)"/>
        <s v="14:20(-08)"/>
        <s v="08:36(PST)"/>
        <s v="11:43(PST)"/>
        <s v="14:31(-08)"/>
        <s v="16:38(PST)"/>
        <s v="08:27(PST)"/>
        <s v="08:59(PST)"/>
        <s v="00:53(PST)"/>
        <s v="12:17(PST)"/>
        <s v="16:42(PST)"/>
        <s v="09:06(-08)"/>
        <s v="09:30(-08)"/>
        <s v="10:30(-08)"/>
        <s v="22:53(PST)"/>
        <s v="16:27(-08)"/>
        <s v="18:00(-08)"/>
        <s v="17:13(-08)"/>
        <s v="21:05(PST)"/>
        <s v="21:17(PST)"/>
        <s v="09:13(PST)"/>
        <s v="08:51(PST)"/>
        <s v="09:22(PST)"/>
        <s v="09:36(PST)"/>
        <s v="09:53(PST)"/>
        <s v="09:19(PST)"/>
        <s v="09:42(PST)"/>
        <s v="10:12(PST)"/>
        <s v="10:54(-08)"/>
        <s v="11:17(-08)"/>
        <s v="11:46(-07)"/>
        <s v="12:54(-07)"/>
        <s v="13:10(-07)"/>
        <s v="13:22(-07)"/>
        <s v="20:47(PST)"/>
        <s v="23:11(PST)"/>
        <s v="01:07(PST)"/>
        <s v="09:29(-07)"/>
        <s v="08:55(-07)"/>
        <s v="10:03(-07)"/>
        <s v="10:29(-07)"/>
        <s v="12:25(-07)"/>
        <s v="13:57(-07)"/>
        <s v="14:05(-07)"/>
        <s v="11:25(-07)"/>
        <s v="11:31(-07)"/>
        <s v="11:49(-07)"/>
        <s v="12:13(-07)"/>
        <s v="12:53(-07)"/>
        <s v="05:59(PST)"/>
        <s v="09:02(PST)"/>
        <s v="09:26(PST)"/>
        <s v="10:00(-07)"/>
        <s v="11:33(-07)"/>
        <s v="09:14(PST)"/>
        <s v="21:32(PST)"/>
        <s v="20:23(PST)"/>
        <s v="23:12(PST)"/>
        <s v="15:25(-07)"/>
        <s v="16:12(-07)"/>
        <s v="09:54(-07)"/>
        <s v="10:11(-07)"/>
        <s v="12:23(PST)"/>
        <s v="12:55(PST)"/>
        <s v="13:06(PST)"/>
        <s v="17:08(PST)"/>
        <s v="17:19(PST)"/>
        <s v="17:30(PST)"/>
        <s v="19:54(PST)"/>
        <s v="20:07(PST)"/>
        <s v="10:53(-07)"/>
        <s v="12:07(-07)"/>
        <s v="12:18(-07)"/>
        <s v="12:29(-07)"/>
        <s v="21:38(GMT)"/>
        <s v="09:08(EST)"/>
        <s v="11:16(PST)"/>
        <s v="14:56(-08)"/>
        <s v="15:54(-08)"/>
        <s v="16:55(PST)"/>
        <s v="23:39(PST)"/>
        <s v="23:43(EST)"/>
        <s v="04:00(EST)"/>
        <s v="13:45(EST)"/>
        <s v="15:26(EST)"/>
        <s v="16:12(EST)"/>
        <s v="16:18(EST)"/>
        <s v="23:29(EST)"/>
        <s v="11:15(-08)"/>
        <s v="12:04(-08)"/>
        <s v="13:20(-08)"/>
        <s v="13:32(-08)"/>
        <s v="02:06(PST)"/>
        <s v="16:15(-08)"/>
        <s v="22:23(PST)"/>
        <s v="23:10(EST)"/>
        <s v="00:01(EST)"/>
        <s v="01:10(PST)"/>
        <s v="21:09(PST)"/>
        <s v="08:00(-08)"/>
        <s v="08:31(-08)"/>
        <s v="09:18(-08)"/>
        <s v="12:02(-04)"/>
        <s v="12:35(-04)"/>
        <s v="12:55(-04)"/>
        <s v="16:34(EST)"/>
        <s v="11:17(-07)"/>
        <s v="11:29(-07)"/>
        <s v="12:32(-07)"/>
        <s v="12:37(-07)"/>
        <s v="13:00(-07)"/>
        <s v="13:12(-07)"/>
        <s v="09:28(PST)"/>
        <s v="23:20(PST)"/>
        <s v="17:53(-07)"/>
        <s v="22:55(PST)"/>
        <s v="14:33(-07)"/>
        <s v="14:47(-07)"/>
        <s v="15:12(-07)"/>
        <s v="11:57(MST)"/>
        <s v="21:20(MST)"/>
        <s v="09:00(PST)"/>
        <s v="18:46(-07)"/>
        <s v="19:34(PST)"/>
        <s v="13:43(PST)"/>
        <s v="13:54(PST)"/>
        <s v="14:06(PST)"/>
        <s v="01:48(PST)"/>
        <s v="20:48(PST)"/>
        <s v="00:57(EST)"/>
        <s v="10:05(EST)"/>
        <s v="10:36(EST)"/>
        <s v="10:47(EST)"/>
        <s v="10:54(EST)"/>
        <s v="10:40(-07)"/>
        <s v="11:01(-07)"/>
        <s v="11:16(-07)"/>
        <s v="11:48(-07)"/>
        <s v="09:56(PST)"/>
        <s v="20:54(PST)"/>
        <s v="12:51(MST)"/>
        <s v="23:13(MST)"/>
        <s v="18:48(PST)"/>
        <s v="21:51(PST)"/>
        <s v="11:41(-07)"/>
        <s v="12:14(-07)"/>
        <s v="11:50(-07)"/>
        <s v="12:48(-07)"/>
        <s v="12:58(-07)"/>
        <s v="10:14(-08)"/>
        <s v="10:26(-08)"/>
        <s v="11:12(-08)"/>
        <s v="11:18(-08)"/>
        <s v="11:28(-08)"/>
        <s v="02:40(PST)"/>
        <s v="15:04(-08)"/>
        <s v="15:50(-08)"/>
        <s v="15:57(-08)"/>
        <s v="11:06(-08)"/>
        <s v="11:20(-08)"/>
        <s v="11:26(-08)"/>
        <s v="12:07(-08)"/>
        <s v="12:18(-08)"/>
        <s v="16:11(-08)"/>
        <s v="17:44(-08)"/>
        <s v="14:29(-08)"/>
        <s v="21:18(PST)"/>
        <s v="19:55(PST)"/>
        <s v="11:30(PST)"/>
        <s v="16:49(PST)"/>
        <s v="16:50(PST)"/>
        <s v="16:53(PST)"/>
        <s v="15:40(PST)"/>
        <s v="16:27(PST)"/>
        <s v="16:41(PST)"/>
        <s v="13:11(PST)"/>
        <s v="13:42(PST)"/>
        <s v="14:07(PST)"/>
        <s v="14:43(PST)"/>
        <s v="09:39(PST)"/>
        <s v="10:25(PST)"/>
        <s v="12:14(PST)"/>
        <s v="14:47(PST)"/>
        <s v="16:16(PST)"/>
        <s v="12:37(PST)"/>
        <s v="13:10(PST)"/>
        <s v="13:25(PST)"/>
        <s v="18:12(PST)"/>
        <s v="18:21(PST)"/>
        <s v="18:33(PST)"/>
        <s v="15:52(PST)"/>
        <s v="18:18(PST)"/>
        <s v="17:29(PST)"/>
        <s v="17:53(PST)"/>
        <s v="12:04(PST)"/>
        <s v="12:40(PST)"/>
        <s v="13:02(PST)"/>
        <s v="10:15(PST)"/>
        <s v="19:29(-08)"/>
        <s v="18:56(-08)"/>
        <s v="19:44(-08)"/>
        <s v="19:50(-08)"/>
        <s v="21:24(PST)"/>
        <s v="21:36(PST)"/>
        <s v="21:01(PST)"/>
        <s v="08:26(PST)"/>
        <s v="19:32(PST)"/>
        <s v="19:20(-07)"/>
        <s v="19:26(-07)"/>
        <s v="19:56(-07)"/>
        <s v="20:08(PST)"/>
        <s v="16:20(-07)"/>
        <s v="16:47(PST)"/>
        <s v="10:58(-07)"/>
        <s v="11:08(-07)"/>
        <s v="12:39(-07)"/>
        <s v="20:45(PST)"/>
        <s v="19:12(PST)"/>
        <s v="19:58(-07)"/>
        <s v="20:44(-07)"/>
        <s v="18:37(PST)"/>
        <s v="12:30(-07)"/>
        <s v="13:02(-07)"/>
        <s v="13:51(PST)"/>
        <s v="14:19(PST)"/>
        <s v="15:01(PST)"/>
        <s v="00:42(PST)"/>
        <s v="08:53(-07)"/>
        <s v="20:12(PST)"/>
        <s v="20:43(PST)"/>
        <s v="06:41(-07)"/>
        <s v="07:14(-07)"/>
        <s v="07:26(-07)"/>
        <s v="17:22(-07)"/>
        <s v="18:59(-07)"/>
        <s v="18:05(-07)"/>
        <s v="18:20(PST)"/>
        <s v="07:40(-07)"/>
        <s v="08:26(-07)"/>
        <s v="08:42(-07)"/>
        <s v="00:54(PST)"/>
        <s v="01:06(PST)"/>
        <s v="07:54(-07)"/>
        <s v="08:27(-07)"/>
        <s v="08:48(-07)"/>
        <s v="09:00(-07)"/>
        <s v="18:03(-07)"/>
        <s v="19:50(-07)"/>
        <s v="20:53(PST)"/>
        <s v="10:22(-07)"/>
        <s v="05:22(PST)"/>
        <s v="09:31(-07)"/>
        <s v="10:49(-07)"/>
        <s v="14:59(-07)"/>
        <s v="21:27(PST)"/>
        <s v="11:04(PST)"/>
        <s v="11:53(PST)"/>
        <s v="09:46(PST)"/>
        <s v="13:55(-07)"/>
        <s v="15:17(-07)"/>
        <s v="00:38(MST)"/>
        <s v="11:09(-07)"/>
        <s v="22:24(PST)"/>
        <s v="09:30(PST)"/>
        <s v="20:04(-08)"/>
        <s v="20:37(-08)"/>
        <s v="21:06(PST)"/>
        <s v="12:34(-08)"/>
        <s v="12:47(-08)"/>
        <s v="14:02(-08)"/>
        <s v="14:27(PST)"/>
        <s v="09:23(PST)"/>
        <s v="10:20(-08)"/>
        <s v="11:31(-08)"/>
        <s v="09:58(-08)"/>
        <s v="10:59(-08)"/>
        <s v="09:42(-08)"/>
        <s v="10:28(-08)"/>
        <s v="10:49(-08)"/>
        <s v="10:09(-08)"/>
        <s v="10:58(-08)"/>
        <s v="11:23(PST)"/>
        <s v="18:42(PST)"/>
        <s v="19:31(PST)"/>
        <s v="19:43(PST)"/>
        <s v="20:14(PST)"/>
        <s v="21:33(PST)"/>
        <s v="17:22(PST)"/>
        <s v="18:10(PST)"/>
        <s v="04:30(PST)"/>
        <s v="17:38(PST)"/>
        <s v="17:46(PST)"/>
        <s v="17:58(PST)"/>
        <s v="18:25(PST)"/>
        <s v="17:10(PST)"/>
        <s v="17:43(PST)"/>
        <s v="18:13(-08)"/>
        <s v="19:19(-08)"/>
        <s v="23:10(PST)"/>
        <s v="14:49(-08)"/>
        <s v="15:56(-08)"/>
        <s v="16:03(-08)"/>
        <s v="10:09(PST)"/>
        <s v="16:17(PST)"/>
        <s v="18:01(-08)"/>
        <s v="16:40(-07)"/>
        <s v="22:03(PST)"/>
        <s v="03:17(PST)"/>
        <s v="04:00(PST)"/>
        <s v="19:10(PST)"/>
        <s v="19:27(PST)"/>
        <s v="13:04(PST)"/>
        <s v="04:50(PST)"/>
        <s v="11:32(PST)"/>
        <s v="12:47(-07)"/>
        <s v="13:50(-07)"/>
        <s v="14:01(-07)"/>
        <s v="14:12(-07)"/>
        <s v="23:24(PST)"/>
        <s v="06:09(PST)"/>
        <s v="15:04(PST)"/>
        <s v="15:37(PST)"/>
        <s v="20:16(-07)"/>
        <s v="20:39(PST)"/>
        <s v="03:46(PST)"/>
        <s v="04:03(PST)"/>
        <s v="16:22(PST)"/>
        <s v="23:32(PST)"/>
        <s v="09:52(PST)"/>
        <s v="09:40(-07)"/>
        <s v="09:53(-07)"/>
        <s v="11:00(-07)"/>
        <s v="22:59(PST)"/>
        <s v="19:18(PST)"/>
        <s v="19:37(PST)"/>
        <s v="10:07(PST)"/>
        <s v="19:42(-07)"/>
        <s v="16:08(-07)"/>
        <s v="17:47(PST)"/>
        <s v="09:41(-07)"/>
        <s v="09:56(-07)"/>
        <s v="10:20(-07)"/>
        <s v="10:31(PST)"/>
        <s v="20:27(PST)"/>
        <s v="09:49(GMT)"/>
        <s v="22:29(GMT)"/>
        <s v="00:04(GMT)"/>
        <s v="11:49(GMT)"/>
        <s v="16:38(GMT)"/>
        <s v="16:51(GMT)"/>
        <s v="17:55(PST)"/>
        <s v="10:50(PST)"/>
        <s v="11:10(PST)"/>
        <s v="16:25(-05)"/>
        <s v="16:57(-05)"/>
        <s v="17:14(-05)"/>
        <s v="17:29(EST)"/>
        <s v="22:46(EST)"/>
        <s v="05:04(EST)"/>
        <s v="05:17(EST)"/>
        <s v="09:17(EST)"/>
        <s v="22:34(EST)"/>
        <s v="01:01(PST)"/>
        <s v="11:04(-08)"/>
        <s v="11:38(-08)"/>
        <s v="11:58(-08)"/>
        <s v="03:43(EST)"/>
        <s v="12:57(-05)"/>
        <s v="13:57(-05)"/>
        <s v="13:20(-05)"/>
        <s v="14:36(-05)"/>
        <s v="13:11(-08)"/>
        <s v="17:00(PST)"/>
        <s v="14:08(-08)"/>
        <s v="14:42(-08)"/>
        <s v="15:19(PST)"/>
        <s v="18:48(-08)"/>
        <s v="15:06(-07)"/>
        <s v="16:05(-07)"/>
        <s v="16:11(-07)"/>
        <s v="10:37(-07)"/>
        <s v="11:24(-07)"/>
        <s v="11:35(-07)"/>
        <s v="00:04(PST)"/>
        <s v="16:17(-07)"/>
        <s v="10:16(PST)"/>
        <s v="14:35(-07)"/>
        <s v="15:39(-07)"/>
        <s v="21:23(PST)"/>
        <s v="22:22(MST)"/>
        <s v="23:36(PST)"/>
        <s v="09:05(PST)"/>
        <s v="09:49(-07)"/>
        <s v="10:45(-07)"/>
        <s v="12:11(-07)"/>
        <s v="12:57(-07)"/>
        <s v="00:35(EST)"/>
        <s v="20:07(EST)"/>
        <s v="22:04(EST)"/>
        <s v="12:09(-07)"/>
        <s v="12:42(-07)"/>
        <s v="13:49(PST)"/>
        <s v="10:07(-07)"/>
        <s v="10:54(-07)"/>
        <s v="11:05(-07)"/>
        <s v="11:31(PST)"/>
        <s v="10:55(PST)"/>
        <s v="11:59(-07)"/>
        <s v="12:34(-07)"/>
        <s v="13:31(-07)"/>
        <s v="22:27(MST)"/>
        <s v="14:14(-07)"/>
        <s v="14:55(-07)"/>
        <s v="15:56(-07)"/>
        <s v="15:08(-07)"/>
        <s v="20:49(PST)"/>
        <s v="23:53(PST)"/>
        <s v="14:34(-08)"/>
        <s v="23:26(PST)"/>
        <s v="15:39(-08)"/>
        <s v="16:37(-08)"/>
        <s v="16:49(-08)"/>
        <s v="17:01(PST)"/>
        <s v="13:03(-08)"/>
        <s v="13:51(-08)"/>
        <s v="13:57(-08)"/>
        <s v="20:01(PST)"/>
        <s v="13:26(-08)"/>
        <s v="23:34(PST)"/>
        <s v="14:18(-08)"/>
        <s v="15:09(-08)"/>
        <s v="15:20(-08)"/>
        <s v="14:03(PST)"/>
        <s v="16:09(PST)"/>
        <s v="16:11(PST)"/>
        <s v="16:28(PST)"/>
        <s v="14:29(PST)"/>
        <s v="12:02(PST)"/>
        <s v="12:19(PST)"/>
        <s v="12:15(PST)"/>
        <s v="20:40(PST)"/>
        <s v="19:15(PST)"/>
        <s v="06:46(PST)"/>
        <s v="10:51(PST)"/>
        <s v="18:46(PST)"/>
        <s v="19:08(PST)"/>
        <s v="15:43(PST)"/>
        <s v="16:15(PST)"/>
        <s v="17:45(PST)"/>
        <s v="19:59(PST)"/>
        <s v="06:25(-08)"/>
        <s v="07:11(-08)"/>
        <s v="20:34(-08)"/>
        <s v="21:05(-08)"/>
        <s v="07:05(-08)"/>
        <s v="07:41(-08)"/>
        <s v="07:46(-08)"/>
        <s v="06:00(PST)"/>
        <s v="20:17(PST)"/>
        <s v="07:16(-08)"/>
        <s v="07:27(-08)"/>
        <s v="07:49(-08)"/>
        <s v="07:54(-08)"/>
        <s v="22:07(PST)"/>
        <s v="07:35(-07)"/>
        <s v="07:24(-07)"/>
        <s v="07:51(-07)"/>
        <s v="08:05(-07)"/>
        <s v="20:05(-07)"/>
        <s v="20:37(-07)"/>
        <s v="20:49(-07)"/>
        <s v="21:06(-07)"/>
        <s v="07:37(-07)"/>
        <s v="07:48(-07)"/>
        <s v="19:20(PST)"/>
        <s v="20:04(-07)"/>
        <s v="20:27(-07)"/>
        <s v="19:08(-07)"/>
        <s v="21:20(-07)"/>
        <s v="21:26(-07)"/>
        <s v="23:23(PST)"/>
        <s v="07:09(-07)"/>
        <s v="08:09(-07)"/>
        <s v="19:03(-07)"/>
        <s v="19:25(-07)"/>
        <s v="07:46(-07)"/>
        <s v="10:50(-07)"/>
        <s v="11:12(-07)"/>
        <s v="02:11(PST)"/>
        <s v="23:18(PST)"/>
        <s v="13:50(PST)"/>
        <s v="14:00(PST)"/>
        <s v="07:19(-07)"/>
        <s v="07:10(-07)"/>
        <s v="07:41(-07)"/>
        <s v="08:02(-07)"/>
        <s v="14:48(PST)"/>
        <s v="12:06(-07)"/>
        <s v="07:18(PST)"/>
        <s v="17:04(-07)"/>
        <s v="17:11(-07)"/>
        <s v="14:24(PST)"/>
        <s v="11:54(-07)"/>
        <s v="12:00(-07)"/>
        <s v="06:58(-07)"/>
        <s v="07:28(-07)"/>
        <s v="17:28(-07)"/>
        <s v="17:49(-07)"/>
        <s v="18:49(-07)"/>
        <s v="19:41(-07)"/>
        <s v="19:15(-07)"/>
        <s v="20:02(-07)"/>
        <s v="20:07(-07)"/>
        <s v="12:38(-07)"/>
        <s v="12:05(-07)"/>
        <s v="01:21(PST)"/>
        <s v="12:16(-08)"/>
        <s v="13:19(-08)"/>
        <s v="08:06(PST)"/>
        <s v="15:12(PST)"/>
        <s v="16:50(-08)"/>
        <s v="17:45(-08)"/>
        <s v="11:00(PST)"/>
        <s v="09:32(PST)"/>
        <s v="12:56(PST)"/>
        <s v="17:17(-08)"/>
        <s v="08:10(PST)"/>
        <s v="14:18(PST)"/>
        <s v="18:10(-08)"/>
        <s v="18:15(-08)"/>
        <s v="17:46(-08)"/>
        <s v="17:58(-08)"/>
        <s v="11:45(-08)"/>
        <s v="12:24(-08)"/>
        <s v="12:46(PST)"/>
        <s v="17:40(-08)"/>
        <s v="16:51(-08)"/>
        <s v="16:57(-08)"/>
        <s v="15:57(PST)"/>
        <s v="17:22(-08)"/>
        <s v="08:02(PST)"/>
        <s v="15:16(PST)"/>
        <s v="17:21(-08)"/>
        <s v="04:18(PST)"/>
        <s v="16:53(-08)"/>
        <s v="12:05(PST)"/>
        <s v="12:42(PST)"/>
        <s v="13:17(PST)"/>
        <s v="02:17(PST)"/>
        <s v="16:52(-07)"/>
        <s v="16:57(-07)"/>
        <s v="18:18(-07)"/>
        <s v="16:20(PST)"/>
        <s v="16:32(PST)"/>
        <s v="23:31(PST)"/>
        <s v="07:37(PST)"/>
        <s v="04:39(PST)"/>
        <s v="16:44(-07)"/>
        <s v="16:55(-07)"/>
        <s v="16:19(PST)"/>
        <s v="16:39(PST)"/>
        <s v="16:53(-07)"/>
        <s v="15:48(-07)"/>
        <s v="23:55(PST)"/>
        <s v="12:38(PST)"/>
        <s v="13:01(PST)"/>
        <s v="13:22(PST)"/>
        <s v="17:57(-07)"/>
        <s v="18:16(-07)"/>
        <s v="17:12(PST)"/>
        <s v="23:03(PST)"/>
        <s v="17:14(-07)"/>
        <s v="17:41(PST)"/>
        <s v="16:02(-07)"/>
        <s v="11:35(PST)"/>
        <s v="17:05(-07)"/>
        <s v="23:25(PST)"/>
        <s v="11:03(PST)"/>
        <s v="13:29(PST)"/>
        <s v="15:57(-07)"/>
        <s v="16:41(-07)"/>
        <s v="15:15(-07)"/>
        <s v="16:00(-07)"/>
        <s v="16:29(PST)"/>
        <s v="10:51(GMT)"/>
        <s v="11:13(GMT)"/>
        <s v="11:26(GMT)"/>
        <s v="07:15(-05)"/>
        <s v="07:26(-05)"/>
        <s v="07:57(-05)"/>
        <s v="08:14(EST)"/>
        <s v="08:25(EST)"/>
        <s v="09:16(EST)"/>
        <s v="09:47(EST)"/>
        <s v="03:56(PST)"/>
        <s v="10:11(-08)"/>
        <s v="03:21(PST)"/>
        <s v="20:03(-08)"/>
        <s v="20:25(-08)"/>
        <s v="22:20(EST)"/>
        <s v="22:47(EST)"/>
        <s v="05:46(EST)"/>
        <s v="21:03(PST)"/>
        <s v="08:40(PST)"/>
        <s v="08:58(PST)"/>
        <s v="11:15(PST)"/>
        <s v="16:22(-08)"/>
        <s v="03:42(PST)"/>
        <s v="14:05(PST)"/>
        <s v="16:31(-08)"/>
        <s v="14:08(-05)"/>
        <s v="14:54(-05)"/>
        <s v="15:03(-05)"/>
        <s v="15:14(-05)"/>
        <s v="15:26(-05)"/>
        <s v="23:12(EST)"/>
        <s v="10:37(PST)"/>
        <s v="17:18(PST)"/>
        <s v="09:10(PST)"/>
        <s v="16:36(-08)"/>
        <s v="17:38(-08)"/>
        <s v="07:55(PST)"/>
        <s v="14:03(-07)"/>
        <s v="14:36(-07)"/>
        <s v="14:48(-07)"/>
        <s v="15:04(-07)"/>
        <s v="16:42(-04)"/>
        <s v="17:36(-04)"/>
        <s v="17:54(-04)"/>
        <s v="23:47(EST)"/>
        <s v="04:07(PST)"/>
        <s v="13:34(PST)"/>
        <s v="13:08(-07)"/>
        <s v="13:54(-07)"/>
        <s v="12:43(PST)"/>
        <s v="16:36(-07)"/>
        <s v="15:38(PST)"/>
        <s v="17:26(-07)"/>
        <s v="17:34(-07)"/>
        <s v="11:22(PST)"/>
        <s v="05:50(PST)"/>
        <s v="06:25(PST)"/>
        <s v="09:48(PST)"/>
        <s v="16:04(-07)"/>
        <s v="15:33(-07)"/>
        <s v="16:28(-07)"/>
        <s v="21:31(PST)"/>
        <s v="21:20(PST)"/>
        <s v="15:43(-07)"/>
        <s v="20:26(PST)"/>
        <s v="15:26(-07)"/>
        <s v="13:39(-07)"/>
        <s v="14:29(-07)"/>
        <s v="14:40(-07)"/>
        <s v="15:03(-07)"/>
        <s v="22:52(PST)"/>
        <s v="10:15(-08)"/>
        <s v="09:07(PST)"/>
        <s v="09:37(PST)"/>
        <s v="14:47(-08)"/>
        <s v="16:04(-08)"/>
        <s v="16:30(-08)"/>
        <s v="15:23(-08)"/>
        <s v="16:09(-08)"/>
        <s v="10:13(-08)"/>
        <s v="11:59(-08)"/>
        <s v="11:54(PST)"/>
        <s v="15:24(-08)"/>
        <s v="15:38(-08)"/>
        <s v="16:14(PST)"/>
        <s v="11:50(PST)"/>
        <s v="11:41(PST)"/>
        <s v="12:12(PST)"/>
        <s v="15:18(PST)"/>
        <s v="12:39(PST)"/>
        <s v="19:00(PST)"/>
        <s v="19:48(PST)"/>
        <s v="06:43(PST)"/>
        <s v="18:32(PST)"/>
        <s v="18:43(PST)"/>
        <s v="18:30(PST)"/>
        <s v="19:24(PST)"/>
        <s v="18:28(PST)"/>
        <s v="07:18(-08)"/>
        <s v="07:51(-08)"/>
        <s v="07:40(-08)"/>
        <s v="06:13(PST)"/>
        <s v="19:22(PST)"/>
        <s v="19:39(PST)"/>
        <s v="06:53(-08)"/>
        <s v="07:39(-08)"/>
        <s v="08:11(-08)"/>
        <s v="07:03(-08)"/>
        <s v="07:11(-07)"/>
        <s v="08:22(PST)"/>
        <s v="06:56(-07)"/>
        <s v="06:48(-07)"/>
        <s v="19:32(-07)"/>
        <s v="19:38(-07)"/>
        <s v="20:48(-07)"/>
        <s v="21:27(-07)"/>
        <s v="17:36(-07)"/>
        <s v="06:55(PST)"/>
        <s v="18:36(-07)"/>
        <s v="20:32(-07)"/>
        <s v="21:05(-07)"/>
        <s v="21:11(-07)"/>
        <s v="21:22(-07)"/>
        <s v="22:57(PST)"/>
        <s v="11:15(-07)"/>
        <s v="07:33(-07)"/>
        <s v="07:47(-07)"/>
        <s v="01:09(PST)"/>
        <s v="07:17(-07)"/>
        <s v="08:16(-07)"/>
        <s v="07:16(-07)"/>
        <s v="08:01(-07)"/>
        <s v="07:04(-07)"/>
        <s v="19:09(-07)"/>
        <s v="06:52(-07)"/>
        <s v="19:02(-07)"/>
        <s v="19:24(-07)"/>
        <s v="01:39(PST)"/>
        <s v="06:47(PST)"/>
        <s v="17:32(-08)"/>
        <s v="20:32(-08)"/>
        <s v="21:03(-08)"/>
        <s v="06:51(PST)"/>
        <s v="18:02(-08)"/>
        <s v="18:08(-08)"/>
        <s v="19:00(-08)"/>
        <s v="19:29(PST)"/>
        <s v="15:45(-08)"/>
        <s v="16:34(-08)"/>
        <s v="16:41(-08)"/>
        <s v="17:26(-08)"/>
        <s v="20:57(-08)"/>
        <s v="21:20(-08)"/>
        <s v="16:13(PST)"/>
        <s v="19:18(-08)"/>
        <s v="19:24(-08)"/>
        <s v="19:55(-08)"/>
        <s v="12:58(PST)"/>
        <s v="17:30(-08)"/>
        <s v="18:16(-08)"/>
        <s v="00:45(PST)"/>
        <s v="05:21(PST)"/>
        <s v="20:24(PST)"/>
        <s v="20:50(PST)"/>
        <s v="17:11(PST)"/>
        <s v="18:59(-08)"/>
        <s v="19:20(-08)"/>
        <s v="14:41(PST)"/>
        <s v="20:03(-07)"/>
        <s v="20:36(-07)"/>
        <s v="15:54(PST)"/>
        <s v="20:58(PST)"/>
        <s v="21:35(PST)"/>
        <s v="18:11(-07)"/>
        <s v="19:04(-07)"/>
        <s v="20:55(-07)"/>
        <s v="04:44(PST)"/>
        <s v="05:17(PST)"/>
        <s v="18:56(-07)"/>
        <s v="14:09(PST)"/>
        <s v="13:15(PST)"/>
        <s v="13:35(PST)"/>
        <s v="18:23(-07)"/>
        <s v="15:29(-07)"/>
        <s v="15:14(PST)"/>
        <s v="15:34(PST)"/>
        <s v="02:57(PST)"/>
        <s v="10:23(PST)"/>
        <s v="03:02(PST)"/>
        <s v="10:52(PST)"/>
        <s v="13:46(PST)"/>
        <s v="14:28(-07)"/>
        <s v="12:25(PST)"/>
        <s v="06:16(-07)"/>
        <s v="02:16(PST)"/>
        <s v="16:13(-07)"/>
        <s v="13:33(PST)"/>
        <s v="16:43(PST)"/>
        <s v="21:40(GMT)"/>
        <s v="09:54(EST)"/>
        <s v="10:25(EST)"/>
        <s v="22:42(EST)"/>
        <s v="13:39(PST)"/>
        <s v="14:12(PST)"/>
        <s v="15:25(PST)"/>
        <s v="15:46(PST)"/>
        <s v="17:11(-08)"/>
        <s v="00:26(PST)"/>
        <s v="11:40(PST)"/>
        <s v="15:26(-08)"/>
        <s v="08:10(EST)"/>
        <s v="23:37(EST)"/>
        <s v="09:32(EST)"/>
        <s v="22:14(EST)"/>
        <s v="16:05(-08)"/>
        <s v="17:04(-08)"/>
        <s v="12:49(PST)"/>
        <s v="16:54(-08)"/>
        <s v="03:25(PST)"/>
        <s v="19:48(-08)"/>
        <s v="08:17(PST)"/>
        <s v="13:40(PST)"/>
        <s v="16:00(-08)"/>
        <s v="01:18(PST)"/>
        <s v="12:41(-08)"/>
        <s v="13:47(PST)"/>
        <s v="08:18(-05)"/>
        <s v="09:04(-05)"/>
        <s v="09:39(EST)"/>
        <s v="09:50(EST)"/>
        <s v="23:21(EST)"/>
        <s v="09:29(-05)"/>
        <s v="10:16(-05)"/>
        <s v="10:31(-05)"/>
        <s v="10:53(-05)"/>
        <s v="22:56(EST)"/>
        <s v="13:04(-08)"/>
        <s v="13:47(-08)"/>
        <s v="14:57(-08)"/>
        <s v="15:06(-08)"/>
        <s v="16:36(PST)"/>
        <s v="10:42(PST)"/>
        <s v="13:15(-08)"/>
        <s v="12:41(-04)"/>
        <s v="13:13(-04)"/>
        <s v="13:24(-04)"/>
        <s v="13:33(-04)"/>
        <s v="14:07(-04)"/>
        <s v="23:08(EST)"/>
        <s v="14:37(-07)"/>
        <s v="14:50(-07)"/>
        <s v="15:42(-07)"/>
        <s v="09:57(PST)"/>
        <s v="15:30(-07)"/>
        <s v="14:13(PST)"/>
        <s v="15:16(-07)"/>
        <s v="06:52(PST)"/>
        <s v="17:36(PST)"/>
        <s v="18:16(PST)"/>
        <s v="06:22(PST)"/>
        <s v="13:21(PST)"/>
        <s v="06:31(PST)"/>
        <s v="16:37(PST)"/>
        <s v="16:42(-07)"/>
        <s v="11:38(PST)"/>
        <s v="11:45(-07)"/>
        <s v="11:56(-07)"/>
        <s v="12:04(-07)"/>
        <s v="07:24(PST)"/>
        <s v="04:59(EST)"/>
        <s v="05:33(EST)"/>
        <s v="05:49(EST)"/>
        <s v="09:33(PST)"/>
        <s v="13:29(-07)"/>
        <s v="02:54(PST)"/>
        <s v="20:52(PST)"/>
        <s v="14:04(-07)"/>
        <s v="14:44(-07)"/>
        <s v="10:39(PST)"/>
        <s v="22:54(EST)"/>
        <s v="15:28(-08)"/>
        <s v="15:40(-08)"/>
        <s v="15:31(-08)"/>
        <s v="16:24(-08)"/>
        <s v="14:38(-08)"/>
        <s v="14:51(-08)"/>
        <s v="15:37(-08)"/>
        <s v="15:05(-08)"/>
        <s v="17:53(-08)"/>
        <s v="15:51(-08)"/>
        <s v="17:23(-08)"/>
        <s v="13:44(PST)"/>
        <s v="14:46(PST)"/>
        <s v="15:59(PST)"/>
        <s v="11:20(PST)"/>
        <s v="19:14(PST)"/>
        <s v="20:03(PST)"/>
        <s v="11:12(PST)"/>
        <s v="06:32(PST)"/>
        <s v="06:44(PST)"/>
        <s v="20:05(PST)"/>
        <s v="19:41(PST)"/>
        <s v="18:15(PST)"/>
        <s v="18:23(PST)"/>
        <s v="18:40(PST)"/>
        <s v="20:37(PST)"/>
        <s v="06:42(PST)"/>
        <s v="07:00(-08)"/>
        <s v="07:47(-08)"/>
        <s v="07:01(-08)"/>
        <s v="07:59(-08)"/>
        <s v="06:04(PST)"/>
        <s v="19:07(-08)"/>
        <s v="20:09(-08)"/>
        <s v="20:16(-08)"/>
        <s v="19:04(-08)"/>
        <s v="19:49(-08)"/>
        <s v="19:57(-08)"/>
        <s v="07:06(-08)"/>
        <s v="08:04(-08)"/>
        <s v="07:31(-07)"/>
        <s v="20:51(-07)"/>
        <s v="21:03(-07)"/>
        <s v="21:18(-07)"/>
        <s v="06:53(-07)"/>
        <s v="20:29(-07)"/>
        <s v="06:55(-07)"/>
        <s v="07:44(-07)"/>
        <s v="07:07(-07)"/>
        <s v="08:10(-07)"/>
        <s v="18:35(-07)"/>
        <s v="16:35(PST)"/>
        <s v="07:52(-07)"/>
        <s v="13:18(PST)"/>
        <s v="23:47(PST)"/>
        <s v="06:45(-07)"/>
        <s v="07:45(-07)"/>
        <s v="08:04(-07)"/>
        <s v="07:27(-07)"/>
        <s v="18:58(-07)"/>
        <s v="19:47(-07)"/>
        <s v="16:43(-08)"/>
        <s v="17:03(-08)"/>
        <s v="17:25(-08)"/>
        <s v="15:02(PST)"/>
        <s v="16:48(-08)"/>
        <s v="19:05(-08)"/>
        <s v="17:43(-08)"/>
        <s v="17:55(-08)"/>
        <s v="19:58(PST)"/>
        <s v="06:00(-08)"/>
        <s v="06:46(-08)"/>
        <s v="06:57(-08)"/>
        <s v="02:39(PST)"/>
        <s v="03:14(PST)"/>
        <s v="12:41(PST)"/>
        <s v="17:31(-08)"/>
        <s v="16:13(-08)"/>
        <s v="12:01(PST)"/>
        <s v="17:10(-08)"/>
        <s v="17:15(-08)"/>
        <s v="17:41(-08)"/>
        <s v="12:30(PST)"/>
        <s v="16:20(-08)"/>
        <s v="17:20(PST)"/>
        <s v="14:50(PST)"/>
        <s v="18:22(-08)"/>
        <s v="18:34(-08)"/>
        <s v="18:50(-08)"/>
        <s v="19:15(-08)"/>
        <s v="18:38(-07)"/>
        <s v="15:33(PST)"/>
        <s v="18:32(-07)"/>
        <s v="18:39(-07)"/>
        <s v="19:37(-07)"/>
        <s v="12:52(PST)"/>
        <s v="17:12(-07)"/>
        <s v="11:13(PST)"/>
        <s v="02:49(PST)"/>
        <s v="08:28(-07)"/>
        <s v="08:35(-07)"/>
        <s v="09:20(-07)"/>
        <s v="09:28(-07)"/>
        <s v="18:02(PST)"/>
        <s v="13:41(PST)"/>
        <s v="18:50(-07)"/>
        <s v="09:25(PST)"/>
        <s v="11:26(-07)"/>
        <s v="11:44(-07)"/>
        <s v="11:10(-07)"/>
        <s v="12:16(-07)"/>
        <s v="12:27(-07)"/>
        <s v="13:16(PST)"/>
        <s v="13:26(PST)"/>
        <s v="18:00(-07)"/>
        <s v="15:22(-07)"/>
        <s v="11:57(PST)"/>
        <s v="02:58(PST)"/>
        <s v="05:18(-07)"/>
        <s v="18:33(-07)"/>
        <s v="22:25(GMT)"/>
        <s v="09:10(-05)"/>
        <s v="09:20(-05)"/>
        <s v="08:49(-05)"/>
        <s v="09:21(-05)"/>
        <s v="09:31(-05)"/>
        <s v="09:38(-05)"/>
        <s v="09:52(EST)"/>
        <s v="10:14(EST)"/>
        <s v="14:33(-08)"/>
        <s v="16:10(PST)"/>
        <s v="16:30(PST)"/>
        <s v="11:44(PST)"/>
        <s v="04:53(EST)"/>
        <s v="09:18(-05)"/>
        <s v="10:28(EST)"/>
        <s v="10:40(EST)"/>
        <s v="17:45(EST)"/>
        <s v="23:58(EST)"/>
        <s v="08:54(-05)"/>
        <s v="09:39(-05)"/>
        <s v="10:09(EST)"/>
        <s v="13:37(-08)"/>
        <s v="14:23(-08)"/>
        <s v="14:44(-08)"/>
        <s v="15:44(-08)"/>
        <s v="08:47(EST)"/>
        <s v="23:39(EST)"/>
        <s v="01:55(EST)"/>
        <s v="10:07(-05)"/>
        <s v="10:38(-05)"/>
        <s v="10:47(-05)"/>
        <s v="22:59(EST)"/>
        <s v="08:19(PST)"/>
        <s v="11:39(PST)"/>
        <s v="14:53(-08)"/>
        <s v="15:52(-08)"/>
        <s v="16:39(-08)"/>
        <s v="13:07(PST)"/>
        <s v="06:56(EST)"/>
        <s v="02:59(PST)"/>
        <s v="14:20(PST)"/>
        <s v="06:45(PST)"/>
        <s v="09:08(PST)"/>
        <s v="10:04(PST)"/>
        <s v="10:14(PST)"/>
        <s v="14:31(PST)"/>
        <s v="06:30(PST)"/>
        <s v="15:10(-07)"/>
        <s v="15:27(-07)"/>
        <s v="06:29(PST)"/>
        <s v="10:29(PST)"/>
        <s v="15:41(-07)"/>
        <s v="14:43(-07)"/>
        <s v="15:46(-07)"/>
        <s v="15:07(-07)"/>
        <s v="21:56(EST)"/>
        <s v="16:10(-07)"/>
        <s v="13:53(-07)"/>
        <s v="14:54(-07)"/>
        <s v="15:00(-07)"/>
        <s v="15:11(-07)"/>
        <s v="08:23(-07)"/>
        <s v="08:34(-07)"/>
        <s v="14:17(-07)"/>
        <s v="16:18(PST)"/>
        <s v="19:40(-07)"/>
        <s v="17:01(EST)"/>
        <s v="23:26(EST)"/>
        <s v="14:51(-07)"/>
        <s v="11:24(PST)"/>
        <s v="14:22(-07)"/>
        <s v="10:29(-08)"/>
        <s v="11:03(-08)"/>
        <s v="18:45(PST)"/>
        <s v="15:53(-08)"/>
        <s v="07:41(PST)"/>
        <s v="15:15(-08)"/>
        <s v="17:29(-08)"/>
        <s v="12:11(PST)"/>
        <s v="15:42(-08)"/>
        <m/>
      </sharedItems>
    </cacheField>
    <cacheField name="Weekday" numFmtId="0">
      <sharedItems containsBlank="1" count="8">
        <s v="Friday"/>
        <s v="Monday"/>
        <s v="Saturday"/>
        <s v="Sunday"/>
        <s v="Thursday"/>
        <s v="Tuesday"/>
        <s v="Wednesday"/>
        <m/>
      </sharedItems>
    </cacheField>
    <cacheField name="Live/On-Demand" numFmtId="0">
      <sharedItems containsBlank="1"/>
    </cacheField>
    <cacheField name="Instructor Name" numFmtId="0">
      <sharedItems containsBlank="1" count="69">
        <s v="Ally Love"/>
        <s v="Emma Lovewell"/>
        <s v="Becs Gentry"/>
        <s v="Selena Samuela"/>
        <s v="Ben Alldis"/>
        <s v="Olivia Amato"/>
        <s v="Matt Wilpers"/>
        <s v="Denis Morton"/>
        <s v="Hannah Corbin"/>
        <s v="Christine D'Ercole"/>
        <s v="Sam Yo"/>
        <s v="Jess Sims"/>
        <s v="Tunde Oyeneyin"/>
        <s v="Anna Greenberg"/>
        <s v="Denis &amp; Matt "/>
        <s v="Jess King"/>
        <s v="Aditi Shah"/>
        <s v="Cody Rigsby"/>
        <s v="Hannah Frankson"/>
        <s v="Ross Rayburn"/>
        <s v="Robin Arzon"/>
        <s v="Matty Maggiacomo"/>
        <s v="Leanne Hainsby"/>
        <s v="Kristin McGee"/>
        <s v="Callie Gullickson"/>
        <s v="Chelsea Jackson Roberts"/>
        <s v="Andy Speer"/>
        <s v="Rad Lopez"/>
        <s v="Kirra Michel"/>
        <s v="Bradley Rose"/>
        <s v="Nico Sarani"/>
        <s v="Rebecca Kennedy"/>
        <s v="Mariana Fernandez"/>
        <s v="Daniel McKenna"/>
        <m/>
        <s v="Logan Aldridge"/>
        <s v="Camila Ramon"/>
        <s v="Adrian Williams"/>
        <s v="Alex Karwoski"/>
        <s v="Alex Toussaint"/>
        <s v="Kirsten Ferguson"/>
        <s v="Rebecca &amp; Tunde "/>
        <s v="Kendall Toole"/>
        <s v="Joslyn Thompson Rule"/>
        <s v="Marcel Dinkins"/>
        <s v="Jenn Sherman"/>
        <s v="Katie Wang"/>
        <s v="Christian Vande Velde"/>
        <s v="Adrian &amp; Ben "/>
        <s v="Ash Pryor"/>
        <s v="Jermaine Johnson"/>
        <s v="Alex &amp; Tunde  "/>
        <s v="Susie Chan"/>
        <s v="Chase Tucker"/>
        <s v="Jon Hosking"/>
        <s v="Aditi &amp; Anna "/>
        <s v="Kirsten &amp; Tunde "/>
        <s v="Adrian &amp; Tunde "/>
        <s v="Olivia &amp; Tunde "/>
        <s v="Matt &amp; Tunde "/>
        <s v="Becs &amp; Tunde "/>
        <s v="Marcel &amp; Tunde "/>
        <s v="Selena &amp; Tunde "/>
        <s v="Cliff Dwenger"/>
        <s v="Colleen Saidman Yee"/>
        <s v="Benny Adami"/>
        <s v="Matty &amp; Tunde "/>
        <s v="Jess &amp; Tunde "/>
        <s v="Erik Jager"/>
      </sharedItems>
    </cacheField>
    <cacheField name="Length (minutes)" numFmtId="0">
      <sharedItems containsBlank="1" containsMixedTypes="1" containsNumber="1" containsInteger="1" minValue="1" maxValue="101" count="36">
        <n v="45"/>
        <n v="10"/>
        <n v="30"/>
        <n v="5"/>
        <n v="60"/>
        <n v="20"/>
        <n v="75"/>
        <n v="15"/>
        <n v="90"/>
        <n v="39"/>
        <n v="43"/>
        <n v="41"/>
        <n v="42"/>
        <n v="4"/>
        <n v="40"/>
        <n v="44"/>
        <s v="None"/>
        <n v="80"/>
        <n v="33"/>
        <n v="11"/>
        <n v="12"/>
        <n v="3"/>
        <n v="38"/>
        <n v="31"/>
        <n v="36"/>
        <n v="37"/>
        <n v="48"/>
        <n v="34"/>
        <n v="101"/>
        <n v="52"/>
        <n v="46"/>
        <n v="9"/>
        <n v="1"/>
        <n v="8"/>
        <n v="99"/>
        <m/>
      </sharedItems>
    </cacheField>
    <cacheField name="Fitness Discipline" numFmtId="0">
      <sharedItems containsBlank="1" count="13">
        <s v="Cycling"/>
        <s v="Strength"/>
        <s v="Stretching"/>
        <s v="Bike Bootcamp"/>
        <s v="Yoga"/>
        <s v="Meditation"/>
        <s v="Walking"/>
        <s v="Rowing"/>
        <s v="Running"/>
        <s v="Row Bootcamp"/>
        <s v="Cardio"/>
        <s v="Tread Bootcamp"/>
        <m/>
      </sharedItems>
    </cacheField>
    <cacheField name="Type" numFmtId="0">
      <sharedItems containsBlank="1"/>
    </cacheField>
    <cacheField name="Title" numFmtId="0">
      <sharedItems containsBlank="1" count="790">
        <s v="45 min Intervals &amp; Arms Ride"/>
        <s v="10 min Core Strength"/>
        <s v="10 min Pre-Run Warm Up"/>
        <s v="10 min Lower Body Stretch"/>
        <s v="10 min Full Body Stretch"/>
        <s v="30 min Power Zone Endurance Ride"/>
        <s v="5 min Core Strength"/>
        <s v="60 min Power Zone Endurance Ride"/>
        <s v="5 min Post-Ride Stretch"/>
        <s v="45 min Power Zone 80s Ride"/>
        <s v="5 min Cool Down Ride"/>
        <s v="45 min Power Zone Rock Ride"/>
        <s v="45 min Bootcamp: Bodyweight"/>
        <s v="45 min Hip Hop Bootcamp"/>
        <s v="45 min Yoga Flow"/>
        <s v="10 min Kindness Meditation"/>
        <s v="60 min Two for One: Power Zone Ride"/>
        <s v="10 min Cool Down Ride"/>
        <s v="10 min Arms Toning"/>
        <s v="20 min Slow Flow"/>
        <s v="75 min Power Zone Endurance Ride"/>
        <s v="Flash 15"/>
        <s v="5 min Warm Up Ride"/>
        <s v="60 min Power Zone Ride"/>
        <s v="60 min Yoga Flow"/>
        <s v="90 min Power Zone Endurance Ride"/>
        <s v="30 min WHM: Women of Pop Yoga Flow"/>
        <s v="45 min Power Zone Endurance Ride"/>
        <s v="10 min Arms &amp; Light Weights"/>
        <s v="20 min Sleep Meditation"/>
        <s v="20 min Yoga Flow"/>
        <s v="30 min Sleep Meditation"/>
        <s v="20 min Courage Meditation"/>
        <s v="45 min Slow Flow"/>
        <s v="10 min Relaxing Meditation"/>
        <s v="20 min Calming Meditation"/>
        <s v="20 min 90s Fun Walk"/>
        <s v="30 min WHM: Power Zone Endurance Ride"/>
        <s v="20 min Body Scan Meditation"/>
        <s v="10 min Sleep Meditation"/>
        <s v="20 min Focus Flow: Hips"/>
        <s v="30 min Yoga Flow"/>
        <s v="15 min Body Scan Meditation"/>
        <s v="10 min AFO Cool Down Ride: Jessie Ware"/>
        <s v="10 min Acceptance Meditation"/>
        <s v="10 min AFO Full Body: Thomas Rhett"/>
        <s v="10 min Peace Meditation"/>
        <s v="60 min Pop Bootcamp"/>
        <s v="10 min Chair Yoga"/>
        <s v="10 min Breathwork"/>
        <s v="30 min Slow Flow"/>
        <s v="10 min Body Scan Meditation"/>
        <s v="20 min Classical Slow Flow"/>
        <s v="20 min Kindness Meditation"/>
        <s v="5 min Patience Meditation"/>
        <s v="15 min Breathwork: Directed Breath"/>
        <s v="30 min Reset"/>
        <s v="Zen in Ten"/>
        <s v="5 min Sleep Meditation"/>
        <s v="20 min Latin Pop Core Strength"/>
        <s v="10 min Courage Meditation"/>
        <s v="20 min Focus Flow: Hamstrings"/>
        <s v="20 min Breathing Meditation"/>
        <s v="30 min Flow &amp; Let Go"/>
        <s v="20 min Peace Meditation"/>
        <s v="15 min Sleep Meditation"/>
        <s v="10 min Mid-Night Meditation"/>
        <s v="20 min Low Impact Ride"/>
        <s v="10 min Flow &amp; Let Go Meditation"/>
        <s v="30 min Morning Yoga Flow"/>
        <s v="5 min Post-Ride Stretch: Imagine Dragons"/>
        <s v="10 min Calming Meditation"/>
        <s v="30 min Foo Fighters Yoga Flow"/>
        <s v="30 min Country Walk"/>
        <s v="30 min Power Yoga"/>
        <s v="10 min Elton John Warm Up Ride"/>
        <s v="30 min Low Impact Ride"/>
        <s v="15 min Stacking Stuffer: Calm"/>
        <s v="20 min LHM Salsa Focus Flow: Hips"/>
        <s v="10 min Foam Rolling"/>
        <s v="30 min Beyond the Pose: Devotion"/>
        <s v="10 min Deep Relaxation Meditation"/>
        <s v="30 min Bootcamp: Upper Body"/>
        <s v="5 min Morning Meditation"/>
        <s v="20 min Relaxing Meditation"/>
        <s v="45 min Power Zone Ride"/>
        <s v="30 min Focus Flow: Hips"/>
        <s v="15 min FTP Warm Up Ride"/>
        <s v="20 min FTP Test Ride"/>
        <s v="5 min Calming Meditation"/>
        <s v="30 min Focus Flow: Hamstrings"/>
        <s v="30 min Deep House Yoga Flow"/>
        <s v="10 min Morning Meditation"/>
        <s v="45 min Walk + Run"/>
        <s v="15 min Relaxing Meditation"/>
        <s v="10 min David Bowie Cool Down Ride"/>
        <s v="20 min Pop Barre"/>
        <s v="30 min Power Zone Endurance EDM Ride"/>
        <s v="10 min Hip Hop Barre"/>
        <s v="45 min Hike"/>
        <s v="10 min Earth Day Meditation"/>
        <s v="10 min Red Hot Chili Peppers Core"/>
        <s v="45 min Power Zone Endurance 90s Ride"/>
        <s v="5 min Level Up Meditation"/>
        <s v="20 min Y2K Fun Walk"/>
        <s v="20 min Focus Flow: Fire Log"/>
        <s v="15 min Calming Meditation"/>
        <s v="10 min World Meditation Day Meditation"/>
        <s v="10 min Strength Roll Call: Core"/>
        <s v="10 min Empathy Meditation"/>
        <s v="20 min Power Walk"/>
        <s v="10 min Just Walk: Outdoor"/>
        <s v="20 min Deep Relaxation Meditation"/>
        <s v="30 min Morning Power Flow"/>
        <s v="30 min Morning Slow Flow"/>
        <s v="20 min Core Strength"/>
        <s v="5 min Upper Body Warm Up"/>
        <s v="10 min Arms &amp; Shoulders Strength"/>
        <s v="10 min Focus Flow: Hips"/>
        <s v="15 min Arms &amp; Shoulders Strength"/>
        <s v="10 min EDM Core Strength"/>
        <s v="30 min Power Slow Flow"/>
        <s v="5 min AFO Stretch: Carrie Underwood"/>
        <s v="15 min Core Strength: The Remixes"/>
        <s v="30 min Evening Yoga Flow"/>
        <s v="30 min Full Body Strength"/>
        <s v="15 min Core Strength"/>
        <s v="5 min Kindness Meditation"/>
        <s v="10 min Happiness Meditation"/>
        <s v="5 min Just Ride"/>
        <s v="45 min Power Zone Endurance 80s Rock"/>
        <s v="30 min Power Zone Endurance Hip Hop Ride"/>
        <s v="10 min Standing Core Strength"/>
        <s v="10 min Focus Flow: Hamstrings"/>
        <s v="30 min Cultivate Courage"/>
        <s v="5 min AFO Post-Ride Stretch: The 1975"/>
        <s v="30 min Top 50 Music Yoga Flow: #20-11"/>
        <s v="45 min Power Zone Endurance Classic Rock"/>
        <s v="45 min Power Walk"/>
        <s v="30 min Daft Punk Row"/>
        <s v="5 min Courage Meditation"/>
        <s v="20 min Upper Body Strength"/>
        <s v="15 min Taroko Gorge Ride"/>
        <s v="15 min Focus Flow: Hamstrings"/>
        <s v="39 min 51 sec Just Walk: Outdoor"/>
        <s v="30 min Classic Rock Yoga Flow"/>
        <s v="5 min Body Scan Meditation"/>
        <s v="10 min Patience Meditation"/>
        <s v="45 min Power Zone Endurance 80s Ride"/>
        <s v="Extra 10: Low Impact Ride"/>
        <s v="30 min 90s Yoga Flow"/>
        <s v="10 min Meditation for Healing"/>
        <s v="30 min Endurance Row"/>
        <s v="30 min Upper Body Strength"/>
        <s v="10 min Breathing Meditation"/>
        <s v="43 min 7 sec Just Walk: Outdoor"/>
        <s v="30 min Rock Yoga Flow"/>
        <s v="10 min Mental Health Meditation"/>
        <s v="41 min 28 sec Just Walk: Outdoor"/>
        <s v="42 min 50 sec Just Walk: Outdoor"/>
        <s v="10 min Christina Aguilera Cool Down Ride"/>
        <s v="5 min Intro to Density Training"/>
        <s v="45 min Power Zone Endurance"/>
        <s v="15 min Morning Meditation"/>
        <s v="10 min Rest Day Meditation"/>
        <s v="20 min Endurance Row"/>
        <s v="5 min Energizing Meditation"/>
        <s v="30 min Hip Hop Ride"/>
        <s v="45 min Soul Music Ride"/>
        <s v="45 min Feel Good Ride"/>
        <s v="30 min Pop Ride"/>
        <s v="45 min Hip Hop Ride"/>
        <s v="30 min Intervals &amp; Arms Ride"/>
        <s v="30 min Yoga Flow: Hips"/>
        <s v="10 min Yoga Flow: Hips"/>
        <s v="5 min Lower Body Strength Warm Up"/>
        <s v="15 min Redwood State Park Scenic Ride"/>
        <s v="30 min 90s Rock Ride"/>
        <s v="10 min Yoga Flow"/>
        <s v="20 min 90s Rock Ride"/>
        <s v="15 min Intro to Pilates"/>
        <s v="45 min Bootcamp: Full Body"/>
        <s v="30 min Power Zone Ride: Veterans Day"/>
        <s v="20 min Yoga Flow: Quads"/>
        <s v="30 min Power Zone Endurance Pop Ride"/>
        <s v="10 min Climb Ride"/>
        <s v="10 min Bodyweight Strength"/>
        <s v="30 min Focus Flow: Lower Body"/>
        <s v="5 min Hips Stretch"/>
        <s v="30 min BHM: Power Zone Endurance Ride"/>
        <s v="10 min Bob Marley Core Strength"/>
        <s v="45 min Focus Flow: Hamstrings"/>
        <s v="10 min Low Impact Ride"/>
        <s v="30 min Focus Flow: Forward Folds"/>
        <s v="20 min Yoga Flow: Hips"/>
        <s v="45 min Power Zone Max Ride"/>
        <s v="30 min Power Zone Endurance 90s Ride"/>
        <s v="20 min Bodyweight Strength"/>
        <s v="20 min Pride Reset Yoga Flow"/>
        <s v="15 min Deep Relaxation Meditation"/>
        <s v="20 min BHM: Icons Meditation"/>
        <s v="10 min Standing Yoga"/>
        <s v="5 min Empathy Meditation"/>
        <s v="20 min Acceptance Meditation"/>
        <s v="15 min Empathy Meditation"/>
        <s v="5 min Mid-Night Meditation"/>
        <s v="30 min Ed Sheeran Yoga Flow"/>
        <s v="15 min Happiness Meditation"/>
        <s v="10 min World Mental Health Meditation"/>
        <s v="30 min Focus Flow: Chest Openers"/>
        <s v="10 min Gratitude Meditation"/>
        <s v="15 min Chest &amp; Back Strength"/>
        <s v="20 min Focus Flow: Skandasana"/>
        <s v="5 min Full Body Stretch"/>
        <s v="10 min Foam Rolling: Glutes"/>
        <s v="15 min Stacking Stuffer: Peace"/>
        <s v="15 min Stacking Stuffer: Hips Flow"/>
        <s v="10 min Beyonce Warm Up Ride"/>
        <s v="10 min Stretch"/>
        <s v="15 min Meditation for Healing"/>
        <s v="30 min Classical Slow Flow"/>
        <s v="5 min Relaxing Meditation"/>
        <s v="45 min Power Zone Endurance Rock Ride"/>
        <s v="30 min Power Walk"/>
        <s v="30 min Alternative Yoga Flow"/>
        <s v="20 min Focus Flow: Healthy Back"/>
        <s v="30 min BHM Black Power Walk"/>
        <s v="30 min Amy Winehouse Yoga Flow"/>
        <s v="20 min Glutes &amp; Legs Strength"/>
        <s v="10 min Mood Core Strength: Sweet"/>
        <s v="10 min Focus Flow: Easy Seat"/>
        <s v="10 min Donna Summer Cool Down Ride"/>
        <s v="15 min Focus Flow: Quads"/>
        <s v="5 min Peace Meditation"/>
        <s v="45 min Rock Slow Flow"/>
        <s v="30 min Fitness Flipped: Competition"/>
        <s v="30 min 70s Rock Yoga Flow"/>
        <s v="30 min Walk + Run"/>
        <s v="30 min Hike"/>
        <s v="10 min Hip Stretch"/>
        <s v="15 min Foam Rolling: Hips"/>
        <s v="20 min R&amp;B Walk"/>
        <s v="10 min Pop Core Strength"/>
        <s v="30 min Pride Yoga Flow"/>
        <s v="15 min 48 sec Just Walk: Outdoor"/>
        <s v="10 min Jubilee Celebration Core Strength"/>
        <s v="30 min R&amp;B Yoga Flow"/>
        <s v="20 min Arms &amp; Shoulders Strength"/>
        <s v="10 min Upper Body Stretch"/>
        <s v="15 min Low Impact Ride"/>
        <s v="15 min Patience Meditation"/>
        <s v="45 min Power Zone Pop Ride"/>
        <s v="10 min Breathe In, Speak Up Meditation"/>
        <s v="30 min Focus Flow: Healthy Back"/>
        <s v="15 min Strength Roll Call: Core"/>
        <s v="45 min Power Slow Flow"/>
        <s v="30 min AFO Yoga Flow: The Beach Boys"/>
        <s v="10 min AFO Cool Down Ride: John Mayer"/>
        <s v="20 min House Walk"/>
        <s v="10 min Cool Down Run"/>
        <s v="45 min Power Zone Hip Hop Ride"/>
        <s v="10 min AFO Cool Down: Alanis Morissette"/>
        <s v="30 min 2000s Yoga Flow"/>
        <s v="10 min Post-Ride Stretch"/>
        <s v="5 min Breathing Meditation"/>
        <s v="45 min Power Flow"/>
        <s v="10 min Warm Up Walk"/>
        <s v="20 min EDM Walk"/>
        <s v="30 min Chest, Shoulders &amp; Triceps"/>
        <s v="10 min Cool Down Walk"/>
        <s v="Extra 10: Low Impact"/>
        <s v="45 min Bootcamp: Upper Body"/>
        <s v="20 min Daft Punk Core Strength"/>
        <s v="15 min House Walk"/>
        <s v="30 min Power Zone Endurance 80s Ride"/>
        <s v="30 min Mariah Carey Full Body Strength"/>
        <s v="30 min Motown Walk"/>
        <s v="4 min 51 sec Just Walk: Outdoor"/>
        <s v="39 min 50 sec Just Walk: Outdoor"/>
        <s v="30 min Focus Flow: Shoulders"/>
        <s v="30 min Balanced Yoga Flow"/>
        <s v="10 min Focus Flow: For Riders"/>
        <s v="30 min Indie Rock Yoga Flow"/>
        <s v="45 min Pro Cyclist Ride"/>
        <s v="40 min 28 sec Just Walk: Outdoor"/>
        <s v="20 min Chest &amp; Back Strength"/>
        <s v="15 min Gratitude Meditation"/>
        <s v="44 min 44 sec Just Walk: Outdoor"/>
        <s v="20 min Focus Flow: For Riders"/>
        <s v="30 min Arms &amp; Shoulders Strength"/>
        <s v="10 min Grief Meditation"/>
        <s v="45 min 21 sec Just Walk: Outdoor"/>
        <s v="30 min Hip Hop Upper Body Strength"/>
        <s v="15 min Courage Meditation"/>
        <s v="10 min Witness Meditation"/>
        <s v="30 min 2010s Yoga Flow"/>
        <s v="39 min 55 sec Just Walk: Outdoor"/>
        <s v="30 min Bruce Springsteen Yoga Flow"/>
        <s v="10 min Madonna Arms &amp; Light Weights"/>
        <s v="42 min 51 sec Just Walk: Outdoor"/>
        <s v="10 min Live from LA Two for One Strength"/>
        <s v="Extra 5: Endurance Row"/>
        <s v="5 min Cool Down Row"/>
        <s v="30 min Indie Yoga Flow"/>
        <s v="10 min Basics: Mantra"/>
        <s v="30 min Hip Hop 50 Yoga Flow"/>
        <s v="10 min LP Giobbi Full Body Stretch"/>
        <s v="10 min Hozier Meditation"/>
        <s v="15 min Restorative"/>
        <s v="10 min AFO Cool Down Walk: John Mayer"/>
        <s v="10 min Body Appreciation Meditation"/>
        <s v="30 min Ludacris Yoga Flow"/>
        <s v="44 min 53 sec Just Walk: Outdoor"/>
        <s v="10 min Chest &amp; Back Strength"/>
        <s v="10 min Hip Hop Core Strength"/>
        <s v="30 min Grounded Yoga Flow"/>
        <s v="30 min 1989 (Taylor's Version) Yoga Flow"/>
        <s v="10 min Lower Body Strength Warm Up"/>
        <s v="30 min Power &amp; Performance"/>
        <s v="5 min Body Appreciation Post-Row Stretch"/>
        <s v="10 min Seasonal Meditation"/>
        <s v="10 min New Year's Day Meditation"/>
        <s v="15 min Move for You: Core"/>
        <s v="10 min Martin Luther King Jr. Meditation"/>
        <s v="5 min Pre-Run Warm Up"/>
        <s v="30 min Classic Rock Ride"/>
        <s v="60 min Groove Ride"/>
        <s v="30 min Beyonce Two for One Ride"/>
        <s v="30 min Sweat Steady Ride"/>
        <s v="30 min Listening Party"/>
        <s v="30 min Metallica Power Yoga"/>
        <s v="20 min Afrobeats Ride"/>
        <s v="10 min Glutes &amp; Legs Strength"/>
        <s v="10 min Pilates"/>
        <s v="60 min EDM Bootcamp"/>
        <s v="10 min Remix Yoga Flow"/>
        <s v="10 min Full Body Strength"/>
        <s v="20 min Yoga Flow: Lower Body"/>
        <s v="20 min Restorative"/>
        <s v="60 min Climb Ride"/>
        <s v="60 min 80s Ride"/>
        <s v="10 min Prince Core Strength"/>
        <s v="20 min Energizing Meditation"/>
        <s v="10 min Low Impact"/>
        <s v="30 min Calming Meditation"/>
        <s v="45 min Full Body Strength"/>
        <s v="5 min Fitness Goals Meditation"/>
        <s v="20 min Gratitude Meditation"/>
        <s v="10 min APIHM Arms &amp; Light Weights"/>
        <s v="15 min Glutes &amp; Legs Strength"/>
        <s v="45 min Focus Flow: Hips"/>
        <s v="5 min AFO Cool Down Ride: Tina Turner"/>
        <s v="10 min Focus Flow: Straddle Forward Fold"/>
        <s v="20 min Focus Flow: Glutes"/>
        <s v="75 min Yoga Flow"/>
        <s v="10 min Savasana Meditation"/>
        <s v="10 min FTP Warm Up Ride"/>
        <s v="15 min Hips Stretch"/>
        <s v="15 min Foam Rolling: Lower Body"/>
        <s v="30 min Reggae Slow Flow"/>
        <s v="20 min Recovery Ride"/>
        <s v="10 min Breathwork: Ocean Breath"/>
        <s v="20 min Happiness Meditation"/>
        <s v="20 min Empathy Meditation"/>
        <s v="5 min Post-Run Stretch"/>
        <s v="10 min Focus Flow: Healthy Back"/>
        <s v="10 min Beyonce Cool Down Ride"/>
        <s v="60 min Power Walk"/>
        <s v="20 min Rock Yoga Flow"/>
        <s v="5 min Hoge Veluwe National Park Ride"/>
        <s v="10 min Glutes &amp; Legs Stretch"/>
        <s v="5 KM Oregon Mount Hood Ride"/>
        <s v="10 min Fitness Goals Meditation"/>
        <s v="5 min Happiness Meditation"/>
        <s v="10 min Metal Barre"/>
        <s v="5 min Peak Performance Meditation"/>
        <s v="5 min Gratitude Meditation"/>
        <s v="10 min Focus Flow: Lizard Pose"/>
        <s v="10 min Yarra River Ride"/>
        <s v="30min AFO Slow Flow Thievery Corporation"/>
        <s v="10 min Foam Rolling: Calves &amp; Glutes"/>
        <s v="10 min Foam Rolling: Quads &amp; Hamstrings"/>
        <s v="30 min Focus Flow: Floor Poses"/>
        <s v="5 min Beartooth Mountain Ride"/>
        <s v="5 min Meditation for Healing"/>
        <s v="80 min 9 sec Just Ride: Outdoor"/>
        <s v="33 min 56 sec Just Ride: Outdoor"/>
        <s v="10 min Form &amp; Drills Row"/>
        <s v="10 min Holiday Meditation"/>
        <s v="10 min Benchmark Test"/>
        <s v="15 min Acceptance Meditation"/>
        <s v="30 min Climb Ride"/>
        <s v="15 min Earth Day Meditation"/>
        <s v="15 min Peace Meditation"/>
        <s v="10 min Yeah Yeah Yeahs Core Strength"/>
        <s v="33 min 41 sec Just Walk: Outdoor"/>
        <s v="10 min Focus Flow: Lower Body"/>
        <s v="11 min 35 sec Just Walk: Outdoor"/>
        <s v="10 min Madonna Core Strength"/>
        <s v="Extra 10: Walk"/>
        <s v="5 min Cool Down Walk"/>
        <s v="15 min Kindness Meditation"/>
        <s v="20 min Density Training: Week 2, Day 2"/>
        <s v="10 min Form &amp; Drills Row: The Catch"/>
        <s v="30 min Chaka Khan Walk"/>
        <s v="12 min 29 sec Just Walk: Outdoor"/>
        <s v="20 min Walking Body Scan Meditation"/>
        <s v="20 min Witness Walking Meditation"/>
        <s v="30 min Yoga Flow: Live from Home"/>
        <s v="30 min Beyonce Yoga Flow"/>
        <s v="10 min Beyonce Meditation"/>
        <s v="30 min 90s Hip Hop Bootcamp"/>
        <s v="30 min Power Zone Classic Rock Ride"/>
        <s v="10 min Intro to Pilates"/>
        <s v="45 min Evening Yoga Flow"/>
        <s v="10 min Elvis Remix Core Strength"/>
        <s v="10 min Yoga Flow: Hamstrings"/>
        <s v="10 min Restorative"/>
        <s v="15 min Megan Thee Stallion Core Strength"/>
        <s v="30 min Relaxing Meditation"/>
        <s v="45 min Low Impact Ride"/>
        <s v="10 min Focus Flow: Figure Four"/>
        <s v="30 min Restorative"/>
        <s v="30 min APIHM Power Zone Endurance Ride"/>
        <s v="30 min Power Zone Ride"/>
        <s v="10 min AFO Full Body: Gorgon City"/>
        <s v="30 min Power Zone Endurance Rock Ride"/>
        <s v="45 min Flow &amp; Let Go"/>
        <s v="15 min Breathwork"/>
        <s v="5 min Acceptance Meditation"/>
        <s v="20 min Patience Meditation"/>
        <s v="10 min Foam Rolling: Chest &amp; Back"/>
        <s v="30 min Focus Flow: Twists"/>
        <s v="30 min Evening Yoga"/>
        <s v="30 min LHM: Power Zone Endurance Ride"/>
        <s v="15 min Focus Flow: Hips"/>
        <s v="10 min Warm Up Ride"/>
        <s v="10 min Foo Fighters Cool Down Ride"/>
        <s v="20 min AC/DC Yoga Flow"/>
        <s v="15 min Cool Down Ride"/>
        <s v="10 min Focus Flow: Quads"/>
        <s v="10 min Foam Rolling: Calves"/>
        <s v="10 min Foam Rolling: Hamstrings"/>
        <s v="30 min Bootcamp: Full Body"/>
        <s v="5 min Lower Body Stretch"/>
        <s v="10 min Foam Rolling: Quads"/>
        <s v="5 min Savasana"/>
        <s v="20 min Hip Hop Barre"/>
        <s v="30 min Fleetwood Mac Yoga Flow"/>
        <s v="30 min Focus Flow: Pigeon Pose"/>
        <s v="20 min Pop Walk"/>
        <s v="20 min 80s Fun Walk"/>
        <s v="45 min Pop Walk"/>
        <s v="30 min AFO Yoga Flow: Alanis Morissette"/>
        <s v="10 min AFO Core Strength: ODESZA"/>
        <s v="30 min Deep Relaxation Meditation"/>
        <s v="10min AFO Full Body Florence+The Machine"/>
        <s v="45 min House Walk"/>
        <s v="3 min 18 sec Just Walk: Outdoor"/>
        <s v="45 min Morning Yoga Flow"/>
        <s v="38 min 54 sec Just Walk: Outdoor"/>
        <s v="40 min 3 sec Just Walk: Outdoor"/>
        <s v="30 min Kenny Chesney Yoga Flow"/>
        <s v="10 min Valentine's Day Meditation"/>
        <s v="10 min Meditation for Anxiety"/>
        <s v="10 min Madonna Cool Down Ride"/>
        <s v="40 min Just Walk: Outdoor"/>
        <s v="15 min Breathwork: Ratio Breath"/>
        <s v="30 min Density Training: Week 1, Day 1"/>
        <s v="5 min Extra 5:  Endurance Row"/>
        <s v="30 min Focus Flow: For Riders"/>
        <s v="45 min ABBA Walk"/>
        <s v="30 min Density Training: Week 2, Day 3"/>
        <s v="10 min Dave Core Strength"/>
        <s v="5 min Lanebreak Ride"/>
        <s v="10 min Janet Jackson Cool Down Ride"/>
        <s v="5 min Post-Row Stretch"/>
        <s v="10 min Mindfulness of Emotions"/>
        <s v="20 min Full Body Stretch"/>
        <s v="10 min Mindfulness of Thought Meditation"/>
        <s v="20 min Beginner Ride"/>
        <s v="45 min 80s Pop Ride"/>
        <s v="20 min Hip Hop Ride"/>
        <s v="30 min Feel Good Ride"/>
        <s v="20 min Caribbean Music Ride"/>
        <s v="30 min Outkast Ride"/>
        <s v="45 min Power Yoga"/>
        <s v="30 min BHM Celebration Full Body"/>
        <s v="20 min Witness Meditation"/>
        <s v="20 min Mood Yoga Flow: Calm"/>
        <s v="20 min Pride Celebration Core Strength"/>
        <s v="20 min Mood Core: Happy"/>
        <s v="5 min Standing Yoga"/>
        <s v="30 min Power Zone Endurance 2000s Ride"/>
        <s v="20 min In the Heights Core Strength"/>
        <s v="10 min MOS Ibiza Chillout Core Strength"/>
        <s v="5 min Savasana Meditation"/>
        <s v="60 min Beyond the Pose: Intention"/>
        <s v="15 min Slow Flow"/>
        <s v="30 min Focus Flow: Core"/>
        <s v="20 min Morning Yoga Flow"/>
        <s v="20 min Beyonce Walk"/>
        <s v="30 min Beyond the Pose: Foundation"/>
        <s v="30 min Core Strength"/>
        <s v="30 min R&amp;B Walk"/>
        <s v="30 min David Bowie Yoga Flow"/>
        <s v="30 min 2010s Walk"/>
        <s v="10 min Lanebreak Ride"/>
        <s v="30 min WHM Two for One Yoga Flow"/>
        <s v="30 min 80s Walk"/>
        <s v="10 min Upper Body Strength"/>
        <s v="20 min Soft Rock Walk"/>
        <s v="20 min 90s Barre"/>
        <s v="30 min Fitness Flipped: Endurance"/>
        <s v="20 min Weezer Upper Body Strength"/>
        <s v="10 min Soul Barre"/>
        <s v="60 min Slow Flow"/>
        <s v="20 min 2000s Ride"/>
        <s v="20 min 90s Pop Fun Walk"/>
        <s v="10 min Barre"/>
        <s v="30 min Folk Slow Flow"/>
        <s v="31 min 12 sec Just Walk: Outdoor"/>
        <s v="30 min Bollywood Slow Flow"/>
        <s v="30 min Norah Jones Slow Flow"/>
        <s v="20 min 80s Walk"/>
        <s v="10 min Pride Meditation"/>
        <s v="30 min Father's Day Yoga Flow"/>
        <s v="5 min Alajuela Ride"/>
        <s v="10 min Focus Flow: Floor Poses"/>
        <s v="10 min Barre: Full Body"/>
        <s v="30 min HIIT Cardio"/>
        <s v="30 min David Guetta Power Flow"/>
        <s v="36 min 19 sec Just Walk: Outdoor"/>
        <s v="10 min Focus Flow: Downward Facing Dog"/>
        <s v="45 min Spotify Surf Rock Sunshine Walk"/>
        <s v="20 min Tropical House Walk"/>
        <s v="30 min Strength Roll Call: Full Body"/>
        <s v="5 min Sedona Ride"/>
        <s v="37 min 48 sec Just Walk: Outdoor"/>
        <s v="30 min Power Zone Endurance Classic Rock"/>
        <s v="20 min LHHM Celebration Arms &amp; Shoulders"/>
        <s v="30 min Evermore Album Yoga Flow"/>
        <s v="30 min Classical Yoga Flow"/>
        <s v="45 min Back, Biceps &amp; Legs"/>
        <s v="30 min Low Impact"/>
        <s v="20 min Motown Walk"/>
        <s v="10 min 48 sec Just Walk: Outdoor"/>
        <s v="30 min Power Zone Endurance Rock"/>
        <s v="30 min Pop Walk"/>
        <s v="5 min London Bridges Ride"/>
        <s v="20 min Advanced Beginner Row"/>
        <s v="10 min Cool Down Row"/>
        <s v="15 min Foam Rolling: Quads &amp; Hamstrings"/>
        <s v="30 min Top 50 Outdoor Power Walk: #40-31"/>
        <s v="48 min 34 sec Just Walk: Outdoor"/>
        <s v="20 min 90s Core"/>
        <s v="34 min 46 sec Just Walk: Outdoor"/>
        <s v="45 min Power Zone Endurance Pop Ride"/>
        <s v="10 min Barre: Lower Body"/>
        <s v="37 min 36 sec Just Walk: Outdoor"/>
        <s v="20 min Recovery Row"/>
        <s v="15 min Witness Meditation"/>
        <s v="45 min Grounded Yoga Flow"/>
        <s v="30 min Evening Slow Flow"/>
        <s v="40 min 13 sec Just Walk: Outdoor"/>
        <s v="5 min Uetliberg Mountain Ride"/>
        <s v="15 min Standing Core Strength"/>
        <s v="101 min 37 sec Just Ride: Outdoor"/>
        <s v="38 min 18 sec Just Walk: Outdoor"/>
        <s v="43 min Just Walk: Outdoor"/>
        <s v="40 min 26 sec Just Walk: Outdoor"/>
        <s v="41 min 40 sec Just Walk: Outdoor"/>
        <s v="37 min 40 sec Just Walk: Outdoor"/>
        <s v="45 min Pop Full Body Strength"/>
        <s v="30 min Pop Yoga Flow"/>
        <s v="20 min Strength Roll Call: Core"/>
        <s v="30 min 2010s Upper Body Strength"/>
        <s v="30 min 80s Yoga Flow"/>
        <s v="10 min Basics: Sleep"/>
        <s v="39 min 44 sec Just Walk: Outdoor"/>
        <s v="10 min Country Pop Barre"/>
        <s v="30 min Balanced Slow Flow"/>
        <s v="30 min Density Training: Week 1, Day 3"/>
        <s v="10 min Duran Duran Cool Down Ride"/>
        <s v="30 min 80s Rock Yoga Flow"/>
        <s v="30 min Trevor Hall Yoga Flow"/>
        <s v="45 min Power Zone Endurance Country Ride"/>
        <s v="20 min Power &amp; Performance Benchmark"/>
        <s v="45 min Endurance Row"/>
        <s v="40 min 22 sec Just Walk: Outdoor"/>
        <s v="10 min Standing Core"/>
        <s v="30 min 80s Pop Ride"/>
        <s v="45 min 90s Ride"/>
        <s v="20 min 70s Rock Ride"/>
        <s v="20 min 90s Hip Hop Ride"/>
        <s v="30 min Halloween Ride"/>
        <s v="20 min Power Zone Beginner Ride"/>
        <s v="45 min Pop Ride"/>
        <s v="45 min Power Zone Classic Rock Ride"/>
        <s v="60 min Bootcamp: Full Body"/>
        <s v="20 min Focus Flow: Chest Openers"/>
        <s v="30 min The Chicks Yoga Flow"/>
        <s v="45 min Interval &amp; Arms Ride"/>
        <s v="10 min APIHM Meditation"/>
        <s v="15 min Upper Body Strength"/>
        <s v="10 min Sam Smith Core Strength"/>
        <s v="30 min Pride: Power Zone Endurance Ride"/>
        <s v="20 min LHM: Spanish Classical Yoga Flow"/>
        <s v="20 min Mental Health Day: Recovery Ride"/>
        <s v="30 min 70s Yoga Flow"/>
        <s v="30 min Pride Celebration Yoga Flow"/>
        <s v="30 min 90s Walk"/>
        <s v="30 min Bootcamp: Core"/>
        <s v="45 min 90s Hip Hop Bootcamp"/>
        <s v="30 min Classical Walk"/>
        <s v="10 min Elton John Cool Down Ride"/>
        <s v="5 min Holiday Warm Up Ride"/>
        <s v="5 min Queen Warm Up Ride"/>
        <s v="10 min Red (Taylor's Version) Stretch"/>
        <s v="10 min Vermont Ride"/>
        <s v="30 min Hip Hop Fun Walk"/>
        <s v="30 min 80s Fun Walk"/>
        <s v="10 min Focus Flow: Pigeon Pose"/>
        <s v="30 min Fitness Flipped: Stress"/>
        <s v="15 min WHM Core Strength: Power Stack"/>
        <s v="30 min R&amp;B Slow Flow"/>
        <s v="30 min Fitness Flipped: Strength"/>
        <s v="30 min Fitness Flipped: Habits"/>
        <s v="30 min Fitness Flipped: Comparison"/>
        <s v="45 min Power Zone Endurance Hip Hop Ride"/>
        <s v="30 min Strength for Runners"/>
        <s v="30 min Fitness Flipped: Body Image"/>
        <s v="30 min Punk Rock Yoga Flow"/>
        <s v="30 min Fitness Flipped: Rest"/>
        <s v="10 min K-Pop Core Strength"/>
        <s v="20 min Earth Day Walk"/>
        <s v="20 min API Heritage Walk"/>
        <s v="15 min Breathing Meditation"/>
        <s v="30 min Red Hot Chili Peppers Yoga Flow"/>
        <s v="30 min Mood Slow Flow: Calm"/>
        <s v="20 min Country Fun Walk"/>
        <s v="15 min Stacking Stuffer: Low Impact Ride"/>
        <s v="20 min Strength for Runners"/>
        <s v="20 min Hip Hop Walk"/>
        <s v="30 min 90s R&amp;B Yoga Flow"/>
        <s v="10 min Barre: Core"/>
        <s v="20 min 80s Barre"/>
        <s v="10 min AFO Arms: Florence + The Machine"/>
        <s v="10 min AFO Meditation: Alanis Morissette"/>
        <s v="10 min AFO Arms: Purple Disco Machine"/>
        <s v="5 min AFO Post-Ride Stretch: Becky Hill"/>
        <s v="30 min Focus Flow: Standing Poses"/>
        <s v="30 min Lizzo Full Body Strength"/>
        <s v="10 min Focus Flow: Forward Folds"/>
        <s v="20 min Seasonal Meditation"/>
        <s v="45 min 80s Walk"/>
        <s v="20 min Country Walk"/>
        <s v="15 min Classical Walk"/>
        <s v="10 min Family Meditation: Holiday"/>
        <s v="20 min Black History Month Walk"/>
        <s v="30 min Focus Flow: Ankle to Knee Pose"/>
        <s v="30 min Top 50 Music Yoga Flow: #10-1"/>
        <s v="30 min Top 50 Outdoor Walk + Run: #30-21"/>
        <s v="3 min 35 sec Just Walk: Outdoor"/>
        <s v="45 min Power Zone Endurance 2000s Ride"/>
        <s v="37 min 22 sec Just Walk: Outdoor"/>
        <s v="10 min Taylor Swift Midnights Arms"/>
        <s v="5 min Witness Meditation"/>
        <s v="41 min 51 sec Just Walk: Outdoor"/>
        <s v="10 min Arms &amp; Lights Weights"/>
        <s v="10 min Focus Flow: Pyramid"/>
        <s v="30 min H.E.R. Slow Flow"/>
        <s v="34 min 36 sec Just Walk: Outdoor"/>
        <s v="10 min Trap Core Strength"/>
        <s v="38 min 25 sec Just Walk: Outdoor"/>
        <s v="52 min 13 sec Just Walk: Outdoor"/>
        <s v="38 min 15 sec Just Walk: Outdoor"/>
        <s v="44 min 13 sec Just Walk: Outdoor"/>
        <s v="15 min Mental Health Meditation"/>
        <s v="39 min Just Walk: Outdoor"/>
        <s v="39 min 22 sec Just Walk: Outdoor"/>
        <s v="20 min Focus Flow: For Runners"/>
        <s v="45 min Rock Bootcamp"/>
        <s v="38 min 12 sec Just Walk: Outdoor"/>
        <s v="30 min Pride Walk"/>
        <s v="46 min 14 sec Just Walk: Outdoor"/>
        <s v="20 min Density Training: Week 1, Day 2"/>
        <s v="20 min Full Body Mobility"/>
        <s v="15 min Breathwork: Cooling Breath"/>
        <s v="30 min Listening Party Yoga Flow"/>
        <s v="15 min Focus Flow: Healthy Back"/>
        <s v="30 min Turkey Burn Yoga Flow"/>
        <s v="10 min Level Up Meditation"/>
        <s v="30 min 2000s Pop Yoga Flow"/>
        <s v="45 min Power Zone Endurance EDM Ride"/>
        <s v="15 min Beyonce Courage Meditation"/>
        <s v="38 min 33 sec Just Walk: Outdoor"/>
        <s v="15 min Stacking Stuffer: Body Scan"/>
        <s v="30 min Hozier Slow Flow"/>
        <s v="30 min HIIT Ride"/>
        <s v="30 min Hip Opener Yoga"/>
        <s v="30 min Elvis Ride"/>
        <s v="15 min Pilates"/>
        <s v="30 min Peloton Top 50 of 2020 (#50 - 41)"/>
        <s v="30 min Hip Hop Yoga Flow"/>
        <s v="15 min WHM: Pop Core Strength"/>
        <s v="20 min 2010s Walk"/>
        <s v="20 min Relaxing: Live from Home"/>
        <s v="20 min Power Yoga"/>
        <s v="15 min APIHM Bhangra Core Strength"/>
        <s v="15 min Yoga Flow"/>
        <s v="10 min Focus Flow: Chest Openers"/>
        <s v="10 min Desk Yoga"/>
        <s v="20 min Year of Yes Meditation"/>
        <s v="20 min Courage: Live from Home"/>
        <s v="20 min Chris Cornell Core Strength"/>
        <s v="5 min Intro to Sleep Meditation"/>
        <s v="30 min Soul Yoga Flow"/>
        <s v="10 min MOS Ibiza Chillout Full Body"/>
        <s v="5 min Rest Day Meditation"/>
        <s v="30 min AFO Yoga Flow: Pearl Jam"/>
        <s v="30 min Beyonce Walk"/>
        <s v="30 min House Walk"/>
        <s v="10 min Queen Cool Down Ride"/>
        <s v="10 min Strength-Focus Warm Up"/>
        <s v="10 min 007 Full Body Stretch"/>
        <s v="30 min Y2K Yoga Flow"/>
        <s v="30 min Pop Fun Walk"/>
        <s v="45 min Fitness Flipped: Self-Expression"/>
        <s v="45 min Fitness Flipped: Community"/>
        <s v="30 min API Heritage Yoga Flow"/>
        <s v="20 min Full Body Strength"/>
        <s v="30 min Rina Sawayama Yoga Flow"/>
        <s v="30 min Spotify Party Cove Walk"/>
        <s v="9 min 21 sec Just Walk: Outdoor"/>
        <s v="10 min Wimbledon Core Strength"/>
        <s v="10 min Warm Up Run"/>
        <s v="10 min Energizing Meditation"/>
        <s v="45 min Beyond the Pose: Foundation"/>
        <s v="10 min AFO Cool Down Ride: RUFUS DU SOL"/>
        <s v="5 min AFO Post-Ride Stretch: Green Day"/>
        <s v="10 min AFO Arms: Alanis Morissette"/>
        <s v="1 min Just Walk: Outdoor"/>
        <s v="10 min Painted Hills Ride"/>
        <s v="30 min Power Flow"/>
        <s v="30 min Our Future Selves: Adam Grant"/>
        <s v="10 min Pride 365: Courage Meditation"/>
        <s v="30 min 90s Full Body Strength"/>
        <s v="30 min Focus Flow: Cow Face Pose"/>
        <s v="5 min Prince Cool Down Ride"/>
        <s v="30 min Legs &amp; Core"/>
        <s v="30 min LOL Cody"/>
        <s v="30 min AFO Yoga Flow: Maroon 5"/>
        <s v="20 min 21 sec Just Walk: Outdoor"/>
        <s v="15 min Soft Rock Walk"/>
        <s v="5 min Holiday Post-Ride Stretch"/>
        <s v="5 min Basics: Fire Log"/>
        <s v="30 min Top 50 Outdoor Walk: #50-41"/>
        <s v="8 min 5 sec Just Walk: Outdoor"/>
        <s v="30 min World Mental Health Day Slow Flow"/>
        <s v="5 min Whitney Houston Cool Down Ride"/>
        <s v="20 min Foam Rolling: Calves &amp; Glutes"/>
        <s v="30 min Top 50 Music Full Body: #10-1"/>
        <s v="39 min 13 sec Just Walk: Outdoor"/>
        <s v="39 min 16 sec Just Walk: Outdoor"/>
        <s v="5 min Intro to Program"/>
        <s v="41 min 36 sec Just Walk: Outdoor"/>
        <s v="5 min 49 sec Just Walk: Outdoor"/>
        <s v="30 min Focus Flow: Skandasana"/>
        <s v="41 min 45 sec Just Walk: Outdoor"/>
        <s v="99 min 38 sec Just Ride: Outdoor"/>
        <s v="36 min 27 sec Just Walk: Outdoor"/>
        <s v="30 min Mental Health Awareness Flow"/>
        <s v="37 min 37 sec Just Walk: Outdoor"/>
        <s v="20 min API Heritage Core Strength"/>
        <s v="40 min 32 sec Just Walk: Outdoor"/>
        <s v="40 min 56 sec Just Walk: Outdoor"/>
        <s v="30 min Yeah Yeah Yeahs Yoga Flow"/>
        <s v="30 min 90s Rock Yoga Flow"/>
        <s v="30 min Grounded Slow Flow"/>
        <s v="30 min Density Training: Week 2, Day 1"/>
        <s v="30 min Density Training: Week 3, Day 1"/>
        <s v="60 min Hiking Bootcamp"/>
        <s v="20 min Strength Roll Call: Upper Body"/>
        <s v="15 min 90s Dance Walk"/>
        <s v="5 min Meditation for Anxiety"/>
        <s v="41 min 23 sec Just Walk: Outdoor"/>
        <s v="20 min Grounded Walking Meditation"/>
        <s v="101 min 18 sec Just Walk: Outdoor"/>
        <m/>
      </sharedItems>
    </cacheField>
    <cacheField name="Class Timestamp" numFmtId="0">
      <sharedItems containsBlank="1" count="3381">
        <s v="2019-05-22 17:19 (PST)"/>
        <s v="2018-10-05 09:56 (PST)"/>
        <s v="2020-10-06 07:00 (PST)"/>
        <s v="2020-09-16 07:00 (PST)"/>
        <s v="2020-10-19 22:30 (PST)"/>
        <s v="2020-01-30 04:30 (PST)"/>
        <s v="2019-03-19 12:38 (PST)"/>
        <s v="2020-02-08 09:35 (PST)"/>
        <s v="2020-09-21 14:00 (PST)"/>
        <s v="2020-11-24 04:24 (PST)"/>
        <s v="2020-11-18 06:00 (PST)"/>
        <s v="2020-11-29 10:20 (PST)"/>
        <s v="2020-11-30 22:45 (PST)"/>
        <s v="2020-11-23 13:50 (PST)"/>
        <s v="2020-12-15 13:54 (PST)"/>
        <s v="2020-12-19 04:53 (PST)"/>
        <s v="2020-12-16 14:54 (PST)"/>
        <s v="2020-12-29 15:45 (PST)"/>
        <s v="2020-01-18 09:52 (PST)"/>
        <s v="2020-11-21 08:45 (PST)"/>
        <s v="2021-01-08 17:08 (PST)"/>
        <s v="2019-04-30 12:03 (PST)"/>
        <s v="2021-01-14 15:27 (PST)"/>
        <s v="2019-12-21 09:35 (-08)"/>
        <s v="2020-09-21 13:00 (-08)"/>
        <s v="2018-01-28 07:19 (-08)"/>
        <s v="2020-12-16 06:00 (-08)"/>
        <s v="2019-02-09 09:34 (PST)"/>
        <s v="2020-11-02 05:30 (PST)"/>
        <s v="2020-06-13 14:00 (PST)"/>
        <s v="2019-06-07 11:57 (PST)"/>
        <s v="2021-01-15 06:20 (PST)"/>
        <s v="2021-02-16 06:00 (PST)"/>
        <s v="2020-02-29 09:34 (PST)"/>
        <s v="2021-02-16 17:06 (PST)"/>
        <s v="2019-03-01 12:08 (PST)"/>
        <s v="2020-10-29 04:30 (-08)"/>
        <s v="2020-12-12 04:53 (-08)"/>
        <s v="2020-11-02 05:30 (-08)"/>
        <s v="2020-12-03 14:50 (PST)"/>
        <s v="2019-04-27 08:35 (-08)"/>
        <s v="2021-03-12 05:50 (PST)"/>
        <s v="2020-08-12 03:52 (-08)"/>
        <s v="2019-05-28 06:00 (PST)"/>
        <s v="2021-03-17 02:50 (-07)"/>
        <s v="2020-11-02 06:30 (-07)"/>
        <s v="2021-03-18 06:00 (-07)"/>
        <s v="2021-03-15 23:10 (-07)"/>
        <s v="2021-03-19 07:00 (PST)"/>
        <s v="2020-08-22 04:49 (-07)"/>
        <s v="2020-06-04 07:00 (-07)"/>
        <s v="2021-03-31 07:00 (PST)"/>
        <s v="2020-01-04 05:30 (PST)"/>
        <s v="2020-02-04 16:18 (PST)"/>
        <s v="2020-11-18 05:26 (PST)"/>
        <s v="2020-10-28 14:56 (PST)"/>
        <s v="2021-03-22 07:00 (PST)"/>
        <s v="2021-02-27 05:53 (-07)"/>
        <s v="2021-04-30 09:00 (PST)"/>
        <s v="2020-05-01 08:00 (PST)"/>
        <s v="2021-03-04 14:53 (-07)"/>
        <s v="2021-04-08 06:00 (-07)"/>
        <s v="2021-05-20 06:04 (-07)"/>
        <s v="2021-05-20 11:02 (-07)"/>
        <s v="2021-04-02 07:00 (PST)"/>
        <s v="2021-06-03 07:00 (PST)"/>
        <s v="2021-02-18 14:53 (PST)"/>
        <s v="2021-06-15 16:30 (PST)"/>
        <s v="2021-06-02 14:53 (PST)"/>
        <s v="2019-11-14 08:05 (PST)"/>
        <s v="2019-09-21 09:34 (-07)"/>
        <s v="2021-05-04 07:00 (PST)"/>
        <s v="2021-06-05 04:24 (-07)"/>
        <s v="2021-07-01 09:00 (-07)"/>
        <s v="2021-05-26 06:00 (-07)"/>
        <s v="2021-06-22 22:00 (-07)"/>
        <s v="2021-06-21 15:37 (PST)"/>
        <s v="2019-10-26 09:34 (-07)"/>
        <s v="2021-06-25 06:24 (-07)"/>
        <s v="2021-07-07 07:00 (-07)"/>
        <s v="2021-07-02 05:00 (-07)"/>
        <s v="2021-03-30 08:00 (PST)"/>
        <s v="2021-06-21 13:49 (-07)"/>
        <s v="2021-06-15 22:45 (-07)"/>
        <s v="2020-11-21 05:52 (-07)"/>
        <s v="2021-04-29 06:00 (-07)"/>
        <s v="2021-07-13 09:41 (-07)"/>
        <s v="2021-03-09 07:00 (PST)"/>
        <s v="2021-07-24 04:54 (-07)"/>
        <s v="2021-07-17 09:03 (-07)"/>
        <s v="2021-07-30 07:00 (PST)"/>
        <s v="2021-08-05 15:41 (PST)"/>
        <s v="2021-07-09 07:00 (PST)"/>
        <s v="2021-07-17 04:53 (-07)"/>
        <s v="2020-11-21 07:00 (PST)"/>
        <s v="2021-07-16 07:00 (PST)"/>
        <s v="2020-09-01 05:26 (PST)"/>
        <s v="2021-08-19 07:00 (PST)"/>
        <s v="2021-08-19 07:59 (PST)"/>
        <s v="2020-03-03 14:48 (PST)"/>
        <s v="2021-04-23 06:00 (-07)"/>
        <s v="2021-05-10 06:00 (-07)"/>
        <s v="2021-09-01 08:07 (PST)"/>
        <s v="2020-10-20 04:51 (PST)"/>
        <s v="2020-02-19 06:05 (PST)"/>
        <s v="2021-09-20 06:00 (-07)"/>
        <s v="2021-09-13 06:00 (-07)"/>
        <s v="2021-09-21 05:21 (-07)"/>
        <s v="2021-09-24 06:00 (-07)"/>
        <s v="2021-09-07 15:37 (PST)"/>
        <s v="2021-09-09 16:00 (PST)"/>
        <s v="2021-08-16 06:00 (-07)"/>
        <s v="2021-09-27 15:39 (PST)"/>
        <s v="2021-10-03 08:23 (PST)"/>
        <s v="2021-10-04 09:28 (PST)"/>
        <s v="2020-11-19 14:52 (PST)"/>
        <s v="2021-10-13 09:26 (PST)"/>
        <s v="2021-03-27 07:52 (PST)"/>
        <s v="2021-04-10 04:24 (-07)"/>
        <s v="2021-10-07 08:00 (-07)"/>
        <s v="2021-10-28 07:00 (PST)"/>
        <s v="2021-08-02 07:00 (PST)"/>
        <s v="2021-10-24 07:50 (PST)"/>
        <s v="2021-10-21 08:00 (-07)"/>
        <s v="2021-06-18 13:54 (-07)"/>
        <s v="2021-11-04 15:38 (PST)"/>
        <s v="2021-10-26 05:19 (PST)"/>
        <s v="2021-03-31 01:52 (-08)"/>
        <s v="2021-11-11 11:01 (-08)"/>
        <s v="2021-07-02 04:00 (-08)"/>
        <s v="2021-09-10 07:00 (PST)"/>
        <s v="2021-09-13 17:05 (PST)"/>
        <s v="2021-11-17 14:52 (PST)"/>
        <s v="2021-11-15 07:00 (PST)"/>
        <s v="2021-11-11 14:52 (PST)"/>
        <s v="2021-06-11 08:00 (PST)"/>
        <s v="2021-11-06 03:54 (-08)"/>
        <s v="2021-08-16 05:00 (-08)"/>
        <s v="2021-12-03 08:00 (-08)"/>
        <s v="2019-05-26 11:19 (-08)"/>
        <s v="2021-12-02 07:09 (PST)"/>
        <s v="2021-07-21 14:53 (PST)"/>
        <s v="2021-10-27 14:45 (-08)"/>
        <s v="2021-11-23 08:00 (-08)"/>
        <s v="2021-11-11 07:00 (PST)"/>
        <s v="2021-12-17 14:38 (PST)"/>
        <s v="2021-12-19 07:52 (PST)"/>
        <s v="2020-12-16 02:52 (-08)"/>
        <s v="2021-12-20 05:30 (PST)"/>
        <s v="2021-10-04 08:51 (PST)"/>
        <s v="2021-10-03 04:49 (PST)"/>
        <s v="2021-08-24 07:00 (PST)"/>
        <s v="2021-11-22 08:50 (PST)"/>
        <s v="2021-12-30 06:01 (-08)"/>
        <s v="2020-02-06 04:49 (-08)"/>
        <s v="2022-01-04 08:00 (-08)"/>
        <s v="2022-01-06 08:00 (-08)"/>
        <s v="2022-01-04 08:00 (PST)"/>
        <s v="2021-11-27 07:54 (PST)"/>
        <s v="2021-12-20 08:51 (-08)"/>
        <s v="2021-12-30 08:00 (-08)"/>
        <s v="2022-01-11 15:37 (PST)"/>
        <s v="2020-07-26 07:50 (PST)"/>
        <s v="2022-01-17 08:00 (-08)"/>
        <s v="2021-02-25 22:35 (-08)"/>
        <s v="2022-01-07 07:00 (-08)"/>
        <s v="2020-07-29 07:00 (PST)"/>
        <s v="2021-12-29 05:12 (PST)"/>
        <s v="2022-01-27 07:00 (PST)"/>
        <s v="2022-01-28 14:27 (PST)"/>
        <s v="2022-02-03 07:00 (PST)"/>
        <s v="2020-08-19 06:49 (PST)"/>
        <s v="2021-06-22 09:25 (-08)"/>
        <s v="2021-12-30 00:30 (-08)"/>
        <s v="2022-02-01 08:00 (-08)"/>
        <s v="2019-11-18 11:45 (PST)"/>
        <s v="2022-02-10 14:50 (PST)"/>
        <s v="2021-01-03 05:30 (-08)"/>
        <s v="2021-01-03 05:45 (-08)"/>
        <s v="2022-02-11 07:00 (PST)"/>
        <s v="2020-10-09 07:00 (PST)"/>
        <s v="2019-07-11 12:53 (PST)"/>
        <s v="2019-07-30 07:13 (PST)"/>
        <s v="2022-02-05 07:50 (PST)"/>
        <s v="2020-12-19 04:53 (-08)"/>
        <s v="2022-03-04 02:00 (-08)"/>
        <s v="2022-03-03 11:56 (PST)"/>
        <s v="2020-08-16 07:56 (PST)"/>
        <s v="2022-03-01 07:33 (PST)"/>
        <s v="2022-03-11 07:10 (PST)"/>
        <s v="2022-02-16 07:00 (PST)"/>
        <s v="2022-03-11 06:21 (PST)"/>
        <s v="2022-03-12 06:30 (PST)"/>
        <s v="2021-12-06 08:00 (PST)"/>
        <s v="2022-03-18 07:00 (PST)"/>
        <s v="2022-03-01 14:55 (PST)"/>
        <s v="2021-11-15 02:04 (-07)"/>
        <s v="2019-07-04 04:48 (-07)"/>
        <s v="2022-03-25 00:00 (-07)"/>
        <s v="2022-03-25 14:28 (PST)"/>
        <s v="2022-03-31 23:00 (-07)"/>
        <s v="2021-11-16 14:52 (-07)"/>
        <s v="2022-01-19 17:00 (-07)"/>
        <s v="2022-04-05 14:52 (PST)"/>
        <s v="2022-04-06 13:52 (-07)"/>
        <s v="2022-04-06 07:42 (-07)"/>
        <s v="2022-02-22 12:54 (-07)"/>
        <s v="2022-04-06 08:00 (-07)"/>
        <s v="2022-04-08 07:00 (PST)"/>
        <s v="2020-11-23 07:00 (PST)"/>
        <s v="2022-04-19 05:17 (PST)"/>
        <s v="2022-03-09 14:32 (PST)"/>
        <s v="2022-04-21 14:23 (PST)"/>
        <s v="2022-04-22 07:00 (PST)"/>
        <s v="2022-04-26 07:00 (PST)"/>
        <s v="2022-03-14 08:52 (PST)"/>
        <s v="2022-05-04 07:00 (-07)"/>
        <s v="2022-03-27 10:21 (-07)"/>
        <s v="2022-05-06 08:00 (-07)"/>
        <s v="2022-04-25 15:37 (PST)"/>
        <s v="2022-04-13 04:51 (PST)"/>
        <s v="2019-06-05 08:00 (PST)"/>
        <s v="2022-05-09 07:00 (PST)"/>
        <s v="2022-04-08 06:22 (PST)"/>
        <s v="2022-05-11 08:00 (PST)"/>
        <s v="2022-05-20 14:38 (PST)"/>
        <s v="2022-03-29 14:52 (PST)"/>
        <s v="2022-05-11 04:22 (PST)"/>
        <s v="2022-05-25 09:39 (PST)"/>
        <s v="2022-04-25 08:53 (PST)"/>
        <s v="2019-12-19 08:00 (PST)"/>
        <m/>
        <s v="2022-05-26 08:00 (PST)"/>
        <s v="2022-05-10 14:52 (PST)"/>
        <s v="2021-04-21 02:53 (-07)"/>
        <s v="2022-05-25 08:00 (PST)"/>
        <s v="2022-06-13 08:00 (PST)"/>
        <s v="2022-06-17 07:08 (PST)"/>
        <s v="2022-06-23 08:00 (PST)"/>
        <s v="2022-06-03 06:48 (PST)"/>
        <s v="2022-06-30 08:00 (PST)"/>
        <s v="2022-06-08 06:21 (PST)"/>
        <s v="2022-07-07 17:09 (PST)"/>
        <s v="2022-07-02 10:33 (-07)"/>
        <s v="2019-07-06 09:34 (-07)"/>
        <s v="2022-07-15 08:00 (-07)"/>
        <s v="2022-06-26 08:00 (-07)"/>
        <s v="2022-07-15 08:00 (PST)"/>
        <s v="2022-05-13 07:00 (-07)"/>
        <s v="2022-07-22 08:00 (PST)"/>
        <s v="2022-07-28 15:37 (PST)"/>
        <s v="2021-12-22 03:54 (-07)"/>
        <s v="2022-05-05 08:00 (-07)"/>
        <s v="2022-01-06 09:00 (-07)"/>
        <s v="2022-07-29 07:00 (PST)"/>
        <s v="2022-06-08 02:52 (-07)"/>
        <s v="2022-07-30 06:32 (-07)"/>
        <s v="2022-08-05 07:07 (PST)"/>
        <s v="2020-01-08 13:23 (PST)"/>
        <s v="2022-08-03 08:53 (PST)"/>
        <s v="2022-08-22 07:00 (-07)"/>
        <s v="2021-08-07 04:53 (-07)"/>
        <s v="2022-08-19 07:00 (-07)"/>
        <s v="2022-08-24 05:09 (PST)"/>
        <s v="2022-05-14 04:52 (-07)"/>
        <s v="2022-08-04 08:00 (-07)"/>
        <s v="2022-09-01 09:18 (-07)"/>
        <s v="2022-08-25 15:22 (PST)"/>
        <s v="2022-08-29 05:09 (PST)"/>
        <s v="2022-09-12 05:08 (PST)"/>
        <s v="2022-09-11 09:25 (-07)"/>
        <s v="2022-09-23 06:00 (-07)"/>
        <s v="2022-09-28 08:00 (PST)"/>
        <s v="2022-09-27 08:00 (PST)"/>
        <s v="2022-08-27 05:45 (PST)"/>
        <s v="2020-09-05 09:00 (-07)"/>
        <s v="2021-10-02 11:00 (-07)"/>
        <s v="2022-10-13 08:00 (PST)"/>
        <s v="2022-08-16 07:30 (-07)"/>
        <s v="2022-06-07 08:00 (-07)"/>
        <s v="2022-10-26 03:52 (-07)"/>
        <s v="2022-10-27 08:07 (-07)"/>
        <s v="2022-10-17 08:00 (-07)"/>
        <s v="2022-11-03 15:00 (GMT)"/>
        <s v="2022-06-08 04:52 (-05)"/>
        <s v="2022-09-15 10:00 (EST)"/>
        <s v="2022-09-29 19:10 (EST)"/>
        <s v="2022-11-17 19:07 (EST)"/>
        <s v="2022-11-29 08:00 (PST)"/>
        <s v="2020-10-06 14:49 (PST)"/>
        <s v="2022-12-05 07:00 (-08)"/>
        <s v="2020-11-07 04:53 (-08)"/>
        <s v="2022-08-19 04:15 (-08)"/>
        <s v="2022-11-30 08:00 (PST)"/>
        <s v="2022-06-04 06:24 (-05)"/>
        <s v="2022-05-12 10:00 (-05)"/>
        <s v="2022-12-23 07:23 (PST)"/>
        <s v="2021-07-08 01:54 (-08)"/>
        <s v="2022-12-23 07:24 (-08)"/>
        <s v="2022-12-20 08:00 (-08)"/>
        <s v="2022-12-29 09:00 (PST)"/>
        <s v="2022-12-15 07:22 (-08)"/>
        <s v="2022-10-25 09:55 (-08)"/>
        <s v="2021-03-30 03:53 (-08)"/>
        <s v="2022-11-18 08:00 (PST)"/>
        <s v="2022-12-30 11:00 (-08)"/>
        <s v="2020-09-23 06:48 (PST)"/>
        <s v="2023-01-06 08:00 (PST)"/>
        <s v="2023-01-11 08:00 (PST)"/>
        <s v="2023-01-15 09:25 (PST)"/>
        <s v="2022-09-06 08:00 (PST)"/>
        <s v="2022-12-12 22:55 (-08)"/>
        <s v="2021-11-25 00:25 (-08)"/>
        <s v="2023-01-08 09:27 (-08)"/>
        <s v="2022-10-04 09:52 (-08)"/>
        <s v="2022-11-30 03:55 (-08)"/>
        <s v="2023-01-16 03:25 (-08)"/>
        <s v="2023-01-24 08:00 (-08)"/>
        <s v="2022-03-30 08:52 (-05)"/>
        <s v="2022-02-04 08:22 (-05)"/>
        <s v="2023-02-01 13:56 (-05)"/>
        <s v="2023-01-07 09:25 (PST)"/>
        <s v="2023-01-27 06:00 (PST)"/>
        <s v="2022-11-28 06:52 (-08)"/>
        <s v="2023-02-09 08:00 (-08)"/>
        <s v="2022-11-22 10:55 (-08)"/>
        <s v="2023-02-14 23:00 (-08)"/>
        <s v="2023-02-06 08:00 (PST)"/>
        <s v="2020-01-23 02:47 (-08)"/>
        <s v="2023-02-23 08:00 (PST)"/>
        <s v="2023-01-09 07:00 (-08)"/>
        <s v="2022-10-31 20:30 (-08)"/>
        <s v="2023-02-21 07:00 (-08)"/>
        <s v="2023-03-02 09:37 (-08)"/>
        <s v="2022-10-23 06:25 (-08)"/>
        <s v="2023-03-03 08:00 (PST)"/>
        <s v="2023-02-26 07:26 (PST)"/>
        <s v="2023-03-09 08:00 (PST)"/>
        <s v="2023-01-09 08:00 (-07)"/>
        <s v="2023-03-02 03:53 (-07)"/>
        <s v="2023-03-06 10:26 (-07)"/>
        <s v="2023-03-14 05:08 (PST)"/>
        <s v="2023-03-20 19:06 (EST)"/>
        <s v="2023-03-15 11:00 (EST)"/>
        <s v="2023-03-20 11:00 (EST)"/>
        <s v="2023-03-28 04:57 (PST)"/>
        <s v="2023-04-07 08:00 (PST)"/>
        <s v="2023-02-19 02:55 (-07)"/>
        <s v="2023-03-30 05:06 (-07)"/>
        <s v="2023-04-18 16:37 (-07)"/>
        <s v="2022-01-17 09:00 (-07)"/>
        <s v="2023-04-29 06:01 (PST)"/>
        <s v="2023-03-24 08:56 (PST)"/>
        <s v="2023-05-17 08:00 (PST)"/>
        <s v="2023-05-19 07:00 (PST)"/>
        <s v="2023-05-31 08:00 (PST)"/>
        <s v="2019-12-30 15:31 (PST)"/>
        <s v="2023-07-07 14:24 (PST)"/>
        <s v="2020-02-06 05:49 (-07)"/>
        <s v="2023-06-08 23:00 (-07)"/>
        <s v="2023-04-26 04:22 (-07)"/>
        <s v="2021-05-01 04:53 (-07)"/>
        <s v="2023-07-13 16:40 (-07)"/>
        <s v="2023-07-20 23:00 (-07)"/>
        <s v="2023-07-11 16:09 (PST)"/>
        <s v="2023-04-09 12:24 (-07)"/>
        <s v="2023-08-15 16:01 (PST)"/>
        <s v="2023-05-15 07:00 (PST)"/>
        <s v="2023-06-20 14:24 (-07)"/>
        <s v="2023-08-11 01:00 (-07)"/>
        <s v="2023-08-30 08:00 (PST)"/>
        <s v="2023-08-25 08:56 (PST)"/>
        <s v="2021-12-07 04:54 (PST)"/>
        <s v="2021-03-12 08:00 (MST)"/>
        <s v="2023-09-26 04:58 (PST)"/>
        <s v="2023-10-19 08:00 (PST)"/>
        <s v="2023-10-26 15:09 (PST)"/>
        <s v="2023-10-27 14:25 (PST)"/>
        <s v="2023-11-02 07:00 (-07)"/>
        <s v="2023-11-03 02:54 (-07)"/>
        <s v="2023-10-23 04:25 (PST)"/>
        <s v="2023-11-10 13:00 (PST)"/>
        <s v="2023-11-30 08:00 (PST)"/>
        <s v="2023-11-29 08:00 (PST)"/>
        <s v="2023-11-29 10:56 (PST)"/>
        <s v="2023-07-18 04:22 (PST)"/>
        <s v="2023-12-06 08:00 (PST)"/>
        <s v="2020-12-28 07:00 (PST)"/>
        <s v="2023-12-01 14:27 (PST)"/>
        <s v="2024-01-09 15:55 (PST)"/>
        <s v="2018-08-23 10:19 (PST)"/>
        <s v="2018-09-09 04:49 (PST)"/>
        <s v="2018-05-06 05:19 (PST)"/>
        <s v="2018-11-21 08:20 (PST)"/>
        <s v="2018-12-05 02:49 (PST)"/>
        <s v="2019-11-07 06:18 (PST)"/>
        <s v="2019-05-27 06:00 (PST)"/>
        <s v="2020-01-06 14:49 (PST)"/>
        <s v="2019-12-31 09:18 (PST)"/>
        <s v="2020-02-03 16:19 (PST)"/>
        <s v="2020-02-02 07:36 (PST)"/>
        <s v="2019-05-26 12:19 (PST)"/>
        <s v="2020-10-10 07:00 (PST)"/>
        <s v="2020-01-30 07:00 (PST)"/>
        <s v="2020-10-21 15:40 (PST)"/>
        <s v="2020-11-07 07:00 (PST)"/>
        <s v="2020-11-09 04:23 (PST)"/>
        <s v="2020-10-08 06:00 (PST)"/>
        <s v="2020-10-14 06:00 (PST)"/>
        <s v="2020-01-13 17:18 (PST)"/>
        <s v="2020-06-15 07:00 (PST)"/>
        <s v="2020-11-21 04:52 (PST)"/>
        <s v="2020-11-04 05:59 (PST)"/>
        <s v="2020-10-14 15:35 (PST)"/>
        <s v="2020-11-11 02:52 (PST)"/>
        <s v="2020-12-14 04:19 (PST)"/>
        <s v="2020-12-17 13:55 (PST)"/>
        <s v="2020-12-16 06:00 (PST)"/>
        <s v="2020-12-26 06:00 (PST)"/>
        <s v="2019-11-23 05:30 (PST)"/>
        <s v="2020-11-11 04:24 (PST)"/>
        <s v="2020-01-14 15:32 (PST)"/>
        <s v="2021-01-07 02:54 (PST)"/>
        <s v="2021-01-11 05:33 (PST)"/>
        <s v="2019-07-24 14:00 (PST)"/>
        <s v="2020-12-16 02:52 (PST)"/>
        <s v="2021-01-06 02:52 (-08)"/>
        <s v="2021-01-25 14:53 (PST)"/>
        <s v="2021-01-24 06:36 (PST)"/>
        <s v="2020-09-16 01:49 (-08)"/>
        <s v="2021-01-30 05:15 (PST)"/>
        <s v="2020-01-02 02:49 (PST)"/>
        <s v="2020-10-02 06:00 (PST)"/>
        <s v="2020-12-02 02:53 (PST)"/>
        <s v="2020-10-20 00:00 (PST)"/>
        <s v="2021-02-09 06:32 (PST)"/>
        <s v="2018-10-29 11:20 (PST)"/>
        <s v="2021-02-06 04:50 (PST)"/>
        <s v="2021-02-10 05:21 (PST)"/>
        <s v="2021-02-28 07:55 (PST)"/>
        <s v="2021-03-06 05:53 (PST)"/>
        <s v="2021-02-05 07:00 (PST)"/>
        <s v="2021-02-17 07:37 (PST)"/>
        <s v="2021-02-26 05:54 (PST)"/>
        <s v="2021-01-28 05:28 (PST)"/>
        <s v="2019-07-18 02:48 (-07)"/>
        <s v="2021-03-11 00:32 (-07)"/>
        <s v="2018-10-08 11:45 (-07)"/>
        <s v="2021-02-03 06:21 (-07)"/>
        <s v="2021-03-20 06:37 (PST)"/>
        <s v="2021-01-13 05:54 (PST)"/>
        <s v="2021-03-21 07:52 (PST)"/>
        <s v="2020-06-24 11:23 (PST)"/>
        <s v="2019-08-15 04:49 (-07)"/>
        <s v="2020-12-16 07:00 (-07)"/>
        <s v="2021-03-25 07:00 (-07)"/>
        <s v="2021-04-12 05:34 (-07)"/>
        <s v="2020-09-09 04:06 (-07)"/>
        <s v="2021-04-06 06:00 (-07)"/>
        <s v="2020-12-27 07:00 (-07)"/>
        <s v="2021-02-10 14:55 (PST)"/>
        <s v="2021-04-18 07:00 (PST)"/>
        <s v="2020-12-31 06:00 (PST)"/>
        <s v="2021-02-03 03:52 (-07)"/>
        <s v="2021-04-16 09:28 (-07)"/>
        <s v="2020-12-18 06:38 (PST)"/>
        <s v="2021-04-17 04:22 (-07)"/>
        <s v="2021-04-08 06:00 (PST)"/>
        <s v="2021-01-16 05:54 (-07)"/>
        <s v="2021-01-09 05:54 (-07)"/>
        <s v="2021-05-02 01:30 (-07)"/>
        <s v="2021-05-17 08:08 (PST)"/>
        <s v="2020-09-13 08:25 (PST)"/>
        <s v="2019-08-08 02:45 (-07)"/>
        <s v="2021-03-16 07:00 (PST)"/>
        <s v="2020-10-10 04:55 (-07)"/>
        <s v="2021-05-28 06:32 (-07)"/>
        <s v="2021-05-21 08:00 (PST)"/>
        <s v="2021-05-25 08:00 (PST)"/>
        <s v="2021-01-19 05:53 (-07)"/>
        <s v="2021-05-30 06:00 (-07)"/>
        <s v="2021-05-06 06:00 (-07)"/>
        <s v="2021-06-02 05:40 (PST)"/>
        <s v="2021-06-03 16:00 (PST)"/>
        <s v="2021-01-05 08:00 (PST)"/>
        <s v="2021-06-15 22:00 (-07)"/>
        <s v="2019-08-17 09:35 (-07)"/>
        <s v="2021-06-01 07:22 (PST)"/>
        <s v="2021-02-15 15:36 (PST)"/>
        <s v="2019-07-13 09:34 (-07)"/>
        <s v="2021-06-28 07:00 (PST)"/>
        <s v="2021-06-30 07:00 (PST)"/>
        <s v="2021-07-08 02:54 (-07)"/>
        <s v="2021-06-11 07:00 (PST)"/>
        <s v="2021-04-27 08:00 (PST)"/>
        <s v="2021-07-07 02:56 (-07)"/>
        <s v="2021-07-12 06:00 (-07)"/>
        <s v="2021-07-15 06:00 (-07)"/>
        <s v="2021-03-08 08:00 (-07)"/>
        <s v="2021-05-21 06:00 (-07)"/>
        <s v="2021-07-08 07:00 (PST)"/>
        <s v="2021-07-19 07:00 (PST)"/>
        <s v="2021-02-09 05:53 (-07)"/>
        <s v="2021-07-18 11:00 (-07)"/>
        <s v="2021-07-20 22:00 (PST)"/>
        <s v="2021-07-21 15:39 (PST)"/>
        <s v="2020-12-15 05:28 (PST)"/>
        <s v="2021-08-02 08:07 (PST)"/>
        <s v="2020-01-12 07:34 (PST)"/>
        <s v="2021-07-31 04:54 (-07)"/>
        <s v="2021-08-03 06:04 (-07)"/>
        <s v="2021-08-03 08:00 (PST)"/>
        <s v="2020-01-01 07:34 (PST)"/>
        <s v="2021-06-30 02:55 (-07)"/>
        <s v="2021-08-16 07:00 (PST)"/>
        <s v="2021-07-07 14:51 (PST)"/>
        <s v="2019-07-27 09:34 (-07)"/>
        <s v="2021-05-25 17:05 (-07)"/>
        <s v="2021-08-30 07:00 (PST)"/>
        <s v="2021-08-31 07:00 (PST)"/>
        <s v="2020-03-04 15:31 (PST)"/>
        <s v="2021-07-23 06:00 (-07)"/>
        <s v="2021-05-04 06:00 (-07)"/>
        <s v="2020-02-19 06:20 (PST)"/>
        <s v="2021-09-16 07:00 (PST)"/>
        <s v="2021-09-08 08:00 (PST)"/>
        <s v="2021-08-15 20:50 (-07)"/>
        <s v="2021-09-07 06:00 (-07)"/>
        <s v="2021-09-13 07:00 (-07)"/>
        <s v="2020-02-19 06:50 (PST)"/>
        <s v="2021-09-25 07:07 (PST)"/>
        <s v="2021-09-07 05:20 (PST)"/>
        <s v="2021-09-23 06:00 (-07)"/>
        <s v="2020-01-23 05:50 (-07)"/>
        <s v="2021-09-10 05:36 (-07)"/>
        <s v="2021-09-27 07:00 (PST)"/>
        <s v="2021-01-12 06:50 (PST)"/>
        <s v="2021-08-20 08:21 (-07)"/>
        <s v="2021-09-09 14:35 (-07)"/>
        <s v="2021-09-29 07:00 (-07)"/>
        <s v="2021-09-30 05:37 (PST)"/>
        <s v="2021-09-06 04:50 (PST)"/>
        <s v="2021-08-31 04:53 (-07)"/>
        <s v="2021-08-13 10:00 (-07)"/>
        <s v="2021-10-09 15:00 (PST)"/>
        <s v="2021-10-09 07:52 (PST)"/>
        <s v="2019-05-02 04:49 (-07)"/>
        <s v="2019-09-06 08:01 (-07)"/>
        <s v="2021-07-21 07:00 (-07)"/>
        <s v="2021-08-09 06:00 (-07)"/>
        <s v="2021-10-18 09:36 (PST)"/>
        <s v="2021-09-21 05:18 (PST)"/>
        <s v="2021-06-29 04:53 (-07)"/>
        <s v="2021-10-23 08:36 (PST)"/>
        <s v="2021-10-24 08:29 (PST)"/>
        <s v="2021-04-20 14:54 (PST)"/>
        <s v="2021-11-07 10:38 (PST)"/>
        <s v="2021-10-27 06:07 (-08)"/>
        <s v="2021-10-27 01:51 (-08)"/>
        <s v="2021-11-06 02:52 (-08)"/>
        <s v="2021-10-26 07:00 (-08)"/>
        <s v="2021-11-08 15:36 (PST)"/>
        <s v="2021-11-14 07:52 (PST)"/>
        <s v="2021-11-14 08:37 (PST)"/>
        <s v="2021-05-19 01:52 (-08)"/>
        <s v="2021-10-13 23:24 (-08)"/>
        <s v="2021-11-11 06:30 (-08)"/>
        <s v="2021-11-18 05:26 (PST)"/>
        <s v="2021-10-07 07:00 (-08)"/>
        <s v="2021-02-03 02:52 (-08)"/>
        <s v="2021-11-22 07:00 (-08)"/>
        <s v="2019-05-28 05:00 (-08)"/>
        <s v="2021-10-05 21:00 (-08)"/>
        <s v="2021-09-07 06:30 (-08)"/>
        <s v="2021-09-29 21:25 (-08)"/>
        <s v="2021-10-19 23:32 (-08)"/>
        <s v="2019-05-27 05:00 (-08)"/>
        <s v="2021-11-29 07:00 (PST)"/>
        <s v="2021-07-28 07:00 (PST)"/>
        <s v="2021-12-03 07:00 (PST)"/>
        <s v="2021-10-20 07:00 (-08)"/>
        <s v="2021-10-02 10:00 (-08)"/>
        <s v="2021-12-01 09:37 (-08)"/>
        <s v="2019-12-08 08:54 (PST)"/>
        <s v="2021-12-06 15:37 (PST)"/>
        <s v="2021-12-12 10:22 (PST)"/>
        <s v="2021-11-24 02:52 (-08)"/>
        <s v="2021-12-07 08:00 (-08)"/>
        <s v="2019-05-27 11:43 (-08)"/>
        <s v="2021-12-13 05:30 (PST)"/>
        <s v="2021-10-19 07:00 (PST)"/>
        <s v="2021-10-19 09:30 (-08)"/>
        <s v="2021-09-20 05:00 (-08)"/>
        <s v="2021-12-20 07:00 (-08)"/>
        <s v="2021-12-20 15:38 (PST)"/>
        <s v="2021-01-21 07:36 (PST)"/>
        <s v="2021-10-19 05:21 (PST)"/>
        <s v="2021-10-28 07:06 (PST)"/>
        <s v="2021-12-27 08:00 (-08)"/>
        <s v="2020-03-12 01:48 (-08)"/>
        <s v="2021-12-02 11:02 (-08)"/>
        <s v="2021-12-21 07:30 (PST)"/>
        <s v="2021-11-06 08:38 (PST)"/>
        <s v="2021-02-08 07:25 (PST)"/>
        <s v="2021-01-12 07:37 (PST)"/>
        <s v="2021-12-05 03:55 (-08)"/>
        <s v="2021-12-09 06:30 (-08)"/>
        <s v="2021-12-27 00:55 (-08)"/>
        <s v="2022-01-03 07:00 (PST)"/>
        <s v="2021-12-11 07:53 (PST)"/>
        <s v="2021-10-13 01:54 (-08)"/>
        <s v="2020-08-19 03:50 (-08)"/>
        <s v="2021-11-27 06:31 (-08)"/>
        <s v="2021-11-22 08:00 (-08)"/>
        <s v="2021-12-21 07:00 (PST)"/>
        <s v="2021-12-13 04:54 (PST)"/>
        <s v="2022-01-10 06:32 (-08)"/>
        <s v="2021-11-07 03:55 (-08)"/>
        <s v="2021-08-15 06:05 (-08)"/>
        <s v="2022-01-06 06:30 (-08)"/>
        <s v="2019-04-19 07:12 (PST)"/>
        <s v="2020-08-02 07:48 (PST)"/>
        <s v="2022-01-07 07:00 (PST)"/>
        <s v="2021-02-12 08:00 (PST)"/>
        <s v="2021-08-21 10:00 (-08)"/>
        <s v="2021-07-27 16:07 (-08)"/>
        <s v="2020-01-28 05:31 (PST)"/>
        <s v="2022-01-25 14:53 (PST)"/>
        <s v="2021-01-15 08:00 (PST)"/>
        <s v="2022-01-26 07:34 (-08)"/>
        <s v="2021-01-19 04:53 (-08)"/>
        <s v="2019-12-02 15:31 (PST)"/>
        <s v="2022-01-04 14:51 (PST)"/>
        <s v="2022-02-07 08:00 (PST)"/>
        <s v="2022-01-19 08:00 (-08)"/>
        <s v="2022-02-06 05:34 (-08)"/>
        <s v="2022-02-01 15:35 (PST)"/>
        <s v="2019-11-27 06:37 (PST)"/>
        <s v="2022-01-12 14:54 (PST)"/>
        <s v="2021-12-02 07:00 (-08)"/>
        <s v="2020-01-30 04:30 (-08)"/>
        <s v="2022-02-04 08:00 (-08)"/>
        <s v="2019-05-10 04:21 (PST)"/>
        <s v="2022-02-14 05:00 (PST)"/>
        <s v="2021-05-19 08:08 (PST)"/>
        <s v="2019-09-16 13:34 (PST)"/>
        <s v="2022-01-18 14:50 (PST)"/>
        <s v="2020-08-03 15:18 (-08)"/>
        <s v="2021-12-27 00:50 (-08)"/>
        <s v="2022-02-28 08:00 (-08)"/>
        <s v="2022-02-25 14:39 (PST)"/>
        <s v="2019-09-12 08:00 (PST)"/>
        <s v="2020-03-01 07:35 (PST)"/>
        <s v="2022-03-01 15:36 (PST)"/>
        <s v="2022-03-13 07:53 (PST)"/>
        <s v="2022-03-08 12:55 (-07)"/>
        <s v="2022-02-21 00:00 (-07)"/>
        <s v="2022-03-14 06:02 (-07)"/>
        <s v="2022-03-13 08:38 (-07)"/>
        <s v="2022-03-14 07:00 (PST)"/>
        <s v="2022-02-17 14:53 (PST)"/>
        <s v="2019-11-16 06:30 (-07)"/>
        <s v="2022-01-05 03:54 (-07)"/>
        <s v="2022-03-15 13:00 (-07)"/>
        <s v="2022-01-28 08:00 (-07)"/>
        <s v="2022-03-14 05:37 (PST)"/>
        <s v="2022-03-26 08:37 (PST)"/>
        <s v="2022-03-16 04:55 (PST)"/>
        <s v="2022-03-01 05:17 (PST)"/>
        <s v="2021-12-23 09:00 (-07)"/>
        <s v="2022-02-19 05:53 (-07)"/>
        <s v="2022-03-11 09:00 (-07)"/>
        <s v="2022-03-18 03:53 (-07)"/>
        <s v="2022-03-16 07:00 (-07)"/>
        <s v="2022-03-15 08:00 (PST)"/>
        <s v="2022-04-01 06:50 (-07)"/>
        <s v="2022-02-05 05:25 (-07)"/>
        <s v="2022-03-30 09:00 (-07)"/>
        <s v="2022-03-29 08:00 (PST)"/>
        <s v="2022-04-09 07:52 (PST)"/>
        <s v="2022-04-08 07:00 (-07)"/>
        <s v="2022-04-10 23:00 (-07)"/>
        <s v="2021-09-15 02:52 (-07)"/>
        <s v="2022-04-11 08:00 (-07)"/>
        <s v="2022-02-28 09:00 (-07)"/>
        <s v="2022-04-11 07:00 (PST)"/>
        <s v="2022-04-17 07:55 (PST)"/>
        <s v="2022-04-12 05:30 (PST)"/>
        <s v="2022-04-15 07:36 (-07)"/>
        <s v="2022-04-17 00:00 (-07)"/>
        <s v="2022-04-05 07:00 (PST)"/>
        <s v="2022-04-22 06:22 (PST)"/>
        <s v="2022-04-19 04:52 (PST)"/>
        <s v="2022-04-21 05:01 (-07)"/>
        <s v="2019-07-05 06:49 (-07)"/>
        <s v="2022-04-13 23:00 (-07)"/>
        <s v="2022-04-25 08:00 (PST)"/>
        <s v="2022-04-26 03:55 (PST)"/>
        <s v="2022-04-08 08:00 (PST)"/>
        <s v="2020-11-07 06:37 (PST)"/>
        <s v="2020-10-21 17:06 (PST)"/>
        <s v="2022-03-04 07:00 (PST)"/>
        <s v="2022-05-03 06:22 (PST)"/>
        <s v="2022-05-03 05:02 (-07)"/>
        <s v="2022-05-07 04:23 (-07)"/>
        <s v="2022-05-06 07:00 (-07)"/>
        <s v="2022-05-09 05:37 (PST)"/>
        <s v="2022-05-07 09:52 (-07)"/>
        <s v="2022-05-16 13:54 (-07)"/>
        <s v="2022-05-16 06:00 (PST)"/>
        <s v="2022-05-16 09:39 (PST)"/>
        <s v="2022-03-29 05:16 (PST)"/>
        <s v="2022-05-20 08:00 (PST)"/>
        <s v="2022-05-20 01:00 (PST)"/>
        <s v="2022-04-02 04:51 (-07)"/>
        <s v="2022-05-05 06:53 (-07)"/>
        <s v="2022-05-23 05:37 (PST)"/>
        <s v="2022-05-03 05:18 (PST)"/>
        <s v="2022-05-27 08:00 (-07)"/>
        <s v="2022-05-02 07:00 (-07)"/>
        <s v="2022-05-11 08:00 (-07)"/>
        <s v="2022-04-26 17:10 (PST)"/>
        <s v="2022-06-05 07:54 (PST)"/>
        <s v="2019-08-01 08:00 (PST)"/>
        <s v="2022-06-02 11:00 (-07)"/>
        <s v="2019-12-08 14:17 (-07)"/>
        <s v="2022-05-11 02:54 (-07)"/>
        <s v="2022-06-05 07:09 (PST)"/>
        <s v="2022-05-16 04:51 (PST)"/>
        <s v="2022-06-04 06:32 (-07)"/>
        <s v="2022-04-20 06:54 (-07)"/>
        <s v="2022-04-27 14:39 (-07)"/>
        <s v="2022-03-30 04:59 (-07)"/>
        <s v="2022-05-24 03:52 (PST)"/>
        <s v="2020-08-03 16:18 (-07)"/>
        <s v="2022-06-02 08:00 (-07)"/>
        <s v="2022-06-18 10:46 (-07)"/>
        <s v="2022-05-12 08:00 (-07)"/>
        <s v="2022-06-20 08:00 (PST)"/>
        <s v="2022-05-28 07:52 (PST)"/>
        <s v="2022-06-17 07:00 (-07)"/>
        <s v="2022-06-08 06:52 (-07)"/>
        <s v="2022-06-08 07:00 (-07)"/>
        <s v="2022-04-13 08:00 (-07)"/>
        <s v="2022-06-22 08:00 (PST)"/>
        <s v="2022-06-30 07:00 (-07)"/>
        <s v="2022-04-18 23:00 (-07)"/>
        <s v="2021-12-11 05:52 (-07)"/>
        <s v="2020-11-14 05:53 (-07)"/>
        <s v="2022-06-17 15:50 (PST)"/>
        <s v="2022-07-12 06:23 (PST)"/>
        <s v="2021-06-08 10:25 (-07)"/>
        <s v="2022-07-18 15:37 (PST)"/>
        <s v="2022-01-21 07:00 (PST)"/>
        <s v="2022-07-25 05:38 (PST)"/>
        <s v="2022-07-27 04:23 (-07)"/>
        <s v="2022-06-29 02:53 (-07)"/>
        <s v="2021-06-29 14:51 (PST)"/>
        <s v="2022-08-01 15:37 (PST)"/>
        <s v="2022-08-02 05:17 (PST)"/>
        <s v="2022-08-08 05:37 (PST)"/>
        <s v="2022-06-26 07:54 (PST)"/>
        <s v="2019-07-11 14:18 (-07)"/>
        <s v="2022-08-11 08:00 (PST)"/>
        <s v="2022-08-19 05:15 (PST)"/>
        <s v="2022-03-30 02:52 (-07)"/>
        <s v="2022-08-19 05:15 (-07)"/>
        <s v="2022-08-22 16:07 (PST)"/>
        <s v="2022-08-29 04:22 (PST)"/>
        <s v="2022-06-24 08:00 (PST)"/>
        <s v="2022-08-05 08:00 (PST)"/>
        <s v="2022-02-15 08:00 (PST)"/>
        <s v="2022-08-01 22:00 (-07)"/>
        <s v="2022-06-21 06:52 (-07)"/>
        <s v="2022-09-01 08:04 (-07)"/>
        <s v="2022-08-31 23:00 (-07)"/>
        <s v="2022-08-23 08:00 (PST)"/>
        <s v="2022-08-09 16:25 (PST)"/>
        <s v="2022-03-02 07:50 (-07)"/>
        <s v="2020-02-05 14:29 (-07)"/>
        <s v="2022-09-12 08:00 (PST)"/>
        <s v="2022-09-09 09:24 (PST)"/>
        <s v="2022-09-19 08:00 (PST)"/>
        <s v="2022-08-01 22:10 (-07)"/>
        <s v="2022-09-25 23:00 (-07)"/>
        <s v="2022-09-21 08:00 (PST)"/>
        <s v="2022-09-19 13:00 (PST)"/>
        <s v="2021-03-20 04:53 (-07)"/>
        <s v="2022-09-13 08:00 (-07)"/>
        <s v="2022-10-03 08:00 (PST)"/>
        <s v="2022-09-15 15:21 (PST)"/>
        <s v="2021-09-26 03:54 (-07)"/>
        <s v="2022-10-05 04:22 (-07)"/>
        <s v="2022-10-06 08:00 (PST)"/>
        <s v="2022-09-19 08:00 (-07)"/>
        <s v="2022-09-04 23:00 (-07)"/>
        <s v="2019-12-07 10:34 (-07)"/>
        <s v="2022-10-17 08:00 (PST)"/>
        <s v="2022-09-30 07:25 (PST)"/>
        <s v="2022-10-07 08:00 (PST)"/>
        <s v="2022-02-18 08:00 (PST)"/>
        <s v="2020-10-01 08:21 (-07)"/>
        <s v="2022-04-18 04:00 (-07)"/>
        <s v="2022-10-24 08:00 (PST)"/>
        <s v="2022-10-26 11:21 (GMT)"/>
        <s v="2022-10-24 11:22 (GMT)"/>
        <s v="2022-10-26 11:00 (EST)"/>
        <s v="2019-04-19 09:18 (-05)"/>
        <s v="2022-11-03 15:22 (PST)"/>
        <s v="2022-08-12 08:00 (PST)"/>
        <s v="2022-09-23 08:00 (PST)"/>
        <s v="2022-11-14 08:00 (PST)"/>
        <s v="2022-11-26 06:01 (PST)"/>
        <s v="2022-12-02 07:25 (PST)"/>
        <s v="2022-11-28 07:00 (-08)"/>
        <s v="2021-08-07 03:53 (-08)"/>
        <s v="2022-12-05 08:00 (-08)"/>
        <s v="2022-12-11 03:00 (-05)"/>
        <s v="2019-08-08 04:45 (-05)"/>
        <s v="2022-12-12 02:00 (-05)"/>
        <s v="2021-10-18 11:50 (EST)"/>
        <s v="2022-11-22 19:10 (EST)"/>
        <s v="2022-11-25 02:00 (-05)"/>
        <s v="2021-08-31 06:53 (-05)"/>
        <s v="2022-11-15 02:00 (-05)"/>
        <s v="2022-12-14 10:41 (-05)"/>
        <s v="2022-12-14 07:21 (EST)"/>
        <s v="2019-05-09 01:46 (-08)"/>
        <s v="2022-07-07 07:00 (-08)"/>
        <s v="2022-12-22 07:00 (-08)"/>
        <s v="2021-07-20 08:00 (PST)"/>
        <s v="2022-01-09 07:50 (PST)"/>
        <s v="2022-11-10 07:00 (-08)"/>
        <s v="2022-12-22 08:00 (PST)"/>
        <s v="2023-01-03 08:00 (PST)"/>
        <s v="2022-12-18 07:25 (PST)"/>
        <s v="2022-12-09 08:00 (PST)"/>
        <s v="2022-12-18 11:56 (-08)"/>
        <s v="2022-12-04 04:55 (-08)"/>
        <s v="2023-01-04 07:00 (-08)"/>
        <s v="2023-01-09 05:07 (PST)"/>
        <s v="2022-08-04 14:52 (PST)"/>
        <s v="2023-01-16 08:00 (PST)"/>
        <s v="2023-01-13 01:00 (PST)"/>
        <s v="2021-10-01 06:00 (-08)"/>
        <s v="2023-01-19 07:00 (PST)"/>
        <s v="2023-01-26 11:00 (EST)"/>
        <s v="2023-01-23 11:00 (EST)"/>
        <s v="2022-10-23 07:09 (-05)"/>
        <s v="2021-02-25 10:00 (-05)"/>
        <s v="2023-01-31 12:27 (EST)"/>
        <s v="2023-02-13 16:08 (PST)"/>
        <s v="2023-02-13 08:00 (PST)"/>
        <s v="2019-11-16 09:35 (-08)"/>
        <s v="2023-02-20 08:00 (PST)"/>
        <s v="2023-02-01 04:23 (-08)"/>
        <s v="2023-01-21 04:53 (-08)"/>
        <s v="2023-02-24 08:00 (-08)"/>
        <s v="2023-02-27 16:08 (PST)"/>
        <s v="2020-10-29 07:25 (-08)"/>
        <s v="2023-02-23 02:30 (-08)"/>
        <s v="2023-03-02 08:00 (PST)"/>
        <s v="2022-11-07 04:22 (PST)"/>
        <s v="2022-12-21 04:54 (-07)"/>
        <s v="2023-01-08 21:00 (-07)"/>
        <s v="2023-03-09 02:00 (-07)"/>
        <s v="2023-03-13 07:00 (PST)"/>
        <s v="2023-03-22 11:00 (EST)"/>
        <s v="2023-03-07 08:00 (PST)"/>
        <s v="2023-03-28 08:52 (PST)"/>
        <s v="2023-03-27 06:54 (-07)"/>
        <s v="2023-03-01 05:22 (-07)"/>
        <s v="2023-03-29 04:58 (-07)"/>
        <s v="2023-04-04 08:52 (PST)"/>
        <s v="2023-03-03 09:55 (-07)"/>
        <s v="2023-04-06 23:00 (-07)"/>
        <s v="2023-04-05 03:00 (-07)"/>
        <s v="2023-04-10 07:00 (-07)"/>
        <s v="2023-03-18 06:11 (PST)"/>
        <s v="2023-03-11 09:24 (PST)"/>
        <s v="2019-11-15 05:50 (-07)"/>
        <s v="2023-03-03 08:00 (-07)"/>
        <s v="2023-04-14 01:00 (-07)"/>
        <s v="2023-04-06 08:00 (PST)"/>
        <s v="2023-02-27 06:30 (PST)"/>
        <s v="2023-04-07 07:00 (-07)"/>
        <s v="2023-04-21 07:00 (-07)"/>
        <s v="2023-04-18 15:57 (PST)"/>
        <s v="2023-04-19 04:25 (-07)"/>
        <s v="2022-12-03 05:55 (-07)"/>
        <s v="2022-11-15 08:00 (-07)"/>
        <s v="2023-05-05 15:00 (PST)"/>
        <s v="2023-05-06 04:55 (-07)"/>
        <s v="2023-04-23 09:25 (-07)"/>
        <s v="2023-05-08 07:00 (PST)"/>
        <s v="2023-05-12 08:55 (PST)"/>
        <s v="2023-05-22 08:00 (PST)"/>
        <s v="2023-05-28 10:10 (PST)"/>
        <s v="2023-05-26 08:56 (PST)"/>
        <s v="2023-03-04 05:55 (-07)"/>
        <s v="2023-06-05 08:00 (PST)"/>
        <s v="2019-11-14 08:00 (PST)"/>
        <s v="2023-03-31 08:55 (-07)"/>
        <s v="2023-06-13 08:00 (-07)"/>
        <s v="2023-06-18 09:27 (-07)"/>
        <s v="2023-06-16 14:22 (PST)"/>
        <s v="2023-04-29 12:25 (-07)"/>
        <s v="2023-06-21 08:00 (-07)"/>
        <s v="2023-06-22 23:00 (-07)"/>
        <s v="2021-12-16 17:06 (PST)"/>
        <s v="2022-12-16 09:25 (PST)"/>
        <s v="2023-04-01 04:53 (-07)"/>
        <s v="2023-06-27 08:00 (-07)"/>
        <s v="2023-06-29 07:00 (-07)"/>
        <s v="2023-06-29 23:00 (-07)"/>
        <s v="2023-06-22 08:00 (PST)"/>
        <s v="2023-07-06 05:09 (PST)"/>
        <s v="2023-05-06 05:26 (PST)"/>
        <s v="2023-03-04 05:26 (-07)"/>
        <s v="2023-06-27 23:00 (-07)"/>
        <s v="2023-07-10 08:00 (PST)"/>
        <s v="2023-05-18 15:26 (PST)"/>
        <s v="2023-04-23 12:38 (-07)"/>
        <s v="2023-06-28 08:00 (-07)"/>
        <s v="2023-06-21 01:00 (-07)"/>
        <s v="2021-05-25 10:00 (EST)"/>
        <s v="2023-07-30 09:25 (-07)"/>
        <s v="2020-02-15 10:35 (-07)"/>
        <s v="2023-07-13 08:00 (-07)"/>
        <s v="2023-07-26 08:00 (PST)"/>
        <s v="2023-07-06 08:00 (PST)"/>
        <s v="2023-06-23 08:56 (PST)"/>
        <s v="2023-04-28 07:00 (-07)"/>
        <s v="2023-08-02 08:00 (-07)"/>
        <s v="2023-07-18 12:00 (-07)"/>
        <s v="2023-06-06 15:29 (-07)"/>
        <s v="2023-08-07 16:07 (PST)"/>
        <s v="2023-06-12 16:25 (-07)"/>
        <s v="2023-08-07 07:00 (-07)"/>
        <s v="2023-08-11 14:00 (-07)"/>
        <s v="2023-05-06 09:24 (PST)"/>
        <s v="2023-06-23 14:24 (PST)"/>
        <s v="2023-08-21 03:30 (-07)"/>
        <s v="2022-06-30 05:23 (-07)"/>
        <s v="2023-08-08 23:00 (-07)"/>
        <s v="2023-08-21 16:11 (PST)"/>
        <s v="2023-08-28 07:00 (-07)"/>
        <s v="2023-08-15 23:00 (-07)"/>
        <s v="2023-08-23 14:53 (-07)"/>
        <s v="2023-08-18 14:55 (-07)"/>
        <s v="2023-08-28 08:00 (PST)"/>
        <s v="2023-08-30 07:00 (PST)"/>
        <s v="2023-01-10 09:56 (-07)"/>
        <s v="2023-09-01 01:00 (-07)"/>
        <s v="2023-08-24 23:00 (-07)"/>
        <s v="2023-08-11 08:56 (PST)"/>
        <s v="2020-09-04 06:25 (PST)"/>
        <s v="2023-08-08 08:00 (-07)"/>
        <s v="2023-06-05 07:00 (-07)"/>
        <s v="2023-08-24 08:00 (-07)"/>
        <s v="2023-09-11 03:50 (-07)"/>
        <s v="2023-09-07 22:40 (-07)"/>
        <s v="2023-09-09 06:40 (PST)"/>
        <s v="2023-09-17 11:01 (MST)"/>
        <s v="2023-07-07 10:54 (PST)"/>
        <s v="2023-08-18 14:00 (-07)"/>
        <s v="2023-07-21 14:25 (PST)"/>
        <s v="2023-10-02 15:26 (-07)"/>
        <s v="2023-10-02 07:00 (-07)"/>
        <s v="2023-03-27 02:55 (-07)"/>
        <s v="2023-09-20 08:00 (PST)"/>
        <s v="2023-08-12 04:55 (-07)"/>
        <s v="2023-10-09 07:00 (-07)"/>
        <s v="2023-10-04 08:00 (-07)"/>
        <s v="2023-10-03 08:00 (-07)"/>
        <s v="2023-10-09 16:07 (PST)"/>
        <s v="2023-06-17 08:56 (EST)"/>
        <s v="2022-08-19 10:00 (EST)"/>
        <s v="2023-10-12 02:00 (EST)"/>
        <s v="2023-10-12 16:10 (EST)"/>
        <s v="2023-10-23 10:57 (PST)"/>
        <s v="2023-10-03 08:54 (PST)"/>
        <s v="2022-03-13 10:22 (-07)"/>
        <s v="2023-10-19 08:00 (-07)"/>
        <s v="2023-10-30 16:07 (PST)"/>
        <s v="2023-10-26 16:26 (PST)"/>
        <s v="2023-01-25 03:53 (-08)"/>
        <s v="2023-10-26 22:00 (-08)"/>
        <s v="2023-10-31 23:00 (-08)"/>
        <s v="2023-11-06 08:00 (PST)"/>
        <s v="2023-10-09 01:55 (-08)"/>
        <s v="2023-11-06 03:24 (-08)"/>
        <s v="2023-11-09 07:00 (-08)"/>
        <s v="2023-11-09 15:15 (PST)"/>
        <s v="2022-09-29 09:53 (-08)"/>
        <s v="2023-11-20 07:00 (-08)"/>
        <s v="2023-10-03 09:39 (PST)"/>
        <s v="2023-11-26 10:11 (PST)"/>
        <s v="2023-11-20 05:09 (PST)"/>
        <s v="2023-11-24 07:00 (PST)"/>
        <s v="2023-08-22 08:53 (PST)"/>
        <s v="2023-12-01 15:27 (-08)"/>
        <s v="2023-11-25 10:24 (-08)"/>
        <s v="2023-01-18 03:51 (-08)"/>
        <s v="2023-11-13 07:00 (-08)"/>
        <s v="2023-11-30 23:00 (-08)"/>
        <s v="2023-11-02 16:24 (PST)"/>
        <s v="2023-11-19 10:27 (-08)"/>
        <s v="2023-12-05 14:25 (-08)"/>
        <s v="2023-12-11 16:08 (PST)"/>
        <s v="2023-12-01 08:56 (PST)"/>
        <s v="2023-12-13 11:01 (PST)"/>
        <s v="2023-10-21 05:56 (-08)"/>
        <s v="2023-12-18 02:00 (-08)"/>
        <s v="2023-12-19 02:52 (-08)"/>
        <s v="2023-09-27 06:00 (-08)"/>
        <s v="2023-12-19 04:58 (PST)"/>
        <s v="2023-12-24 02:00 (-08)"/>
        <s v="2023-12-21 04:25 (-08)"/>
        <s v="2023-09-22 14:24 (PST)"/>
        <s v="2023-12-31 14:00 (PST)"/>
        <s v="2023-08-26 05:26 (PST)"/>
        <s v="2023-11-02 08:00 (PST)"/>
        <s v="2022-06-08 01:52 (-08)"/>
        <s v="2024-01-08 07:00 (-08)"/>
        <s v="2024-01-08 15:27 (-08)"/>
        <s v="2024-01-02 09:25 (PST)"/>
        <s v="2024-01-14 10:25 (-08)"/>
        <s v="2024-01-12 08:00 (-08)"/>
        <s v="2024-01-11 08:00 (-08)"/>
        <s v="2024-01-15 05:08 (PST)"/>
        <s v="2020-10-05 07:00 (PST)"/>
        <s v="2020-10-29 13:51 (PST)"/>
        <s v="2020-10-18 07:00 (PST)"/>
        <s v="2020-10-18 10:17 (PST)"/>
        <s v="2020-10-23 06:30 (PST)"/>
        <s v="2020-11-09 16:23 (PST)"/>
        <s v="2020-10-29 05:30 (PST)"/>
        <s v="2020-10-17 08:51 (PST)"/>
        <s v="2020-08-21 06:00 (PST)"/>
        <s v="2020-11-16 15:23 (PST)"/>
        <s v="2020-12-03 13:55 (PST)"/>
        <s v="2020-11-18 14:52 (PST)"/>
        <s v="2020-11-26 10:08 (PST)"/>
        <s v="2020-12-10 22:00 (PST)"/>
        <s v="2020-12-12 06:24 (PST)"/>
        <s v="2020-12-10 14:48 (PST)"/>
        <s v="2020-12-08 14:34 (PST)"/>
        <s v="2020-12-16 22:00 (PST)"/>
        <s v="2020-12-24 06:00 (PST)"/>
        <s v="2020-12-20 08:35 (PST)"/>
        <s v="2020-12-28 13:50 (PST)"/>
        <s v="2020-12-01 17:05 (PST)"/>
        <s v="2020-12-29 16:00 (PST)"/>
        <s v="2021-01-09 04:54 (PST)"/>
        <s v="2017-05-23 08:00 (PST)"/>
        <s v="2021-01-06 15:39 (PST)"/>
        <s v="2021-01-10 07:52 (PST)"/>
        <s v="2021-01-20 07:38 (PST)"/>
        <s v="2020-11-24 05:27 (PST)"/>
        <s v="2020-12-09 15:26 (PST)"/>
        <s v="2020-07-19 01:00 (PST)"/>
        <s v="2020-12-12 23:00 (PST)"/>
        <s v="2020-11-15 08:25 (PST)"/>
        <s v="2021-02-07 10:19 (PST)"/>
        <s v="2020-12-18 06:00 (PST)"/>
        <s v="2021-02-16 08:00 (PST)"/>
        <s v="2021-03-01 06:00 (-08)"/>
        <s v="2021-02-15 07:28 (PST)"/>
        <s v="2021-03-12 07:00 (PST)"/>
        <s v="2021-03-03 09:20 (-07)"/>
        <s v="2020-04-19 03:30 (-07)"/>
        <s v="2021-03-09 12:02 (-07)"/>
        <s v="2021-03-16 17:05 (-07)"/>
        <s v="2020-08-14 05:00 (PST)"/>
        <s v="2021-03-20 08:38 (PST)"/>
        <s v="2021-03-26 06:38 (PST)"/>
        <s v="2020-10-12 07:00 (PST)"/>
        <s v="2021-02-04 05:27 (PST)"/>
        <s v="2019-09-13 10:40 (-07)"/>
        <s v="2019-09-05 02:47 (-07)"/>
        <s v="2020-08-08 04:51 (-07)"/>
        <s v="2021-03-14 23:00 (-07)"/>
        <s v="2020-11-30 15:34 (PST)"/>
        <s v="2021-03-30 07:00 (PST)"/>
        <s v="2019-12-10 16:18 (PST)"/>
        <s v="2019-08-08 08:18 (-07)"/>
        <s v="2021-04-11 10:21 (-07)"/>
        <s v="2021-04-23 14:00 (-07)"/>
        <s v="2020-01-22 09:18 (-07)"/>
        <s v="2021-03-18 07:00 (-07)"/>
        <s v="2021-04-27 22:00 (-07)"/>
        <s v="2021-05-01 10:36 (PST)"/>
        <s v="2021-04-24 06:20 (PST)"/>
        <s v="2021-03-24 05:26 (PST)"/>
        <s v="2021-03-16 10:00 (PST)"/>
        <s v="2021-04-24 06:58 (PST)"/>
        <s v="2021-05-12 14:56 (PST)"/>
        <s v="2021-05-21 07:00 (PST)"/>
        <s v="2021-05-23 05:26 (PST)"/>
        <s v="2021-06-01 07:00 (PST)"/>
        <s v="2021-02-12 09:25 (-07)"/>
        <s v="2021-04-23 05:18 (-07)"/>
        <s v="2021-06-09 07:00 (-07)"/>
        <s v="2021-05-28 07:21 (PST)"/>
        <s v="2020-09-23 07:00 (PST)"/>
        <s v="2019-08-22 08:19 (-07)"/>
        <s v="2021-05-07 06:00 (-07)"/>
        <s v="2021-06-20 22:35 (-07)"/>
        <s v="2021-01-14 06:00 (PST)"/>
        <s v="2021-06-15 14:52 (PST)"/>
        <s v="2021-06-07 15:36 (PST)"/>
        <s v="2021-01-12 05:55 (-07)"/>
        <s v="2021-07-03 05:00 (-07)"/>
        <s v="2021-06-28 07:00 (-07)"/>
        <s v="2020-06-09 08:00 (PST)"/>
        <s v="2021-02-16 05:36 (PST)"/>
        <s v="2021-06-12 04:52 (-07)"/>
        <s v="2021-07-19 07:00 (-07)"/>
        <s v="2020-10-28 05:25 (PST)"/>
        <s v="2021-07-23 14:52 (PST)"/>
        <s v="2021-08-05 07:00 (PST)"/>
        <s v="2020-09-25 05:49 (PST)"/>
        <s v="2021-08-10 14:00 (-07)"/>
        <s v="2021-08-02 07:00 (-07)"/>
        <s v="2021-08-13 07:43 (-07)"/>
        <s v="2021-08-21 07:52 (PST)"/>
        <s v="2021-08-17 09:41 (PST)"/>
        <s v="2021-08-31 08:00 (PST)"/>
        <s v="2021-09-09 03:25 (-07)"/>
        <s v="2021-08-18 07:00 (-07)"/>
        <s v="2020-11-20 08:00 (-07)"/>
        <s v="2020-02-19 06:10 (PST)"/>
        <s v="2020-02-19 06:40 (PST)"/>
        <s v="2020-11-19 15:00 (-07)"/>
        <s v="2021-01-18 14:51 (-07)"/>
        <s v="2021-08-05 02:55 (-07)"/>
        <s v="2021-09-01 15:37 (-07)"/>
        <s v="2021-09-30 07:58 (PST)"/>
        <s v="2020-09-11 04:53 (-07)"/>
        <s v="2021-09-28 06:01 (-07)"/>
        <s v="2021-10-13 08:00 (PST)"/>
        <s v="2021-10-27 08:55 (PST)"/>
        <s v="2021-10-26 08:00 (PST)"/>
        <s v="2021-11-04 07:04 (PST)"/>
        <s v="2021-10-27 07:30 (PST)"/>
        <s v="2021-11-05 06:23 (PST)"/>
        <s v="2021-09-20 15:38 (PST)"/>
        <s v="2021-10-14 07:00 (-08)"/>
        <s v="2020-03-07 09:35 (-08)"/>
        <s v="2021-10-29 06:06 (-08)"/>
        <s v="2021-11-11 15:37 (PST)"/>
        <s v="2021-04-03 03:21 (-08)"/>
        <s v="2019-04-30 11:03 (-08)"/>
        <s v="2021-09-07 05:00 (-08)"/>
        <s v="2021-08-22 07:49 (PST)"/>
        <s v="2021-11-27 08:45 (PST)"/>
        <s v="2019-04-24 05:19 (PST)"/>
        <s v="2021-12-15 02:52 (-08)"/>
        <s v="2021-01-03 06:00 (-08)"/>
        <s v="2021-08-30 16:23 (PST)"/>
        <s v="2021-12-11 08:36 (PST)"/>
        <s v="2021-10-07 14:50 (PST)"/>
        <s v="2021-11-23 07:30 (PST)"/>
        <s v="2020-11-17 07:00 (PST)"/>
        <s v="2021-12-21 08:00 (PST)"/>
        <s v="2021-11-19 06:25 (PST)"/>
        <s v="2022-01-01 00:00 (PST)"/>
        <s v="2019-07-28 07:48 (PST)"/>
        <s v="2021-12-30 17:00 (PST)"/>
        <s v="2021-11-20 04:52 (-08)"/>
        <s v="2019-05-31 07:20 (PST)"/>
        <s v="2020-02-05 15:31 (PST)"/>
        <s v="2021-10-16 03:23 (-08)"/>
        <s v="2022-01-18 13:45 (-08)"/>
        <s v="2022-01-25 08:00 (-08)"/>
        <s v="2020-02-03 15:31 (PST)"/>
        <s v="2021-01-16 04:54 (-08)"/>
        <s v="2022-01-13 08:00 (-08)"/>
        <s v="2022-01-26 09:27 (PST)"/>
        <s v="2022-01-24 09:38 (PST)"/>
        <s v="2020-01-16 13:22 (PST)"/>
        <s v="2022-01-13 14:55 (PST)"/>
        <s v="2019-10-24 12:42 (PST)"/>
        <s v="2022-01-16 07:52 (PST)"/>
        <s v="2019-07-23 13:00 (PST)"/>
        <s v="2022-02-08 07:00 (PST)"/>
        <s v="2022-01-11 00:55 (PST)"/>
        <s v="2022-02-24 05:20 (PST)"/>
        <s v="2022-02-15 07:00 (PST)"/>
        <s v="2022-02-25 07:00 (PST)"/>
        <s v="2022-03-05 08:34 (PST)"/>
        <s v="2022-02-21 09:25 (PST)"/>
        <s v="2022-01-22 07:51 (PST)"/>
        <s v="2022-02-20 08:36 (PST)"/>
        <s v="2022-02-23 08:00 (-08)"/>
        <s v="2022-02-17 08:00 (-08)"/>
        <s v="2022-03-18 08:00 (-07)"/>
        <s v="2022-01-29 05:54 (-07)"/>
        <s v="2021-10-19 10:30 (-07)"/>
        <s v="2022-03-17 08:00 (-07)"/>
        <s v="2021-04-05 22:45 (-07)"/>
        <s v="2022-03-17 17:09 (PST)"/>
        <s v="2021-12-10 06:59 (PST)"/>
        <s v="2022-04-01 04:24 (PST)"/>
        <s v="2021-02-27 06:36 (PST)"/>
        <s v="2022-04-05 04:49 (PST)"/>
        <s v="2022-04-09 08:37 (PST)"/>
        <s v="2021-02-18 15:28 (PST)"/>
        <s v="2020-09-19 04:51 (-07)"/>
        <s v="2022-02-10 06:19 (PST)"/>
        <s v="2020-01-18 10:52 (-07)"/>
        <s v="2022-04-19 14:37 (-07)"/>
        <s v="2022-04-22 07:00 (-07)"/>
        <s v="2022-04-20 07:00 (-07)"/>
        <s v="2022-04-22 08:00 (PST)"/>
        <s v="2021-09-11 05:54 (-07)"/>
        <s v="2022-04-25 07:00 (PST)"/>
        <s v="2021-01-03 06:30 (-07)"/>
        <s v="2021-01-03 06:45 (-07)"/>
        <s v="2022-05-04 04:25 (-07)"/>
        <s v="2020-09-08 04:49 (-07)"/>
        <s v="2022-05-06 14:37 (PST)"/>
        <s v="2022-05-06 07:00 (PST)"/>
        <s v="2022-05-11 07:00 (PST)"/>
        <s v="2022-05-19 08:00 (PST)"/>
        <s v="2022-05-13 05:12 (PST)"/>
        <s v="2022-05-06 15:00 (PST)"/>
        <s v="2022-04-23 07:55 (PST)"/>
        <s v="2021-05-29 04:24 (-07)"/>
        <s v="2022-03-23 04:51 (PST)"/>
        <s v="2022-06-01 08:00 (PST)"/>
        <s v="2019-11-25 05:31 (PST)"/>
        <s v="2022-05-22 07:53 (PST)"/>
        <s v="2020-08-22 07:00 (PST)"/>
        <s v="2022-02-01 06:56 (PST)"/>
        <s v="2022-07-02 08:39 (PST)"/>
        <s v="2020-06-09 13:00 (-07)"/>
        <s v="2022-05-18 07:37 (-07)"/>
        <s v="2022-07-09 09:52 (-07)"/>
        <s v="2022-06-22 09:37 (-07)"/>
        <s v="2022-07-12 07:07 (PST)"/>
        <s v="2022-06-27 04:52 (PST)"/>
        <s v="2022-04-21 07:15 (PST)"/>
        <s v="2022-07-06 08:00 (PST)"/>
        <s v="2022-08-09 08:00 (PST)"/>
        <s v="2022-08-18 07:00 (PST)"/>
        <s v="2021-08-24 05:00 (PST)"/>
        <s v="2021-11-23 09:00 (PST)"/>
        <s v="2021-09-14 08:00 (PST)"/>
        <s v="2022-09-24 04:55 (-07)"/>
        <s v="2022-10-10 08:00 (-07)"/>
        <s v="2022-10-14 06:00 (-07)"/>
        <s v="2022-10-03 13:00 (-07)"/>
        <s v="2022-10-24 15:00 (GMT)"/>
        <s v="2022-11-11 12:25 (EST)"/>
        <s v="2022-11-04 07:25 (PST)"/>
        <s v="2022-11-12 06:10 (PST)"/>
        <s v="2022-11-17 16:07 (PST)"/>
        <s v="2020-12-02 02:53 (-08)"/>
        <s v="2022-11-28 08:00 (-08)"/>
        <s v="2022-11-27 09:27 (-08)"/>
        <s v="2022-11-18 07:25 (PST)"/>
        <s v="2022-11-23 14:38 (PST)"/>
        <s v="2022-12-08 08:00 (PST)"/>
        <s v="2022-12-05 05:06 (PST)"/>
        <s v="2022-12-07 11:00 (EST)"/>
        <s v="2022-12-13 11:00 (EST)"/>
        <s v="2022-12-01 11:02 (EST)"/>
        <s v="2022-11-15 10:00 (EST)"/>
        <s v="2022-11-23 11:00 (EST)"/>
        <s v="2022-12-23 09:26 (PST)"/>
        <s v="2022-12-17 10:40 (PST)"/>
        <s v="2022-09-15 16:08 (PST)"/>
        <s v="2021-02-02 08:00 (PST)"/>
        <s v="2022-11-14 22:55 (-08)"/>
        <s v="2022-11-16 07:40 (-08)"/>
        <s v="2021-07-31 07:49 (PST)"/>
        <s v="2023-01-20 08:00 (PST)"/>
        <s v="2022-11-19 04:55 (-08)"/>
        <s v="2022-12-26 05:00 (-08)"/>
        <s v="2023-01-17 08:00 (PST)"/>
        <s v="2023-01-24 19:07 (EST)"/>
        <s v="2023-02-03 13:02 (EST)"/>
        <s v="2023-01-31 08:00 (PST)"/>
        <s v="2023-02-09 08:00 (PST)"/>
        <s v="2023-02-18 06:10 (PST)"/>
        <s v="2022-04-27 12:52 (-08)"/>
        <s v="2019-10-03 03:49 (-08)"/>
        <s v="2023-02-21 01:00 (-08)"/>
        <s v="2023-02-22 07:00 (PST)"/>
        <s v="2022-10-17 13:00 (PST)"/>
        <s v="2023-02-16 02:52 (-08)"/>
        <s v="2023-02-17 08:54 (PST)"/>
        <s v="2023-03-04 06:00 (PST)"/>
        <s v="2023-02-16 06:54 (-04)"/>
        <s v="2023-03-14 18:10 (-04)"/>
        <s v="2023-03-17 11:55 (-04)"/>
        <s v="2023-02-15 11:00 (EST)"/>
        <s v="2023-03-08 08:00 (-07)"/>
        <s v="2021-01-30 05:52 (-07)"/>
        <s v="2022-05-15 08:00 (-07)"/>
        <s v="2023-03-30 23:00 (-07)"/>
        <s v="2023-03-31 14:24 (PST)"/>
        <s v="2023-03-04 12:55 (-07)"/>
        <s v="2023-04-12 08:00 (-07)"/>
        <s v="2023-04-14 08:00 (-07)"/>
        <s v="2023-03-23 07:00 (-07)"/>
        <s v="2023-04-21 08:00 (PST)"/>
        <s v="2023-04-28 14:24 (PST)"/>
        <s v="2023-04-28 08:00 (PST)"/>
        <s v="2023-02-13 11:24 (-07)"/>
        <s v="2020-05-27 13:20 (-07)"/>
        <s v="2023-05-03 11:08 (PST)"/>
        <s v="2023-05-11 07:00 (-07)"/>
        <s v="2023-01-11 04:54 (-07)"/>
        <s v="2023-05-11 23:00 (-07)"/>
        <s v="2023-04-27 08:00 (PST)"/>
        <s v="2023-05-02 07:00 (PST)"/>
        <s v="2023-05-24 04:25 (-07)"/>
        <s v="2023-05-19 07:00 (-07)"/>
        <s v="2023-04-04 02:55 (-07)"/>
        <s v="2019-10-08 06:50 (PST)"/>
        <s v="2023-05-03 10:38 (MST)"/>
        <s v="2023-04-06 04:22 (-07)"/>
        <s v="2023-06-20 07:00 (PST)"/>
        <s v="2023-06-28 09:00 (PST)"/>
        <s v="2022-12-19 04:22 (PST)"/>
        <s v="2023-06-09 07:00 (-07)"/>
        <s v="2023-04-01 11:56 (-07)"/>
        <s v="2023-07-05 08:00 (-07)"/>
        <s v="2023-06-12 08:00 (PST)"/>
        <s v="2023-05-16 09:39 (PST)"/>
        <s v="2023-05-01 16:08 (PST)"/>
        <s v="2023-07-26 11:00 (PST)"/>
        <s v="2023-07-24 16:08 (PST)"/>
        <s v="2023-08-08 12:29 (EST)"/>
        <s v="2022-05-20 10:00 (EST)"/>
        <s v="2023-07-17 10:00 (EST)"/>
        <s v="2023-06-08 10:00 (EST)"/>
        <s v="2023-07-16 12:55 (EST)"/>
        <s v="2021-12-17 07:00 (PST)"/>
        <s v="2019-11-13 16:19 (PST)"/>
        <s v="2023-05-22 07:00 (-07)"/>
        <s v="2023-08-13 09:27 (-07)"/>
        <s v="2023-08-25 07:26 (-07)"/>
        <s v="2023-08-31 07:00 (-07)"/>
        <s v="2023-08-18 14:24 (PST)"/>
        <s v="2021-09-28 08:00 (PST)"/>
        <s v="2023-09-07 09:30 (PST)"/>
        <s v="2023-07-14 08:56 (PST)"/>
        <s v="2023-03-19 10:01 (PST)"/>
        <s v="2023-09-13 09:00 (MST)"/>
        <s v="2023-09-12 09:00 (MST)"/>
        <s v="2023-09-20 11:09 (PST)"/>
        <s v="2023-09-30 06:00 (PST)"/>
        <s v="2023-10-05 08:00 (PST)"/>
        <s v="2023-09-12 14:23 (-07)"/>
        <s v="2023-10-05 23:00 (-07)"/>
        <s v="2023-08-17 08:00 (-07)"/>
        <s v="2023-10-18 04:23 (-07)"/>
        <s v="2023-10-19 23:00 (-07)"/>
        <s v="2023-10-28 06:01 (PST)"/>
        <s v="2023-11-03 09:55 (-07)"/>
        <s v="2020-01-16 03:47 (-07)"/>
        <s v="2023-10-16 07:00 (-07)"/>
        <s v="2023-10-31 08:00 (-07)"/>
        <s v="2023-10-24 23:00 (-07)"/>
        <s v="2023-11-08 07:00 (-08)"/>
        <s v="2021-10-28 09:26 (-08)"/>
        <s v="2023-06-08 22:00 (-08)"/>
        <s v="2023-11-02 04:40 (-08)"/>
        <s v="2023-11-09 23:00 (-08)"/>
        <s v="2023-11-16 15:09 (PST)"/>
        <s v="2022-11-09 03:53 (-08)"/>
        <s v="2023-11-17 08:00 (-08)"/>
        <s v="2023-11-16 23:00 (-08)"/>
        <s v="2023-11-17 05:00 (PST)"/>
        <s v="2023-11-21 16:09 (PST)"/>
        <s v="2023-12-08 07:00 (-08)"/>
        <s v="2023-10-31 07:00 (-08)"/>
        <s v="2023-11-26 10:55 (-08)"/>
        <s v="2023-11-28 08:00 (-08)"/>
        <s v="2023-11-28 23:00 (-08)"/>
        <s v="2020-02-06 08:00 (PST)"/>
        <s v="2023-12-20 15:27 (-08)"/>
        <s v="2023-12-02 04:54 (-08)"/>
        <s v="2023-12-07 23:00 (-08)"/>
        <s v="2023-10-10 08:00 (PST)"/>
        <s v="2020-12-06 10:21 (-08)"/>
        <s v="2023-03-20 04:25 (PST)"/>
        <s v="2020-02-09 07:33 (PST)"/>
        <s v="2020-03-07 06:17 (PST)"/>
        <s v="2020-03-23 10:18 (PST)"/>
        <s v="2020-02-04 14:48 (PST)"/>
        <s v="2020-04-25 05:55 (PST)"/>
        <s v="2020-10-24 04:56 (PST)"/>
        <s v="2020-10-12 05:30 (PST)"/>
        <s v="2020-08-16 07:00 (PST)"/>
        <s v="2020-10-15 14:52 (PST)"/>
        <s v="2020-01-22 08:18 (PST)"/>
        <s v="2020-11-11 16:20 (PST)"/>
        <s v="2020-11-11 16:00 (PST)"/>
        <s v="2020-11-17 13:54 (PST)"/>
        <s v="2020-12-04 04:23 (PST)"/>
        <s v="2020-07-14 09:04 (PST)"/>
        <s v="2020-12-12 04:53 (PST)"/>
        <s v="2020-11-30 14:52 (PST)"/>
        <s v="2020-12-15 04:26 (PST)"/>
        <s v="2020-07-27 17:05 (PST)"/>
        <s v="2020-12-23 02:53 (PST)"/>
        <s v="2020-12-23 05:36 (PST)"/>
        <s v="2020-12-15 15:36 (PST)"/>
        <s v="2020-12-29 05:54 (PST)"/>
        <s v="2020-12-21 14:54 (PST)"/>
        <s v="2020-11-24 08:00 (PST)"/>
        <s v="2021-01-07 23:52 (PST)"/>
        <s v="2021-01-07 15:37 (PST)"/>
        <s v="2020-11-19 07:00 (PST)"/>
        <s v="2021-01-15 05:19 (PST)"/>
        <s v="2021-01-12 04:52 (PST)"/>
        <s v="2020-07-30 13:49 (-08)"/>
        <s v="2020-12-07 06:00 (-08)"/>
        <s v="2020-03-04 15:19 (-08)"/>
        <s v="2020-12-18 06:00 (-08)"/>
        <s v="2021-01-20 17:05 (-08)"/>
        <s v="2019-01-23 06:01 (PST)"/>
        <s v="2020-12-01 05:38 (PST)"/>
        <s v="2020-11-18 15:38 (PST)"/>
        <s v="2019-05-14 15:01 (PST)"/>
        <s v="2020-11-16 14:53 (PST)"/>
        <s v="2021-02-10 07:00 (PST)"/>
        <s v="2021-02-26 06:35 (PST)"/>
        <s v="2021-03-05 09:00 (PST)"/>
        <s v="2021-03-07 06:39 (PST)"/>
        <s v="2021-03-04 07:00 (-07)"/>
        <s v="2021-03-05 07:30 (-07)"/>
        <s v="2020-12-02 14:54 (PST)"/>
        <s v="2021-03-11 07:00 (PST)"/>
        <s v="2021-03-19 06:28 (PST)"/>
        <s v="2020-12-07 03:51 (-07)"/>
        <s v="2021-03-14 09:33 (-07)"/>
        <s v="2021-03-18 05:00 (PST)"/>
        <s v="2020-11-15 08:00 (PST)"/>
        <s v="2021-03-16 08:00 (PST)"/>
        <s v="2021-03-08 18:06 (-07)"/>
        <s v="2020-10-26 05:30 (-07)"/>
        <s v="2021-03-24 07:00 (PST)"/>
        <s v="2021-01-31 07:54 (PST)"/>
        <s v="2020-12-22 05:28 (PST)"/>
        <s v="2020-01-09 16:19 (PST)"/>
        <s v="2020-10-04 07:50 (PST)"/>
        <s v="2021-05-02 11:52 (PST)"/>
        <s v="2021-04-25 10:23 (-07)"/>
        <s v="2021-04-13 06:00 (-07)"/>
        <s v="2020-10-19 07:00 (PST)"/>
        <s v="2021-05-06 14:55 (PST)"/>
        <s v="2020-01-30 05:30 (-07)"/>
        <s v="2020-12-21 06:30 (-07)"/>
        <s v="2021-05-13 08:08 (PST)"/>
        <s v="2021-05-12 07:24 (PST)"/>
        <s v="2019-07-12 11:16 (PST)"/>
        <s v="2021-04-20 07:00 (PST)"/>
        <s v="2021-05-13 15:30 (PST)"/>
        <s v="2021-05-13 15:17 (PST)"/>
        <s v="2020-01-27 09:18 (-07)"/>
        <s v="2021-05-18 09:41 (-07)"/>
        <s v="2021-05-02 22:00 (-07)"/>
        <s v="2021-05-27 15:37 (PST)"/>
        <s v="2019-11-09 10:35 (-07)"/>
        <s v="2021-05-23 22:00 (-07)"/>
        <s v="2021-05-21 08:25 (PST)"/>
        <s v="2021-06-08 07:00 (PST)"/>
        <s v="2021-05-26 02:54 (-07)"/>
        <s v="2021-06-01 06:00 (-07)"/>
        <s v="2021-05-11 05:56 (-07)"/>
        <s v="2021-02-11 14:55 (PST)"/>
        <s v="2021-06-08 05:37 (PST)"/>
        <s v="2021-06-15 07:00 (PST)"/>
        <s v="2019-09-26 02:48 (-07)"/>
        <s v="2020-08-12 05:38 (-07)"/>
        <s v="2021-06-23 07:00 (PST)"/>
        <s v="2021-07-10 08:37 (PST)"/>
        <s v="2020-12-07 08:00 (PST)"/>
        <s v="2021-07-08 16:24 (-07)"/>
        <s v="2021-06-21 06:01 (-07)"/>
        <s v="2021-07-08 06:11 (-07)"/>
        <s v="2021-02-10 05:27 (PST)"/>
        <s v="2021-05-05 02:49 (-07)"/>
        <s v="2021-05-25 04:53 (-07)"/>
        <s v="2021-07-12 11:02 (-07)"/>
        <s v="2021-05-14 06:00 (-07)"/>
        <s v="2021-06-11 14:00 (-07)"/>
        <s v="2020-03-05 16:18 (PST)"/>
        <s v="2021-05-08 07:08 (PST)"/>
        <s v="2021-05-13 07:00 (PST)"/>
        <s v="2021-08-06 07:00 (PST)"/>
        <s v="2021-08-05 08:07 (PST)"/>
        <s v="2021-07-21 02:52 (-07)"/>
        <s v="2021-08-14 11:00 (-07)"/>
        <s v="2021-08-04 07:00 (-07)"/>
        <s v="2020-02-26 15:31 (PST)"/>
        <s v="2021-08-21 07:08 (PST)"/>
        <s v="2021-06-23 07:59 (PST)"/>
        <s v="2021-08-18 07:00 (PST)"/>
        <s v="2020-06-13 14:00 (-07)"/>
        <s v="2021-08-23 05:38 (PST)"/>
        <s v="2021-08-22 05:27 (PST)"/>
        <s v="2021-08-23 07:00 (PST)"/>
        <s v="2021-04-23 00:56 (-07)"/>
        <s v="2021-06-27 05:35 (-07)"/>
        <s v="2020-10-30 12:00 (-07)"/>
        <s v="2021-08-18 15:37 (-07)"/>
        <s v="2020-02-19 06:15 (PST)"/>
        <s v="2021-04-03 08:11 (-07)"/>
        <s v="2021-09-19 07:49 (PST)"/>
        <s v="2020-02-19 06:45 (PST)"/>
        <s v="2021-09-18 06:59 (PST)"/>
        <s v="2020-11-18 06:50 (PST)"/>
        <s v="2021-10-06 07:07 (PST)"/>
        <s v="2020-12-06 07:52 (PST)"/>
        <s v="2021-10-22 08:00 (MST)"/>
        <s v="2021-10-04 08:00 (-07)"/>
        <s v="2021-10-13 07:30 (-07)"/>
        <s v="2021-10-30 08:36 (PST)"/>
        <s v="2020-10-21 14:56 (PST)"/>
        <s v="2021-11-06 06:30 (PST)"/>
        <s v="2021-10-22 06:25 (PST)"/>
        <s v="2021-11-12 07:09 (PST)"/>
        <s v="2021-11-18 15:40 (PST)"/>
        <s v="2020-10-03 03:48 (-08)"/>
        <s v="2018-10-05 08:56 (-08)"/>
        <s v="2021-10-18 05:39 (PST)"/>
        <s v="2020-10-25 06:00 (-08)"/>
        <s v="2021-10-30 23:30 (-08)"/>
        <s v="2021-01-24 10:19 (-08)"/>
        <s v="2021-11-17 08:00 (-08)"/>
        <s v="2021-11-16 07:00 (PST)"/>
        <s v="2021-11-23 15:28 (PST)"/>
        <s v="2021-12-01 14:52 (PST)"/>
        <s v="2021-09-24 05:00 (-08)"/>
        <s v="2021-04-10 03:24 (-08)"/>
        <s v="2020-08-06 07:23 (PST)"/>
        <s v="2021-09-18 03:53 (-08)"/>
        <s v="2021-12-18 10:40 (-08)"/>
        <s v="2021-06-04 00:15 (-08)"/>
        <s v="2021-04-12 07:00 (PST)"/>
        <s v="2020-12-08 04:24 (-08)"/>
        <s v="2021-05-29 10:00 (-08)"/>
        <s v="2021-12-08 07:00 (PST)"/>
        <s v="2021-04-25 07:08 (PST)"/>
        <s v="2021-04-23 05:00 (-08)"/>
        <s v="2019-09-10 23:47 (-08)"/>
        <s v="2021-09-13 08:10 (PST)"/>
        <s v="2021-08-09 07:00 (PST)"/>
        <s v="2021-12-15 09:28 (PST)"/>
        <s v="2021-10-20 07:09 (PST)"/>
        <s v="2022-01-05 09:41 (PST)"/>
        <s v="2021-04-28 08:09 (PST)"/>
        <s v="2021-11-12 07:00 (PST)"/>
        <s v="2022-01-09 07:06 (PST)"/>
        <s v="2020-01-30 14:49 (PST)"/>
        <s v="2021-04-29 07:00 (PST)"/>
        <s v="2019-12-15 13:30 (PST)"/>
        <s v="2019-11-23 14:00 (PST)"/>
        <s v="2019-09-11 15:31 (PST)"/>
        <s v="2022-01-20 15:27 (PST)"/>
        <s v="2020-09-02 04:52 (PST)"/>
        <s v="2020-03-05 15:31 (PST)"/>
        <s v="2020-09-15 05:15 (-08)"/>
        <s v="2022-01-29 01:35 (-08)"/>
        <s v="2022-01-21 06:55 (PST)"/>
        <s v="2019-12-22 05:00 (PST)"/>
        <s v="2020-01-12 09:10 (PST)"/>
        <s v="2021-09-14 07:00 (PST)"/>
        <s v="2020-07-10 13:00 (PST)"/>
        <s v="2022-02-01 08:00 (PST)"/>
        <s v="2021-06-21 08:06 (PST)"/>
        <s v="2021-05-25 05:36 (PST)"/>
        <s v="2022-02-02 04:00 (PST)"/>
        <s v="2019-11-24 05:00 (PST)"/>
        <s v="2020-01-03 07:55 (PST)"/>
        <s v="2019-11-24 09:18 (PST)"/>
        <s v="2019-11-11 10:07 (PST)"/>
        <s v="2022-01-10 08:50 (PST)"/>
        <s v="2022-02-16 04:25 (PST)"/>
        <s v="2021-10-09 03:53 (-08)"/>
        <s v="2021-04-20 05:00 (-08)"/>
        <s v="2019-08-22 15:01 (PST)"/>
        <s v="2019-08-05 13:02 (PST)"/>
        <s v="2020-07-11 03:49 (-08)"/>
        <s v="2022-02-06 23:00 (-08)"/>
        <s v="2021-11-24 07:00 (-08)"/>
        <s v="2022-02-20 23:00 (-08)"/>
        <s v="2019-10-09 07:04 (PST)"/>
        <s v="2022-02-27 07:50 (PST)"/>
        <s v="2022-03-01 08:00 (PST)"/>
        <s v="2022-03-04 14:38 (PST)"/>
        <s v="2022-01-08 04:22 (-08)"/>
        <s v="2022-02-28 04:37 (-08)"/>
        <s v="2022-02-12 07:55 (PST)"/>
        <s v="2021-09-05 06:45 (-07)"/>
        <s v="2022-03-07 07:32 (-07)"/>
        <s v="2022-02-15 13:32 (-07)"/>
        <s v="2022-02-23 07:05 (PST)"/>
        <s v="2022-03-12 08:37 (PST)"/>
        <s v="2022-03-18 14:27 (PST)"/>
        <s v="2022-02-24 07:00 (PST)"/>
        <s v="2021-05-26 14:52 (PST)"/>
        <s v="2022-02-18 14:36 (PST)"/>
        <s v="2022-03-27 07:51 (PST)"/>
        <s v="2022-03-27 11:07 (PST)"/>
        <s v="2022-03-28 08:52 (PST)"/>
        <s v="2022-04-08 14:37 (PST)"/>
        <s v="2022-03-05 07:50 (PST)"/>
        <s v="2022-03-05 05:51 (-07)"/>
        <s v="2022-02-09 09:00 (-07)"/>
        <s v="2022-04-06 09:37 (-07)"/>
        <s v="2022-04-05 03:30 (-07)"/>
        <s v="2022-01-24 05:36 (PST)"/>
        <s v="2022-04-15 14:27 (PST)"/>
        <s v="2022-02-10 04:51 (PST)"/>
        <s v="2022-04-13 13:55 (PST)"/>
        <s v="2020-11-25 05:35 (PST)"/>
        <s v="2022-04-18 15:37 (PST)"/>
        <s v="2020-11-15 06:45 (PST)"/>
        <s v="2022-02-23 03:54 (-07)"/>
        <s v="2022-04-29 02:52 (-07)"/>
        <s v="2022-05-03 06:57 (PST)"/>
        <s v="2019-11-26 16:21 (PST)"/>
        <s v="2022-05-15 07:53 (PST)"/>
        <s v="2022-04-07 15:38 (PST)"/>
        <s v="2022-05-18 08:00 (PST)"/>
        <s v="2022-04-28 07:00 (PST)"/>
        <s v="2022-04-25 05:37 (PST)"/>
        <s v="2022-05-31 08:00 (PST)"/>
        <s v="2022-06-12 07:52 (PST)"/>
        <s v="2022-06-11 08:38 (PST)"/>
        <s v="2022-06-07 07:00 (-07)"/>
        <s v="2021-08-21 04:55 (-07)"/>
        <s v="2022-06-01 08:00 (-07)"/>
        <s v="2022-06-07 08:00 (PST)"/>
        <s v="2020-08-05 08:38 (PST)"/>
        <s v="2022-06-09 05:02 (-07)"/>
        <s v="2022-04-25 09:37 (-07)"/>
        <s v="2022-04-15 08:00 (PST)"/>
        <s v="2019-10-24 08:00 (PST)"/>
        <s v="2022-07-10 07:55 (PST)"/>
        <s v="2022-07-08 08:00 (PST)"/>
        <s v="2021-12-18 07:52 (PST)"/>
        <s v="2022-07-12 08:00 (PST)"/>
        <s v="2022-07-18 08:53 (PST)"/>
        <s v="2022-04-14 17:08 (PST)"/>
        <s v="2022-07-26 04:53 (PST)"/>
        <s v="2022-07-31 07:55 (PST)"/>
        <s v="2020-09-28 07:36 (PST)"/>
        <s v="2021-04-24 04:23 (-07)"/>
        <s v="2022-08-11 05:02 (-07)"/>
        <s v="2022-08-07 07:55 (PST)"/>
        <s v="2022-08-08 08:00 (PST)"/>
        <s v="2022-08-21 07:55 (PST)"/>
        <s v="2022-08-19 07:00 (PST)"/>
        <s v="2022-08-17 08:00 (PST)"/>
        <s v="2022-09-02 09:25 (PST)"/>
        <s v="2022-08-24 03:52 (-07)"/>
        <s v="2022-08-19 03:56 (-07)"/>
        <s v="2022-09-09 07:24 (PST)"/>
        <s v="2022-09-10 05:25 (PST)"/>
        <s v="2022-09-15 08:00 (PST)"/>
        <s v="2022-09-22 08:00 (PST)"/>
        <s v="2020-09-23 02:48 (-07)"/>
        <s v="2022-09-14 16:39 (-07)"/>
        <s v="2022-09-25 09:27 (-07)"/>
        <s v="2022-10-01 06:11 (PST)"/>
        <s v="2022-10-04 09:38 (PST)"/>
        <s v="2022-10-14 08:00 (PST)"/>
        <s v="2022-10-07 13:00 (PST)"/>
        <s v="2022-10-15 06:10 (PST)"/>
        <s v="2022-10-18 09:37 (PST)"/>
        <s v="2022-10-28 14:25 (GMT)"/>
        <s v="2022-10-26 15:00 (GMT)"/>
        <s v="2022-11-01 15:00 (GMT)"/>
        <s v="2022-09-23 08:00 (GMT)"/>
        <s v="2022-10-25 13:32 (GMT)"/>
        <s v="2022-10-21 14:26 (GMT)"/>
        <s v="2022-11-15 06:34 (PST)"/>
        <s v="2021-04-28 14:53 (PST)"/>
        <s v="2022-11-07 08:00 (PST)"/>
        <s v="2019-10-10 08:00 (PST)"/>
        <s v="2022-02-04 08:00 (PST)"/>
        <s v="2022-11-29 09:27 (PST)"/>
        <s v="2022-11-30 06:55 (-05)"/>
        <s v="2022-12-05 12:39 (-05)"/>
        <s v="2022-11-29 05:52 (-05)"/>
        <s v="2022-12-09 09:00 (EST)"/>
        <s v="2022-11-22 11:00 (EST)"/>
        <s v="2022-11-10 19:10 (EST)"/>
        <s v="2022-11-15 11:00 (EST)"/>
        <s v="2022-09-23 12:24 (EST)"/>
        <s v="2022-11-07 08:07 (EST)"/>
        <s v="2022-11-03 16:08 (PST)"/>
        <s v="2022-12-31 17:00 (PST)"/>
        <s v="2022-11-01 09:37 (PST)"/>
        <s v="2022-11-22 07:37 (-08)"/>
        <s v="2022-12-20 06:34 (-08)"/>
        <s v="2023-01-07 05:24 (PST)"/>
        <s v="2023-01-14 06:10 (PST)"/>
        <s v="2023-01-10 16:00 (PST)"/>
        <s v="2023-01-18 11:07 (PST)"/>
        <s v="2023-01-28 09:00 (EST)"/>
        <s v="2022-09-24 06:55 (-05)"/>
        <s v="2022-08-19 07:15 (-05)"/>
        <s v="2022-11-05 06:26 (-05)"/>
        <s v="2022-09-12 13:00 (PST)"/>
        <s v="2023-01-15 23:00 (-08)"/>
        <s v="2023-02-01 08:00 (PST)"/>
        <s v="2023-01-31 16:39 (-08)"/>
        <s v="2022-09-28 15:25 (PST)"/>
        <s v="2023-01-30 08:00 (PST)"/>
        <s v="2019-05-02 03:49 (-08)"/>
        <s v="2023-02-14 05:10 (PST)"/>
        <s v="2023-03-05 10:11 (PST)"/>
        <s v="2023-03-08 10:59 (PST)"/>
        <s v="2023-03-07 07:22 (-07)"/>
        <s v="2023-01-16 21:00 (-07)"/>
        <s v="2023-03-17 08:00 (-07)"/>
        <s v="2023-03-17 00:00 (-07)"/>
        <s v="2023-04-02 10:11 (PST)"/>
        <s v="2022-11-10 08:00 (-07)"/>
        <s v="2023-03-03 15:00 (-07)"/>
        <s v="2023-03-07 08:00 (-07)"/>
        <s v="2023-03-30 08:00 (PST)"/>
        <s v="2023-04-13 08:00 (PST)"/>
        <s v="2022-12-20 09:00 (-07)"/>
        <s v="2023-04-16 10:01 (PST)"/>
        <s v="2023-04-14 08:55 (PST)"/>
        <s v="2023-03-18 04:55 (-07)"/>
        <s v="2023-04-20 23:00 (-07)"/>
        <s v="2023-04-21 07:00 (PST)"/>
        <s v="2023-03-29 23:45 (-07)"/>
        <s v="2022-07-01 04:55 (-07)"/>
        <s v="2023-04-25 23:00 (-07)"/>
        <s v="2023-04-19 07:00 (-07)"/>
        <s v="2023-04-05 15:22 (-07)"/>
        <s v="2023-05-04 08:00 (PST)"/>
        <s v="2023-05-14 10:01 (PST)"/>
        <s v="2020-03-05 08:00 (PST)"/>
        <s v="2020-01-23 09:00 (MST)"/>
        <s v="2023-06-14 11:08 (PST)"/>
        <s v="2023-06-25 10:10 (PST)"/>
        <s v="2023-07-07 08:00 (PST)"/>
        <s v="2023-07-01 09:24 (PST)"/>
        <s v="2023-07-11 09:40 (PST)"/>
        <s v="2023-06-20 01:00 (-07)"/>
        <s v="2023-07-11 23:00 (-07)"/>
        <s v="2023-07-22 04:55 (-07)"/>
        <s v="2023-07-26 08:00 (-07)"/>
        <s v="2023-07-27 23:00 (-07)"/>
        <s v="2023-07-25 23:00 (-07)"/>
        <s v="2023-08-06 10:00 (PST)"/>
        <s v="2023-08-10 11:00 (EST)"/>
        <s v="2021-07-09 11:11 (EST)"/>
        <s v="2021-05-18 10:00 (EST)"/>
        <s v="2023-05-15 07:00 (-07)"/>
        <s v="2023-03-14 02:54 (-07)"/>
        <s v="2023-08-14 07:00 (-07)"/>
        <s v="2021-12-01 08:41 (-07)"/>
        <s v="2023-07-01 05:24 (PST)"/>
        <s v="2020-08-12 13:30 (PST)"/>
        <s v="2023-04-22 04:55 (-07)"/>
        <s v="2023-08-21 07:00 (-07)"/>
        <s v="2023-08-25 01:00 (-07)"/>
        <s v="2023-08-18 08:55 (PST)"/>
        <s v="2023-08-24 08:00 (PST)"/>
        <s v="2023-07-27 08:00 (PST)"/>
        <s v="2023-09-06 22:40 (-07)"/>
        <s v="2023-08-24 04:23 (-07)"/>
        <s v="2023-07-24 07:00 (-07)"/>
        <s v="2023-09-22 07:00 (-07)"/>
        <s v="2023-09-18 09:24 (-07)"/>
        <s v="2023-06-18 12:24 (-07)"/>
        <s v="2023-09-21 23:00 (-07)"/>
        <s v="2023-09-29 08:00 (-07)"/>
        <s v="2023-09-21 08:00 (PST)"/>
        <s v="2023-10-04 11:00 (PST)"/>
        <s v="2023-10-15 12:54 (-07)"/>
        <s v="2023-09-28 16:40 (-07)"/>
        <s v="2023-10-12 23:00 (-07)"/>
        <s v="2023-10-10 09:39 (PST)"/>
        <s v="2023-10-09 23:00 (PST)"/>
        <s v="2023-10-02 14:55 (-07)"/>
        <s v="2023-10-16 03:54 (-07)"/>
        <s v="2023-09-19 02:55 (-07)"/>
        <s v="2023-08-03 23:00 (-07)"/>
        <s v="2023-10-04 08:00 (PST)"/>
        <s v="2023-10-26 08:00 (PST)"/>
        <s v="2023-10-16 16:07 (PST)"/>
        <s v="2023-09-30 03:55 (-08)"/>
        <s v="2023-11-07 23:00 (-08)"/>
        <s v="2023-11-12 23:00 (PST)"/>
        <s v="2022-06-30 04:23 (-08)"/>
        <s v="2023-11-14 08:00 (-08)"/>
        <s v="2023-11-19 10:56 (-08)"/>
        <s v="2023-11-03 14:24 (PST)"/>
        <s v="2023-11-15 08:00 (PST)"/>
        <s v="2023-10-23 09:25 (-08)"/>
        <s v="2023-11-15 08:00 (-08)"/>
        <s v="2021-09-30 07:00 (PST)"/>
        <s v="2023-11-09 08:00 (PST)"/>
        <s v="2023-11-11 06:10 (PST)"/>
        <s v="2023-12-10 10:01 (PST)"/>
        <s v="2023-10-25 03:24 (-08)"/>
        <s v="2023-12-03 06:55 (-08)"/>
        <s v="2023-12-12 09:18 (PST)"/>
        <s v="2023-12-21 08:00 (PST)"/>
        <s v="2024-01-05 07:00 (-08)"/>
        <s v="2024-01-07 10:56 (-08)"/>
        <s v="2023-12-11 07:00 (-08)"/>
        <s v="2023-12-12 23:00 (-08)"/>
        <s v="2024-01-07 10:01 (PST)"/>
        <s v="2024-01-11 08:00 (PST)"/>
        <s v="2018-08-22 11:20 (PST)"/>
        <s v="2018-08-16 11:00 (PST)"/>
        <s v="2018-05-25 06:19 (PST)"/>
        <s v="2018-08-28 10:19 (PST)"/>
        <s v="2018-08-23 11:37 (PST)"/>
        <s v="2018-09-11 03:48 (PST)"/>
        <s v="2018-09-18 08:19 (PST)"/>
        <s v="2018-07-26 10:19 (PST)"/>
        <s v="2018-08-01 02:48 (PST)"/>
        <s v="2018-11-28 06:18 (PST)"/>
        <s v="2018-12-04 08:19 (PST)"/>
        <s v="2019-01-24 09:18 (PST)"/>
        <s v="2019-05-04 10:12 (PST)"/>
        <s v="2019-05-29 21:00 (PST)"/>
        <s v="2019-05-02 07:18 (PST)"/>
        <s v="2019-06-20 09:18 (PST)"/>
        <s v="2019-07-10 06:52 (PST)"/>
        <s v="2019-07-14 11:35 (PST)"/>
        <s v="2019-09-04 03:48 (PST)"/>
        <s v="2019-12-31 08:06 (PST)"/>
        <s v="2019-12-18 14:48 (PST)"/>
        <s v="2019-12-18 11:23 (PST)"/>
        <s v="2019-12-04 08:00 (PST)"/>
        <s v="2020-07-09 15:33 (PST)"/>
        <s v="2020-01-25 14:05 (PST)"/>
        <s v="2020-01-20 07:19 (PST)"/>
        <s v="2020-11-16 06:01 (PST)"/>
        <s v="2020-01-22 15:19 (PST)"/>
        <s v="2020-07-29 06:00 (PST)"/>
        <s v="2020-11-26 09:23 (PST)"/>
        <s v="2020-09-15 04:23 (PST)"/>
        <s v="2020-12-02 16:22 (PST)"/>
        <s v="2020-12-05 04:51 (PST)"/>
        <s v="2020-01-30 05:00 (PST)"/>
        <s v="2020-01-30 06:00 (PST)"/>
        <s v="2020-12-02 07:00 (PST)"/>
        <s v="2020-12-30 06:00 (PST)"/>
        <s v="2020-12-22 04:51 (PST)"/>
        <s v="2021-01-06 04:53 (PST)"/>
        <s v="2021-01-12 04:55 (PST)"/>
        <s v="2020-10-31 11:07 (PST)"/>
        <s v="2021-01-21 15:37 (PST)"/>
        <s v="2021-01-20 14:51 (PST)"/>
        <s v="2021-01-07 02:54 (-08)"/>
        <s v="2019-12-16 17:00 (-08)"/>
        <s v="2020-10-02 05:00 (-08)"/>
        <s v="2020-11-11 02:52 (-08)"/>
        <s v="2020-02-14 11:05 (-08)"/>
        <s v="2020-03-15 05:30 (PST)"/>
        <s v="2021-01-27 14:51 (PST)"/>
        <s v="2021-01-22 08:23 (PST)"/>
        <s v="2020-12-07 06:00 (PST)"/>
        <s v="2021-02-17 14:53 (PST)"/>
        <s v="2021-02-23 07:36 (PST)"/>
        <s v="2021-02-13 09:00 (-08)"/>
        <s v="2020-01-30 06:00 (-08)"/>
        <s v="2021-02-12 07:19 (-07)"/>
        <s v="2021-02-16 05:53 (-07)"/>
        <s v="2021-03-05 07:00 (PST)"/>
        <s v="2021-03-24 14:51 (PST)"/>
        <s v="2020-10-30 07:00 (PST)"/>
        <s v="2018-09-20 02:49 (-07)"/>
        <s v="2021-03-09 12:13 (-07)"/>
        <s v="2021-02-19 06:19 (-07)"/>
        <s v="2021-03-30 04:53 (-07)"/>
        <s v="2020-09-29 05:27 (PST)"/>
        <s v="2021-02-10 16:38 (-07)"/>
        <s v="2021-04-14 07:00 (PST)"/>
        <s v="2020-09-06 08:45 (-07)"/>
        <s v="2021-04-18 22:00 (-07)"/>
        <s v="2021-04-08 07:00 (-07)"/>
        <s v="2021-02-15 07:00 (PST)"/>
        <s v="2021-04-03 07:00 (PST)"/>
        <s v="2021-04-28 05:24 (-07)"/>
        <s v="2020-06-15 07:00 (-07)"/>
        <s v="2021-04-25 07:53 (PST)"/>
        <s v="2020-10-09 06:28 (PST)"/>
        <s v="2020-12-08 05:24 (-07)"/>
        <s v="2021-05-01 07:50 (-07)"/>
        <s v="2019-12-04 09:00 (-07)"/>
        <s v="2021-05-06 05:27 (PST)"/>
        <s v="2021-05-04 14:54 (PST)"/>
        <s v="2020-02-20 05:49 (-07)"/>
        <s v="2021-05-05 05:55 (-07)"/>
        <s v="2021-05-20 05:35 (PST)"/>
        <s v="2019-05-25 09:34 (-07)"/>
        <s v="2021-04-28 07:00 (-07)"/>
        <s v="2020-09-11 07:00 (PST)"/>
        <s v="2021-03-27 04:52 (-07)"/>
        <s v="2021-05-26 07:45 (PST)"/>
        <s v="2021-06-08 22:35 (-07)"/>
        <s v="2021-05-11 22:40 (-07)"/>
        <s v="2021-06-08 15:35 (PST)"/>
        <s v="2021-06-15 05:22 (-07)"/>
        <s v="2021-06-22 08:00 (PST)"/>
        <s v="2021-06-23 07:00 (-07)"/>
        <s v="2021-06-29 05:36 (-07)"/>
        <s v="2021-07-07 08:00 (PST)"/>
        <s v="2021-06-27 06:23 (PST)"/>
        <s v="2021-05-14 07:00 (PST)"/>
        <s v="2021-07-15 05:29 (PST)"/>
        <s v="2021-01-05 04:51 (PST)"/>
        <s v="2021-04-20 04:53 (-07)"/>
        <s v="2020-07-14 15:24 (PST)"/>
        <s v="2021-06-23 02:53 (-07)"/>
        <s v="2021-07-31 11:00 (-07)"/>
        <s v="2021-06-23 09:44 (-07)"/>
        <s v="2021-01-26 13:00 (PST)"/>
        <s v="2021-05-25 10:25 (-07)"/>
        <s v="2021-05-19 22:25 (-07)"/>
        <s v="2021-07-10 07:00 (-07)"/>
        <s v="2021-08-12 07:00 (PST)"/>
        <s v="2020-07-18 04:49 (-07)"/>
        <s v="2021-08-13 08:08 (PST)"/>
        <s v="2020-08-26 04:49 (-07)"/>
        <s v="2019-05-28 06:00 (-07)"/>
        <s v="2021-05-13 07:10 (-07)"/>
        <s v="2021-08-23 15:39 (PST)"/>
        <s v="2021-08-11 14:50 (PST)"/>
        <s v="2019-05-27 12:43 (PST)"/>
        <s v="2021-09-02 07:00 (PST)"/>
        <s v="2020-10-11 07:52 (PST)"/>
        <s v="2021-04-23 00:30 (-07)"/>
        <s v="2021-09-08 06:00 (-07)"/>
        <s v="2021-08-15 21:40 (-07)"/>
        <s v="2021-07-08 06:00 (-07)"/>
        <s v="2020-02-19 06:00 (PST)"/>
        <s v="2021-04-16 07:03 (-07)"/>
        <s v="2021-08-16 06:00 (PST)"/>
        <s v="2020-02-19 06:35 (PST)"/>
        <s v="2021-02-24 14:54 (PST)"/>
        <s v="2020-02-19 07:00 (PST)"/>
        <s v="2021-09-08 02:53 (-07)"/>
        <s v="2021-09-28 00:22 (-07)"/>
        <s v="2021-09-17 05:21 (-07)"/>
        <s v="2021-09-18 06:56 (-07)"/>
        <s v="2021-09-24 14:51 (PST)"/>
        <s v="2021-07-27 10:24 (-07)"/>
        <s v="2021-09-29 22:25 (-07)"/>
        <s v="2021-10-07 15:41 (PST)"/>
        <s v="2021-10-03 07:49 (PST)"/>
        <s v="2021-06-16 07:34 (PST)"/>
        <s v="2021-10-05 22:35 (-07)"/>
        <s v="2021-10-14 08:00 (-07)"/>
        <s v="2021-02-23 09:08 (PST)"/>
        <s v="2021-10-13 02:54 (-07)"/>
        <s v="2021-08-25 07:21 (PST)"/>
        <s v="2020-08-05 04:49 (-07)"/>
        <s v="2021-10-28 15:40 (PST)"/>
        <s v="2021-11-03 05:39 (PST)"/>
        <s v="2021-01-01 06:00 (PST)"/>
        <s v="2021-11-09 05:20 (PST)"/>
        <s v="2021-10-04 11:11 (PST)"/>
        <s v="2021-11-10 02:52 (-08)"/>
        <s v="2021-10-15 05:05 (-08)"/>
        <s v="2021-08-02 05:00 (-08)"/>
        <s v="2021-11-09 07:05 (PST)"/>
        <s v="2021-11-09 07:00 (PST)"/>
        <s v="2021-05-27 14:51 (PST)"/>
        <s v="2021-10-25 05:36 (PST)"/>
        <s v="2021-10-21 22:00 (-08)"/>
        <s v="2021-02-23 04:52 (-08)"/>
        <s v="2021-11-15 09:39 (PST)"/>
        <s v="2021-06-12 03:52 (-08)"/>
        <s v="2021-10-19 14:52 (PST)"/>
        <s v="2021-11-30 05:20 (PST)"/>
        <s v="2021-11-21 03:54 (-08)"/>
        <s v="2021-11-15 08:00 (-08)"/>
        <s v="2021-12-01 05:38 (PST)"/>
        <s v="2021-11-05 07:00 (PST)"/>
        <s v="2021-11-26 07:00 (PST)"/>
        <s v="2021-09-15 01:52 (-08)"/>
        <s v="2021-12-08 09:37 (PST)"/>
        <s v="2021-07-12 07:22 (PST)"/>
        <s v="2021-09-01 05:00 (-08)"/>
        <s v="2021-07-27 03:55 (-08)"/>
        <s v="2021-09-26 21:00 (-08)"/>
        <s v="2021-12-16 06:30 (-08)"/>
        <s v="2021-12-16 07:00 (PST)"/>
        <s v="2021-10-05 05:19 (PST)"/>
        <s v="2021-10-25 04:53 (PST)"/>
        <s v="2021-12-02 06:30 (PST)"/>
        <s v="2019-10-25 12:04 (-08)"/>
        <s v="2021-12-22 22:35 (-08)"/>
        <s v="2021-07-12 05:40 (PST)"/>
        <s v="2021-12-20 05:38 (PST)"/>
        <s v="2021-12-27 08:52 (PST)"/>
        <s v="2021-01-30 04:52 (-08)"/>
        <s v="2021-08-06 06:00 (-08)"/>
        <s v="2022-01-06 15:37 (PST)"/>
        <s v="2022-01-11 05:16 (PST)"/>
        <s v="2021-05-07 08:00 (PST)"/>
        <s v="2022-01-12 08:00 (-08)"/>
        <s v="2022-01-11 08:00 (-08)"/>
        <s v="2022-01-13 07:00 (PST)"/>
        <s v="2022-01-19 14:49 (PST)"/>
        <s v="2022-01-14 08:00 (PST)"/>
        <s v="2021-08-20 07:21 (-08)"/>
        <s v="2022-01-20 08:00 (-08)"/>
        <s v="2022-01-18 08:00 (PST)"/>
        <s v="2021-12-21 06:25 (PST)"/>
        <s v="2021-10-08 08:00 (PST)"/>
        <s v="2022-01-26 08:00 (-08)"/>
        <s v="2020-02-10 15:32 (PST)"/>
        <s v="2022-01-25 07:00 (PST)"/>
        <s v="2022-01-29 07:55 (PST)"/>
        <s v="2020-10-09 08:00 (PST)"/>
        <s v="2019-11-21 05:31 (PST)"/>
        <s v="2020-11-20 07:00 (PST)"/>
        <s v="2022-01-14 04:23 (-08)"/>
        <s v="2019-11-06 15:31 (PST)"/>
        <s v="2021-03-03 02:52 (-08)"/>
        <s v="2022-01-17 04:24 (-08)"/>
        <s v="2019-10-02 13:52 (PST)"/>
        <s v="2022-02-01 05:19 (PST)"/>
        <s v="2022-02-23 05:34 (PST)"/>
        <s v="2020-01-20 08:20 (-08)"/>
        <s v="2021-10-01 23:05 (-08)"/>
        <s v="2022-03-03 08:00 (-08)"/>
        <s v="2022-03-03 07:00 (PST)"/>
        <s v="2022-03-09 07:00 (PST)"/>
        <s v="2022-03-15 07:08 (PST)"/>
        <s v="2022-02-13 08:27 (PST)"/>
        <s v="2022-03-17 15:36 (PST)"/>
        <s v="2022-03-15 04:55 (PST)"/>
        <s v="2022-03-16 07:00 (PST)"/>
        <s v="2021-04-16 08:00 (PST)"/>
        <s v="2022-03-24 15:37 (PST)"/>
        <s v="2022-02-24 14:51 (PST)"/>
        <s v="2022-03-28 14:23 (PST)"/>
        <s v="2022-03-29 07:00 (PST)"/>
        <s v="2022-01-31 15:37 (PST)"/>
        <s v="2022-04-05 03:15 (-07)"/>
        <s v="2021-10-21 02:52 (-07)"/>
        <s v="2021-09-25 04:37 (-07)"/>
        <s v="2022-01-24 15:36 (PST)"/>
        <s v="2022-04-13 08:00 (PST)"/>
        <s v="2022-04-14 05:14 (-07)"/>
        <s v="2022-04-12 07:00 (-07)"/>
        <s v="2021-12-01 14:54 (-07)"/>
        <s v="2022-04-06 11:02 (-07)"/>
        <s v="2022-04-13 07:00 (-07)"/>
        <s v="2022-01-18 15:35 (PST)"/>
        <s v="2022-03-01 16:22 (PST)"/>
        <s v="2021-09-03 08:00 (PST)"/>
        <s v="2022-04-18 06:52 (-07)"/>
        <s v="2022-03-25 07:00 (-07)"/>
        <s v="2022-04-21 08:00 (PST)"/>
        <s v="2022-02-26 07:53 (PST)"/>
        <s v="2022-04-26 05:30 (PST)"/>
        <s v="2022-04-20 04:22 (PST)"/>
        <s v="2022-02-23 13:50 (PST)"/>
        <s v="2022-04-27 07:00 (PST)"/>
        <s v="2022-04-28 07:33 (PST)"/>
        <s v="2022-02-18 07:00 (PST)"/>
        <s v="2022-03-08 05:17 (PST)"/>
        <s v="2022-05-05 07:00 (PST)"/>
        <s v="2021-11-20 07:54 (PST)"/>
        <s v="2022-05-12 08:00 (PST)"/>
        <s v="2022-05-10 08:00 (PST)"/>
        <s v="2022-05-16 06:52 (-07)"/>
        <s v="2022-05-10 16:07 (-07)"/>
        <s v="2022-05-18 15:25 (-07)"/>
        <s v="2022-05-05 15:37 (-07)"/>
        <s v="2022-05-04 04:52 (PST)"/>
        <s v="2022-05-20 07:00 (-07)"/>
        <s v="2022-02-09 15:30 (-07)"/>
        <s v="2022-04-25 14:53 (PST)"/>
        <s v="2022-05-18 02:52 (-07)"/>
        <s v="2022-05-31 06:01 (-07)"/>
        <s v="2022-06-01 16:10 (-07)"/>
        <s v="2022-05-31 07:00 (PST)"/>
        <s v="2022-05-10 05:18 (PST)"/>
        <s v="2022-04-23 04:53 (-07)"/>
        <s v="2022-06-09 08:00 (PST)"/>
        <s v="2022-05-25 07:00 (PST)"/>
        <s v="2022-06-14 08:00 (PST)"/>
        <s v="2021-08-25 07:00 (PST)"/>
        <s v="2022-03-18 08:00 (PST)"/>
        <s v="2022-04-28 01:00 (PST)"/>
        <s v="2022-03-04 08:00 (-07)"/>
        <s v="2022-05-14 06:42 (-07)"/>
        <s v="2022-06-17 06:55 (-07)"/>
        <s v="2022-06-03 07:00 (PST)"/>
        <s v="2022-06-30 06:23 (PST)"/>
        <s v="2022-06-19 05:00 (PST)"/>
        <s v="2020-12-23 03:53 (-07)"/>
        <s v="2022-07-05 08:00 (-07)"/>
        <s v="2022-07-07 07:00 (-07)"/>
        <s v="2022-07-06 07:00 (-07)"/>
        <s v="2022-06-15 08:00 (PST)"/>
        <s v="2022-06-28 04:53 (PST)"/>
        <s v="2022-07-01 01:00 (PST)"/>
        <s v="2019-12-09 05:47 (-07)"/>
        <s v="2022-07-10 08:37 (-07)"/>
        <s v="2022-07-14 08:00 (PST)"/>
        <s v="2022-07-19 07:00 (PST)"/>
        <s v="2022-07-20 03:30 (PST)"/>
        <s v="2022-06-15 07:00 (PST)"/>
        <s v="2022-06-17 07:00 (PST)"/>
        <s v="2022-07-21 07:07 (PST)"/>
        <s v="2022-07-25 07:00 (-07)"/>
        <s v="2022-07-27 13:55 (-07)"/>
        <s v="2022-07-06 15:25 (PST)"/>
        <s v="2022-07-28 17:09 (PST)"/>
        <s v="2019-04-04 02:49 (-07)"/>
        <s v="2022-07-29 07:00 (-07)"/>
        <s v="2022-04-07 05:39 (-07)"/>
        <s v="2022-08-04 08:00 (PST)"/>
        <s v="2021-12-04 05:53 (-07)"/>
        <s v="2022-08-06 10:36 (-07)"/>
        <s v="2022-08-11 07:00 (-07)"/>
        <s v="2022-08-09 17:09 (PST)"/>
        <s v="2022-08-13 07:52 (PST)"/>
        <s v="2022-08-10 04:22 (-07)"/>
        <s v="2020-07-25 04:51 (-07)"/>
        <s v="2021-02-25 23:35 (-07)"/>
        <s v="2022-08-09 04:52 (PST)"/>
        <s v="2022-08-18 08:00 (PST)"/>
        <s v="2022-08-25 08:00 (PST)"/>
        <s v="2022-08-26 07:25 (PST)"/>
        <s v="2022-08-30 07:00 (-07)"/>
        <s v="2022-08-23 10:53 (-07)"/>
        <s v="2022-07-27 06:52 (-07)"/>
        <s v="2022-08-31 08:00 (PST)"/>
        <s v="2021-10-09 04:53 (-07)"/>
        <s v="2022-08-09 07:33 (-07)"/>
        <s v="2022-08-26 08:00 (PST)"/>
        <s v="2022-09-02 01:00 (PST)"/>
        <s v="2022-08-08 04:23 (-07)"/>
        <s v="2022-03-29 11:54 (-07)"/>
        <s v="2022-05-03 11:00 (-07)"/>
        <s v="2022-08-01 04:22 (-07)"/>
        <s v="2022-09-12 04:27 (-07)"/>
        <s v="2022-09-20 08:00 (PST)"/>
        <s v="2022-09-21 03:55 (-07)"/>
        <s v="2022-09-15 07:22 (-07)"/>
        <s v="2022-09-18 09:26 (-07)"/>
        <s v="2022-09-09 05:25 (-07)"/>
        <s v="2022-09-29 08:00 (PST)"/>
        <s v="2022-07-29 06:52 (-07)"/>
        <s v="2022-05-31 08:00 (-07)"/>
        <s v="2022-08-29 09:37 (-07)"/>
        <s v="2022-08-27 04:56 (PST)"/>
        <s v="2022-09-16 07:24 (PST)"/>
        <s v="2022-10-04 08:00 (PST)"/>
        <s v="2022-09-24 05:49 (PST)"/>
        <s v="2022-08-06 09:37 (-07)"/>
        <s v="2022-10-07 09:25 (PST)"/>
        <s v="2022-10-13 06:52 (-07)"/>
        <s v="2022-10-05 07:00 (-07)"/>
        <s v="2022-10-20 16:22 (PST)"/>
        <s v="2022-09-16 01:00 (PST)"/>
        <s v="2022-10-26 14:22 (GMT)"/>
        <s v="2022-10-31 11:05 (GMT)"/>
        <s v="2022-10-27 22:21 (GMT)"/>
        <s v="2022-11-01 18:40 (-05)"/>
        <s v="2022-05-03 13:00 (-05)"/>
        <s v="2022-10-03 01:00 (-05)"/>
        <s v="2022-11-09 07:21 (EST)"/>
        <s v="2022-05-03 10:00 (EST)"/>
        <s v="2022-11-04 05:00 (EST)"/>
        <s v="2022-03-04 11:00 (EST)"/>
        <s v="2022-11-21 05:07 (PST)"/>
        <s v="2020-01-10 02:48 (-08)"/>
        <s v="2022-08-25 07:05 (-08)"/>
        <s v="2022-11-18 09:25 (PST)"/>
        <s v="2022-11-30 04:23 (-08)"/>
        <s v="2022-05-12 07:00 (-08)"/>
        <s v="2022-12-01 08:00 (PST)"/>
        <s v="2022-12-15 18:22 (EST)"/>
        <s v="2022-12-15 11:00 (EST)"/>
        <s v="2022-12-20 19:10 (EST)"/>
        <s v="2022-04-06 07:00 (PST)"/>
        <s v="2022-11-08 16:11 (PST)"/>
        <s v="2022-12-13 07:00 (PST)"/>
        <s v="2022-11-10 15:23 (PST)"/>
        <s v="2022-12-27 09:00 (PST)"/>
        <s v="2022-11-01 16:10 (PST)"/>
        <s v="2022-01-23 07:50 (PST)"/>
        <s v="2022-12-18 04:56 (-08)"/>
        <s v="2022-02-16 07:00 (-08)"/>
        <s v="2023-01-05 08:00 (PST)"/>
        <s v="2021-06-03 14:52 (PST)"/>
        <s v="2023-01-19 08:00 (PST)"/>
        <s v="2023-01-21 05:49 (PST)"/>
        <s v="2023-01-17 07:00 (-08)"/>
        <s v="2022-07-15 23:30 (-08)"/>
        <s v="2023-01-24 06:35 (-08)"/>
        <s v="2023-01-07 05:09 (-08)"/>
        <s v="2022-11-28 14:57 (-05)"/>
        <s v="2023-02-01 09:18 (-05)"/>
        <s v="2022-09-13 08:33 (-05)"/>
        <s v="2022-07-19 09:00 (-05)"/>
        <s v="2023-01-19 18:59 (-05)"/>
        <s v="2023-02-02 11:00 (EST)"/>
        <s v="2023-01-23 04:24 (PST)"/>
        <s v="2023-02-22 08:00 (PST)"/>
        <s v="2023-02-28 04:25 (PST)"/>
        <s v="2023-01-09 07:00 (PST)"/>
        <s v="2023-02-10 09:25 (-08)"/>
        <s v="2023-03-01 11:08 (PST)"/>
        <s v="2023-02-28 08:54 (PST)"/>
        <s v="2022-04-24 09:23 (-08)"/>
        <s v="2022-11-09 09:38 (-08)"/>
        <s v="2023-03-03 14:25 (PST)"/>
        <s v="2023-03-01 00:00 (-07)"/>
        <s v="2023-03-16 08:00 (PST)"/>
        <s v="2019-09-19 07:50 (-04)"/>
        <s v="2023-01-09 11:00 (-04)"/>
        <s v="2023-03-21 19:38 (-04)"/>
        <s v="2023-03-22 14:07 (EST)"/>
        <s v="2023-03-28 16:00 (PST)"/>
        <s v="2023-03-27 04:50 (PST)"/>
        <s v="2023-03-28 08:00 (PST)"/>
        <s v="2023-03-30 07:00 (-07)"/>
        <s v="2023-04-06 07:38 (-07)"/>
        <s v="2023-04-04 23:00 (-07)"/>
        <s v="2023-04-05 11:00 (PST)"/>
        <s v="2023-04-13 05:07 (PST)"/>
        <s v="2023-04-19 10:59 (PST)"/>
        <s v="2023-03-13 06:54 (-07)"/>
        <s v="2023-04-24 07:00 (-07)"/>
        <s v="2023-04-27 07:00 (-07)"/>
        <s v="2023-02-21 02:00 (-07)"/>
        <s v="2023-05-02 07:00 (-07)"/>
        <s v="2023-04-26 08:00 (-07)"/>
        <s v="2023-04-27 23:00 (-07)"/>
        <s v="2023-05-03 13:00 (PST)"/>
        <s v="2023-05-10 08:54 (PST)"/>
        <s v="2020-09-02 03:17 (-07)"/>
        <s v="2023-05-10 08:00 (-07)"/>
        <s v="2023-05-04 23:00 (-07)"/>
        <s v="2023-05-11 08:00 (PST)"/>
        <s v="2023-05-07 09:25 (-07)"/>
        <s v="2021-04-15 13:51 (-07)"/>
        <s v="2023-04-18 08:52 (PST)"/>
        <s v="2023-05-24 08:00 (PST)"/>
        <s v="2023-06-01 08:00 (PST)"/>
        <s v="2023-05-20 05:25 (PST)"/>
        <s v="2023-05-30 07:00 (-07)"/>
        <s v="2023-05-25 07:00 (-07)"/>
        <s v="2023-05-20 04:54 (-07)"/>
        <s v="2023-05-18 23:00 (-07)"/>
        <s v="2023-05-23 04:22 (PST)"/>
        <s v="2023-06-06 08:00 (PST)"/>
        <s v="2019-10-29 07:08 (PST)"/>
        <s v="2023-06-16 09:25 (-07)"/>
        <s v="2023-06-17 05:25 (PST)"/>
        <s v="2023-05-17 04:24 (-07)"/>
        <s v="2023-06-26 09:25 (-07)"/>
        <s v="2023-06-24 06:00 (PST)"/>
        <s v="2023-04-23 07:24 (PST)"/>
        <s v="2023-06-22 07:00 (-07)"/>
        <s v="2023-06-17 04:54 (-07)"/>
        <s v="2023-05-09 02:55 (-07)"/>
        <s v="2023-06-28 07:00 (PST)"/>
        <s v="2023-05-15 04:23 (PST)"/>
        <s v="2023-06-27 16:26 (-07)"/>
        <s v="2023-07-18 07:00 (-07)"/>
        <s v="2023-07-19 03:55 (-07)"/>
        <s v="2023-07-19 06:30 (-07)"/>
        <s v="2023-06-18 07:24 (PST)"/>
        <s v="2022-10-05 03:53 (-07)"/>
        <s v="2020-04-30 05:45 (PST)"/>
        <s v="2023-08-12 04:54 (-07)"/>
        <s v="2023-04-25 16:24 (-07)"/>
        <s v="2023-07-28 14:56 (-07)"/>
        <s v="2023-04-07 02:54 (-07)"/>
        <s v="2023-06-20 15:26 (PST)"/>
        <s v="2021-03-21 10:22 (-07)"/>
        <s v="2023-01-11 09:00 (-07)"/>
        <s v="2023-08-29 08:00 (-07)"/>
        <s v="2023-08-31 08:00 (PST)"/>
        <s v="2023-08-30 08:00 (-07)"/>
        <s v="2021-11-02 13:52 (-07)"/>
        <s v="2023-09-18 07:00 (-07)"/>
        <s v="2023-09-15 08:00 (-07)"/>
        <s v="2023-07-14 14:25 (PST)"/>
        <s v="2023-08-22 09:39 (PST)"/>
        <s v="2023-07-02 07:25 (PST)"/>
        <s v="2023-06-05 10:25 (-07)"/>
        <s v="2023-09-25 07:00 (-07)"/>
        <s v="2023-09-26 23:00 (-07)"/>
        <s v="2023-09-12 15:26 (-07)"/>
        <s v="2023-09-27 23:00 (-07)"/>
        <s v="2023-09-27 08:00 (PST)"/>
        <s v="2023-10-06 07:00 (-07)"/>
        <s v="2023-07-26 04:21 (-07)"/>
        <s v="2023-10-04 07:24 (-07)"/>
        <s v="2023-10-01 23:00 (-07)"/>
        <s v="2023-10-12 04:57 (PST)"/>
        <s v="2023-10-18 11:10 (PST)"/>
        <s v="2023-10-25 08:00 (PST)"/>
        <s v="2023-11-02 15:11 (PST)"/>
        <s v="2023-11-04 05:57 (-08)"/>
        <s v="2023-08-11 04:25 (PST)"/>
        <s v="2023-11-15 10:58 (PST)"/>
        <s v="2023-11-29 07:00 (PST)"/>
        <s v="2023-12-05 05:08 (PST)"/>
        <s v="2023-11-11 04:54 (-08)"/>
        <s v="2023-12-13 23:00 (-08)"/>
        <s v="2023-12-14 04:24 (-08)"/>
        <s v="2023-12-13 15:59 (-08)"/>
        <s v="2023-09-06 07:00 (PST)"/>
        <s v="2023-12-04 04:49 (PST)"/>
        <s v="2023-10-21 05:54 (-08)"/>
        <s v="2023-10-10 07:00 (-08)"/>
        <s v="2023-10-25 06:24 (-08)"/>
        <s v="2023-12-22 09:56 (-08)"/>
        <s v="2020-11-10 08:00 (PST)"/>
        <s v="2023-12-29 06:00 (PST)"/>
        <s v="2024-01-04 07:00 (-08)"/>
        <s v="2022-11-15 10:54 (-08)"/>
        <s v="2024-01-03 23:00 (-08)"/>
        <s v="2024-01-04 08:00 (PST)"/>
        <s v="2024-01-10 11:09 (PST)"/>
        <s v="2018-09-09 11:34 (PST)"/>
        <s v="2018-08-16 10:20 (PST)"/>
        <s v="2018-08-05 05:19 (PST)"/>
        <s v="2018-10-16 13:51 (PST)"/>
        <s v="2018-10-29 07:19 (PST)"/>
        <s v="2018-11-15 10:19 (PST)"/>
        <s v="2018-12-11 08:18 (PST)"/>
        <s v="2019-05-23 09:18 (PST)"/>
        <s v="2019-05-30 09:17 (PST)"/>
        <s v="2018-03-29 10:20 (PST)"/>
        <s v="2019-06-27 09:18 (PST)"/>
        <s v="2019-07-10 13:51 (PST)"/>
        <s v="2019-10-31 06:17 (PST)"/>
        <s v="2020-01-29 15:31 (PST)"/>
        <s v="2020-03-10 15:32 (PST)"/>
        <s v="2020-03-24 10:26 (PST)"/>
        <s v="2020-09-05 07:00 (PST)"/>
        <s v="2020-01-30 06:30 (PST)"/>
        <s v="2020-01-30 05:30 (PST)"/>
        <s v="2020-01-27 07:19 (PST)"/>
        <s v="2020-07-21 06:00 (PST)"/>
        <s v="2020-01-09 04:49 (PST)"/>
        <s v="2020-02-03 08:19 (PST)"/>
        <s v="2020-11-17 04:21 (PST)"/>
        <s v="2020-12-01 13:52 (PST)"/>
        <s v="2020-11-30 22:20 (PST)"/>
        <s v="2020-12-08 04:24 (PST)"/>
        <s v="2020-12-13 08:45 (PST)"/>
        <s v="2020-12-21 05:49 (PST)"/>
        <s v="2020-11-10 04:23 (PST)"/>
        <s v="2020-12-28 06:00 (PST)"/>
        <s v="2020-12-28 05:08 (PST)"/>
        <s v="2020-11-04 02:52 (PST)"/>
        <s v="2021-01-11 13:51 (PST)"/>
        <s v="2020-11-09 07:00 (PST)"/>
        <s v="2019-12-04 08:18 (-08)"/>
        <s v="2021-01-16 11:30 (-08)"/>
        <s v="2021-01-17 07:53 (PST)"/>
        <s v="2020-05-31 12:19 (-08)"/>
        <s v="2021-01-22 06:19 (-08)"/>
        <s v="2020-11-22 07:52 (PST)"/>
        <s v="2021-01-26 05:37 (PST)"/>
        <s v="2020-02-03 08:19 (-08)"/>
        <s v="2021-01-29 06:20 (-08)"/>
        <s v="2020-03-12 04:48 (PST)"/>
        <s v="2021-01-28 05:00 (PST)"/>
        <s v="2020-09-05 09:00 (PST)"/>
        <s v="2018-06-14 11:50 (PST)"/>
        <s v="2020-02-05 13:29 (PST)"/>
        <s v="2021-02-16 08:53 (PST)"/>
        <s v="2021-01-26 07:27 (PST)"/>
        <s v="2020-09-02 02:17 (-08)"/>
        <s v="2021-02-05 06:18 (-08)"/>
        <s v="2021-03-09 05:25 (PST)"/>
        <s v="2021-02-09 09:19 (-07)"/>
        <s v="2021-03-23 06:51 (PST)"/>
        <s v="2021-03-15 11:25 (-07)"/>
        <s v="2021-02-20 09:45 (-07)"/>
        <s v="2020-09-26 04:48 (-07)"/>
        <s v="2020-12-02 05:27 (PST)"/>
        <s v="2021-02-06 09:45 (-07)"/>
        <s v="2021-04-18 11:08 (-07)"/>
        <s v="2020-10-28 05:57 (-07)"/>
        <s v="2021-01-03 06:00 (PST)"/>
        <s v="2019-11-20 16:18 (PST)"/>
        <s v="2019-08-25 04:49 (-07)"/>
        <s v="2021-04-11 22:25 (-07)"/>
        <s v="2021-05-03 07:00 (PST)"/>
        <s v="2020-08-07 08:36 (PST)"/>
        <s v="2021-02-26 09:23 (-07)"/>
        <s v="2021-05-03 06:00 (-07)"/>
        <s v="2020-10-29 07:00 (PST)"/>
        <s v="2021-03-23 04:54 (-07)"/>
        <s v="2021-05-18 07:00 (PST)"/>
        <s v="2021-05-13 07:00 (-07)"/>
        <s v="2021-05-24 07:00 (-07)"/>
        <s v="2021-05-25 07:00 (PST)"/>
        <s v="2021-05-23 07:52 (PST)"/>
        <s v="2021-05-27 05:37 (PST)"/>
        <s v="2021-05-11 10:25 (-07)"/>
        <s v="2021-06-02 09:08 (-07)"/>
        <s v="2021-05-19 22:35 (-07)"/>
        <s v="2021-06-08 07:00 (-07)"/>
        <s v="2021-06-08 08:00 (PST)"/>
        <s v="2021-06-08 22:00 (-07)"/>
        <s v="2021-05-23 22:45 (-07)"/>
        <s v="2021-04-11 22:00 (-07)"/>
        <s v="2021-06-14 07:00 (PST)"/>
        <s v="2020-08-12 04:52 (-07)"/>
        <s v="2021-06-16 14:34 (-07)"/>
        <s v="2021-06-10 07:00 (-07)"/>
        <s v="2021-06-13 06:23 (PST)"/>
        <s v="2020-10-03 07:00 (PST)"/>
        <s v="2020-10-08 08:23 (-07)"/>
        <s v="2020-06-24 13:20 (-07)"/>
        <s v="2021-06-29 05:20 (-07)"/>
        <s v="2021-07-11 23:25 (-07)"/>
        <s v="2021-05-02 09:21 (-07)"/>
        <s v="2021-04-20 22:00 (-07)"/>
        <s v="2021-07-13 15:36 (PST)"/>
        <s v="2021-06-16 02:53 (-07)"/>
        <s v="2021-07-07 06:00 (-07)"/>
        <s v="2021-07-20 08:08 (PST)"/>
        <s v="2021-07-08 05:37 (PST)"/>
        <s v="2021-06-09 02:53 (-07)"/>
        <s v="2020-01-19 07:33 (PST)"/>
        <s v="2021-08-10 07:00 (PST)"/>
        <s v="2021-06-22 10:25 (-07)"/>
        <s v="2021-06-11 07:00 (-07)"/>
        <s v="2021-08-17 08:00 (PST)"/>
        <s v="2021-08-13 14:49 (PST)"/>
        <s v="2020-12-21 17:22 (-07)"/>
        <s v="2021-08-15 08:20 (-07)"/>
        <s v="2021-07-25 07:53 (PST)"/>
        <s v="2020-08-26 14:51 (PST)"/>
        <s v="2021-09-07 07:00 (PST)"/>
        <s v="2020-11-16 04:53 (PST)"/>
        <s v="2020-02-19 06:25 (PST)"/>
        <s v="2020-02-19 06:55 (PST)"/>
        <s v="2021-09-24 04:51 (PST)"/>
        <s v="2021-09-20 09:34 (PST)"/>
        <s v="2021-09-01 15:37 (PST)"/>
        <s v="2021-09-24 23:30 (-07)"/>
        <s v="2021-09-01 02:52 (-07)"/>
        <s v="2021-02-23 04:53 (PST)"/>
        <s v="2021-07-28 02:54 (-07)"/>
        <s v="2021-08-20 07:00 (-07)"/>
        <s v="2021-09-12 10:30 (-07)"/>
        <s v="2021-10-09 08:39 (PST)"/>
        <s v="2021-10-08 07:00 (PST)"/>
        <s v="2021-08-25 04:53 (-07)"/>
        <s v="2021-10-18 08:00 (-07)"/>
        <s v="2020-10-14 14:49 (PST)"/>
        <s v="2021-08-10 10:24 (-07)"/>
        <s v="2020-11-20 06:20 (-07)"/>
        <s v="2021-10-19 07:00 (-07)"/>
        <s v="2021-10-24 22:00 (-07)"/>
        <s v="2021-10-26 15:38 (PST)"/>
        <s v="2021-10-21 07:09 (PST)"/>
        <s v="2021-11-01 15:36 (PST)"/>
        <s v="2021-11-02 05:19 (PST)"/>
        <s v="2021-10-09 14:00 (-08)"/>
        <s v="2021-11-09 08:00 (PST)"/>
        <s v="2021-05-09 07:55 (PST)"/>
        <s v="2021-02-09 04:53 (-08)"/>
        <s v="2021-08-09 05:00 (-08)"/>
        <s v="2021-11-16 15:35 (PST)"/>
        <s v="2021-06-30 14:52 (PST)"/>
        <s v="2021-07-16 08:00 (PST)"/>
        <s v="2021-09-01 13:00 (-08)"/>
        <s v="2021-11-23 07:00 (PST)"/>
        <s v="2021-11-24 06:23 (PST)"/>
        <s v="2021-10-15 08:00 (PST)"/>
        <s v="2021-11-29 08:50 (-08)"/>
        <s v="2021-11-24 05:27 (PST)"/>
        <s v="2021-12-03 06:24 (PST)"/>
        <s v="2021-12-07 08:00 (PST)"/>
        <s v="2021-11-03 01:52 (-08)"/>
        <s v="2019-03-19 11:01 (-08)"/>
        <s v="2021-09-02 14:53 (PST)"/>
        <s v="2021-12-06 23:00 (-08)"/>
        <s v="2019-08-08 01:45 (-08)"/>
        <s v="2021-12-14 08:00 (-08)"/>
        <s v="2021-12-06 23:00 (PST)"/>
        <s v="2021-12-13 09:36 (PST)"/>
        <s v="2021-09-04 07:53 (PST)"/>
        <s v="2021-12-08 13:50 (-08)"/>
        <s v="2021-08-19 03:53 (-08)"/>
        <s v="2021-12-16 15:28 (PST)"/>
        <s v="2021-10-20 06:21 (PST)"/>
        <s v="2021-03-09 07:37 (PST)"/>
        <s v="2021-12-19 04:32 (-08)"/>
        <s v="2020-07-20 13:48 (-08)"/>
        <s v="2021-12-23 00:55 (-08)"/>
        <s v="2021-12-25 02:00 (-08)"/>
        <s v="2021-09-20 07:00 (PST)"/>
        <s v="2021-10-28 14:55 (PST)"/>
        <s v="2021-07-23 06:00 (-08)"/>
        <s v="2021-12-27 14:35 (-08)"/>
        <s v="2021-12-12 07:53 (PST)"/>
        <s v="2022-01-11 07:00 (PST)"/>
        <s v="2021-12-13 14:51 (PST)"/>
        <s v="2021-12-30 07:00 (-08)"/>
        <s v="2019-05-14 07:13 (PST)"/>
        <s v="2020-08-23 08:48 (-08)"/>
        <s v="2022-01-25 06:56 (PST)"/>
        <s v="2020-02-13 08:00 (PST)"/>
        <s v="2019-11-25 08:11 (PST)"/>
        <s v="2022-02-06 07:52 (PST)"/>
        <s v="2022-01-21 08:00 (PST)"/>
        <s v="2021-09-26 02:54 (-08)"/>
        <s v="2020-02-27 08:00 (PST)"/>
        <s v="2022-02-14 08:00 (-08)"/>
        <s v="2021-10-06 05:23 (-08)"/>
        <s v="2022-02-10 08:00 (-08)"/>
        <s v="2022-02-15 15:24 (PST)"/>
        <s v="2020-01-16 08:00 (PST)"/>
        <s v="2019-09-05 01:47 (-08)"/>
        <s v="2022-01-27 06:13 (-08)"/>
        <s v="2022-02-22 06:58 (PST)"/>
        <s v="2022-02-25 07:06 (PST)"/>
        <s v="2022-02-24 15:38 (PST)"/>
        <s v="2022-02-22 07:30 (PST)"/>
        <s v="2022-01-28 06:24 (PST)"/>
        <s v="2019-11-07 08:00 (PST)"/>
        <s v="2021-01-13 07:36 (PST)"/>
        <s v="2022-02-22 05:17 (PST)"/>
        <s v="2022-03-08 05:30 (PST)"/>
        <s v="2022-03-08 01:00 (-08)"/>
        <s v="2022-03-04 02:52 (-08)"/>
        <s v="2022-03-08 15:28 (PST)"/>
        <s v="2022-02-07 08:52 (PST)"/>
        <s v="2022-03-15 05:30 (PST)"/>
        <s v="2022-03-02 03:53 (-07)"/>
        <s v="2022-03-15 02:00 (-07)"/>
        <s v="2022-03-16 08:00 (-07)"/>
        <s v="2022-02-17 17:07 (PST)"/>
        <s v="2022-03-29 05:30 (PST)"/>
        <s v="2021-12-22 23:00 (-07)"/>
        <s v="2022-02-02 03:52 (-07)"/>
        <s v="2021-07-09 06:00 (-07)"/>
        <s v="2022-04-05 05:30 (PST)"/>
        <s v="2022-03-03 05:23 (-07)"/>
        <s v="2022-04-04 08:00 (-07)"/>
        <s v="2022-04-05 06:57 (PST)"/>
        <s v="2022-03-31 17:09 (PST)"/>
        <s v="2022-01-05 08:52 (PST)"/>
        <s v="2021-07-15 07:00 (-07)"/>
        <s v="2022-04-10 09:51 (-07)"/>
        <s v="2022-04-07 08:00 (-07)"/>
        <s v="2022-02-15 06:20 (PST)"/>
        <s v="2022-04-19 05:30 (PST)"/>
        <s v="2022-04-06 22:00 (-07)"/>
        <s v="2022-04-16 09:52 (-07)"/>
        <s v="2021-07-29 09:30 (-07)"/>
        <s v="2022-04-21 16:22 (PST)"/>
        <s v="2022-04-26 15:30 (PST)"/>
        <s v="2022-03-15 06:22 (PST)"/>
        <s v="2022-04-29 07:33 (PST)"/>
        <s v="2022-05-03 05:30 (PST)"/>
        <s v="2021-11-10 03:52 (-07)"/>
        <s v="2022-05-02 08:00 (PST)"/>
        <s v="2022-05-05 14:53 (PST)"/>
        <s v="2022-03-04 08:00 (PST)"/>
        <s v="2022-05-15 11:24 (PST)"/>
        <s v="2022-05-12 07:00 (PST)"/>
        <s v="2022-03-23 08:52 (PST)"/>
        <s v="2022-05-13 08:00 (PST)"/>
        <s v="2022-05-17 07:00 (-07)"/>
        <s v="2022-04-27 02:52 (-07)"/>
        <s v="2022-05-16 11:30 (PST)"/>
        <s v="2022-03-24 14:53 (PST)"/>
        <s v="2022-05-23 07:00 (PST)"/>
        <s v="2022-05-24 15:28 (PST)"/>
        <s v="2022-05-27 01:00 (PST)"/>
        <s v="2022-05-04 15:24 (PST)"/>
        <s v="2022-06-05 06:46 (-07)"/>
        <s v="2022-05-25 02:54 (-07)"/>
        <s v="2022-06-05 11:08 (-07)"/>
        <s v="2022-06-02 04:54 (-07)"/>
        <s v="2022-06-07 07:00 (PST)"/>
        <s v="2022-05-18 05:00 (PST)"/>
        <s v="2022-06-03 06:30 (-07)"/>
        <s v="2022-06-10 07:00 (-07)"/>
        <s v="2022-06-13 07:00 (-07)"/>
        <s v="2022-06-14 07:00 (PST)"/>
        <s v="2019-07-18 08:00 (PST)"/>
        <s v="2019-08-29 08:00 (PST)"/>
        <s v="2020-10-14 05:39 (PST)"/>
        <s v="2022-06-24 07:09 (PST)"/>
        <s v="2022-06-01 08:52 (PST)"/>
        <s v="2022-06-22 04:22 (PST)"/>
        <s v="2022-06-27 05:39 (PST)"/>
        <s v="2022-06-10 06:20 (PST)"/>
        <s v="2022-07-01 08:22 (-07)"/>
        <s v="2022-07-01 06:56 (-07)"/>
        <s v="2022-07-01 09:05 (-07)"/>
        <s v="2021-12-13 06:30 (-07)"/>
        <s v="2022-06-18 07:52 (PST)"/>
        <s v="2022-07-07 07:32 (-07)"/>
        <s v="2019-04-11 02:50 (-07)"/>
        <s v="2022-06-18 23:30 (-07)"/>
        <s v="2022-07-18 05:05 (PST)"/>
        <s v="2022-06-18 04:54 (-07)"/>
        <s v="2022-07-18 04:01 (-07)"/>
        <s v="2022-07-19 08:00 (PST)"/>
        <s v="2020-08-28 07:00 (PST)"/>
        <s v="2022-05-25 07:00 (-07)"/>
        <s v="2022-07-26 08:00 (PST)"/>
        <s v="2019-08-12 08:50 (PST)"/>
        <s v="2019-10-15 06:25 (PST)"/>
        <s v="2022-08-02 07:00 (PST)"/>
        <s v="2021-09-23 14:52 (PST)"/>
        <s v="2022-07-25 14:54 (PST)"/>
        <s v="2022-08-13 09:52 (-07)"/>
        <s v="2022-08-12 06:30 (-07)"/>
        <s v="2022-08-10 13:53 (-07)"/>
        <s v="2022-08-21 08:40 (PST)"/>
        <s v="2022-08-03 06:55 (-07)"/>
        <s v="2022-08-19 06:00 (-07)"/>
        <s v="2022-08-28 03:00 (-07)"/>
        <s v="2022-08-31 04:22 (-07)"/>
        <s v="2022-09-06 09:38 (PST)"/>
        <s v="2022-09-13 08:00 (PST)"/>
        <s v="2022-09-08 07:22 (-07)"/>
        <s v="2019-11-15 09:17 (-07)"/>
        <s v="2022-09-20 09:00 (PST)"/>
        <s v="2022-09-21 04:24 (-07)"/>
        <s v="2022-07-15 03:55 (-07)"/>
        <s v="2022-09-27 09:00 (-07)"/>
        <s v="2022-09-26 04:57 (PST)"/>
        <s v="2022-06-06 04:22 (-07)"/>
        <s v="2022-01-04 14:53 (-07)"/>
        <s v="2022-09-30 08:00 (PST)"/>
        <s v="2022-09-27 05:54 (-07)"/>
        <s v="2022-05-16 04:22 (-07)"/>
        <s v="2022-10-18 08:00 (PST)"/>
        <s v="2022-10-14 07:25 (PST)"/>
        <s v="2022-09-02 08:00 (PST)"/>
        <s v="2022-03-25 08:00 (PST)"/>
        <s v="2021-11-23 08:00 (PST)"/>
        <s v="2022-10-25 08:00 (PST)"/>
        <s v="2022-10-27 23:07 (GMT)"/>
        <s v="2022-10-07 10:25 (EST)"/>
        <s v="2022-11-14 11:00 (EST)"/>
        <s v="2022-11-04 09:25 (PST)"/>
        <s v="2022-11-21 04:25 (PST)"/>
        <s v="2022-11-18 13:00 (PST)"/>
        <s v="2021-12-03 08:00 (PST)"/>
        <s v="2022-11-11 01:00 (PST)"/>
        <s v="2019-09-15 12:17 (-08)"/>
        <s v="2022-11-16 08:00 (-08)"/>
        <s v="2022-09-11 10:55 (-08)"/>
        <s v="2022-08-31 22:00 (-08)"/>
        <s v="2022-03-14 11:02 (-08)"/>
        <s v="2022-11-11 07:25 (PST)"/>
        <s v="2022-12-05 07:00 (PST)"/>
        <s v="2022-10-21 01:00 (PST)"/>
        <s v="2022-04-04 22:00 (-08)"/>
        <s v="2022-12-03 06:57 (-08)"/>
        <s v="2022-12-04 09:25 (-08)"/>
        <s v="2022-11-24 23:00 (-08)"/>
        <s v="2022-12-06 16:10 (PST)"/>
        <s v="2022-12-09 10:26 (EST)"/>
        <s v="2022-12-13 12:37 (EST)"/>
        <s v="2022-12-15 18:47 (EST)"/>
        <s v="2022-12-19 08:10 (EST)"/>
        <s v="2021-09-13 07:21 (PST)"/>
        <s v="2022-05-22 07:00 (-08)"/>
        <s v="2022-12-19 07:00 (-08)"/>
        <s v="2022-12-21 05:08 (PST)"/>
        <s v="2022-12-30 09:00 (PST)"/>
        <s v="2022-12-28 09:00 (PST)"/>
        <s v="2020-10-28 01:52 (-08)"/>
        <s v="2022-12-21 08:00 (-08)"/>
        <s v="2023-01-03 09:37 (PST)"/>
        <s v="2023-01-09 08:00 (PST)"/>
        <s v="2023-01-09 04:22 (PST)"/>
        <s v="2023-01-09 06:53 (-08)"/>
        <s v="2022-12-18 09:25 (-08)"/>
        <s v="2022-05-20 06:22 (PST)"/>
        <s v="2022-12-16 08:00 (PST)"/>
        <s v="2022-12-07 03:54 (-08)"/>
        <s v="2023-01-17 11:40 (-08)"/>
        <s v="2023-01-17 06:34 (-08)"/>
        <s v="2023-01-18 08:00 (PST)"/>
        <s v="2023-01-21 09:25 (PST)"/>
        <s v="2022-11-09 08:00 (PST)"/>
        <s v="2022-11-23 06:52 (-05)"/>
        <s v="2023-01-24 11:00 (-05)"/>
        <s v="2022-11-26 00:00 (-05)"/>
        <s v="2023-01-12 10:53 (EST)"/>
        <s v="2023-01-16 02:00 (EST)"/>
        <s v="2023-01-31 11:00 (EST)"/>
        <s v="2022-11-09 06:53 (-05)"/>
        <s v="2023-02-06 11:00 (-05)"/>
        <s v="2023-01-22 12:27 (-05)"/>
        <s v="2023-01-20 12:25 (-05)"/>
        <s v="2023-02-07 12:26 (EST)"/>
        <s v="2023-01-04 07:39 (-08)"/>
        <s v="2023-02-07 07:00 (-08)"/>
        <s v="2023-02-08 04:22 (-08)"/>
        <s v="2023-02-17 14:00 (-08)"/>
        <s v="2023-02-15 15:34 (-08)"/>
        <s v="2023-02-03 11:25 (PST)"/>
        <s v="2023-02-21 08:00 (PST)"/>
        <s v="2023-01-20 11:25 (PST)"/>
        <s v="2023-02-28 15:58 (PST)"/>
        <s v="2023-03-04 07:25 (PST)"/>
        <s v="2022-12-17 04:24 (-08)"/>
        <s v="2023-02-26 23:00 (-08)"/>
        <s v="2023-03-01 08:00 (PST)"/>
        <s v="2021-09-25 04:53 (-07)"/>
        <s v="2023-03-07 04:37 (-07)"/>
        <s v="2023-02-09 09:00 (-07)"/>
        <s v="2023-03-14 16:10 (PST)"/>
        <s v="2021-10-06 05:51 (-04)"/>
        <s v="2023-03-20 10:00 (-04)"/>
        <s v="2023-03-15 11:00 (-04)"/>
        <s v="2022-02-25 11:00 (-04)"/>
        <s v="2023-03-17 11:00 (EST)"/>
        <s v="2023-03-16 15:25 (PST)"/>
        <s v="2023-03-22 04:23 (-07)"/>
        <s v="2021-10-28 10:26 (-07)"/>
        <s v="2023-03-22 08:00 (-07)"/>
        <s v="2023-03-23 08:00 (PST)"/>
        <s v="2023-03-31 08:55 (PST)"/>
        <s v="2023-03-10 08:00 (-07)"/>
        <s v="2022-12-07 09:00 (-07)"/>
        <s v="2023-04-01 06:01 (PST)"/>
        <s v="2023-04-08 05:24 (PST)"/>
        <s v="2023-04-03 09:24 (-07)"/>
        <s v="2023-04-07 15:42 (-07)"/>
        <s v="2023-04-10 08:00 (PST)"/>
        <s v="2023-01-19 15:22 (PST)"/>
        <s v="2023-03-18 05:55 (PST)"/>
        <s v="2023-01-04 07:00 (PST)"/>
        <s v="2023-03-22 07:00 (PST)"/>
        <s v="2023-02-24 14:25 (PST)"/>
        <s v="2023-04-25 15:58 (PST)"/>
        <s v="2023-01-26 11:55 (-07)"/>
        <s v="2023-05-03 07:00 (-07)"/>
        <s v="2023-05-05 08:00 (PST)"/>
        <s v="2023-05-07 07:25 (PST)"/>
        <s v="2023-05-16 16:12 (PST)"/>
        <s v="2023-05-12 14:24 (PST)"/>
        <s v="2021-11-15 17:51 (-07)"/>
        <s v="2023-05-19 14:57 (-07)"/>
        <s v="2023-05-12 08:00 (-07)"/>
        <s v="2023-05-23 08:00 (PST)"/>
        <s v="2023-05-16 16:35 (-07)"/>
        <s v="2023-05-27 06:02 (PST)"/>
        <s v="2023-05-30 08:00 (PST)"/>
        <s v="2023-06-06 05:08 (PST)"/>
        <s v="2023-05-26 14:25 (PST)"/>
        <s v="2023-06-13 16:09 (PST)"/>
        <s v="2023-06-06 02:55 (-07)"/>
        <s v="2023-06-02 14:00 (-07)"/>
        <s v="2023-04-26 04:47 (-07)"/>
        <s v="2023-06-18 09:50 (-07)"/>
        <s v="2023-06-20 16:10 (PST)"/>
        <s v="2021-05-04 04:53 (-07)"/>
        <s v="2023-06-23 08:00 (-07)"/>
        <s v="2023-06-30 07:00 (-07)"/>
        <s v="2023-06-07 07:00 (-07)"/>
        <s v="2023-05-15 16:25 (-07)"/>
        <s v="2023-06-13 15:32 (-07)"/>
        <s v="2023-07-10 04:22 (PST)"/>
        <s v="2023-06-26 16:25 (-07)"/>
        <s v="2023-07-18 16:10 (PST)"/>
        <s v="2023-06-11 12:57 (EST)"/>
        <s v="2023-05-15 02:54 (-07)"/>
        <s v="2023-08-01 16:00 (PST)"/>
        <s v="2023-08-08 08:00 (PST)"/>
        <s v="2020-02-05 05:31 (PST)"/>
        <s v="2023-01-23 08:00 (PST)"/>
        <s v="2021-06-16 05:36 (PST)"/>
        <s v="2023-08-07 04:22 (PST)"/>
        <s v="2023-09-07 23:00 (PST)"/>
        <s v="2023-07-19 23:00 (-07)"/>
        <s v="2023-05-08 07:00 (-07)"/>
        <s v="2023-09-06 08:00 (-07)"/>
        <s v="2023-09-12 08:00 (PST)"/>
        <s v="2023-08-23 08:00 (-07)"/>
        <s v="2023-09-20 04:24 (-07)"/>
        <s v="2023-09-14 23:00 (-07)"/>
        <s v="2023-09-26 08:00 (PST)"/>
        <s v="2021-08-17 04:55 (-07)"/>
        <s v="2023-08-18 08:00 (-07)"/>
        <s v="2023-09-19 09:28 (PST)"/>
        <s v="2023-09-26 09:23 (PST)"/>
        <s v="2023-10-17 11:00 (EST)"/>
        <s v="2023-09-25 04:50 (PST)"/>
        <s v="2023-05-04 04:22 (-07)"/>
        <s v="2023-10-18 08:00 (-07)"/>
        <s v="2023-09-04 07:00 (-07)"/>
        <s v="2023-10-24 08:00 (PST)"/>
        <s v="2023-10-23 09:25 (-07)"/>
        <s v="2023-10-10 14:55 (-07)"/>
        <s v="2023-10-31 09:39 (PST)"/>
        <s v="2023-07-10 06:00 (-08)"/>
        <s v="2021-06-16 01:53 (-08)"/>
        <s v="2023-10-20 07:00 (-08)"/>
        <s v="2023-11-07 05:08 (PST)"/>
        <s v="2023-11-10 14:24 (PST)"/>
        <s v="2023-11-21 08:00 (PST)"/>
        <s v="2023-11-23 07:56 (PST)"/>
        <s v="2023-11-17 10:27 (PST)"/>
        <s v="2023-11-22 15:09 (PST)"/>
        <s v="2023-11-21 14:26 (-08)"/>
        <s v="2023-12-01 08:00 (-08)"/>
        <s v="2022-08-31 08:37 (-08)"/>
        <s v="2023-07-21 06:00 (-08)"/>
        <s v="2023-12-05 08:00 (PST)"/>
        <s v="2023-08-13 07:26 (PST)"/>
        <s v="2023-12-05 15:26 (-08)"/>
        <s v="2023-10-11 22:00 (-08)"/>
        <s v="2023-11-02 23:00 (-08)"/>
        <s v="2023-12-12 08:00 (PST)"/>
        <s v="2023-07-15 03:54 (-08)"/>
        <s v="2023-12-15 08:00 (-08)"/>
        <s v="2023-12-14 23:00 (-08)"/>
        <s v="2021-11-10 07:00 (PST)"/>
        <s v="2023-11-17 14:24 (PST)"/>
        <s v="2023-12-09 04:24 (-08)"/>
        <s v="2023-12-20 08:00 (-08)"/>
        <s v="2023-12-21 23:00 (-08)"/>
        <s v="2023-12-20 08:00 (PST)"/>
        <s v="2023-12-08 08:56 (PST)"/>
        <s v="2023-12-19 14:25 (-08)"/>
        <s v="2023-10-13 07:00 (-08)"/>
        <s v="2023-09-12 22:00 (-08)"/>
        <s v="2024-01-02 15:45 (PST)"/>
        <s v="2023-12-02 07:25 (-08)"/>
        <s v="2024-01-02 03:25 (-08)"/>
        <s v="2024-01-05 09:53 (-08)"/>
        <s v="2023-12-30 06:00 (PST)"/>
        <s v="2021-12-06 05:30 (PST)"/>
        <s v="2023-09-09 05:55 (PST)"/>
        <s v="2023-11-22 02:54 (-08)"/>
        <s v="2024-01-10 09:47 (-08)"/>
        <s v="2024-01-16 15:58 (PST)"/>
        <s v="2018-09-13 10:19 (PST)"/>
        <s v="2018-11-06 08:19 (PST)"/>
        <s v="2018-12-06 10:19 (PST)"/>
        <s v="2019-07-07 09:34 (PST)"/>
        <s v="2018-02-21 12:21 (PST)"/>
        <s v="2020-01-24 02:49 (PST)"/>
        <s v="2020-02-05 16:17 (PST)"/>
        <s v="2020-10-14 07:00 (PST)"/>
        <s v="2020-10-08 07:00 (PST)"/>
        <s v="2020-10-21 07:00 (PST)"/>
        <s v="2020-10-29 02:55 (PST)"/>
        <s v="2020-07-17 06:00 (PST)"/>
        <s v="2019-12-19 04:47 (PST)"/>
        <s v="2020-01-27 08:18 (PST)"/>
        <s v="2020-11-05 06:00 (PST)"/>
        <s v="2020-11-21 06:23 (PST)"/>
        <s v="2020-10-19 05:30 (PST)"/>
        <s v="2020-11-29 08:00 (PST)"/>
        <s v="2020-12-01 15:35 (PST)"/>
        <s v="2020-10-21 02:54 (PST)"/>
        <s v="2020-11-15 08:35 (PST)"/>
        <s v="2020-12-11 06:00 (PST)"/>
        <s v="2020-12-13 08:35 (PST)"/>
        <s v="2020-12-16 16:26 (PST)"/>
        <s v="2020-12-14 07:36 (PST)"/>
        <s v="2020-12-21 16:22 (PST)"/>
        <s v="2020-12-19 06:34 (PST)"/>
        <s v="2020-11-08 07:53 (PST)"/>
        <s v="2020-12-23 04:53 (PST)"/>
        <s v="2020-12-27 06:00 (PST)"/>
        <s v="2019-07-21 03:46 (-08)"/>
        <s v="2020-06-04 06:00 (-08)"/>
        <s v="2021-01-25 07:27 (PST)"/>
        <s v="2020-02-05 12:50 (-08)"/>
        <s v="2020-01-28 03:30 (-08)"/>
        <s v="2020-11-18 07:00 (PST)"/>
        <s v="2021-01-24 07:50 (PST)"/>
        <s v="2019-09-28 09:34 (PST)"/>
        <s v="2020-10-17 03:53 (-08)"/>
        <s v="2020-08-29 07:35 (-08)"/>
        <s v="2018-02-08 12:01 (-08)"/>
        <s v="2021-01-15 23:00 (-08)"/>
        <s v="2020-09-23 01:48 (-08)"/>
        <s v="2020-12-21 16:22 (-08)"/>
        <s v="2021-03-02 17:04 (-08)"/>
        <s v="2021-03-10 04:49 (PST)"/>
        <s v="2020-09-21 14:00 (-07)"/>
        <s v="2021-03-17 07:00 (PST)"/>
        <s v="2021-03-08 06:36 (-07)"/>
        <s v="2021-03-10 06:20 (-07)"/>
        <s v="2021-02-19 06:27 (PST)"/>
        <s v="2021-03-22 04:52 (PST)"/>
        <s v="2021-03-13 10:00 (-07)"/>
        <s v="2021-01-28 06:00 (-07)"/>
        <s v="2021-02-14 06:27 (PST)"/>
        <s v="2019-07-25 04:50 (-07)"/>
        <s v="2020-10-21 02:54 (-07)"/>
        <s v="2021-04-20 06:00 (-07)"/>
        <s v="2019-12-16 18:00 (-07)"/>
        <s v="2021-03-23 05:36 (PST)"/>
        <s v="2021-02-23 05:52 (-07)"/>
        <s v="2021-02-05 08:00 (PST)"/>
        <s v="2020-05-13 11:24 (PST)"/>
        <s v="2020-02-27 03:46 (-07)"/>
        <s v="2021-05-10 07:00 (-07)"/>
        <s v="2021-05-11 15:37 (PST)"/>
        <s v="2021-05-14 05:40 (PST)"/>
        <s v="2021-02-07 07:53 (PST)"/>
        <s v="2020-07-22 13:20 (PST)"/>
        <s v="2019-09-14 09:33 (-07)"/>
        <s v="2020-06-24 12:00 (-07)"/>
        <s v="2021-03-02 07:00 (PST)"/>
        <s v="2019-05-09 02:46 (-07)"/>
        <s v="2021-05-29 07:00 (-07)"/>
        <s v="2021-05-25 15:38 (PST)"/>
        <s v="2021-06-04 07:00 (PST)"/>
        <s v="2021-02-28 06:39 (PST)"/>
        <s v="2020-10-29 08:25 (-07)"/>
        <s v="2019-11-21 03:50 (-07)"/>
        <s v="2021-06-02 07:00 (PST)"/>
        <s v="2021-06-16 08:08 (PST)"/>
        <s v="2019-10-03 02:48 (-07)"/>
        <s v="2021-06-14 05:36 (PST)"/>
        <s v="2021-05-20 15:35 (PST)"/>
        <s v="2019-03-21 04:48 (-07)"/>
        <s v="2021-06-18 06:22 (-07)"/>
        <s v="2021-06-17 06:15 (-07)"/>
        <s v="2021-06-26 04:22 (-07)"/>
        <s v="2021-07-10 09:02 (-07)"/>
        <s v="2021-04-29 12:00 (PST)"/>
        <s v="2020-08-26 07:00 (PST)"/>
        <s v="2021-05-18 04:50 (-07)"/>
        <s v="2021-07-18 10:32 (-07)"/>
        <s v="2019-12-05 06:56 (PST)"/>
        <s v="2021-01-25 07:00 (PST)"/>
        <s v="2021-07-22 07:00 (-07)"/>
        <s v="2021-04-03 04:21 (-07)"/>
        <s v="2021-08-01 10:33 (-07)"/>
        <s v="2021-07-28 07:59 (PST)"/>
        <s v="2020-05-07 11:25 (PST)"/>
        <s v="2021-04-13 04:54 (-07)"/>
        <s v="2021-03-24 02:52 (-07)"/>
        <s v="2021-08-10 05:36 (PST)"/>
        <s v="2021-04-22 02:53 (-07)"/>
        <s v="2020-10-15 13:00 (-07)"/>
        <s v="2020-12-06 08:36 (PST)"/>
        <s v="2021-07-08 15:29 (PST)"/>
        <s v="2021-08-25 05:28 (PST)"/>
        <s v="2019-03-19 12:01 (PST)"/>
        <s v="2021-07-08 14:56 (PST)"/>
        <s v="2021-08-30 06:00 (-07)"/>
        <s v="2020-09-27 07:53 (PST)"/>
        <s v="2021-06-10 06:00 (-07)"/>
        <s v="2021-09-04 04:53 (-07)"/>
        <s v="2020-11-18 06:57 (-07)"/>
        <s v="2020-02-19 05:50 (PST)"/>
        <s v="2020-02-19 05:55 (PST)"/>
        <s v="2020-10-21 16:20 (PST)"/>
        <s v="2021-08-18 04:53 (-07)"/>
        <s v="2020-11-02 23:00 (-07)"/>
        <s v="2021-08-15 22:00 (-07)"/>
        <s v="2020-02-19 06:30 (PST)"/>
        <s v="2021-08-17 08:53 (-07)"/>
        <s v="2020-11-01 08:00 (-07)"/>
        <s v="2020-11-16 08:00 (-07)"/>
        <s v="2021-09-01 14:51 (PST)"/>
        <s v="2021-10-06 02:51 (-07)"/>
        <s v="2021-09-27 00:23 (-07)"/>
        <s v="2021-09-14 06:02 (-07)"/>
        <s v="2021-10-05 16:00 (-07)"/>
        <s v="2021-10-06 07:00 (PST)"/>
        <s v="2021-08-22 06:21 (PST)"/>
        <s v="2021-05-22 04:24 (-07)"/>
        <s v="2021-09-30 00:25 (-07)"/>
        <s v="2021-10-19 10:30 (PST)"/>
        <s v="2021-05-02 07:53 (PST)"/>
        <s v="2020-03-10 05:31 (PST)"/>
        <s v="2021-10-22 06:57 (PST)"/>
        <s v="2021-11-03 07:00 (PST)"/>
        <s v="2021-03-01 06:49 (PST)"/>
        <s v="2021-09-23 15:55 (-08)"/>
        <s v="2021-11-01 11:02 (-08)"/>
        <s v="2021-11-04 05:30 (-08)"/>
        <s v="2021-07-11 07:52 (PST)"/>
        <s v="2021-11-15 16:51 (-08)"/>
        <s v="2021-11-09 08:00 (-08)"/>
        <s v="2019-03-19 11:38 (-08)"/>
        <s v="2021-11-17 05:39 (PST)"/>
        <s v="2021-07-03 08:51 (PST)"/>
        <s v="2021-10-20 10:30 (PST)"/>
        <s v="2021-11-24 08:00 (-08)"/>
        <s v="2021-11-08 00:57 (-08)"/>
        <s v="2021-07-23 08:00 (PST)"/>
        <s v="2021-11-19 14:37 (PST)"/>
        <s v="2021-11-02 12:52 (-08)"/>
        <s v="2021-12-01 04:00 (-08)"/>
        <s v="2021-12-01 07:08 (PST)"/>
        <s v="2021-11-23 05:15 (PST)"/>
        <s v="2021-12-01 07:00 (PST)"/>
        <s v="2021-11-02 11:02 (-08)"/>
        <s v="2021-12-06 08:52 (-08)"/>
        <s v="2021-12-07 15:26 (PST)"/>
        <s v="2020-03-02 15:32 (PST)"/>
        <s v="2021-06-02 01:53 (-08)"/>
        <s v="2021-12-08 14:00 (-08)"/>
        <s v="2021-12-12 11:08 (PST)"/>
        <s v="2021-09-05 07:50 (PST)"/>
        <s v="2020-10-31 08:30 (-08)"/>
        <s v="2019-12-10 08:00 (-08)"/>
        <s v="2021-11-18 06:30 (-08)"/>
        <s v="2021-10-04 00:13 (-08)"/>
        <s v="2021-12-22 07:00 (PST)"/>
        <s v="2021-12-29 06:22 (PST)"/>
        <s v="2021-09-22 03:54 (-08)"/>
        <s v="2020-11-13 05:59 (-08)"/>
        <s v="2021-12-29 07:00 (PST)"/>
        <s v="2021-11-04 14:53 (PST)"/>
        <s v="2021-01-06 07:37 (PST)"/>
        <s v="2021-08-03 22:00 (-08)"/>
        <s v="2021-09-27 01:52 (-08)"/>
        <s v="2020-11-28 11:00 (-08)"/>
        <s v="2022-01-05 05:26 (PST)"/>
        <s v="2021-12-13 08:53 (PST)"/>
        <s v="2021-11-18 06:30 (PST)"/>
        <s v="2021-12-20 08:00 (PST)"/>
        <s v="2022-01-12 05:37 (PST)"/>
        <s v="2021-12-01 13:54 (-08)"/>
        <s v="2021-12-14 05:17 (PST)"/>
        <s v="2022-01-18 08:00 (-08)"/>
        <s v="2021-08-11 07:16 (-08)"/>
        <s v="2022-01-15 08:00 (-08)"/>
        <s v="2020-02-27 15:31 (PST)"/>
        <s v="2021-12-21 05:19 (PST)"/>
        <s v="2021-03-05 08:00 (PST)"/>
        <s v="2021-04-07 01:53 (-08)"/>
        <s v="2022-01-25 16:05 (-08)"/>
        <s v="2020-02-11 05:31 (PST)"/>
        <s v="2021-09-22 14:52 (PST)"/>
        <s v="2021-01-30 11:30 (-08)"/>
        <s v="2019-11-27 05:31 (PST)"/>
        <s v="2021-07-11 08:35 (PST)"/>
        <s v="2020-05-15 08:00 (PST)"/>
        <s v="2021-02-06 04:50 (-08)"/>
        <s v="2019-11-13 15:31 (PST)"/>
        <s v="2021-05-16 07:53 (PST)"/>
        <s v="2021-10-20 01:55 (-08)"/>
        <s v="2019-12-19 04:47 (-08)"/>
        <s v="2022-02-20 08:00 (-08)"/>
        <s v="2022-01-29 06:37 (PST)"/>
        <s v="2022-01-18 05:18 (PST)"/>
        <s v="2019-09-30 13:41 (PST)"/>
        <s v="2022-02-22 14:50 (PST)"/>
        <s v="2022-03-02 05:37 (PST)"/>
        <s v="2022-01-12 10:27 (-08)"/>
        <s v="2019-11-21 02:50 (-08)"/>
        <s v="2021-07-09 13:15 (-08)"/>
        <s v="2022-03-01 08:00 (-08)"/>
        <s v="2022-02-16 06:02 (-08)"/>
        <s v="2020-07-07 06:51 (PST)"/>
        <s v="2019-07-25 01:44 (-08)"/>
        <s v="2022-02-08 14:35 (-08)"/>
        <s v="2022-03-03 06:01 (-08)"/>
        <s v="2022-02-28 07:30 (-08)"/>
        <s v="2022-02-14 08:50 (PST)"/>
        <s v="2022-03-14 00:00 (-07)"/>
        <s v="2022-02-01 14:53 (-07)"/>
        <s v="2022-03-14 08:00 (-07)"/>
        <s v="2022-01-31 05:31 (-07)"/>
        <s v="2022-03-17 16:25 (PST)"/>
        <s v="2022-03-22 05:30 (PST)"/>
        <s v="2019-11-09 06:30 (-07)"/>
        <s v="2022-02-01 09:00 (-07)"/>
        <s v="2022-02-08 12:54 (-07)"/>
        <s v="2022-02-25 03:52 (-07)"/>
        <s v="2022-03-16 07:07 (PST)"/>
        <s v="2022-03-28 08:00 (-07)"/>
        <s v="2022-03-28 03:55 (-07)"/>
        <s v="2022-03-31 14:54 (PST)"/>
        <s v="2022-04-05 03:20 (PST)"/>
        <s v="2022-04-03 23:25 (PST)"/>
        <s v="2022-03-29 15:37 (PST)"/>
        <s v="2022-04-07 07:00 (PST)"/>
        <s v="2022-04-01 08:00 (PST)"/>
        <s v="2022-04-11 09:37 (PST)"/>
        <s v="2022-04-11 08:00 (PST)"/>
        <s v="2022-04-05 05:15 (PST)"/>
        <s v="2021-08-13 10:35 (-07)"/>
        <s v="2022-04-09 08:10 (-07)"/>
        <s v="2022-04-20 08:00 (PST)"/>
        <s v="2022-02-20 07:50 (PST)"/>
        <s v="2022-04-19 05:14 (PST)"/>
        <s v="2021-06-30 06:00 (-07)"/>
        <s v="2021-02-01 07:00 (-07)"/>
        <s v="2022-04-27 08:00 (PST)"/>
        <s v="2022-03-26 07:52 (PST)"/>
        <s v="2022-04-20 02:52 (-07)"/>
        <s v="2022-05-04 08:00 (PST)"/>
        <s v="2022-04-14 16:22 (PST)"/>
        <s v="2022-05-06 05:02 (-07)"/>
        <s v="2019-06-23 04:48 (-07)"/>
        <s v="2022-05-13 05:30 (PST)"/>
        <s v="2022-05-11 13:52 (-07)"/>
        <s v="2022-05-18 04:22 (-07)"/>
        <s v="2022-05-17 05:27 (PST)"/>
        <s v="2022-03-28 04:57 (PST)"/>
        <s v="2022-05-16 08:00 (-07)"/>
        <s v="2022-04-25 04:54 (PST)"/>
        <s v="2022-06-01 04:22 (-07)"/>
        <s v="2022-03-16 02:52 (-07)"/>
        <s v="2022-05-31 07:00 (-07)"/>
        <s v="2022-05-31 07:07 (PST)"/>
        <s v="2022-05-07 06:48 (PST)"/>
        <s v="2019-04-11 08:00 (PST)"/>
        <s v="2022-06-08 08:00 (PST)"/>
        <s v="2022-06-03 08:00 (PST)"/>
        <s v="2022-06-08 04:23 (-07)"/>
        <s v="2022-06-11 06:32 (-07)"/>
        <s v="2022-06-14 08:00 (-07)"/>
        <s v="2022-06-16 07:00 (-07)"/>
        <s v="2022-06-10 05:56 (-07)"/>
        <s v="2022-06-28 08:00 (PST)"/>
        <s v="2020-01-30 08:00 (PST)"/>
        <s v="2022-06-23 05:02 (-07)"/>
        <s v="2021-01-06 03:52 (-07)"/>
        <s v="2022-06-26 08:00 (PST)"/>
        <s v="2019-05-14 05:51 (PST)"/>
        <s v="2022-06-21 08:00 (PST)"/>
        <s v="2022-06-08 15:23 (PST)"/>
        <s v="2022-07-01 11:00 (-07)"/>
        <s v="2022-07-06 05:38 (PST)"/>
        <s v="2022-06-21 05:17 (PST)"/>
        <s v="2022-07-07 07:00 (PST)"/>
        <s v="2022-06-10 08:00 (PST)"/>
        <s v="2022-07-01 08:00 (PST)"/>
        <s v="2022-07-11 08:54 (PST)"/>
        <s v="2022-07-19 07:00 (-07)"/>
        <s v="2022-07-20 09:27 (-07)"/>
        <s v="2022-07-20 02:53 (-07)"/>
        <s v="2022-07-25 06:54 (-07)"/>
        <s v="2022-07-24 08:00 (-07)"/>
        <s v="2022-07-24 07:52 (PST)"/>
        <s v="2022-07-21 05:39 (PST)"/>
        <s v="2022-07-21 08:00 (PST)"/>
        <s v="2022-07-21 14:52 (PST)"/>
        <s v="2022-08-02 07:07 (-07)"/>
        <s v="2022-08-03 08:00 (PST)"/>
        <s v="2022-06-22 02:52 (-07)"/>
        <s v="2022-08-16 07:00 (-07)"/>
        <s v="2022-08-12 06:55 (-07)"/>
        <s v="2022-08-11 15:17 (PST)"/>
        <s v="2022-08-15 08:00 (PST)"/>
        <s v="2021-10-17 07:52 (PST)"/>
        <s v="2022-07-29 01:00 (PST)"/>
        <s v="2022-08-24 04:22 (-07)"/>
        <s v="2020-11-18 03:55 (-07)"/>
        <s v="2022-08-24 08:00 (PST)"/>
        <s v="2022-08-21 23:00 (-07)"/>
        <s v="2022-08-30 08:00 (PST)"/>
        <s v="2022-08-22 04:23 (-07)"/>
        <s v="2020-01-08 09:18 (-07)"/>
        <s v="2022-08-28 07:25 (PST)"/>
        <s v="2022-09-07 08:00 (PST)"/>
        <s v="2022-09-10 05:50 (PST)"/>
        <s v="2022-09-14 04:22 (-07)"/>
        <s v="2022-09-14 07:00 (-07)"/>
        <s v="2022-09-14 08:00 (PST)"/>
        <s v="2022-08-03 23:00 (-07)"/>
        <s v="2020-11-24 05:24 (-07)"/>
        <s v="2022-09-02 05:25 (PST)"/>
        <s v="2022-10-04 07:00 (PST)"/>
        <s v="2022-10-11 02:00 (PST)"/>
        <s v="2022-10-09 09:27 (-07)"/>
        <s v="2022-09-27 11:52 (-07)"/>
        <s v="2022-09-26 13:00 (PST)"/>
        <s v="2022-09-07 03:52 (-07)"/>
        <s v="2022-10-17 11:00 (-07)"/>
        <s v="2022-10-17 04:22 (PST)"/>
        <s v="2020-08-12 14:05 (-07)"/>
        <s v="2022-10-26 08:00 (PST)"/>
        <s v="2022-10-29 13:10 (GMT)"/>
        <s v="2022-09-29 12:53 (-05)"/>
        <s v="2022-10-25 18:39 (-05)"/>
        <s v="2022-11-07 11:00 (-05)"/>
        <s v="2022-11-03 18:30 (-05)"/>
        <s v="2023-02-01 19:00 (-05)"/>
        <s v="2022-10-19 13:37 (-05)"/>
        <s v="2022-10-19 07:22 (EST)"/>
        <s v="2022-08-19 10:55 (EST)"/>
        <s v="2022-05-13 06:00 (-08)"/>
        <s v="2022-10-25 07:00 (-08)"/>
        <s v="2022-11-19 05:50 (PST)"/>
        <s v="2022-05-18 05:53 (-08)"/>
        <s v="2022-09-13 22:00 (-08)"/>
        <s v="2022-11-08 06:34 (-08)"/>
        <s v="2022-12-02 01:00 (PST)"/>
        <s v="2022-12-02 09:25 (PST)"/>
        <s v="2022-12-06 05:03 (-08)"/>
        <s v="2022-12-07 08:00 (PST)"/>
        <s v="2022-12-06 19:10 (EST)"/>
        <s v="2022-12-12 10:00 (-05)"/>
        <s v="2020-08-12 06:52 (-05)"/>
        <s v="2022-08-24 09:38 (-05)"/>
        <s v="2022-12-08 02:32 (-05)"/>
        <s v="2022-12-08 10:00 (EST)"/>
        <s v="2022-12-14 05:00 (EST)"/>
        <s v="2022-12-08 18:24 (EST)"/>
        <s v="2022-12-14 11:00 (EST)"/>
        <s v="2022-12-07 06:54 (-05)"/>
        <s v="2022-12-20 11:00 (-05)"/>
        <s v="2022-12-21 07:22 (EST)"/>
        <s v="2022-01-05 12:00 (EST)"/>
        <s v="2022-12-21 08:08 (EST)"/>
        <s v="2022-12-26 09:00 (PST)"/>
        <s v="2020-10-10 07:48 (PST)"/>
        <s v="2022-12-21 08:00 (PST)"/>
        <s v="2022-02-08 14:50 (PST)"/>
        <s v="2022-10-22 03:55 (-08)"/>
        <s v="2022-12-21 00:37 (-08)"/>
        <s v="2022-12-06 07:00 (-08)"/>
        <s v="2022-12-21 07:40 (-08)"/>
        <s v="2023-01-04 11:08 (PST)"/>
        <s v="2023-01-06 07:24 (PST)"/>
        <s v="2022-11-25 05:00 (-08)"/>
        <s v="2023-01-12 15:25 (PST)"/>
        <s v="2023-01-13 05:25 (PST)"/>
        <s v="2023-01-18 13:23 (EST)"/>
        <s v="2022-11-20 07:55 (-05)"/>
        <s v="2023-01-30 18:58 (EST)"/>
        <s v="2022-11-12 10:25 (-05)"/>
        <s v="2022-06-26 10:00 (-05)"/>
        <s v="2022-12-30 12:00 (-05)"/>
        <s v="2023-02-08 14:07 (EST)"/>
        <s v="2022-10-09 07:24 (PST)"/>
        <s v="2023-02-14 16:08 (PST)"/>
        <s v="2023-02-11 05:25 (PST)"/>
        <s v="2019-07-20 06:00 (-08)"/>
        <s v="2023-02-27 07:00 (-08)"/>
        <s v="2023-02-27 23:32 (-08)"/>
        <s v="2023-01-23 07:00 (-08)"/>
        <s v="2023-03-06 08:00 (PST)"/>
        <s v="2023-03-07 04:24 (PST)"/>
        <s v="2023-03-21 11:00 (EST)"/>
        <s v="2023-03-27 08:00 (PST)"/>
        <s v="2023-02-17 08:00 (PST)"/>
        <s v="2023-03-29 09:28 (PST)"/>
        <s v="2023-03-23 09:23 (PST)"/>
        <s v="2023-04-05 08:00 (PST)"/>
        <s v="2023-04-08 09:25 (PST)"/>
        <s v="2023-03-26 11:27 (PST)"/>
        <s v="2023-04-17 03:25 (PST)"/>
        <s v="2023-04-11 23:00 (PST)"/>
        <s v="2023-04-21 14:25 (PST)"/>
        <s v="2023-01-09 15:24 (PST)"/>
        <s v="2023-03-31 09:25 (-07)"/>
        <s v="2023-03-24 14:25 (PST)"/>
        <s v="2023-05-05 14:57 (-07)"/>
        <s v="2023-05-03 04:21 (-07)"/>
        <s v="2022-01-08 05:22 (-07)"/>
        <s v="2023-05-16 23:00 (-07)"/>
        <s v="2023-05-02 08:56 (PST)"/>
        <s v="2023-04-13 07:00 (-07)"/>
        <s v="2019-05-30 04:49 (-07)"/>
        <s v="2023-05-23 23:00 (-07)"/>
        <s v="2023-04-17 05:00 (PST)"/>
        <s v="2023-05-17 08:54 (PST)"/>
        <s v="2023-05-22 09:24 (-07)"/>
        <s v="2019-07-04 08:19 (-07)"/>
        <s v="2023-05-30 23:00 (-07)"/>
        <s v="2023-05-19 14:25 (PST)"/>
        <s v="2023-05-21 09:26 (-07)"/>
        <s v="2023-05-24 23:00 (-07)"/>
        <s v="2023-06-06 08:00 (-07)"/>
        <s v="2023-05-25 04:58 (PST)"/>
        <s v="2023-06-14 08:00 (PST)"/>
        <s v="2023-06-06 04:25 (PST)"/>
        <s v="2023-06-15 23:00 (-07)"/>
        <s v="2023-06-13 08:00 (PST)"/>
        <s v="2023-06-22 08:00 (-07)"/>
        <s v="2023-06-28 04:24 (PST)"/>
        <s v="2023-06-09 08:54 (PST)"/>
        <s v="2023-06-27 09:29 (PST)"/>
        <s v="2023-06-21 09:40 (PST)"/>
        <s v="2020-01-02 03:49 (-07)"/>
        <s v="2023-07-12 08:00 (-07)"/>
        <s v="2023-06-13 23:00 (-07)"/>
        <s v="2023-06-12 04:22 (PST)"/>
        <s v="2023-07-19 04:22 (-07)"/>
        <s v="2020-02-06 03:48 (-07)"/>
        <s v="2023-07-07 08:00 (-07)"/>
        <s v="2023-07-18 08:00 (-07)"/>
        <s v="2023-06-09 14:25 (PST)"/>
        <s v="2023-07-26 11:00 (EST)"/>
        <s v="2023-05-11 15:25 (PST)"/>
        <s v="2020-03-12 04:48 (-07)"/>
        <s v="2023-08-09 07:00 (PST)"/>
        <s v="2023-05-21 07:26 (PST)"/>
        <s v="2023-07-28 08:00 (-07)"/>
        <s v="2023-06-29 09:00 (PST)"/>
        <s v="2023-05-27 04:55 (-07)"/>
        <s v="2023-08-11 08:00 (-07)"/>
        <s v="2023-04-13 09:38 (-07)"/>
        <s v="2023-07-13 23:00 (-07)"/>
        <s v="2020-08-10 08:36 (PST)"/>
        <s v="2023-08-13 09:51 (-07)"/>
        <s v="2023-08-22 23:00 (-07)"/>
        <s v="2021-07-09 05:29 (PST)"/>
        <s v="2023-08-11 14:24 (PST)"/>
        <s v="2023-05-29 07:00 (-07)"/>
        <s v="2023-07-31 02:54 (-07)"/>
        <s v="2023-09-12 11:08 (PST)"/>
        <s v="2021-11-03 02:52 (-07)"/>
        <s v="2023-09-19 15:06 (-07)"/>
        <s v="2023-09-14 08:00 (-07)"/>
        <s v="2023-09-19 08:00 (PST)"/>
        <s v="2023-06-15 04:22 (-07)"/>
        <s v="2023-10-03 16:35 (-07)"/>
        <s v="2023-09-22 08:00 (-07)"/>
        <s v="2023-09-20 14:54 (-07)"/>
        <s v="2023-09-23 09:24 (PST)"/>
        <s v="2023-07-16 07:26 (PST)"/>
        <s v="2023-10-11 08:00 (-07)"/>
        <s v="2023-10-10 23:00 (-07)"/>
        <s v="2023-07-06 11:55 (EST)"/>
        <s v="2023-10-18 11:00 (EST)"/>
        <s v="2023-08-08 15:27 (-07)"/>
        <s v="2023-05-04 04:24 (-07)"/>
        <s v="2023-08-26 04:56 (-07)"/>
        <s v="2023-10-25 08:00 (-07)"/>
        <s v="2023-10-24 15:25 (PST)"/>
        <s v="2023-07-15 07:24 (PST)"/>
        <s v="2019-12-12 03:48 (-07)"/>
        <s v="2023-11-01 08:00 (PST)"/>
        <s v="2023-02-24 14:00 (-08)"/>
        <s v="2023-08-02 03:24 (-08)"/>
        <s v="2023-05-17 05:53 (PST)"/>
        <s v="2023-10-18 06:40 (PST)"/>
        <s v="2023-10-22 09:26 (PST)"/>
        <s v="2023-11-12 10:01 (PST)"/>
        <s v="2020-07-31 07:22 (-08)"/>
        <s v="2023-11-01 13:25 (-08)"/>
        <s v="2023-11-22 04:26 (PST)"/>
        <s v="2023-10-25 08:54 (PST)"/>
        <s v="2022-07-12 06:32 (-08)"/>
        <s v="2023-09-29 01:55 (-08)"/>
        <s v="2023-12-05 06:46 (-08)"/>
        <s v="2023-10-17 07:00 (PST)"/>
        <s v="2023-12-05 15:30 (PST)"/>
        <s v="2023-12-05 09:00 (PST)"/>
        <s v="2023-12-11 15:00 (-08)"/>
        <s v="2023-12-07 04:25 (-08)"/>
        <s v="2023-11-26 07:24 (-08)"/>
        <s v="2023-12-13 08:00 (PST)"/>
        <s v="2023-12-19 08:00 (PST)"/>
        <s v="2023-12-19 15:55 (PST)"/>
        <s v="2024-01-01 02:00 (-08)"/>
        <s v="2024-01-03 03:45 (-08)"/>
        <s v="2024-01-03 03:25 (-08)"/>
        <s v="2023-12-13 07:24 (-08)"/>
        <s v="2023-05-24 22:00 (-08)"/>
        <s v="2024-01-10 08:00 (PST)"/>
        <s v="2023-11-14 22:55 (-08)"/>
      </sharedItems>
    </cacheField>
    <cacheField name="Total Output" numFmtId="0">
      <sharedItems containsString="0" containsBlank="1" containsNumber="1" containsInteger="1" minValue="0" maxValue="642"/>
    </cacheField>
    <cacheField name="Avg. Watts" numFmtId="0">
      <sharedItems containsString="0" containsBlank="1" containsNumber="1" containsInteger="1" minValue="0" maxValue="176"/>
    </cacheField>
    <cacheField name="Avg. Resistance" numFmtId="0">
      <sharedItems containsString="0" containsBlank="1" containsNumber="1" minValue="0" maxValue="0.47"/>
    </cacheField>
    <cacheField name="Avg. Cadence (RPM)" numFmtId="0">
      <sharedItems containsString="0" containsBlank="1" containsNumber="1" containsInteger="1" minValue="0" maxValue="101"/>
    </cacheField>
    <cacheField name="Avg. Speed (mph)" numFmtId="0">
      <sharedItems containsString="0" containsBlank="1" containsNumber="1" minValue="0" maxValue="20.14"/>
    </cacheField>
    <cacheField name="Distance (mi)" numFmtId="0">
      <sharedItems containsString="0" containsBlank="1" containsNumber="1" minValue="0" maxValue="26.03"/>
    </cacheField>
    <cacheField name="Calories Burned" numFmtId="0">
      <sharedItems containsString="0" containsBlank="1" containsNumber="1" containsInteger="1" minValue="0" maxValue="1002"/>
    </cacheField>
    <cacheField name="Avg. Heartrate" numFmtId="0">
      <sharedItems containsString="0" containsBlank="1" containsNumber="1" minValue="3.42" maxValue="175.04"/>
    </cacheField>
    <cacheField name="Avg. Incline" numFmtId="0">
      <sharedItems containsString="0" containsBlank="1" containsNumber="1" containsInteger="1" minValue="0" maxValue="0"/>
    </cacheField>
    <cacheField name="Avg. Pace (min/mi)" numFmtId="0">
      <sharedItems containsNonDate="0" containsDate="1" containsString="0" containsBlank="1" minDate="1899-12-30T14:56:00" maxDate="1899-12-30T19:32:00"/>
    </cacheField>
    <cacheField name="Months (Date)" numFmtId="0" databaseField="0">
      <fieldGroup base="1">
        <rangePr groupBy="months" startDate="2018-08-21T00:00:00" endDate="2024-01-18T00:00:00"/>
        <groupItems count="14">
          <s v="&lt;8/2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8/2024"/>
        </groupItems>
      </fieldGroup>
    </cacheField>
    <cacheField name="Years (Date)" numFmtId="0" databaseField="0">
      <fieldGroup base="1">
        <rangePr groupBy="years" startDate="2018-08-21T00:00:00" endDate="2024-01-18T00:00:00"/>
        <groupItems count="9">
          <s v="&lt;8/21/2018"/>
          <s v="2018"/>
          <s v="2019"/>
          <s v="2020"/>
          <s v="2021"/>
          <s v="2022"/>
          <s v="2023"/>
          <s v="2024"/>
          <s v="&gt;1/18/2024"/>
        </groupItems>
      </fieldGroup>
    </cacheField>
  </cacheFields>
  <extLst>
    <ext xmlns:x14="http://schemas.microsoft.com/office/spreadsheetml/2009/9/main" uri="{725AE2AE-9491-48be-B2B4-4EB974FC3084}">
      <x14:pivotCacheDefinition pivotCacheId="206652463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nry Deane" refreshedDate="45414.697051504627" createdVersion="8" refreshedVersion="8" minRefreshableVersion="3" recordCount="4220" xr:uid="{4E4AD292-63B3-4011-98D2-7C28FD7F32CC}">
  <cacheSource type="worksheet">
    <worksheetSource ref="A1:F1048576" sheet="workouts"/>
  </cacheSource>
  <cacheFields count="6">
    <cacheField name="Workout Timestamp" numFmtId="0">
      <sharedItems containsBlank="1"/>
    </cacheField>
    <cacheField name="Date" numFmtId="0">
      <sharedItems containsNonDate="0" containsDate="1" containsString="0" containsBlank="1" minDate="2018-08-21T00:00:00" maxDate="2024-01-18T00:00:00"/>
    </cacheField>
    <cacheField name="Time" numFmtId="0">
      <sharedItems containsBlank="1"/>
    </cacheField>
    <cacheField name="Weekday" numFmtId="0">
      <sharedItems containsBlank="1"/>
    </cacheField>
    <cacheField name="Live/On-Demand" numFmtId="0">
      <sharedItems containsBlank="1"/>
    </cacheField>
    <cacheField name="Instructor Name" numFmtId="0">
      <sharedItems containsBlank="1" count="69">
        <s v="Ally Love"/>
        <s v="Emma Lovewell"/>
        <s v="Becs Gentry"/>
        <s v="Selena Samuela"/>
        <s v="Ben Alldis"/>
        <s v="Olivia Amato"/>
        <s v="Matt Wilpers"/>
        <s v="Denis Morton"/>
        <s v="Hannah Corbin"/>
        <s v="Christine D'Ercole"/>
        <s v="Sam Yo"/>
        <s v="Jess Sims"/>
        <s v="Tunde Oyeneyin"/>
        <s v="Anna Greenberg"/>
        <s v="Denis &amp; Matt "/>
        <s v="Jess King"/>
        <s v="Aditi Shah"/>
        <s v="Cody Rigsby"/>
        <s v="Hannah Frankson"/>
        <s v="Ross Rayburn"/>
        <s v="Robin Arzon"/>
        <s v="Matty Maggiacomo"/>
        <s v="Leanne Hainsby"/>
        <s v="Kristin McGee"/>
        <s v="Callie Gullickson"/>
        <s v="Chelsea Jackson Roberts"/>
        <s v="Andy Speer"/>
        <s v="Rad Lopez"/>
        <s v="Kirra Michel"/>
        <s v="Bradley Rose"/>
        <s v="Nico Sarani"/>
        <s v="Rebecca Kennedy"/>
        <s v="Mariana Fernandez"/>
        <s v="Daniel McKenna"/>
        <m/>
        <s v="Logan Aldridge"/>
        <s v="Camila Ramon"/>
        <s v="Adrian Williams"/>
        <s v="Alex Karwoski"/>
        <s v="Alex Toussaint"/>
        <s v="Kirsten Ferguson"/>
        <s v="Rebecca &amp; Tunde "/>
        <s v="Kendall Toole"/>
        <s v="Joslyn Thompson Rule"/>
        <s v="Marcel Dinkins"/>
        <s v="Jenn Sherman"/>
        <s v="Katie Wang"/>
        <s v="Christian Vande Velde"/>
        <s v="Adrian &amp; Ben "/>
        <s v="Ash Pryor"/>
        <s v="Jermaine Johnson"/>
        <s v="Alex &amp; Tunde  "/>
        <s v="Susie Chan"/>
        <s v="Chase Tucker"/>
        <s v="Jon Hosking"/>
        <s v="Aditi &amp; Anna "/>
        <s v="Kirsten &amp; Tunde "/>
        <s v="Adrian &amp; Tunde "/>
        <s v="Olivia &amp; Tunde "/>
        <s v="Matt &amp; Tunde "/>
        <s v="Becs &amp; Tunde "/>
        <s v="Marcel &amp; Tunde "/>
        <s v="Selena &amp; Tunde "/>
        <s v="Cliff Dwenger"/>
        <s v="Colleen Saidman Yee"/>
        <s v="Benny Adami"/>
        <s v="Matty &amp; Tunde "/>
        <s v="Jess &amp; Tunde "/>
        <s v="Erik Jage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1">
  <r>
    <s v="2019-06-14 11:56 (PST)"/>
    <x v="0"/>
    <x v="0"/>
    <x v="0"/>
    <s v="On Demand"/>
    <x v="0"/>
    <x v="0"/>
    <x v="0"/>
    <s v="Intervals"/>
    <x v="0"/>
    <x v="0"/>
    <n v="202"/>
    <n v="75"/>
    <n v="0.4"/>
    <n v="58"/>
    <n v="12.13"/>
    <n v="9.09"/>
    <n v="266"/>
    <m/>
    <m/>
    <m/>
  </r>
  <r>
    <s v="2020-01-17 07:09 (PST)"/>
    <x v="1"/>
    <x v="1"/>
    <x v="0"/>
    <s v="On Demand"/>
    <x v="1"/>
    <x v="1"/>
    <x v="1"/>
    <s v="Core"/>
    <x v="1"/>
    <x v="1"/>
    <m/>
    <m/>
    <m/>
    <m/>
    <m/>
    <m/>
    <n v="56"/>
    <m/>
    <m/>
    <m/>
  </r>
  <r>
    <s v="2020-10-16 16:02 (PST)"/>
    <x v="2"/>
    <x v="2"/>
    <x v="0"/>
    <s v="On Demand"/>
    <x v="2"/>
    <x v="1"/>
    <x v="2"/>
    <s v="Pre-Run Stretch"/>
    <x v="2"/>
    <x v="2"/>
    <m/>
    <m/>
    <m/>
    <m/>
    <m/>
    <m/>
    <n v="56"/>
    <m/>
    <m/>
    <m/>
  </r>
  <r>
    <s v="2020-10-16 16:57 (PST)"/>
    <x v="2"/>
    <x v="3"/>
    <x v="0"/>
    <s v="On Demand"/>
    <x v="3"/>
    <x v="1"/>
    <x v="2"/>
    <s v="Lower Body Stretch"/>
    <x v="3"/>
    <x v="3"/>
    <m/>
    <m/>
    <m/>
    <m/>
    <m/>
    <m/>
    <n v="28"/>
    <m/>
    <m/>
    <m/>
  </r>
  <r>
    <s v="2020-10-23 18:36 (PST)"/>
    <x v="3"/>
    <x v="4"/>
    <x v="0"/>
    <s v="On Demand"/>
    <x v="4"/>
    <x v="1"/>
    <x v="2"/>
    <s v="Full Body Stretch"/>
    <x v="4"/>
    <x v="4"/>
    <m/>
    <m/>
    <m/>
    <m/>
    <m/>
    <m/>
    <n v="28"/>
    <m/>
    <m/>
    <m/>
  </r>
  <r>
    <s v="2020-11-06 06:53 (PST)"/>
    <x v="4"/>
    <x v="5"/>
    <x v="0"/>
    <s v="On Demand"/>
    <x v="5"/>
    <x v="2"/>
    <x v="0"/>
    <s v="Power Zone"/>
    <x v="5"/>
    <x v="5"/>
    <n v="125"/>
    <n v="70"/>
    <n v="0.31"/>
    <n v="86"/>
    <n v="13.87"/>
    <n v="6.93"/>
    <n v="171"/>
    <m/>
    <m/>
    <m/>
  </r>
  <r>
    <s v="2020-11-06 07:26 (PST)"/>
    <x v="4"/>
    <x v="6"/>
    <x v="0"/>
    <s v="On Demand"/>
    <x v="1"/>
    <x v="3"/>
    <x v="1"/>
    <s v="Core"/>
    <x v="6"/>
    <x v="6"/>
    <m/>
    <m/>
    <m/>
    <m/>
    <m/>
    <m/>
    <n v="25"/>
    <m/>
    <m/>
    <m/>
  </r>
  <r>
    <s v="2020-11-20 18:44 (PST)"/>
    <x v="5"/>
    <x v="7"/>
    <x v="0"/>
    <s v="On Demand"/>
    <x v="6"/>
    <x v="4"/>
    <x v="0"/>
    <s v="Power Zone"/>
    <x v="7"/>
    <x v="7"/>
    <n v="272"/>
    <n v="76"/>
    <n v="0.33"/>
    <n v="84"/>
    <n v="14.36"/>
    <n v="14.36"/>
    <n v="372"/>
    <m/>
    <m/>
    <m/>
  </r>
  <r>
    <s v="2020-11-20 19:47 (PST)"/>
    <x v="5"/>
    <x v="8"/>
    <x v="0"/>
    <s v="On Demand"/>
    <x v="6"/>
    <x v="3"/>
    <x v="2"/>
    <s v="Pre &amp; Post-Ride Stretch"/>
    <x v="8"/>
    <x v="8"/>
    <m/>
    <m/>
    <m/>
    <m/>
    <m/>
    <m/>
    <n v="13"/>
    <m/>
    <m/>
    <m/>
  </r>
  <r>
    <s v="2020-11-27 10:48 (PST)"/>
    <x v="6"/>
    <x v="9"/>
    <x v="0"/>
    <s v="On Demand"/>
    <x v="7"/>
    <x v="0"/>
    <x v="0"/>
    <s v="Power Zone"/>
    <x v="9"/>
    <x v="9"/>
    <n v="234"/>
    <n v="87"/>
    <n v="0.36"/>
    <n v="81"/>
    <n v="14.96"/>
    <n v="11.16"/>
    <n v="320"/>
    <m/>
    <m/>
    <m/>
  </r>
  <r>
    <s v="2020-11-27 11:34 (PST)"/>
    <x v="6"/>
    <x v="10"/>
    <x v="0"/>
    <s v="On Demand"/>
    <x v="8"/>
    <x v="3"/>
    <x v="0"/>
    <s v="Cool Down"/>
    <x v="10"/>
    <x v="10"/>
    <n v="19"/>
    <n v="64"/>
    <n v="0.37"/>
    <n v="65"/>
    <n v="13.25"/>
    <n v="1.1000000000000001"/>
    <n v="26"/>
    <m/>
    <m/>
    <m/>
  </r>
  <r>
    <s v="2020-12-04 07:10 (PST)"/>
    <x v="7"/>
    <x v="11"/>
    <x v="0"/>
    <s v="On Demand"/>
    <x v="9"/>
    <x v="0"/>
    <x v="0"/>
    <s v="Power Zone"/>
    <x v="11"/>
    <x v="11"/>
    <n v="225"/>
    <n v="83"/>
    <n v="0.32"/>
    <n v="90"/>
    <n v="14.89"/>
    <n v="11.16"/>
    <n v="307"/>
    <m/>
    <m/>
    <m/>
  </r>
  <r>
    <s v="2020-12-04 07:57 (PST)"/>
    <x v="7"/>
    <x v="12"/>
    <x v="0"/>
    <s v="On Demand"/>
    <x v="10"/>
    <x v="3"/>
    <x v="2"/>
    <s v="Pre &amp; Post-Ride Stretch"/>
    <x v="8"/>
    <x v="12"/>
    <m/>
    <m/>
    <m/>
    <m/>
    <m/>
    <m/>
    <n v="13"/>
    <m/>
    <m/>
    <m/>
  </r>
  <r>
    <s v="2020-12-11 07:11 (PST)"/>
    <x v="8"/>
    <x v="13"/>
    <x v="0"/>
    <s v="On Demand"/>
    <x v="11"/>
    <x v="0"/>
    <x v="3"/>
    <s v="Bodyweight"/>
    <x v="12"/>
    <x v="13"/>
    <n v="145"/>
    <m/>
    <m/>
    <m/>
    <n v="15.3"/>
    <n v="6.45"/>
    <n v="251"/>
    <m/>
    <m/>
    <m/>
  </r>
  <r>
    <s v="2020-12-18 07:01 (PST)"/>
    <x v="9"/>
    <x v="14"/>
    <x v="0"/>
    <s v="On Demand"/>
    <x v="12"/>
    <x v="0"/>
    <x v="3"/>
    <s v="Music"/>
    <x v="13"/>
    <x v="14"/>
    <n v="126"/>
    <m/>
    <m/>
    <m/>
    <n v="15.11"/>
    <n v="5.61"/>
    <n v="241"/>
    <m/>
    <m/>
    <m/>
  </r>
  <r>
    <s v="2021-01-01 11:29 (PST)"/>
    <x v="10"/>
    <x v="15"/>
    <x v="0"/>
    <s v="On Demand"/>
    <x v="6"/>
    <x v="4"/>
    <x v="0"/>
    <s v="Power Zone"/>
    <x v="7"/>
    <x v="15"/>
    <n v="324"/>
    <n v="90"/>
    <n v="0.33"/>
    <n v="93"/>
    <n v="15.48"/>
    <n v="15.48"/>
    <n v="401"/>
    <m/>
    <m/>
    <m/>
  </r>
  <r>
    <s v="2021-01-01 15:06 (PST)"/>
    <x v="10"/>
    <x v="16"/>
    <x v="0"/>
    <s v="On Demand"/>
    <x v="1"/>
    <x v="3"/>
    <x v="1"/>
    <s v="Core"/>
    <x v="6"/>
    <x v="6"/>
    <m/>
    <m/>
    <m/>
    <m/>
    <m/>
    <m/>
    <n v="23"/>
    <m/>
    <m/>
    <m/>
  </r>
  <r>
    <s v="2021-01-01 15:13 (PST)"/>
    <x v="10"/>
    <x v="17"/>
    <x v="0"/>
    <s v="On Demand"/>
    <x v="7"/>
    <x v="0"/>
    <x v="4"/>
    <s v="Flow"/>
    <x v="14"/>
    <x v="16"/>
    <m/>
    <m/>
    <m/>
    <m/>
    <m/>
    <m/>
    <n v="149"/>
    <m/>
    <m/>
    <m/>
  </r>
  <r>
    <s v="2021-01-01 16:04 (PST)"/>
    <x v="10"/>
    <x v="18"/>
    <x v="0"/>
    <s v="On Demand"/>
    <x v="13"/>
    <x v="1"/>
    <x v="5"/>
    <s v="Emotions"/>
    <x v="15"/>
    <x v="17"/>
    <m/>
    <m/>
    <m/>
    <m/>
    <m/>
    <m/>
    <m/>
    <m/>
    <m/>
    <m/>
  </r>
  <r>
    <s v="2021-01-08 18:14 (PST)"/>
    <x v="11"/>
    <x v="19"/>
    <x v="0"/>
    <s v="On Demand"/>
    <x v="14"/>
    <x v="4"/>
    <x v="0"/>
    <s v="Power Zone"/>
    <x v="16"/>
    <x v="18"/>
    <n v="326"/>
    <n v="91"/>
    <n v="0.36"/>
    <n v="80"/>
    <n v="15.17"/>
    <n v="15.17"/>
    <n v="403"/>
    <m/>
    <m/>
    <m/>
  </r>
  <r>
    <s v="2021-01-08 19:16 (PST)"/>
    <x v="11"/>
    <x v="20"/>
    <x v="0"/>
    <s v="On Demand"/>
    <x v="7"/>
    <x v="1"/>
    <x v="0"/>
    <s v="Cool Down"/>
    <x v="17"/>
    <x v="19"/>
    <n v="41"/>
    <n v="68"/>
    <n v="0.32"/>
    <n v="82"/>
    <n v="13.66"/>
    <n v="2.2799999999999998"/>
    <n v="50"/>
    <m/>
    <m/>
    <m/>
  </r>
  <r>
    <s v="2021-01-08 19:30 (PST)"/>
    <x v="11"/>
    <x v="21"/>
    <x v="0"/>
    <s v="On Demand"/>
    <x v="15"/>
    <x v="1"/>
    <x v="1"/>
    <s v="Arms &amp; Light Weights"/>
    <x v="18"/>
    <x v="20"/>
    <m/>
    <m/>
    <m/>
    <m/>
    <m/>
    <m/>
    <n v="46"/>
    <m/>
    <m/>
    <m/>
  </r>
  <r>
    <s v="2021-01-15 20:46 (PST)"/>
    <x v="12"/>
    <x v="22"/>
    <x v="0"/>
    <s v="On Demand"/>
    <x v="1"/>
    <x v="1"/>
    <x v="1"/>
    <s v="Core"/>
    <x v="1"/>
    <x v="21"/>
    <m/>
    <m/>
    <m/>
    <m/>
    <m/>
    <m/>
    <n v="46"/>
    <m/>
    <m/>
    <m/>
  </r>
  <r>
    <s v="2021-01-15 20:59 (PST)"/>
    <x v="12"/>
    <x v="23"/>
    <x v="0"/>
    <s v="On Demand"/>
    <x v="16"/>
    <x v="5"/>
    <x v="4"/>
    <s v="Slow Flow"/>
    <x v="19"/>
    <x v="22"/>
    <m/>
    <m/>
    <m/>
    <m/>
    <m/>
    <m/>
    <n v="66"/>
    <m/>
    <m/>
    <m/>
  </r>
  <r>
    <s v="2021-01-22 07:07 (-08)"/>
    <x v="13"/>
    <x v="24"/>
    <x v="0"/>
    <s v="On Demand"/>
    <x v="6"/>
    <x v="4"/>
    <x v="0"/>
    <s v="Power Zone"/>
    <x v="7"/>
    <x v="23"/>
    <n v="312"/>
    <n v="87"/>
    <n v="0.34"/>
    <n v="87"/>
    <n v="15.22"/>
    <n v="15.22"/>
    <n v="386"/>
    <m/>
    <m/>
    <m/>
  </r>
  <r>
    <s v="2021-01-22 08:07 (-08)"/>
    <x v="13"/>
    <x v="25"/>
    <x v="0"/>
    <s v="On Demand"/>
    <x v="6"/>
    <x v="3"/>
    <x v="2"/>
    <s v="Pre &amp; Post-Ride Stretch"/>
    <x v="8"/>
    <x v="24"/>
    <m/>
    <m/>
    <m/>
    <m/>
    <m/>
    <m/>
    <n v="12"/>
    <m/>
    <m/>
    <m/>
  </r>
  <r>
    <s v="2021-01-29 07:12 (-08)"/>
    <x v="14"/>
    <x v="26"/>
    <x v="0"/>
    <s v="On Demand"/>
    <x v="7"/>
    <x v="4"/>
    <x v="0"/>
    <s v="Power Zone"/>
    <x v="7"/>
    <x v="25"/>
    <n v="301"/>
    <n v="84"/>
    <n v="0.35"/>
    <n v="82"/>
    <n v="15"/>
    <n v="15"/>
    <n v="373"/>
    <m/>
    <m/>
    <m/>
  </r>
  <r>
    <s v="2021-01-29 08:13 (-08)"/>
    <x v="14"/>
    <x v="27"/>
    <x v="0"/>
    <s v="On Demand"/>
    <x v="7"/>
    <x v="3"/>
    <x v="2"/>
    <s v="Pre &amp; Post-Ride Stretch"/>
    <x v="8"/>
    <x v="26"/>
    <m/>
    <m/>
    <m/>
    <m/>
    <m/>
    <m/>
    <n v="12"/>
    <m/>
    <m/>
    <m/>
  </r>
  <r>
    <s v="2021-02-05 07:56 (PST)"/>
    <x v="15"/>
    <x v="28"/>
    <x v="0"/>
    <s v="On Demand"/>
    <x v="6"/>
    <x v="6"/>
    <x v="0"/>
    <s v="Power Zone"/>
    <x v="20"/>
    <x v="27"/>
    <n v="400"/>
    <n v="89"/>
    <n v="0.36"/>
    <n v="83"/>
    <n v="15.38"/>
    <n v="19.22"/>
    <n v="495"/>
    <m/>
    <m/>
    <m/>
  </r>
  <r>
    <s v="2021-02-05 09:12 (PST)"/>
    <x v="15"/>
    <x v="29"/>
    <x v="0"/>
    <s v="On Demand"/>
    <x v="6"/>
    <x v="3"/>
    <x v="0"/>
    <s v="Cool Down"/>
    <x v="10"/>
    <x v="28"/>
    <n v="15"/>
    <n v="49"/>
    <n v="0.25"/>
    <n v="93"/>
    <n v="11.91"/>
    <n v="0.99"/>
    <n v="18"/>
    <m/>
    <m/>
    <m/>
  </r>
  <r>
    <s v="2021-02-05 09:17 (PST)"/>
    <x v="15"/>
    <x v="30"/>
    <x v="0"/>
    <s v="On Demand"/>
    <x v="6"/>
    <x v="3"/>
    <x v="2"/>
    <s v="Pre &amp; Post-Ride Stretch"/>
    <x v="8"/>
    <x v="8"/>
    <m/>
    <m/>
    <m/>
    <m/>
    <m/>
    <m/>
    <n v="12"/>
    <m/>
    <m/>
    <m/>
  </r>
  <r>
    <s v="2021-02-12 08:15 (PST)"/>
    <x v="16"/>
    <x v="31"/>
    <x v="0"/>
    <s v="On Demand"/>
    <x v="6"/>
    <x v="2"/>
    <x v="0"/>
    <s v="Power Zone"/>
    <x v="5"/>
    <x v="29"/>
    <n v="130"/>
    <n v="72"/>
    <n v="0.31"/>
    <n v="89"/>
    <n v="14.01"/>
    <n v="7.01"/>
    <n v="160"/>
    <m/>
    <m/>
    <m/>
  </r>
  <r>
    <s v="2021-02-12 08:45 (PST)"/>
    <x v="16"/>
    <x v="32"/>
    <x v="0"/>
    <s v="On Demand"/>
    <x v="6"/>
    <x v="3"/>
    <x v="2"/>
    <s v="Pre &amp; Post-Ride Stretch"/>
    <x v="8"/>
    <x v="30"/>
    <m/>
    <m/>
    <m/>
    <m/>
    <m/>
    <m/>
    <n v="11"/>
    <m/>
    <m/>
    <m/>
  </r>
  <r>
    <s v="2021-02-12 08:52 (PST)"/>
    <x v="16"/>
    <x v="33"/>
    <x v="0"/>
    <s v="On Demand"/>
    <x v="11"/>
    <x v="7"/>
    <x v="1"/>
    <s v="Full Body"/>
    <x v="21"/>
    <x v="31"/>
    <m/>
    <m/>
    <m/>
    <m/>
    <m/>
    <m/>
    <n v="69"/>
    <m/>
    <m/>
    <m/>
  </r>
  <r>
    <s v="2021-02-19 08:33 (PST)"/>
    <x v="17"/>
    <x v="34"/>
    <x v="0"/>
    <s v="On Demand"/>
    <x v="1"/>
    <x v="3"/>
    <x v="0"/>
    <s v="Warm Up"/>
    <x v="22"/>
    <x v="32"/>
    <n v="23"/>
    <n v="75"/>
    <n v="0.32"/>
    <n v="86"/>
    <n v="14.28"/>
    <n v="1.19"/>
    <n v="28"/>
    <m/>
    <m/>
    <m/>
  </r>
  <r>
    <s v="2021-02-19 08:39 (PST)"/>
    <x v="17"/>
    <x v="35"/>
    <x v="0"/>
    <s v="On Demand"/>
    <x v="6"/>
    <x v="4"/>
    <x v="0"/>
    <s v="Power Zone"/>
    <x v="23"/>
    <x v="33"/>
    <n v="333"/>
    <n v="93"/>
    <n v="0.36"/>
    <n v="84"/>
    <n v="15.52"/>
    <n v="15.52"/>
    <n v="412"/>
    <m/>
    <m/>
    <m/>
  </r>
  <r>
    <s v="2021-02-19 09:40 (PST)"/>
    <x v="17"/>
    <x v="36"/>
    <x v="0"/>
    <s v="On Demand"/>
    <x v="17"/>
    <x v="1"/>
    <x v="0"/>
    <s v="Cool Down"/>
    <x v="17"/>
    <x v="34"/>
    <n v="42"/>
    <n v="70"/>
    <n v="0.35"/>
    <n v="75"/>
    <n v="13.91"/>
    <n v="2.3199999999999998"/>
    <n v="52"/>
    <m/>
    <m/>
    <m/>
  </r>
  <r>
    <s v="2021-02-19 09:51 (PST)"/>
    <x v="17"/>
    <x v="37"/>
    <x v="0"/>
    <s v="On Demand"/>
    <x v="6"/>
    <x v="3"/>
    <x v="2"/>
    <s v="Pre &amp; Post-Ride Stretch"/>
    <x v="8"/>
    <x v="35"/>
    <m/>
    <m/>
    <m/>
    <m/>
    <m/>
    <m/>
    <n v="12"/>
    <m/>
    <m/>
    <m/>
  </r>
  <r>
    <s v="2021-02-26 08:29 (-08)"/>
    <x v="18"/>
    <x v="38"/>
    <x v="0"/>
    <s v="On Demand"/>
    <x v="15"/>
    <x v="3"/>
    <x v="0"/>
    <s v="Warm Up"/>
    <x v="22"/>
    <x v="36"/>
    <n v="26"/>
    <n v="85"/>
    <n v="0.32"/>
    <n v="93"/>
    <n v="14.88"/>
    <n v="1.26"/>
    <n v="32"/>
    <m/>
    <m/>
    <m/>
  </r>
  <r>
    <s v="2021-02-26 08:36 (-08)"/>
    <x v="18"/>
    <x v="39"/>
    <x v="0"/>
    <s v="On Demand"/>
    <x v="6"/>
    <x v="4"/>
    <x v="0"/>
    <s v="Power Zone"/>
    <x v="23"/>
    <x v="37"/>
    <n v="345"/>
    <n v="96"/>
    <n v="0.36"/>
    <n v="85"/>
    <n v="15.76"/>
    <n v="15.76"/>
    <n v="427"/>
    <m/>
    <m/>
    <m/>
  </r>
  <r>
    <s v="2021-02-26 09:37 (-08)"/>
    <x v="18"/>
    <x v="40"/>
    <x v="0"/>
    <s v="On Demand"/>
    <x v="6"/>
    <x v="3"/>
    <x v="0"/>
    <s v="Cool Down"/>
    <x v="10"/>
    <x v="38"/>
    <n v="20"/>
    <n v="66"/>
    <n v="0.28999999999999998"/>
    <n v="91"/>
    <n v="13.46"/>
    <n v="1.1200000000000001"/>
    <n v="24"/>
    <m/>
    <m/>
    <m/>
  </r>
  <r>
    <s v="2021-02-26 09:43 (-08)"/>
    <x v="18"/>
    <x v="41"/>
    <x v="0"/>
    <s v="On Demand"/>
    <x v="6"/>
    <x v="3"/>
    <x v="2"/>
    <s v="Pre &amp; Post-Ride Stretch"/>
    <x v="8"/>
    <x v="24"/>
    <m/>
    <m/>
    <m/>
    <m/>
    <m/>
    <m/>
    <n v="12"/>
    <m/>
    <m/>
    <m/>
  </r>
  <r>
    <s v="2021-03-05 06:58 (PST)"/>
    <x v="19"/>
    <x v="42"/>
    <x v="0"/>
    <s v="On Demand"/>
    <x v="16"/>
    <x v="4"/>
    <x v="4"/>
    <s v="Flow"/>
    <x v="24"/>
    <x v="39"/>
    <m/>
    <m/>
    <m/>
    <m/>
    <m/>
    <m/>
    <n v="207"/>
    <m/>
    <m/>
    <m/>
  </r>
  <r>
    <s v="2021-03-05 18:39 (-08)"/>
    <x v="19"/>
    <x v="43"/>
    <x v="0"/>
    <s v="On Demand"/>
    <x v="6"/>
    <x v="8"/>
    <x v="0"/>
    <s v="Power Zone"/>
    <x v="25"/>
    <x v="40"/>
    <n v="480"/>
    <n v="89"/>
    <n v="0.36"/>
    <n v="82"/>
    <n v="15.34"/>
    <n v="23.01"/>
    <n v="594"/>
    <m/>
    <m/>
    <m/>
  </r>
  <r>
    <s v="2021-03-12 14:52 (PST)"/>
    <x v="20"/>
    <x v="44"/>
    <x v="0"/>
    <s v="On Demand"/>
    <x v="16"/>
    <x v="2"/>
    <x v="4"/>
    <s v="Theme"/>
    <x v="26"/>
    <x v="41"/>
    <m/>
    <m/>
    <m/>
    <m/>
    <m/>
    <m/>
    <n v="99"/>
    <m/>
    <m/>
    <m/>
  </r>
  <r>
    <s v="2021-03-12 18:12 (-08)"/>
    <x v="20"/>
    <x v="45"/>
    <x v="0"/>
    <s v="On Demand"/>
    <x v="6"/>
    <x v="2"/>
    <x v="0"/>
    <s v="Power Zone"/>
    <x v="5"/>
    <x v="42"/>
    <n v="149"/>
    <n v="83"/>
    <n v="0.34"/>
    <n v="86"/>
    <n v="14.83"/>
    <n v="7.42"/>
    <n v="184"/>
    <m/>
    <m/>
    <m/>
  </r>
  <r>
    <s v="2021-03-12 19:49 (PST)"/>
    <x v="20"/>
    <x v="46"/>
    <x v="0"/>
    <s v="On Demand"/>
    <x v="1"/>
    <x v="1"/>
    <x v="1"/>
    <s v="Core"/>
    <x v="1"/>
    <x v="43"/>
    <m/>
    <m/>
    <m/>
    <m/>
    <m/>
    <m/>
    <n v="46"/>
    <m/>
    <m/>
    <m/>
  </r>
  <r>
    <s v="2021-03-19 07:05 (-07)"/>
    <x v="21"/>
    <x v="47"/>
    <x v="0"/>
    <s v="Live"/>
    <x v="6"/>
    <x v="0"/>
    <x v="0"/>
    <s v="Power Zone"/>
    <x v="27"/>
    <x v="44"/>
    <n v="238"/>
    <n v="88"/>
    <n v="0.36"/>
    <n v="83"/>
    <n v="15.28"/>
    <n v="11.46"/>
    <n v="294"/>
    <m/>
    <m/>
    <m/>
  </r>
  <r>
    <s v="2021-03-19 07:50 (-07)"/>
    <x v="21"/>
    <x v="48"/>
    <x v="0"/>
    <s v="On Demand"/>
    <x v="6"/>
    <x v="3"/>
    <x v="0"/>
    <s v="Cool Down"/>
    <x v="10"/>
    <x v="45"/>
    <n v="18"/>
    <n v="59"/>
    <n v="0.27"/>
    <n v="93"/>
    <n v="12.81"/>
    <n v="1.07"/>
    <n v="22"/>
    <m/>
    <m/>
    <m/>
  </r>
  <r>
    <s v="2021-03-19 07:56 (-07)"/>
    <x v="21"/>
    <x v="49"/>
    <x v="0"/>
    <s v="On Demand"/>
    <x v="0"/>
    <x v="1"/>
    <x v="1"/>
    <s v="Arms &amp; Light Weights"/>
    <x v="28"/>
    <x v="46"/>
    <m/>
    <m/>
    <m/>
    <m/>
    <m/>
    <m/>
    <n v="46"/>
    <m/>
    <m/>
    <m/>
  </r>
  <r>
    <s v="2021-03-19 08:07 (-07)"/>
    <x v="21"/>
    <x v="50"/>
    <x v="0"/>
    <s v="On Demand"/>
    <x v="18"/>
    <x v="3"/>
    <x v="2"/>
    <s v="Pre &amp; Post-Ride Stretch"/>
    <x v="8"/>
    <x v="47"/>
    <m/>
    <m/>
    <m/>
    <m/>
    <m/>
    <m/>
    <n v="12"/>
    <m/>
    <m/>
    <m/>
  </r>
  <r>
    <s v="2021-03-19 22:16 (PST)"/>
    <x v="21"/>
    <x v="51"/>
    <x v="0"/>
    <s v="On Demand"/>
    <x v="16"/>
    <x v="5"/>
    <x v="5"/>
    <s v="Sleep"/>
    <x v="29"/>
    <x v="48"/>
    <m/>
    <m/>
    <m/>
    <m/>
    <m/>
    <m/>
    <m/>
    <m/>
    <m/>
    <m/>
  </r>
  <r>
    <s v="2021-03-26 07:02 (-07)"/>
    <x v="22"/>
    <x v="52"/>
    <x v="0"/>
    <s v="On Demand"/>
    <x v="6"/>
    <x v="4"/>
    <x v="0"/>
    <s v="Power Zone"/>
    <x v="7"/>
    <x v="49"/>
    <n v="325"/>
    <n v="90"/>
    <n v="0.36"/>
    <n v="84"/>
    <n v="15.49"/>
    <n v="15.5"/>
    <n v="402"/>
    <m/>
    <m/>
    <m/>
  </r>
  <r>
    <s v="2021-03-26 08:03 (-07)"/>
    <x v="22"/>
    <x v="53"/>
    <x v="0"/>
    <s v="On Demand"/>
    <x v="6"/>
    <x v="3"/>
    <x v="2"/>
    <s v="Pre &amp; Post-Ride Stretch"/>
    <x v="8"/>
    <x v="50"/>
    <m/>
    <m/>
    <m/>
    <m/>
    <m/>
    <m/>
    <n v="12"/>
    <m/>
    <m/>
    <m/>
  </r>
  <r>
    <s v="2021-04-02 18:06 (PST)"/>
    <x v="23"/>
    <x v="54"/>
    <x v="0"/>
    <s v="On Demand"/>
    <x v="16"/>
    <x v="5"/>
    <x v="4"/>
    <s v="Flow"/>
    <x v="30"/>
    <x v="51"/>
    <m/>
    <m/>
    <m/>
    <m/>
    <m/>
    <m/>
    <n v="102"/>
    <n v="111.37"/>
    <m/>
    <m/>
  </r>
  <r>
    <s v="2021-04-02 18:29 (PST)"/>
    <x v="23"/>
    <x v="55"/>
    <x v="0"/>
    <s v="On Demand"/>
    <x v="1"/>
    <x v="1"/>
    <x v="1"/>
    <s v="Core"/>
    <x v="1"/>
    <x v="52"/>
    <m/>
    <m/>
    <m/>
    <m/>
    <m/>
    <m/>
    <n v="49"/>
    <n v="109.88"/>
    <m/>
    <m/>
  </r>
  <r>
    <s v="2021-04-09 22:26 (PST)"/>
    <x v="24"/>
    <x v="56"/>
    <x v="0"/>
    <s v="On Demand"/>
    <x v="19"/>
    <x v="2"/>
    <x v="5"/>
    <s v="Sleep"/>
    <x v="31"/>
    <x v="53"/>
    <m/>
    <m/>
    <m/>
    <m/>
    <m/>
    <m/>
    <m/>
    <m/>
    <m/>
    <m/>
  </r>
  <r>
    <s v="2021-04-16 22:30 (PST)"/>
    <x v="25"/>
    <x v="57"/>
    <x v="0"/>
    <s v="On Demand"/>
    <x v="19"/>
    <x v="5"/>
    <x v="5"/>
    <s v="Emotions"/>
    <x v="32"/>
    <x v="54"/>
    <m/>
    <m/>
    <m/>
    <m/>
    <m/>
    <m/>
    <m/>
    <m/>
    <m/>
    <m/>
  </r>
  <r>
    <s v="2021-04-23 07:30 (PST)"/>
    <x v="26"/>
    <x v="58"/>
    <x v="0"/>
    <s v="On Demand"/>
    <x v="7"/>
    <x v="0"/>
    <x v="4"/>
    <s v="Slow Flow"/>
    <x v="33"/>
    <x v="55"/>
    <m/>
    <m/>
    <m/>
    <m/>
    <m/>
    <m/>
    <n v="147"/>
    <m/>
    <m/>
    <m/>
  </r>
  <r>
    <s v="2021-04-23 23:30 (PST)"/>
    <x v="26"/>
    <x v="59"/>
    <x v="0"/>
    <s v="On Demand"/>
    <x v="19"/>
    <x v="1"/>
    <x v="5"/>
    <s v="Relaxation"/>
    <x v="34"/>
    <x v="56"/>
    <m/>
    <m/>
    <m/>
    <m/>
    <m/>
    <m/>
    <m/>
    <m/>
    <m/>
    <m/>
  </r>
  <r>
    <s v="2021-04-30 07:05 (-07)"/>
    <x v="27"/>
    <x v="47"/>
    <x v="0"/>
    <s v="On Demand"/>
    <x v="6"/>
    <x v="4"/>
    <x v="0"/>
    <s v="Power Zone"/>
    <x v="7"/>
    <x v="57"/>
    <n v="323"/>
    <n v="90"/>
    <n v="0.35"/>
    <n v="85"/>
    <n v="15.31"/>
    <n v="15.31"/>
    <n v="400"/>
    <m/>
    <m/>
    <m/>
  </r>
  <r>
    <s v="2021-04-30 21:55 (PST)"/>
    <x v="27"/>
    <x v="60"/>
    <x v="0"/>
    <s v="On Demand"/>
    <x v="19"/>
    <x v="5"/>
    <x v="5"/>
    <s v="Relaxation"/>
    <x v="35"/>
    <x v="58"/>
    <m/>
    <m/>
    <m/>
    <m/>
    <m/>
    <m/>
    <m/>
    <m/>
    <m/>
    <m/>
  </r>
  <r>
    <s v="2021-05-07 06:37 (PST)"/>
    <x v="28"/>
    <x v="61"/>
    <x v="0"/>
    <s v="On Demand"/>
    <x v="20"/>
    <x v="5"/>
    <x v="6"/>
    <s v="Music Walk"/>
    <x v="36"/>
    <x v="59"/>
    <n v="0"/>
    <m/>
    <m/>
    <m/>
    <n v="2.8"/>
    <n v="0.57999999999999996"/>
    <n v="72"/>
    <m/>
    <m/>
    <m/>
  </r>
  <r>
    <s v="2021-05-07 22:01 (PST)"/>
    <x v="28"/>
    <x v="62"/>
    <x v="0"/>
    <s v="On Demand"/>
    <x v="19"/>
    <x v="5"/>
    <x v="5"/>
    <s v="Relaxation"/>
    <x v="35"/>
    <x v="58"/>
    <m/>
    <m/>
    <m/>
    <m/>
    <m/>
    <m/>
    <m/>
    <m/>
    <m/>
    <m/>
  </r>
  <r>
    <s v="2021-05-14 20:51 (PST)"/>
    <x v="29"/>
    <x v="63"/>
    <x v="0"/>
    <s v="On Demand"/>
    <x v="19"/>
    <x v="5"/>
    <x v="5"/>
    <s v="Relaxation"/>
    <x v="35"/>
    <x v="58"/>
    <m/>
    <m/>
    <m/>
    <m/>
    <m/>
    <m/>
    <m/>
    <m/>
    <m/>
    <m/>
  </r>
  <r>
    <s v="2021-05-21 07:00 (-07)"/>
    <x v="30"/>
    <x v="64"/>
    <x v="0"/>
    <s v="On Demand"/>
    <x v="6"/>
    <x v="2"/>
    <x v="0"/>
    <s v="Power Zone"/>
    <x v="37"/>
    <x v="60"/>
    <n v="152"/>
    <n v="84"/>
    <n v="0.34"/>
    <n v="86"/>
    <n v="14.98"/>
    <n v="7.49"/>
    <n v="187"/>
    <m/>
    <m/>
    <m/>
  </r>
  <r>
    <s v="2021-05-21 07:30 (-07)"/>
    <x v="30"/>
    <x v="65"/>
    <x v="0"/>
    <s v="On Demand"/>
    <x v="6"/>
    <x v="3"/>
    <x v="2"/>
    <s v="Pre &amp; Post-Ride Stretch"/>
    <x v="8"/>
    <x v="61"/>
    <m/>
    <m/>
    <m/>
    <m/>
    <m/>
    <m/>
    <n v="12"/>
    <m/>
    <m/>
    <m/>
  </r>
  <r>
    <s v="2021-05-21 07:38 (-07)"/>
    <x v="30"/>
    <x v="66"/>
    <x v="0"/>
    <s v="On Demand"/>
    <x v="21"/>
    <x v="1"/>
    <x v="1"/>
    <s v="Core"/>
    <x v="1"/>
    <x v="62"/>
    <m/>
    <m/>
    <m/>
    <m/>
    <m/>
    <m/>
    <n v="46"/>
    <m/>
    <m/>
    <m/>
  </r>
  <r>
    <s v="2021-05-21 07:50 (-07)"/>
    <x v="30"/>
    <x v="48"/>
    <x v="0"/>
    <s v="On Demand"/>
    <x v="22"/>
    <x v="1"/>
    <x v="1"/>
    <s v="Arms &amp; Light Weights"/>
    <x v="28"/>
    <x v="63"/>
    <m/>
    <m/>
    <m/>
    <m/>
    <m/>
    <m/>
    <n v="46"/>
    <m/>
    <m/>
    <m/>
  </r>
  <r>
    <s v="2021-05-21 22:40 (PST)"/>
    <x v="30"/>
    <x v="67"/>
    <x v="0"/>
    <s v="On Demand"/>
    <x v="16"/>
    <x v="5"/>
    <x v="5"/>
    <s v="Mindfulness"/>
    <x v="38"/>
    <x v="64"/>
    <m/>
    <m/>
    <m/>
    <m/>
    <m/>
    <m/>
    <m/>
    <m/>
    <m/>
    <m/>
  </r>
  <r>
    <s v="2021-06-04 00:23 (PST)"/>
    <x v="31"/>
    <x v="68"/>
    <x v="0"/>
    <s v="On Demand"/>
    <x v="23"/>
    <x v="1"/>
    <x v="5"/>
    <s v="Sleep"/>
    <x v="39"/>
    <x v="65"/>
    <m/>
    <m/>
    <m/>
    <m/>
    <m/>
    <m/>
    <m/>
    <m/>
    <m/>
    <m/>
  </r>
  <r>
    <s v="2021-06-11 07:05 (PST)"/>
    <x v="32"/>
    <x v="69"/>
    <x v="0"/>
    <s v="On Demand"/>
    <x v="16"/>
    <x v="5"/>
    <x v="4"/>
    <s v="Focus Flow"/>
    <x v="40"/>
    <x v="66"/>
    <m/>
    <m/>
    <m/>
    <m/>
    <m/>
    <m/>
    <n v="65"/>
    <n v="98.58"/>
    <m/>
    <m/>
  </r>
  <r>
    <s v="2021-06-18 07:38 (PST)"/>
    <x v="33"/>
    <x v="70"/>
    <x v="0"/>
    <s v="On Demand"/>
    <x v="24"/>
    <x v="1"/>
    <x v="1"/>
    <s v="Core"/>
    <x v="1"/>
    <x v="67"/>
    <m/>
    <m/>
    <m/>
    <m/>
    <m/>
    <m/>
    <n v="46"/>
    <m/>
    <m/>
    <m/>
  </r>
  <r>
    <s v="2021-06-18 07:50 (PST)"/>
    <x v="33"/>
    <x v="71"/>
    <x v="0"/>
    <s v="On Demand"/>
    <x v="7"/>
    <x v="2"/>
    <x v="4"/>
    <s v="Flow"/>
    <x v="41"/>
    <x v="68"/>
    <m/>
    <m/>
    <m/>
    <m/>
    <m/>
    <m/>
    <n v="97"/>
    <m/>
    <m/>
    <m/>
  </r>
  <r>
    <s v="2021-06-18 22:49 (PST)"/>
    <x v="33"/>
    <x v="72"/>
    <x v="0"/>
    <s v="On Demand"/>
    <x v="19"/>
    <x v="5"/>
    <x v="5"/>
    <s v="Sleep"/>
    <x v="29"/>
    <x v="69"/>
    <m/>
    <m/>
    <m/>
    <m/>
    <m/>
    <m/>
    <m/>
    <m/>
    <m/>
    <m/>
  </r>
  <r>
    <s v="2021-06-25 07:05 (-07)"/>
    <x v="34"/>
    <x v="47"/>
    <x v="0"/>
    <s v="On Demand"/>
    <x v="6"/>
    <x v="4"/>
    <x v="0"/>
    <s v="Power Zone"/>
    <x v="7"/>
    <x v="70"/>
    <n v="369"/>
    <n v="103"/>
    <n v="0.38"/>
    <n v="82"/>
    <n v="16.3"/>
    <n v="16.3"/>
    <n v="455"/>
    <m/>
    <m/>
    <m/>
  </r>
  <r>
    <s v="2021-06-25 08:06 (-07)"/>
    <x v="34"/>
    <x v="73"/>
    <x v="0"/>
    <s v="On Demand"/>
    <x v="6"/>
    <x v="3"/>
    <x v="2"/>
    <s v="Pre &amp; Post-Ride Stretch"/>
    <x v="8"/>
    <x v="61"/>
    <m/>
    <m/>
    <m/>
    <m/>
    <m/>
    <m/>
    <n v="12"/>
    <m/>
    <m/>
    <m/>
  </r>
  <r>
    <s v="2021-06-25 22:54 (PST)"/>
    <x v="34"/>
    <x v="74"/>
    <x v="0"/>
    <s v="On Demand"/>
    <x v="25"/>
    <x v="7"/>
    <x v="5"/>
    <s v="Mindfulness"/>
    <x v="42"/>
    <x v="71"/>
    <m/>
    <m/>
    <m/>
    <m/>
    <m/>
    <m/>
    <m/>
    <m/>
    <m/>
    <m/>
  </r>
  <r>
    <s v="2021-07-02 10:15 (-07)"/>
    <x v="35"/>
    <x v="75"/>
    <x v="0"/>
    <s v="On Demand"/>
    <x v="6"/>
    <x v="4"/>
    <x v="0"/>
    <s v="Power Zone"/>
    <x v="23"/>
    <x v="72"/>
    <n v="378"/>
    <n v="105"/>
    <n v="0.37"/>
    <n v="85"/>
    <n v="16.28"/>
    <n v="16.28"/>
    <n v="466"/>
    <m/>
    <m/>
    <m/>
  </r>
  <r>
    <s v="2021-07-02 11:19 (-07)"/>
    <x v="35"/>
    <x v="76"/>
    <x v="0"/>
    <s v="On Demand"/>
    <x v="22"/>
    <x v="1"/>
    <x v="0"/>
    <s v="Cool Down"/>
    <x v="43"/>
    <x v="73"/>
    <n v="47"/>
    <n v="78"/>
    <n v="0.35"/>
    <n v="78"/>
    <n v="14.57"/>
    <n v="2.4300000000000002"/>
    <n v="58"/>
    <m/>
    <m/>
    <m/>
  </r>
  <r>
    <s v="2021-07-02 11:32 (-07)"/>
    <x v="35"/>
    <x v="77"/>
    <x v="0"/>
    <s v="On Demand"/>
    <x v="0"/>
    <x v="3"/>
    <x v="2"/>
    <s v="Pre &amp; Post-Ride Stretch"/>
    <x v="8"/>
    <x v="74"/>
    <m/>
    <m/>
    <m/>
    <m/>
    <m/>
    <m/>
    <n v="11"/>
    <m/>
    <m/>
    <m/>
  </r>
  <r>
    <s v="2021-07-02 11:38 (-07)"/>
    <x v="35"/>
    <x v="78"/>
    <x v="0"/>
    <s v="On Demand"/>
    <x v="4"/>
    <x v="1"/>
    <x v="1"/>
    <s v="Core"/>
    <x v="1"/>
    <x v="75"/>
    <m/>
    <m/>
    <m/>
    <m/>
    <m/>
    <m/>
    <n v="46"/>
    <m/>
    <m/>
    <m/>
  </r>
  <r>
    <s v="2021-07-02 23:04 (PST)"/>
    <x v="35"/>
    <x v="79"/>
    <x v="0"/>
    <s v="On Demand"/>
    <x v="25"/>
    <x v="1"/>
    <x v="5"/>
    <s v="Emotions"/>
    <x v="44"/>
    <x v="76"/>
    <m/>
    <m/>
    <m/>
    <m/>
    <m/>
    <m/>
    <m/>
    <m/>
    <m/>
    <m/>
  </r>
  <r>
    <s v="2021-07-09 13:37 (-07)"/>
    <x v="36"/>
    <x v="80"/>
    <x v="0"/>
    <s v="On Demand"/>
    <x v="6"/>
    <x v="4"/>
    <x v="0"/>
    <s v="Power Zone"/>
    <x v="7"/>
    <x v="77"/>
    <n v="360"/>
    <n v="100"/>
    <n v="0.38"/>
    <n v="82"/>
    <n v="16.12"/>
    <n v="16.12"/>
    <n v="444"/>
    <m/>
    <m/>
    <m/>
  </r>
  <r>
    <s v="2021-07-09 14:39 (-07)"/>
    <x v="36"/>
    <x v="81"/>
    <x v="0"/>
    <s v="On Demand"/>
    <x v="11"/>
    <x v="7"/>
    <x v="1"/>
    <s v="Full Body"/>
    <x v="21"/>
    <x v="78"/>
    <m/>
    <m/>
    <m/>
    <m/>
    <m/>
    <m/>
    <n v="69"/>
    <m/>
    <m/>
    <m/>
  </r>
  <r>
    <s v="2021-07-09 14:57 (-07)"/>
    <x v="36"/>
    <x v="82"/>
    <x v="0"/>
    <s v="On Demand"/>
    <x v="11"/>
    <x v="1"/>
    <x v="1"/>
    <s v="Core"/>
    <x v="1"/>
    <x v="79"/>
    <m/>
    <m/>
    <m/>
    <m/>
    <m/>
    <m/>
    <n v="46"/>
    <m/>
    <m/>
    <m/>
  </r>
  <r>
    <s v="2021-07-09 15:09 (-07)"/>
    <x v="36"/>
    <x v="83"/>
    <x v="0"/>
    <s v="On Demand"/>
    <x v="6"/>
    <x v="1"/>
    <x v="2"/>
    <s v="Full Body Stretch"/>
    <x v="45"/>
    <x v="80"/>
    <m/>
    <m/>
    <m/>
    <m/>
    <m/>
    <m/>
    <n v="23"/>
    <m/>
    <m/>
    <m/>
  </r>
  <r>
    <s v="2021-07-09 22:58 (PST)"/>
    <x v="36"/>
    <x v="84"/>
    <x v="0"/>
    <s v="On Demand"/>
    <x v="13"/>
    <x v="1"/>
    <x v="5"/>
    <s v="Emotions"/>
    <x v="46"/>
    <x v="81"/>
    <m/>
    <m/>
    <m/>
    <m/>
    <m/>
    <m/>
    <m/>
    <m/>
    <m/>
    <m/>
  </r>
  <r>
    <s v="2021-07-16 06:59 (-07)"/>
    <x v="37"/>
    <x v="85"/>
    <x v="0"/>
    <s v="On Demand"/>
    <x v="11"/>
    <x v="4"/>
    <x v="3"/>
    <s v="Music"/>
    <x v="47"/>
    <x v="82"/>
    <n v="188"/>
    <m/>
    <m/>
    <m/>
    <n v="15.65"/>
    <n v="8.4700000000000006"/>
    <n v="319"/>
    <m/>
    <m/>
    <m/>
  </r>
  <r>
    <s v="2021-07-16 07:59 (-07)"/>
    <x v="37"/>
    <x v="86"/>
    <x v="0"/>
    <s v="On Demand"/>
    <x v="4"/>
    <x v="1"/>
    <x v="0"/>
    <s v="Cool Down"/>
    <x v="17"/>
    <x v="83"/>
    <n v="49"/>
    <n v="82"/>
    <n v="0.37"/>
    <n v="76"/>
    <n v="14.86"/>
    <n v="2.48"/>
    <n v="61"/>
    <m/>
    <m/>
    <m/>
  </r>
  <r>
    <s v="2021-07-23 06:42 (-07)"/>
    <x v="38"/>
    <x v="87"/>
    <x v="0"/>
    <s v="On Demand"/>
    <x v="6"/>
    <x v="4"/>
    <x v="0"/>
    <s v="Power Zone"/>
    <x v="7"/>
    <x v="84"/>
    <n v="345"/>
    <n v="96"/>
    <n v="0.37"/>
    <n v="83"/>
    <n v="15.85"/>
    <n v="15.85"/>
    <n v="425"/>
    <m/>
    <m/>
    <m/>
  </r>
  <r>
    <s v="2021-07-23 07:43 (-07)"/>
    <x v="38"/>
    <x v="88"/>
    <x v="0"/>
    <s v="On Demand"/>
    <x v="6"/>
    <x v="3"/>
    <x v="0"/>
    <s v="Cool Down"/>
    <x v="10"/>
    <x v="85"/>
    <n v="19"/>
    <n v="64"/>
    <n v="0.31"/>
    <n v="83"/>
    <n v="13.4"/>
    <n v="1.1200000000000001"/>
    <n v="24"/>
    <m/>
    <m/>
    <m/>
  </r>
  <r>
    <s v="2021-07-23 07:49 (-07)"/>
    <x v="38"/>
    <x v="89"/>
    <x v="0"/>
    <s v="On Demand"/>
    <x v="26"/>
    <x v="1"/>
    <x v="1"/>
    <s v="Core"/>
    <x v="1"/>
    <x v="86"/>
    <m/>
    <m/>
    <m/>
    <m/>
    <m/>
    <m/>
    <n v="46"/>
    <m/>
    <m/>
    <m/>
  </r>
  <r>
    <s v="2021-07-23 08:00 (-07)"/>
    <x v="38"/>
    <x v="90"/>
    <x v="0"/>
    <s v="On Demand"/>
    <x v="6"/>
    <x v="3"/>
    <x v="2"/>
    <s v="Pre &amp; Post-Ride Stretch"/>
    <x v="8"/>
    <x v="61"/>
    <m/>
    <m/>
    <m/>
    <m/>
    <m/>
    <m/>
    <n v="11"/>
    <m/>
    <m/>
    <m/>
  </r>
  <r>
    <s v="2021-07-23 14:38 (PST)"/>
    <x v="38"/>
    <x v="91"/>
    <x v="0"/>
    <s v="On Demand"/>
    <x v="7"/>
    <x v="1"/>
    <x v="4"/>
    <s v="Yoga Anywhere"/>
    <x v="48"/>
    <x v="87"/>
    <m/>
    <m/>
    <m/>
    <m/>
    <m/>
    <m/>
    <n v="33"/>
    <m/>
    <m/>
    <m/>
  </r>
  <r>
    <s v="2021-07-30 06:57 (-07)"/>
    <x v="39"/>
    <x v="92"/>
    <x v="0"/>
    <s v="On Demand"/>
    <x v="6"/>
    <x v="4"/>
    <x v="0"/>
    <s v="Power Zone"/>
    <x v="7"/>
    <x v="88"/>
    <n v="358"/>
    <n v="99"/>
    <n v="0.37"/>
    <n v="85"/>
    <n v="16.09"/>
    <n v="16.09"/>
    <n v="441"/>
    <m/>
    <m/>
    <m/>
  </r>
  <r>
    <s v="2021-07-30 07:57 (-07)"/>
    <x v="39"/>
    <x v="93"/>
    <x v="0"/>
    <s v="On Demand"/>
    <x v="6"/>
    <x v="3"/>
    <x v="0"/>
    <s v="Cool Down"/>
    <x v="10"/>
    <x v="85"/>
    <n v="22"/>
    <n v="72"/>
    <n v="0.31"/>
    <n v="87"/>
    <n v="14.1"/>
    <n v="1.17"/>
    <n v="27"/>
    <m/>
    <m/>
    <m/>
  </r>
  <r>
    <s v="2021-07-30 08:03 (-07)"/>
    <x v="39"/>
    <x v="53"/>
    <x v="0"/>
    <s v="On Demand"/>
    <x v="27"/>
    <x v="1"/>
    <x v="1"/>
    <s v="Core"/>
    <x v="1"/>
    <x v="89"/>
    <m/>
    <m/>
    <m/>
    <m/>
    <m/>
    <m/>
    <n v="46"/>
    <m/>
    <m/>
    <m/>
  </r>
  <r>
    <s v="2021-07-30 08:14 (-07)"/>
    <x v="39"/>
    <x v="94"/>
    <x v="0"/>
    <s v="On Demand"/>
    <x v="6"/>
    <x v="3"/>
    <x v="2"/>
    <s v="Pre &amp; Post-Ride Stretch"/>
    <x v="8"/>
    <x v="61"/>
    <m/>
    <m/>
    <m/>
    <m/>
    <m/>
    <m/>
    <n v="12"/>
    <m/>
    <m/>
    <m/>
  </r>
  <r>
    <s v="2021-07-30 22:30 (PST)"/>
    <x v="39"/>
    <x v="57"/>
    <x v="0"/>
    <s v="On Demand"/>
    <x v="7"/>
    <x v="1"/>
    <x v="5"/>
    <s v="Breath"/>
    <x v="49"/>
    <x v="90"/>
    <m/>
    <m/>
    <m/>
    <m/>
    <m/>
    <m/>
    <m/>
    <m/>
    <m/>
    <m/>
  </r>
  <r>
    <s v="2021-08-06 07:49 (PST)"/>
    <x v="40"/>
    <x v="95"/>
    <x v="0"/>
    <s v="On Demand"/>
    <x v="7"/>
    <x v="2"/>
    <x v="4"/>
    <s v="Slow Flow"/>
    <x v="50"/>
    <x v="90"/>
    <m/>
    <m/>
    <m/>
    <m/>
    <m/>
    <m/>
    <n v="98"/>
    <m/>
    <m/>
    <m/>
  </r>
  <r>
    <s v="2021-08-06 21:59 (PST)"/>
    <x v="40"/>
    <x v="96"/>
    <x v="0"/>
    <s v="On Demand"/>
    <x v="16"/>
    <x v="1"/>
    <x v="5"/>
    <s v="Mindfulness"/>
    <x v="51"/>
    <x v="91"/>
    <m/>
    <m/>
    <m/>
    <m/>
    <m/>
    <m/>
    <m/>
    <m/>
    <m/>
    <m/>
  </r>
  <r>
    <s v="2021-08-13 07:36 (PST)"/>
    <x v="41"/>
    <x v="97"/>
    <x v="0"/>
    <s v="On Demand"/>
    <x v="16"/>
    <x v="5"/>
    <x v="4"/>
    <s v="Slow Flow"/>
    <x v="52"/>
    <x v="92"/>
    <m/>
    <m/>
    <m/>
    <m/>
    <m/>
    <m/>
    <n v="62"/>
    <m/>
    <m/>
    <m/>
  </r>
  <r>
    <s v="2021-08-13 12:03 (-07)"/>
    <x v="41"/>
    <x v="98"/>
    <x v="0"/>
    <s v="On Demand"/>
    <x v="6"/>
    <x v="4"/>
    <x v="0"/>
    <s v="Power Zone"/>
    <x v="23"/>
    <x v="93"/>
    <n v="386"/>
    <n v="107"/>
    <n v="0.37"/>
    <n v="88"/>
    <n v="16.59"/>
    <n v="16.59"/>
    <n v="476"/>
    <m/>
    <m/>
    <m/>
  </r>
  <r>
    <s v="2021-08-13 16:34 (PST)"/>
    <x v="41"/>
    <x v="99"/>
    <x v="0"/>
    <s v="On Demand"/>
    <x v="26"/>
    <x v="1"/>
    <x v="1"/>
    <s v="Core"/>
    <x v="1"/>
    <x v="94"/>
    <m/>
    <m/>
    <m/>
    <m/>
    <m/>
    <m/>
    <n v="46"/>
    <m/>
    <m/>
    <m/>
  </r>
  <r>
    <s v="2021-08-13 16:46 (PST)"/>
    <x v="41"/>
    <x v="100"/>
    <x v="0"/>
    <s v="On Demand"/>
    <x v="7"/>
    <x v="5"/>
    <x v="4"/>
    <s v="Flow"/>
    <x v="30"/>
    <x v="95"/>
    <m/>
    <m/>
    <m/>
    <m/>
    <m/>
    <m/>
    <n v="67"/>
    <m/>
    <m/>
    <m/>
  </r>
  <r>
    <s v="2021-08-13 22:38 (PST)"/>
    <x v="41"/>
    <x v="101"/>
    <x v="0"/>
    <s v="On Demand"/>
    <x v="16"/>
    <x v="5"/>
    <x v="5"/>
    <s v="Emotions"/>
    <x v="53"/>
    <x v="96"/>
    <m/>
    <m/>
    <m/>
    <m/>
    <m/>
    <m/>
    <m/>
    <m/>
    <m/>
    <m/>
  </r>
  <r>
    <s v="2021-08-20 08:52 (PST)"/>
    <x v="42"/>
    <x v="33"/>
    <x v="0"/>
    <s v="On Demand"/>
    <x v="23"/>
    <x v="3"/>
    <x v="5"/>
    <s v="Emotions"/>
    <x v="54"/>
    <x v="97"/>
    <m/>
    <m/>
    <m/>
    <m/>
    <m/>
    <m/>
    <m/>
    <m/>
    <m/>
    <m/>
  </r>
  <r>
    <s v="2021-08-20 22:36 (PST)"/>
    <x v="42"/>
    <x v="102"/>
    <x v="0"/>
    <s v="On Demand"/>
    <x v="25"/>
    <x v="7"/>
    <x v="5"/>
    <s v="Breath"/>
    <x v="55"/>
    <x v="98"/>
    <m/>
    <m/>
    <m/>
    <m/>
    <m/>
    <m/>
    <m/>
    <m/>
    <m/>
    <m/>
  </r>
  <r>
    <s v="2021-08-27 18:52 (-07)"/>
    <x v="43"/>
    <x v="103"/>
    <x v="0"/>
    <s v="On Demand"/>
    <x v="6"/>
    <x v="4"/>
    <x v="0"/>
    <s v="Power Zone"/>
    <x v="7"/>
    <x v="70"/>
    <n v="371"/>
    <n v="103"/>
    <n v="0.38"/>
    <n v="82"/>
    <n v="16.32"/>
    <n v="16.32"/>
    <n v="458"/>
    <m/>
    <m/>
    <m/>
  </r>
  <r>
    <s v="2021-09-03 07:29 (PST)"/>
    <x v="44"/>
    <x v="104"/>
    <x v="0"/>
    <s v="On Demand"/>
    <x v="7"/>
    <x v="2"/>
    <x v="4"/>
    <s v="Theme"/>
    <x v="56"/>
    <x v="99"/>
    <m/>
    <m/>
    <m/>
    <m/>
    <m/>
    <m/>
    <n v="94"/>
    <m/>
    <m/>
    <m/>
  </r>
  <r>
    <s v="2021-09-03 19:44 (-07)"/>
    <x v="44"/>
    <x v="105"/>
    <x v="0"/>
    <s v="On Demand"/>
    <x v="9"/>
    <x v="4"/>
    <x v="0"/>
    <s v="Power Zone"/>
    <x v="7"/>
    <x v="100"/>
    <n v="354"/>
    <n v="98"/>
    <n v="0.38"/>
    <n v="82"/>
    <n v="16"/>
    <n v="16"/>
    <n v="436"/>
    <m/>
    <m/>
    <m/>
  </r>
  <r>
    <s v="2021-09-03 20:45 (-07)"/>
    <x v="44"/>
    <x v="106"/>
    <x v="0"/>
    <s v="On Demand"/>
    <x v="9"/>
    <x v="3"/>
    <x v="2"/>
    <s v="Pre &amp; Post-Ride Stretch"/>
    <x v="8"/>
    <x v="101"/>
    <m/>
    <m/>
    <m/>
    <m/>
    <m/>
    <m/>
    <n v="12"/>
    <m/>
    <m/>
    <m/>
  </r>
  <r>
    <s v="2021-09-03 22:16 (PST)"/>
    <x v="44"/>
    <x v="51"/>
    <x v="0"/>
    <s v="On Demand"/>
    <x v="16"/>
    <x v="1"/>
    <x v="5"/>
    <s v="Theme"/>
    <x v="57"/>
    <x v="102"/>
    <m/>
    <m/>
    <m/>
    <m/>
    <m/>
    <m/>
    <m/>
    <m/>
    <m/>
    <m/>
  </r>
  <r>
    <s v="2021-09-10 07:16 (PST)"/>
    <x v="45"/>
    <x v="107"/>
    <x v="0"/>
    <s v="On Demand"/>
    <x v="16"/>
    <x v="0"/>
    <x v="4"/>
    <s v="Flow"/>
    <x v="14"/>
    <x v="103"/>
    <m/>
    <m/>
    <m/>
    <m/>
    <m/>
    <m/>
    <n v="150"/>
    <m/>
    <m/>
    <m/>
  </r>
  <r>
    <s v="2021-09-10 23:54 (PST)"/>
    <x v="45"/>
    <x v="108"/>
    <x v="0"/>
    <s v="On Demand"/>
    <x v="13"/>
    <x v="3"/>
    <x v="5"/>
    <s v="Sleep"/>
    <x v="58"/>
    <x v="104"/>
    <m/>
    <m/>
    <m/>
    <m/>
    <m/>
    <m/>
    <m/>
    <m/>
    <m/>
    <m/>
  </r>
  <r>
    <s v="2021-09-24 17:27 (-07)"/>
    <x v="46"/>
    <x v="109"/>
    <x v="0"/>
    <s v="On Demand"/>
    <x v="7"/>
    <x v="0"/>
    <x v="0"/>
    <s v="Power Zone"/>
    <x v="27"/>
    <x v="100"/>
    <n v="253"/>
    <n v="104"/>
    <n v="0.38"/>
    <n v="83"/>
    <n v="16.45"/>
    <n v="11.44"/>
    <n v="311"/>
    <m/>
    <m/>
    <m/>
  </r>
  <r>
    <s v="2021-09-24 18:13 (-07)"/>
    <x v="46"/>
    <x v="110"/>
    <x v="0"/>
    <s v="On Demand"/>
    <x v="7"/>
    <x v="3"/>
    <x v="0"/>
    <s v="Cool Down"/>
    <x v="10"/>
    <x v="105"/>
    <n v="22"/>
    <n v="73"/>
    <n v="0.32"/>
    <n v="84"/>
    <n v="14.18"/>
    <n v="1.18"/>
    <n v="27"/>
    <m/>
    <m/>
    <m/>
  </r>
  <r>
    <s v="2021-09-24 18:20 (-07)"/>
    <x v="46"/>
    <x v="111"/>
    <x v="0"/>
    <s v="On Demand"/>
    <x v="17"/>
    <x v="1"/>
    <x v="1"/>
    <s v="Arms &amp; Light Weights"/>
    <x v="28"/>
    <x v="106"/>
    <m/>
    <m/>
    <m/>
    <m/>
    <m/>
    <m/>
    <n v="46"/>
    <m/>
    <m/>
    <m/>
  </r>
  <r>
    <s v="2021-09-24 18:31 (-07)"/>
    <x v="46"/>
    <x v="112"/>
    <x v="0"/>
    <s v="On Demand"/>
    <x v="5"/>
    <x v="5"/>
    <x v="1"/>
    <s v="Core"/>
    <x v="59"/>
    <x v="107"/>
    <m/>
    <m/>
    <m/>
    <m/>
    <m/>
    <m/>
    <n v="92"/>
    <m/>
    <m/>
    <m/>
  </r>
  <r>
    <s v="2021-09-24 18:52 (-07)"/>
    <x v="46"/>
    <x v="103"/>
    <x v="0"/>
    <s v="On Demand"/>
    <x v="0"/>
    <x v="3"/>
    <x v="2"/>
    <s v="Pre &amp; Post-Ride Stretch"/>
    <x v="8"/>
    <x v="108"/>
    <m/>
    <m/>
    <m/>
    <m/>
    <m/>
    <m/>
    <n v="12"/>
    <m/>
    <m/>
    <m/>
  </r>
  <r>
    <s v="2021-09-24 23:17 (PST)"/>
    <x v="46"/>
    <x v="113"/>
    <x v="0"/>
    <s v="On Demand"/>
    <x v="13"/>
    <x v="1"/>
    <x v="5"/>
    <s v="Emotions"/>
    <x v="60"/>
    <x v="109"/>
    <m/>
    <m/>
    <m/>
    <m/>
    <m/>
    <m/>
    <m/>
    <m/>
    <m/>
    <m/>
  </r>
  <r>
    <s v="2021-10-01 07:17 (PST)"/>
    <x v="47"/>
    <x v="114"/>
    <x v="0"/>
    <s v="On Demand"/>
    <x v="7"/>
    <x v="2"/>
    <x v="4"/>
    <s v="Theme"/>
    <x v="56"/>
    <x v="110"/>
    <m/>
    <m/>
    <m/>
    <m/>
    <m/>
    <m/>
    <n v="101"/>
    <m/>
    <m/>
    <m/>
  </r>
  <r>
    <s v="2021-10-01 17:27 (-07)"/>
    <x v="47"/>
    <x v="109"/>
    <x v="0"/>
    <s v="On Demand"/>
    <x v="6"/>
    <x v="4"/>
    <x v="0"/>
    <s v="Power Zone"/>
    <x v="7"/>
    <x v="88"/>
    <n v="370"/>
    <n v="103"/>
    <n v="0.37"/>
    <n v="84"/>
    <n v="16.329999999999998"/>
    <n v="16.329999999999998"/>
    <n v="456"/>
    <m/>
    <m/>
    <m/>
  </r>
  <r>
    <s v="2021-10-01 18:27 (-07)"/>
    <x v="47"/>
    <x v="115"/>
    <x v="0"/>
    <s v="On Demand"/>
    <x v="6"/>
    <x v="3"/>
    <x v="2"/>
    <s v="Pre &amp; Post-Ride Stretch"/>
    <x v="8"/>
    <x v="111"/>
    <m/>
    <m/>
    <m/>
    <m/>
    <m/>
    <m/>
    <n v="12"/>
    <m/>
    <m/>
    <m/>
  </r>
  <r>
    <s v="2021-10-01 23:51 (PST)"/>
    <x v="47"/>
    <x v="116"/>
    <x v="0"/>
    <s v="On Demand"/>
    <x v="25"/>
    <x v="1"/>
    <x v="5"/>
    <s v="Emotions"/>
    <x v="46"/>
    <x v="112"/>
    <m/>
    <m/>
    <m/>
    <m/>
    <m/>
    <m/>
    <m/>
    <m/>
    <m/>
    <m/>
  </r>
  <r>
    <s v="2021-10-08 08:33 (PST)"/>
    <x v="48"/>
    <x v="34"/>
    <x v="0"/>
    <s v="On Demand"/>
    <x v="7"/>
    <x v="5"/>
    <x v="4"/>
    <s v="Focus Flow"/>
    <x v="61"/>
    <x v="113"/>
    <m/>
    <m/>
    <m/>
    <m/>
    <m/>
    <m/>
    <n v="64"/>
    <m/>
    <m/>
    <m/>
  </r>
  <r>
    <s v="2021-10-08 22:18 (PST)"/>
    <x v="48"/>
    <x v="117"/>
    <x v="0"/>
    <s v="On Demand"/>
    <x v="13"/>
    <x v="5"/>
    <x v="5"/>
    <s v="Breath"/>
    <x v="62"/>
    <x v="114"/>
    <m/>
    <m/>
    <m/>
    <m/>
    <m/>
    <m/>
    <m/>
    <m/>
    <m/>
    <m/>
  </r>
  <r>
    <s v="2021-10-15 07:33 (PST)"/>
    <x v="49"/>
    <x v="118"/>
    <x v="0"/>
    <s v="On Demand"/>
    <x v="16"/>
    <x v="2"/>
    <x v="4"/>
    <s v="Theme"/>
    <x v="63"/>
    <x v="115"/>
    <m/>
    <m/>
    <m/>
    <m/>
    <m/>
    <m/>
    <n v="84"/>
    <m/>
    <m/>
    <m/>
  </r>
  <r>
    <s v="2021-10-15 23:07 (PST)"/>
    <x v="49"/>
    <x v="119"/>
    <x v="0"/>
    <s v="On Demand"/>
    <x v="23"/>
    <x v="5"/>
    <x v="5"/>
    <s v="Emotions"/>
    <x v="64"/>
    <x v="116"/>
    <m/>
    <m/>
    <m/>
    <m/>
    <m/>
    <m/>
    <m/>
    <m/>
    <m/>
    <m/>
  </r>
  <r>
    <s v="2021-10-29 07:06 (PST)"/>
    <x v="50"/>
    <x v="120"/>
    <x v="0"/>
    <s v="On Demand"/>
    <x v="13"/>
    <x v="0"/>
    <x v="4"/>
    <s v="Flow"/>
    <x v="14"/>
    <x v="117"/>
    <m/>
    <m/>
    <m/>
    <m/>
    <m/>
    <m/>
    <n v="152"/>
    <m/>
    <m/>
    <m/>
  </r>
  <r>
    <s v="2021-10-29 18:54 (-07)"/>
    <x v="50"/>
    <x v="121"/>
    <x v="0"/>
    <s v="On Demand"/>
    <x v="6"/>
    <x v="4"/>
    <x v="0"/>
    <s v="Power Zone"/>
    <x v="23"/>
    <x v="118"/>
    <n v="402"/>
    <n v="112"/>
    <n v="0.38"/>
    <n v="86"/>
    <n v="16.809999999999999"/>
    <n v="16.809999999999999"/>
    <n v="495"/>
    <m/>
    <m/>
    <m/>
  </r>
  <r>
    <s v="2021-10-29 19:55 (-07)"/>
    <x v="50"/>
    <x v="122"/>
    <x v="0"/>
    <s v="On Demand"/>
    <x v="9"/>
    <x v="3"/>
    <x v="0"/>
    <s v="Cool Down"/>
    <x v="10"/>
    <x v="119"/>
    <n v="13"/>
    <n v="43"/>
    <n v="0.25"/>
    <n v="81"/>
    <n v="11.17"/>
    <n v="0.93"/>
    <n v="16"/>
    <m/>
    <m/>
    <m/>
  </r>
  <r>
    <s v="2021-10-29 20:01 (-07)"/>
    <x v="50"/>
    <x v="123"/>
    <x v="0"/>
    <s v="On Demand"/>
    <x v="9"/>
    <x v="3"/>
    <x v="2"/>
    <s v="Pre &amp; Post-Ride Stretch"/>
    <x v="8"/>
    <x v="105"/>
    <m/>
    <m/>
    <m/>
    <m/>
    <m/>
    <m/>
    <n v="11"/>
    <m/>
    <m/>
    <m/>
  </r>
  <r>
    <s v="2021-10-29 22:25 (PST)"/>
    <x v="50"/>
    <x v="124"/>
    <x v="0"/>
    <s v="On Demand"/>
    <x v="23"/>
    <x v="7"/>
    <x v="5"/>
    <s v="Sleep"/>
    <x v="65"/>
    <x v="120"/>
    <m/>
    <m/>
    <m/>
    <m/>
    <m/>
    <m/>
    <m/>
    <m/>
    <m/>
    <m/>
  </r>
  <r>
    <s v="2021-11-05 03:40 (PST)"/>
    <x v="51"/>
    <x v="125"/>
    <x v="0"/>
    <s v="On Demand"/>
    <x v="19"/>
    <x v="1"/>
    <x v="5"/>
    <s v="Sleep"/>
    <x v="66"/>
    <x v="121"/>
    <m/>
    <m/>
    <m/>
    <m/>
    <m/>
    <m/>
    <m/>
    <m/>
    <m/>
    <m/>
  </r>
  <r>
    <s v="2021-11-05 07:45 (PST)"/>
    <x v="51"/>
    <x v="126"/>
    <x v="0"/>
    <s v="On Demand"/>
    <x v="7"/>
    <x v="5"/>
    <x v="4"/>
    <s v="Slow Flow"/>
    <x v="19"/>
    <x v="122"/>
    <m/>
    <m/>
    <m/>
    <m/>
    <m/>
    <m/>
    <n v="66"/>
    <m/>
    <m/>
    <m/>
  </r>
  <r>
    <s v="2021-11-05 18:10 (-07)"/>
    <x v="51"/>
    <x v="127"/>
    <x v="0"/>
    <s v="On Demand"/>
    <x v="6"/>
    <x v="5"/>
    <x v="0"/>
    <s v="Low Impact"/>
    <x v="67"/>
    <x v="123"/>
    <n v="84"/>
    <n v="70"/>
    <n v="0.33"/>
    <n v="81"/>
    <n v="13.93"/>
    <n v="4.6399999999999997"/>
    <n v="104"/>
    <m/>
    <m/>
    <m/>
  </r>
  <r>
    <s v="2021-11-05 18:30 (-07)"/>
    <x v="51"/>
    <x v="128"/>
    <x v="0"/>
    <s v="On Demand"/>
    <x v="6"/>
    <x v="2"/>
    <x v="0"/>
    <s v="Power Zone"/>
    <x v="5"/>
    <x v="124"/>
    <n v="166"/>
    <n v="92"/>
    <n v="0.36"/>
    <n v="82"/>
    <n v="15.48"/>
    <n v="7.75"/>
    <n v="204"/>
    <m/>
    <m/>
    <m/>
  </r>
  <r>
    <s v="2021-11-05 23:00 (PST)"/>
    <x v="51"/>
    <x v="129"/>
    <x v="0"/>
    <s v="On Demand"/>
    <x v="16"/>
    <x v="1"/>
    <x v="5"/>
    <s v="Theme"/>
    <x v="68"/>
    <x v="125"/>
    <m/>
    <m/>
    <m/>
    <m/>
    <m/>
    <m/>
    <m/>
    <m/>
    <m/>
    <m/>
  </r>
  <r>
    <s v="2021-11-12 07:34 (PST)"/>
    <x v="52"/>
    <x v="130"/>
    <x v="0"/>
    <s v="On Demand"/>
    <x v="16"/>
    <x v="2"/>
    <x v="4"/>
    <s v="Flow"/>
    <x v="69"/>
    <x v="126"/>
    <m/>
    <m/>
    <m/>
    <m/>
    <m/>
    <m/>
    <n v="97"/>
    <m/>
    <m/>
    <m/>
  </r>
  <r>
    <s v="2021-11-12 12:26 (-08)"/>
    <x v="52"/>
    <x v="131"/>
    <x v="0"/>
    <s v="On Demand"/>
    <x v="6"/>
    <x v="0"/>
    <x v="0"/>
    <s v="Power Zone"/>
    <x v="27"/>
    <x v="127"/>
    <n v="266"/>
    <n v="98"/>
    <n v="0.37"/>
    <n v="85"/>
    <n v="16.010000000000002"/>
    <n v="12.01"/>
    <n v="328"/>
    <m/>
    <m/>
    <m/>
  </r>
  <r>
    <s v="2021-11-12 13:12 (-08)"/>
    <x v="52"/>
    <x v="132"/>
    <x v="0"/>
    <s v="On Demand"/>
    <x v="18"/>
    <x v="1"/>
    <x v="1"/>
    <s v="Arms &amp; Light Weights"/>
    <x v="28"/>
    <x v="128"/>
    <m/>
    <m/>
    <m/>
    <m/>
    <m/>
    <m/>
    <n v="46"/>
    <m/>
    <m/>
    <m/>
  </r>
  <r>
    <s v="2021-11-12 13:24 (-08)"/>
    <x v="52"/>
    <x v="133"/>
    <x v="0"/>
    <s v="On Demand"/>
    <x v="10"/>
    <x v="3"/>
    <x v="2"/>
    <s v="Pre &amp; Post-Ride Stretch"/>
    <x v="70"/>
    <x v="129"/>
    <m/>
    <m/>
    <m/>
    <m/>
    <m/>
    <m/>
    <n v="11"/>
    <m/>
    <m/>
    <m/>
  </r>
  <r>
    <s v="2021-11-19 03:45 (PST)"/>
    <x v="53"/>
    <x v="134"/>
    <x v="0"/>
    <s v="On Demand"/>
    <x v="16"/>
    <x v="3"/>
    <x v="5"/>
    <s v="Sleep"/>
    <x v="58"/>
    <x v="130"/>
    <m/>
    <m/>
    <m/>
    <m/>
    <m/>
    <m/>
    <m/>
    <m/>
    <m/>
    <m/>
  </r>
  <r>
    <s v="2021-11-19 03:58 (PST)"/>
    <x v="53"/>
    <x v="135"/>
    <x v="0"/>
    <s v="On Demand"/>
    <x v="23"/>
    <x v="1"/>
    <x v="5"/>
    <s v="Relaxation"/>
    <x v="71"/>
    <x v="131"/>
    <m/>
    <m/>
    <m/>
    <m/>
    <m/>
    <m/>
    <m/>
    <m/>
    <m/>
    <m/>
  </r>
  <r>
    <s v="2021-11-19 07:42 (PST)"/>
    <x v="53"/>
    <x v="136"/>
    <x v="0"/>
    <s v="On Demand"/>
    <x v="7"/>
    <x v="2"/>
    <x v="4"/>
    <s v="Flow"/>
    <x v="72"/>
    <x v="132"/>
    <m/>
    <m/>
    <m/>
    <m/>
    <m/>
    <m/>
    <n v="98"/>
    <m/>
    <m/>
    <m/>
  </r>
  <r>
    <s v="2021-11-19 22:11 (PST)"/>
    <x v="53"/>
    <x v="137"/>
    <x v="0"/>
    <s v="On Demand"/>
    <x v="28"/>
    <x v="5"/>
    <x v="5"/>
    <s v="Sleep"/>
    <x v="29"/>
    <x v="133"/>
    <m/>
    <m/>
    <m/>
    <m/>
    <m/>
    <m/>
    <m/>
    <m/>
    <m/>
    <m/>
  </r>
  <r>
    <s v="2021-12-03 07:35 (PST)"/>
    <x v="54"/>
    <x v="138"/>
    <x v="0"/>
    <s v="On Demand"/>
    <x v="16"/>
    <x v="2"/>
    <x v="4"/>
    <s v="Theme"/>
    <x v="63"/>
    <x v="134"/>
    <m/>
    <m/>
    <m/>
    <m/>
    <m/>
    <m/>
    <n v="83"/>
    <m/>
    <m/>
    <m/>
  </r>
  <r>
    <s v="2021-12-03 12:27 (PST)"/>
    <x v="54"/>
    <x v="139"/>
    <x v="0"/>
    <s v="On Demand"/>
    <x v="3"/>
    <x v="2"/>
    <x v="6"/>
    <s v="Music Walk"/>
    <x v="73"/>
    <x v="135"/>
    <n v="0"/>
    <m/>
    <m/>
    <m/>
    <n v="3.63"/>
    <n v="1.81"/>
    <n v="215"/>
    <n v="128.72999999999999"/>
    <m/>
    <m/>
  </r>
  <r>
    <s v="2021-12-03 18:30 (-08)"/>
    <x v="54"/>
    <x v="140"/>
    <x v="0"/>
    <s v="On Demand"/>
    <x v="6"/>
    <x v="4"/>
    <x v="0"/>
    <s v="Power Zone"/>
    <x v="7"/>
    <x v="136"/>
    <n v="366"/>
    <n v="102"/>
    <n v="0.37"/>
    <n v="85"/>
    <n v="16.239999999999998"/>
    <n v="16.239999999999998"/>
    <n v="452"/>
    <m/>
    <m/>
    <m/>
  </r>
  <r>
    <s v="2021-12-03 19:31 (-08)"/>
    <x v="54"/>
    <x v="141"/>
    <x v="0"/>
    <s v="On Demand"/>
    <x v="6"/>
    <x v="3"/>
    <x v="0"/>
    <s v="Cool Down"/>
    <x v="10"/>
    <x v="137"/>
    <n v="16"/>
    <n v="53"/>
    <n v="0.28000000000000003"/>
    <n v="84"/>
    <n v="12.35"/>
    <n v="1.03"/>
    <n v="20"/>
    <m/>
    <m/>
    <m/>
  </r>
  <r>
    <s v="2021-12-03 19:38 (-08)"/>
    <x v="54"/>
    <x v="142"/>
    <x v="0"/>
    <s v="On Demand"/>
    <x v="5"/>
    <x v="3"/>
    <x v="2"/>
    <s v="Pre &amp; Post-Ride Stretch"/>
    <x v="8"/>
    <x v="138"/>
    <m/>
    <m/>
    <m/>
    <m/>
    <m/>
    <m/>
    <n v="12"/>
    <m/>
    <m/>
    <m/>
  </r>
  <r>
    <s v="2021-12-03 19:45 (-08)"/>
    <x v="54"/>
    <x v="143"/>
    <x v="0"/>
    <s v="On Demand"/>
    <x v="1"/>
    <x v="1"/>
    <x v="1"/>
    <s v="Core"/>
    <x v="1"/>
    <x v="139"/>
    <m/>
    <m/>
    <m/>
    <m/>
    <m/>
    <m/>
    <n v="46"/>
    <m/>
    <m/>
    <m/>
  </r>
  <r>
    <s v="2021-12-03 23:27 (PST)"/>
    <x v="54"/>
    <x v="144"/>
    <x v="0"/>
    <s v="On Demand"/>
    <x v="19"/>
    <x v="1"/>
    <x v="5"/>
    <s v="Emotions"/>
    <x v="15"/>
    <x v="140"/>
    <m/>
    <m/>
    <m/>
    <m/>
    <m/>
    <m/>
    <m/>
    <m/>
    <m/>
    <m/>
  </r>
  <r>
    <s v="2021-12-10 07:34 (PST)"/>
    <x v="55"/>
    <x v="130"/>
    <x v="0"/>
    <s v="On Demand"/>
    <x v="7"/>
    <x v="2"/>
    <x v="4"/>
    <s v="Power"/>
    <x v="74"/>
    <x v="141"/>
    <m/>
    <m/>
    <m/>
    <m/>
    <m/>
    <m/>
    <n v="96"/>
    <m/>
    <m/>
    <m/>
  </r>
  <r>
    <s v="2021-12-10 12:47 (PST)"/>
    <x v="55"/>
    <x v="145"/>
    <x v="0"/>
    <s v="On Demand"/>
    <x v="1"/>
    <x v="1"/>
    <x v="1"/>
    <s v="Core"/>
    <x v="1"/>
    <x v="21"/>
    <m/>
    <m/>
    <m/>
    <m/>
    <m/>
    <m/>
    <n v="46"/>
    <m/>
    <m/>
    <m/>
  </r>
  <r>
    <s v="2021-12-10 16:21 (-08)"/>
    <x v="55"/>
    <x v="146"/>
    <x v="0"/>
    <s v="On Demand"/>
    <x v="29"/>
    <x v="1"/>
    <x v="0"/>
    <s v="Warm Up"/>
    <x v="75"/>
    <x v="142"/>
    <n v="44"/>
    <n v="73"/>
    <n v="0.3"/>
    <n v="90"/>
    <n v="14.07"/>
    <n v="2.35"/>
    <n v="54"/>
    <m/>
    <m/>
    <m/>
  </r>
  <r>
    <s v="2021-12-10 16:44 (-08)"/>
    <x v="55"/>
    <x v="147"/>
    <x v="0"/>
    <s v="On Demand"/>
    <x v="12"/>
    <x v="2"/>
    <x v="0"/>
    <s v="Low Impact"/>
    <x v="76"/>
    <x v="143"/>
    <n v="159"/>
    <n v="88"/>
    <n v="0.37"/>
    <n v="80"/>
    <n v="15.36"/>
    <n v="7.68"/>
    <n v="196"/>
    <m/>
    <m/>
    <m/>
  </r>
  <r>
    <s v="2021-12-10 22:54 (PST)"/>
    <x v="55"/>
    <x v="74"/>
    <x v="0"/>
    <s v="On Demand"/>
    <x v="23"/>
    <x v="1"/>
    <x v="5"/>
    <s v="Relaxation"/>
    <x v="34"/>
    <x v="144"/>
    <m/>
    <m/>
    <m/>
    <m/>
    <m/>
    <m/>
    <m/>
    <m/>
    <m/>
    <m/>
  </r>
  <r>
    <s v="2021-12-17 23:09 (PST)"/>
    <x v="56"/>
    <x v="148"/>
    <x v="0"/>
    <s v="On Demand"/>
    <x v="19"/>
    <x v="7"/>
    <x v="5"/>
    <s v="Sleep"/>
    <x v="65"/>
    <x v="145"/>
    <m/>
    <m/>
    <m/>
    <m/>
    <m/>
    <m/>
    <m/>
    <m/>
    <m/>
    <m/>
  </r>
  <r>
    <s v="2021-12-24 07:53 (PST)"/>
    <x v="57"/>
    <x v="149"/>
    <x v="0"/>
    <s v="On Demand"/>
    <x v="7"/>
    <x v="2"/>
    <x v="4"/>
    <s v="Slow Flow"/>
    <x v="50"/>
    <x v="146"/>
    <m/>
    <m/>
    <m/>
    <m/>
    <m/>
    <m/>
    <n v="100"/>
    <m/>
    <m/>
    <m/>
  </r>
  <r>
    <s v="2021-12-24 09:41 (-08)"/>
    <x v="57"/>
    <x v="150"/>
    <x v="0"/>
    <s v="On Demand"/>
    <x v="6"/>
    <x v="0"/>
    <x v="0"/>
    <s v="Power Zone"/>
    <x v="27"/>
    <x v="147"/>
    <n v="273"/>
    <n v="101"/>
    <n v="0.38"/>
    <n v="84"/>
    <n v="16.170000000000002"/>
    <n v="12.13"/>
    <n v="336"/>
    <m/>
    <m/>
    <m/>
  </r>
  <r>
    <s v="2021-12-24 10:27 (-08)"/>
    <x v="57"/>
    <x v="151"/>
    <x v="0"/>
    <s v="On Demand"/>
    <x v="6"/>
    <x v="3"/>
    <x v="2"/>
    <s v="Pre &amp; Post-Ride Stretch"/>
    <x v="8"/>
    <x v="137"/>
    <m/>
    <m/>
    <m/>
    <m/>
    <m/>
    <m/>
    <n v="11"/>
    <m/>
    <m/>
    <m/>
  </r>
  <r>
    <s v="2021-12-24 21:54 (PST)"/>
    <x v="57"/>
    <x v="152"/>
    <x v="0"/>
    <s v="On Demand"/>
    <x v="13"/>
    <x v="7"/>
    <x v="5"/>
    <s v="Relaxation"/>
    <x v="77"/>
    <x v="148"/>
    <m/>
    <m/>
    <m/>
    <m/>
    <m/>
    <m/>
    <m/>
    <m/>
    <m/>
    <m/>
  </r>
  <r>
    <s v="2021-12-31 17:17 (PST)"/>
    <x v="58"/>
    <x v="153"/>
    <x v="0"/>
    <s v="On Demand"/>
    <x v="13"/>
    <x v="5"/>
    <x v="4"/>
    <s v="Focus Flow"/>
    <x v="61"/>
    <x v="149"/>
    <m/>
    <m/>
    <m/>
    <m/>
    <m/>
    <m/>
    <n v="60"/>
    <m/>
    <m/>
    <m/>
  </r>
  <r>
    <s v="2021-12-31 17:37 (PST)"/>
    <x v="58"/>
    <x v="154"/>
    <x v="0"/>
    <s v="On Demand"/>
    <x v="23"/>
    <x v="5"/>
    <x v="4"/>
    <s v="Theme"/>
    <x v="78"/>
    <x v="150"/>
    <m/>
    <m/>
    <m/>
    <m/>
    <m/>
    <m/>
    <n v="65"/>
    <m/>
    <m/>
    <m/>
  </r>
  <r>
    <s v="2021-12-31 18:01 (PST)"/>
    <x v="58"/>
    <x v="155"/>
    <x v="0"/>
    <s v="On Demand"/>
    <x v="8"/>
    <x v="1"/>
    <x v="2"/>
    <s v="Foam Rolling"/>
    <x v="79"/>
    <x v="151"/>
    <m/>
    <m/>
    <m/>
    <m/>
    <m/>
    <m/>
    <n v="23"/>
    <m/>
    <m/>
    <m/>
  </r>
  <r>
    <s v="2022-01-07 13:32 (PST)"/>
    <x v="59"/>
    <x v="156"/>
    <x v="0"/>
    <s v="On Demand"/>
    <x v="13"/>
    <x v="2"/>
    <x v="4"/>
    <s v="Beyond the Pose"/>
    <x v="80"/>
    <x v="152"/>
    <m/>
    <m/>
    <m/>
    <m/>
    <m/>
    <m/>
    <n v="97"/>
    <m/>
    <m/>
    <m/>
  </r>
  <r>
    <s v="2022-01-07 16:18 (-08)"/>
    <x v="59"/>
    <x v="157"/>
    <x v="0"/>
    <s v="On Demand"/>
    <x v="24"/>
    <x v="1"/>
    <x v="1"/>
    <s v="Core"/>
    <x v="1"/>
    <x v="153"/>
    <m/>
    <m/>
    <m/>
    <m/>
    <m/>
    <m/>
    <n v="46"/>
    <m/>
    <m/>
    <m/>
  </r>
  <r>
    <s v="2022-01-07 16:29 (-08)"/>
    <x v="59"/>
    <x v="158"/>
    <x v="0"/>
    <s v="On Demand"/>
    <x v="7"/>
    <x v="0"/>
    <x v="0"/>
    <s v="Power Zone"/>
    <x v="27"/>
    <x v="154"/>
    <n v="263"/>
    <n v="95"/>
    <n v="0.38"/>
    <n v="79"/>
    <n v="15.73"/>
    <n v="12.07"/>
    <n v="324"/>
    <m/>
    <m/>
    <m/>
  </r>
  <r>
    <s v="2022-01-07 17:16 (-08)"/>
    <x v="59"/>
    <x v="159"/>
    <x v="0"/>
    <s v="On Demand"/>
    <x v="12"/>
    <x v="1"/>
    <x v="1"/>
    <s v="Arms &amp; Light Weights"/>
    <x v="28"/>
    <x v="155"/>
    <m/>
    <m/>
    <m/>
    <m/>
    <m/>
    <m/>
    <n v="46"/>
    <m/>
    <m/>
    <m/>
  </r>
  <r>
    <s v="2022-01-07 17:27 (-08)"/>
    <x v="59"/>
    <x v="160"/>
    <x v="0"/>
    <s v="On Demand"/>
    <x v="6"/>
    <x v="3"/>
    <x v="2"/>
    <s v="Pre &amp; Post-Ride Stretch"/>
    <x v="8"/>
    <x v="156"/>
    <m/>
    <m/>
    <m/>
    <m/>
    <m/>
    <m/>
    <n v="11"/>
    <m/>
    <m/>
    <m/>
  </r>
  <r>
    <s v="2022-01-07 22:54 (PST)"/>
    <x v="59"/>
    <x v="74"/>
    <x v="0"/>
    <s v="On Demand"/>
    <x v="25"/>
    <x v="1"/>
    <x v="5"/>
    <s v="Relaxation"/>
    <x v="81"/>
    <x v="157"/>
    <m/>
    <m/>
    <m/>
    <m/>
    <m/>
    <m/>
    <m/>
    <m/>
    <m/>
    <m/>
  </r>
  <r>
    <s v="2022-01-14 07:26 (PST)"/>
    <x v="60"/>
    <x v="6"/>
    <x v="0"/>
    <s v="On Demand"/>
    <x v="16"/>
    <x v="2"/>
    <x v="4"/>
    <s v="Theme"/>
    <x v="63"/>
    <x v="158"/>
    <m/>
    <m/>
    <m/>
    <m/>
    <m/>
    <m/>
    <n v="85"/>
    <m/>
    <m/>
    <m/>
  </r>
  <r>
    <s v="2022-01-14 13:28 (-08)"/>
    <x v="60"/>
    <x v="161"/>
    <x v="0"/>
    <s v="On Demand"/>
    <x v="17"/>
    <x v="2"/>
    <x v="3"/>
    <s v="Body Focus"/>
    <x v="82"/>
    <x v="159"/>
    <n v="74"/>
    <m/>
    <m/>
    <m/>
    <n v="16"/>
    <n v="3.22"/>
    <n v="155"/>
    <m/>
    <m/>
    <m/>
  </r>
  <r>
    <s v="2022-01-14 13:59 (-08)"/>
    <x v="60"/>
    <x v="162"/>
    <x v="0"/>
    <s v="On Demand"/>
    <x v="15"/>
    <x v="2"/>
    <x v="0"/>
    <s v="Low Impact"/>
    <x v="76"/>
    <x v="160"/>
    <n v="146"/>
    <n v="81"/>
    <n v="0.33"/>
    <n v="84"/>
    <n v="14.66"/>
    <n v="7.33"/>
    <n v="180"/>
    <m/>
    <m/>
    <m/>
  </r>
  <r>
    <s v="2022-01-14 23:08 (PST)"/>
    <x v="60"/>
    <x v="163"/>
    <x v="0"/>
    <s v="On Demand"/>
    <x v="13"/>
    <x v="1"/>
    <x v="5"/>
    <s v="Emotions"/>
    <x v="15"/>
    <x v="161"/>
    <m/>
    <m/>
    <m/>
    <m/>
    <m/>
    <m/>
    <m/>
    <m/>
    <m/>
    <m/>
  </r>
  <r>
    <s v="2022-01-21 07:09 (PST)"/>
    <x v="61"/>
    <x v="1"/>
    <x v="0"/>
    <s v="On Demand"/>
    <x v="7"/>
    <x v="2"/>
    <x v="4"/>
    <s v="Flow"/>
    <x v="41"/>
    <x v="162"/>
    <m/>
    <m/>
    <m/>
    <m/>
    <m/>
    <m/>
    <n v="95"/>
    <m/>
    <m/>
    <m/>
  </r>
  <r>
    <s v="2022-01-21 10:51 (-08)"/>
    <x v="61"/>
    <x v="164"/>
    <x v="0"/>
    <s v="On Demand"/>
    <x v="6"/>
    <x v="4"/>
    <x v="0"/>
    <s v="Power Zone"/>
    <x v="7"/>
    <x v="136"/>
    <n v="378"/>
    <n v="105"/>
    <n v="0.37"/>
    <n v="85"/>
    <n v="16.46"/>
    <n v="16.47"/>
    <n v="466"/>
    <m/>
    <m/>
    <m/>
  </r>
  <r>
    <s v="2022-01-21 11:52 (-08)"/>
    <x v="61"/>
    <x v="165"/>
    <x v="0"/>
    <s v="On Demand"/>
    <x v="20"/>
    <x v="3"/>
    <x v="0"/>
    <s v="Cool Down"/>
    <x v="10"/>
    <x v="163"/>
    <n v="16"/>
    <n v="55"/>
    <n v="0.28999999999999998"/>
    <n v="83"/>
    <n v="12.52"/>
    <n v="1.04"/>
    <n v="20"/>
    <m/>
    <m/>
    <m/>
  </r>
  <r>
    <s v="2022-01-21 12:00 (-08)"/>
    <x v="61"/>
    <x v="166"/>
    <x v="0"/>
    <s v="On Demand"/>
    <x v="22"/>
    <x v="3"/>
    <x v="2"/>
    <s v="Pre &amp; Post-Ride Stretch"/>
    <x v="8"/>
    <x v="164"/>
    <m/>
    <m/>
    <m/>
    <m/>
    <m/>
    <m/>
    <n v="11"/>
    <m/>
    <m/>
    <m/>
  </r>
  <r>
    <s v="2022-01-21 12:06 (-08)"/>
    <x v="61"/>
    <x v="167"/>
    <x v="0"/>
    <s v="On Demand"/>
    <x v="1"/>
    <x v="1"/>
    <x v="1"/>
    <s v="Core"/>
    <x v="1"/>
    <x v="165"/>
    <m/>
    <m/>
    <m/>
    <m/>
    <m/>
    <m/>
    <n v="46"/>
    <m/>
    <m/>
    <m/>
  </r>
  <r>
    <s v="2022-01-21 23:22 (PST)"/>
    <x v="61"/>
    <x v="168"/>
    <x v="0"/>
    <s v="On Demand"/>
    <x v="19"/>
    <x v="7"/>
    <x v="5"/>
    <s v="Sleep"/>
    <x v="65"/>
    <x v="166"/>
    <m/>
    <m/>
    <m/>
    <m/>
    <m/>
    <m/>
    <m/>
    <m/>
    <m/>
    <m/>
  </r>
  <r>
    <s v="2022-01-28 07:21 (PST)"/>
    <x v="62"/>
    <x v="169"/>
    <x v="0"/>
    <s v="On Demand"/>
    <x v="13"/>
    <x v="2"/>
    <x v="4"/>
    <s v="Flow"/>
    <x v="69"/>
    <x v="167"/>
    <m/>
    <m/>
    <m/>
    <m/>
    <m/>
    <m/>
    <n v="89"/>
    <m/>
    <m/>
    <m/>
  </r>
  <r>
    <s v="2022-01-28 07:54 (PST)"/>
    <x v="62"/>
    <x v="170"/>
    <x v="0"/>
    <s v="On Demand"/>
    <x v="13"/>
    <x v="3"/>
    <x v="5"/>
    <s v="Mindfulness"/>
    <x v="83"/>
    <x v="168"/>
    <m/>
    <m/>
    <m/>
    <m/>
    <m/>
    <m/>
    <m/>
    <m/>
    <m/>
    <m/>
  </r>
  <r>
    <s v="2022-01-28 22:49 (PST)"/>
    <x v="62"/>
    <x v="72"/>
    <x v="0"/>
    <s v="On Demand"/>
    <x v="19"/>
    <x v="5"/>
    <x v="5"/>
    <s v="Relaxation"/>
    <x v="84"/>
    <x v="169"/>
    <m/>
    <m/>
    <m/>
    <m/>
    <m/>
    <m/>
    <m/>
    <m/>
    <m/>
    <m/>
  </r>
  <r>
    <s v="2022-02-04 03:11 (PST)"/>
    <x v="63"/>
    <x v="171"/>
    <x v="0"/>
    <s v="On Demand"/>
    <x v="23"/>
    <x v="3"/>
    <x v="5"/>
    <s v="Sleep"/>
    <x v="58"/>
    <x v="170"/>
    <m/>
    <m/>
    <m/>
    <m/>
    <m/>
    <m/>
    <m/>
    <m/>
    <m/>
    <m/>
  </r>
  <r>
    <s v="2022-02-04 07:34 (PST)"/>
    <x v="63"/>
    <x v="130"/>
    <x v="0"/>
    <s v="On Demand"/>
    <x v="7"/>
    <x v="2"/>
    <x v="4"/>
    <s v="Flow"/>
    <x v="41"/>
    <x v="171"/>
    <m/>
    <m/>
    <m/>
    <m/>
    <m/>
    <m/>
    <n v="92"/>
    <m/>
    <m/>
    <m/>
  </r>
  <r>
    <s v="2022-02-04 12:15 (-08)"/>
    <x v="63"/>
    <x v="172"/>
    <x v="0"/>
    <s v="On Demand"/>
    <x v="4"/>
    <x v="0"/>
    <x v="0"/>
    <s v="Power Zone"/>
    <x v="85"/>
    <x v="172"/>
    <n v="298"/>
    <n v="110"/>
    <n v="0.37"/>
    <n v="87"/>
    <n v="16.600000000000001"/>
    <n v="12.45"/>
    <n v="367"/>
    <m/>
    <m/>
    <m/>
  </r>
  <r>
    <s v="2022-02-04 13:00 (-08)"/>
    <x v="63"/>
    <x v="173"/>
    <x v="0"/>
    <s v="On Demand"/>
    <x v="4"/>
    <x v="3"/>
    <x v="0"/>
    <s v="Cool Down"/>
    <x v="10"/>
    <x v="173"/>
    <n v="18"/>
    <n v="59"/>
    <n v="0.3"/>
    <n v="84"/>
    <n v="12.93"/>
    <n v="1.07"/>
    <n v="22"/>
    <m/>
    <m/>
    <m/>
  </r>
  <r>
    <s v="2022-02-04 13:10 (-08)"/>
    <x v="63"/>
    <x v="174"/>
    <x v="0"/>
    <s v="On Demand"/>
    <x v="1"/>
    <x v="1"/>
    <x v="1"/>
    <s v="Core"/>
    <x v="1"/>
    <x v="165"/>
    <m/>
    <m/>
    <m/>
    <m/>
    <m/>
    <m/>
    <n v="46"/>
    <m/>
    <m/>
    <m/>
  </r>
  <r>
    <s v="2022-02-04 13:21 (-08)"/>
    <x v="63"/>
    <x v="175"/>
    <x v="0"/>
    <s v="On Demand"/>
    <x v="12"/>
    <x v="3"/>
    <x v="2"/>
    <s v="Pre &amp; Post-Ride Stretch"/>
    <x v="8"/>
    <x v="174"/>
    <m/>
    <m/>
    <m/>
    <m/>
    <m/>
    <m/>
    <n v="11"/>
    <m/>
    <m/>
    <m/>
  </r>
  <r>
    <s v="2022-02-04 23:16 (PST)"/>
    <x v="63"/>
    <x v="176"/>
    <x v="0"/>
    <s v="On Demand"/>
    <x v="23"/>
    <x v="5"/>
    <x v="5"/>
    <s v="Sleep"/>
    <x v="29"/>
    <x v="175"/>
    <m/>
    <m/>
    <m/>
    <m/>
    <m/>
    <m/>
    <m/>
    <m/>
    <m/>
    <m/>
  </r>
  <r>
    <s v="2022-02-11 07:46 (PST)"/>
    <x v="64"/>
    <x v="177"/>
    <x v="0"/>
    <s v="On Demand"/>
    <x v="16"/>
    <x v="2"/>
    <x v="4"/>
    <s v="Focus Flow"/>
    <x v="86"/>
    <x v="176"/>
    <m/>
    <m/>
    <m/>
    <m/>
    <m/>
    <m/>
    <n v="99"/>
    <m/>
    <m/>
    <m/>
  </r>
  <r>
    <s v="2022-02-11 15:36 (-08)"/>
    <x v="64"/>
    <x v="178"/>
    <x v="0"/>
    <s v="On Demand"/>
    <x v="1"/>
    <x v="1"/>
    <x v="1"/>
    <s v="Core"/>
    <x v="1"/>
    <x v="165"/>
    <m/>
    <m/>
    <m/>
    <m/>
    <m/>
    <m/>
    <n v="46"/>
    <m/>
    <m/>
    <m/>
  </r>
  <r>
    <s v="2022-02-11 15:49 (-08)"/>
    <x v="64"/>
    <x v="179"/>
    <x v="0"/>
    <s v="On Demand"/>
    <x v="6"/>
    <x v="7"/>
    <x v="0"/>
    <s v="Power Zone"/>
    <x v="87"/>
    <x v="177"/>
    <n v="84"/>
    <n v="93"/>
    <n v="0.33"/>
    <n v="95"/>
    <n v="15.52"/>
    <n v="3.88"/>
    <n v="104"/>
    <m/>
    <m/>
    <m/>
  </r>
  <r>
    <s v="2022-02-11 16:07 (-08)"/>
    <x v="64"/>
    <x v="180"/>
    <x v="0"/>
    <s v="On Demand"/>
    <x v="6"/>
    <x v="5"/>
    <x v="0"/>
    <s v="Power Zone"/>
    <x v="88"/>
    <x v="178"/>
    <n v="180"/>
    <n v="150"/>
    <n v="0.43"/>
    <n v="86"/>
    <n v="19.07"/>
    <n v="6.32"/>
    <n v="221"/>
    <m/>
    <m/>
    <m/>
  </r>
  <r>
    <s v="2022-02-11 16:33 (-08)"/>
    <x v="64"/>
    <x v="181"/>
    <x v="0"/>
    <s v="On Demand"/>
    <x v="6"/>
    <x v="3"/>
    <x v="0"/>
    <s v="Cool Down"/>
    <x v="10"/>
    <x v="156"/>
    <n v="10"/>
    <n v="32"/>
    <n v="0.18"/>
    <n v="94"/>
    <n v="9.61"/>
    <n v="0.8"/>
    <n v="12"/>
    <m/>
    <m/>
    <m/>
  </r>
  <r>
    <s v="2022-02-11 16:42 (-08)"/>
    <x v="64"/>
    <x v="182"/>
    <x v="0"/>
    <s v="On Demand"/>
    <x v="6"/>
    <x v="3"/>
    <x v="2"/>
    <s v="Pre &amp; Post-Ride Stretch"/>
    <x v="8"/>
    <x v="156"/>
    <m/>
    <m/>
    <m/>
    <m/>
    <m/>
    <m/>
    <n v="11"/>
    <m/>
    <m/>
    <m/>
  </r>
  <r>
    <s v="2022-02-11 22:26 (PST)"/>
    <x v="64"/>
    <x v="56"/>
    <x v="0"/>
    <s v="On Demand"/>
    <x v="28"/>
    <x v="3"/>
    <x v="5"/>
    <s v="Relaxation"/>
    <x v="89"/>
    <x v="179"/>
    <m/>
    <m/>
    <m/>
    <m/>
    <m/>
    <m/>
    <m/>
    <m/>
    <m/>
    <m/>
  </r>
  <r>
    <s v="2022-02-18 07:45 (PST)"/>
    <x v="65"/>
    <x v="126"/>
    <x v="0"/>
    <s v="On Demand"/>
    <x v="7"/>
    <x v="2"/>
    <x v="4"/>
    <s v="Flow"/>
    <x v="41"/>
    <x v="180"/>
    <m/>
    <m/>
    <m/>
    <m/>
    <m/>
    <m/>
    <n v="93"/>
    <m/>
    <m/>
    <m/>
  </r>
  <r>
    <s v="2022-02-18 23:00 (PST)"/>
    <x v="65"/>
    <x v="129"/>
    <x v="0"/>
    <s v="On Demand"/>
    <x v="16"/>
    <x v="5"/>
    <x v="5"/>
    <s v="Sleep"/>
    <x v="29"/>
    <x v="181"/>
    <m/>
    <m/>
    <m/>
    <m/>
    <m/>
    <m/>
    <m/>
    <m/>
    <m/>
    <m/>
  </r>
  <r>
    <s v="2022-02-25 07:09 (PST)"/>
    <x v="66"/>
    <x v="1"/>
    <x v="0"/>
    <s v="On Demand"/>
    <x v="7"/>
    <x v="2"/>
    <x v="4"/>
    <s v="Focus Flow"/>
    <x v="90"/>
    <x v="179"/>
    <m/>
    <m/>
    <m/>
    <m/>
    <m/>
    <m/>
    <n v="98"/>
    <m/>
    <m/>
    <m/>
  </r>
  <r>
    <s v="2022-02-25 23:49 (PST)"/>
    <x v="66"/>
    <x v="183"/>
    <x v="0"/>
    <s v="On Demand"/>
    <x v="13"/>
    <x v="7"/>
    <x v="5"/>
    <s v="Sleep"/>
    <x v="65"/>
    <x v="182"/>
    <m/>
    <m/>
    <m/>
    <m/>
    <m/>
    <m/>
    <m/>
    <m/>
    <m/>
    <m/>
  </r>
  <r>
    <s v="2022-03-04 07:36 (PST)"/>
    <x v="67"/>
    <x v="97"/>
    <x v="0"/>
    <s v="On Demand"/>
    <x v="13"/>
    <x v="2"/>
    <x v="4"/>
    <s v="Flow"/>
    <x v="91"/>
    <x v="183"/>
    <m/>
    <m/>
    <m/>
    <m/>
    <m/>
    <m/>
    <n v="100"/>
    <m/>
    <m/>
    <m/>
  </r>
  <r>
    <s v="2022-03-04 18:29 (-08)"/>
    <x v="67"/>
    <x v="184"/>
    <x v="0"/>
    <s v="On Demand"/>
    <x v="6"/>
    <x v="4"/>
    <x v="0"/>
    <s v="Power Zone"/>
    <x v="7"/>
    <x v="184"/>
    <n v="378"/>
    <n v="105"/>
    <n v="0.38"/>
    <n v="85"/>
    <n v="16.440000000000001"/>
    <n v="16.440000000000001"/>
    <n v="465"/>
    <m/>
    <m/>
    <m/>
  </r>
  <r>
    <s v="2022-03-04 19:30 (-08)"/>
    <x v="67"/>
    <x v="185"/>
    <x v="0"/>
    <s v="On Demand"/>
    <x v="10"/>
    <x v="3"/>
    <x v="0"/>
    <s v="Cool Down"/>
    <x v="10"/>
    <x v="185"/>
    <n v="23"/>
    <n v="76"/>
    <n v="0.36"/>
    <n v="76"/>
    <n v="14.37"/>
    <n v="1.2"/>
    <n v="28"/>
    <m/>
    <m/>
    <m/>
  </r>
  <r>
    <s v="2022-03-04 19:38 (-08)"/>
    <x v="67"/>
    <x v="142"/>
    <x v="0"/>
    <s v="On Demand"/>
    <x v="10"/>
    <x v="3"/>
    <x v="2"/>
    <s v="Pre &amp; Post-Ride Stretch"/>
    <x v="8"/>
    <x v="185"/>
    <m/>
    <m/>
    <m/>
    <m/>
    <m/>
    <m/>
    <n v="11"/>
    <m/>
    <m/>
    <m/>
  </r>
  <r>
    <s v="2022-03-04 22:49 (PST)"/>
    <x v="67"/>
    <x v="72"/>
    <x v="0"/>
    <s v="On Demand"/>
    <x v="30"/>
    <x v="1"/>
    <x v="5"/>
    <s v="Emotions"/>
    <x v="46"/>
    <x v="186"/>
    <m/>
    <m/>
    <m/>
    <m/>
    <m/>
    <m/>
    <m/>
    <m/>
    <m/>
    <m/>
  </r>
  <r>
    <s v="2022-03-11 09:50 (PST)"/>
    <x v="68"/>
    <x v="186"/>
    <x v="0"/>
    <s v="On Demand"/>
    <x v="7"/>
    <x v="0"/>
    <x v="4"/>
    <s v="Flow"/>
    <x v="14"/>
    <x v="187"/>
    <m/>
    <m/>
    <m/>
    <m/>
    <m/>
    <m/>
    <n v="144"/>
    <m/>
    <m/>
    <m/>
  </r>
  <r>
    <s v="2022-03-11 10:41 (PST)"/>
    <x v="68"/>
    <x v="187"/>
    <x v="0"/>
    <s v="On Demand"/>
    <x v="20"/>
    <x v="1"/>
    <x v="1"/>
    <s v="Core"/>
    <x v="1"/>
    <x v="188"/>
    <m/>
    <m/>
    <m/>
    <m/>
    <m/>
    <m/>
    <n v="45"/>
    <m/>
    <m/>
    <m/>
  </r>
  <r>
    <s v="2022-03-11 10:53 (PST)"/>
    <x v="68"/>
    <x v="188"/>
    <x v="0"/>
    <s v="On Demand"/>
    <x v="13"/>
    <x v="1"/>
    <x v="5"/>
    <s v="Mindfulness"/>
    <x v="92"/>
    <x v="189"/>
    <m/>
    <m/>
    <m/>
    <m/>
    <m/>
    <m/>
    <m/>
    <m/>
    <m/>
    <m/>
  </r>
  <r>
    <s v="2022-03-11 21:41 (PST)"/>
    <x v="68"/>
    <x v="189"/>
    <x v="0"/>
    <s v="On Demand"/>
    <x v="16"/>
    <x v="5"/>
    <x v="5"/>
    <s v="Sleep"/>
    <x v="29"/>
    <x v="190"/>
    <m/>
    <m/>
    <m/>
    <m/>
    <m/>
    <m/>
    <m/>
    <m/>
    <m/>
    <m/>
  </r>
  <r>
    <s v="2022-03-18 07:58 (PST)"/>
    <x v="69"/>
    <x v="190"/>
    <x v="0"/>
    <s v="On Demand"/>
    <x v="13"/>
    <x v="2"/>
    <x v="4"/>
    <s v="Flow"/>
    <x v="69"/>
    <x v="191"/>
    <m/>
    <m/>
    <m/>
    <m/>
    <m/>
    <m/>
    <n v="98"/>
    <m/>
    <m/>
    <m/>
  </r>
  <r>
    <s v="2022-03-18 12:18 (PST)"/>
    <x v="69"/>
    <x v="191"/>
    <x v="0"/>
    <s v="On Demand"/>
    <x v="24"/>
    <x v="1"/>
    <x v="1"/>
    <s v="Core"/>
    <x v="1"/>
    <x v="192"/>
    <m/>
    <m/>
    <m/>
    <m/>
    <m/>
    <m/>
    <n v="45"/>
    <m/>
    <m/>
    <m/>
  </r>
  <r>
    <s v="2022-03-18 13:03 (PST)"/>
    <x v="69"/>
    <x v="192"/>
    <x v="0"/>
    <s v="On Demand"/>
    <x v="6"/>
    <x v="0"/>
    <x v="6"/>
    <s v="Walk + Run"/>
    <x v="93"/>
    <x v="193"/>
    <n v="0"/>
    <m/>
    <m/>
    <m/>
    <n v="3.75"/>
    <n v="2.8"/>
    <n v="278"/>
    <m/>
    <m/>
    <m/>
  </r>
  <r>
    <s v="2022-03-18 22:46 (PST)"/>
    <x v="69"/>
    <x v="193"/>
    <x v="0"/>
    <s v="On Demand"/>
    <x v="28"/>
    <x v="5"/>
    <x v="5"/>
    <s v="Sleep"/>
    <x v="29"/>
    <x v="194"/>
    <m/>
    <m/>
    <m/>
    <m/>
    <m/>
    <m/>
    <m/>
    <m/>
    <m/>
    <m/>
  </r>
  <r>
    <s v="2022-03-25 07:48 (PST)"/>
    <x v="70"/>
    <x v="194"/>
    <x v="0"/>
    <s v="On Demand"/>
    <x v="13"/>
    <x v="2"/>
    <x v="4"/>
    <s v="Slow Flow"/>
    <x v="50"/>
    <x v="195"/>
    <m/>
    <m/>
    <m/>
    <m/>
    <m/>
    <m/>
    <n v="101"/>
    <m/>
    <m/>
    <m/>
  </r>
  <r>
    <s v="2022-03-25 13:33 (-07)"/>
    <x v="70"/>
    <x v="195"/>
    <x v="0"/>
    <s v="On Demand"/>
    <x v="4"/>
    <x v="1"/>
    <x v="1"/>
    <s v="Core"/>
    <x v="1"/>
    <x v="196"/>
    <m/>
    <m/>
    <m/>
    <m/>
    <m/>
    <m/>
    <n v="36"/>
    <n v="94.49"/>
    <m/>
    <m/>
  </r>
  <r>
    <s v="2022-03-25 13:46 (-07)"/>
    <x v="70"/>
    <x v="196"/>
    <x v="0"/>
    <s v="On Demand"/>
    <x v="7"/>
    <x v="0"/>
    <x v="0"/>
    <s v="Power Zone"/>
    <x v="27"/>
    <x v="197"/>
    <n v="270"/>
    <n v="100"/>
    <n v="0.37"/>
    <n v="86"/>
    <n v="16.07"/>
    <n v="12.05"/>
    <n v="413"/>
    <n v="146.74"/>
    <m/>
    <m/>
  </r>
  <r>
    <s v="2022-03-25 14:32 (-07)"/>
    <x v="70"/>
    <x v="197"/>
    <x v="0"/>
    <s v="On Demand"/>
    <x v="4"/>
    <x v="1"/>
    <x v="0"/>
    <s v="Cool Down"/>
    <x v="17"/>
    <x v="198"/>
    <n v="33"/>
    <n v="55"/>
    <n v="0.3"/>
    <n v="77"/>
    <n v="12.56"/>
    <n v="2.1"/>
    <n v="60"/>
    <n v="118.66"/>
    <m/>
    <m/>
  </r>
  <r>
    <s v="2022-03-25 14:42 (-07)"/>
    <x v="70"/>
    <x v="198"/>
    <x v="0"/>
    <s v="On Demand"/>
    <x v="4"/>
    <x v="3"/>
    <x v="2"/>
    <s v="Pre &amp; Post-Ride Stretch"/>
    <x v="8"/>
    <x v="198"/>
    <m/>
    <m/>
    <m/>
    <m/>
    <m/>
    <m/>
    <n v="19"/>
    <n v="102.03"/>
    <m/>
    <m/>
  </r>
  <r>
    <s v="2022-03-25 23:22 (PST)"/>
    <x v="70"/>
    <x v="168"/>
    <x v="0"/>
    <s v="On Demand"/>
    <x v="19"/>
    <x v="7"/>
    <x v="5"/>
    <s v="Relaxation"/>
    <x v="94"/>
    <x v="199"/>
    <m/>
    <m/>
    <m/>
    <m/>
    <m/>
    <m/>
    <m/>
    <m/>
    <m/>
    <m/>
  </r>
  <r>
    <s v="2022-04-01 13:05 (-07)"/>
    <x v="71"/>
    <x v="199"/>
    <x v="0"/>
    <s v="On Demand"/>
    <x v="22"/>
    <x v="3"/>
    <x v="0"/>
    <s v="Warm Up"/>
    <x v="22"/>
    <x v="200"/>
    <n v="21"/>
    <n v="71"/>
    <n v="0.28999999999999998"/>
    <n v="93"/>
    <n v="13.91"/>
    <n v="1.1599999999999999"/>
    <n v="34"/>
    <n v="130.24"/>
    <m/>
    <m/>
  </r>
  <r>
    <s v="2022-04-01 13:11 (-07)"/>
    <x v="71"/>
    <x v="200"/>
    <x v="0"/>
    <s v="On Demand"/>
    <x v="7"/>
    <x v="0"/>
    <x v="0"/>
    <s v="Power Zone"/>
    <x v="85"/>
    <x v="201"/>
    <n v="281"/>
    <n v="104"/>
    <n v="0.36"/>
    <n v="88"/>
    <n v="16.16"/>
    <n v="12.12"/>
    <n v="461"/>
    <n v="155.86000000000001"/>
    <m/>
    <m/>
  </r>
  <r>
    <s v="2022-04-01 13:58 (-07)"/>
    <x v="71"/>
    <x v="201"/>
    <x v="0"/>
    <s v="On Demand"/>
    <x v="22"/>
    <x v="1"/>
    <x v="0"/>
    <s v="Cool Down"/>
    <x v="95"/>
    <x v="202"/>
    <n v="43"/>
    <n v="72"/>
    <n v="0.36"/>
    <n v="70"/>
    <n v="13.89"/>
    <n v="2.3199999999999998"/>
    <n v="70"/>
    <n v="127.58"/>
    <m/>
    <m/>
  </r>
  <r>
    <s v="2022-04-01 14:09 (-07)"/>
    <x v="71"/>
    <x v="202"/>
    <x v="0"/>
    <s v="On Demand"/>
    <x v="22"/>
    <x v="3"/>
    <x v="2"/>
    <s v="Pre &amp; Post-Ride Stretch"/>
    <x v="8"/>
    <x v="200"/>
    <m/>
    <m/>
    <m/>
    <m/>
    <m/>
    <m/>
    <n v="20"/>
    <n v="103.38"/>
    <m/>
    <m/>
  </r>
  <r>
    <s v="2022-04-08 07:46 (PST)"/>
    <x v="72"/>
    <x v="177"/>
    <x v="0"/>
    <s v="On Demand"/>
    <x v="13"/>
    <x v="2"/>
    <x v="4"/>
    <s v="Slow Flow"/>
    <x v="50"/>
    <x v="203"/>
    <m/>
    <m/>
    <m/>
    <m/>
    <m/>
    <m/>
    <n v="98"/>
    <m/>
    <m/>
    <m/>
  </r>
  <r>
    <s v="2022-04-08 16:39 (-07)"/>
    <x v="72"/>
    <x v="203"/>
    <x v="0"/>
    <s v="On Demand"/>
    <x v="8"/>
    <x v="5"/>
    <x v="1"/>
    <s v="Barre"/>
    <x v="96"/>
    <x v="204"/>
    <m/>
    <m/>
    <m/>
    <m/>
    <m/>
    <m/>
    <n v="79"/>
    <n v="100.51"/>
    <m/>
    <m/>
  </r>
  <r>
    <s v="2022-04-08 17:01 (-07)"/>
    <x v="72"/>
    <x v="204"/>
    <x v="0"/>
    <s v="On Demand"/>
    <x v="24"/>
    <x v="1"/>
    <x v="1"/>
    <s v="Core"/>
    <x v="1"/>
    <x v="205"/>
    <m/>
    <m/>
    <m/>
    <m/>
    <m/>
    <m/>
    <n v="48"/>
    <n v="106.63"/>
    <m/>
    <m/>
  </r>
  <r>
    <s v="2022-04-08 17:18 (-07)"/>
    <x v="72"/>
    <x v="205"/>
    <x v="0"/>
    <s v="On Demand"/>
    <x v="4"/>
    <x v="2"/>
    <x v="0"/>
    <s v="Power Zone"/>
    <x v="97"/>
    <x v="206"/>
    <n v="174"/>
    <n v="97"/>
    <n v="0.36"/>
    <n v="87"/>
    <n v="15.84"/>
    <n v="7.92"/>
    <n v="278"/>
    <n v="147.34"/>
    <m/>
    <m/>
  </r>
  <r>
    <s v="2022-04-08 17:51 (-07)"/>
    <x v="72"/>
    <x v="206"/>
    <x v="0"/>
    <s v="On Demand"/>
    <x v="12"/>
    <x v="1"/>
    <x v="1"/>
    <s v="Arms &amp; Light Weights"/>
    <x v="28"/>
    <x v="207"/>
    <m/>
    <m/>
    <m/>
    <m/>
    <m/>
    <m/>
    <n v="50"/>
    <n v="110.32"/>
    <m/>
    <m/>
  </r>
  <r>
    <s v="2022-04-08 23:04 (PST)"/>
    <x v="72"/>
    <x v="79"/>
    <x v="0"/>
    <s v="On Demand"/>
    <x v="28"/>
    <x v="1"/>
    <x v="5"/>
    <s v="Sleep"/>
    <x v="39"/>
    <x v="208"/>
    <m/>
    <m/>
    <m/>
    <m/>
    <m/>
    <m/>
    <m/>
    <m/>
    <m/>
    <m/>
  </r>
  <r>
    <s v="2022-04-15 22:47 (PST)"/>
    <x v="73"/>
    <x v="207"/>
    <x v="0"/>
    <s v="On Demand"/>
    <x v="16"/>
    <x v="5"/>
    <x v="5"/>
    <s v="Emotions"/>
    <x v="29"/>
    <x v="209"/>
    <m/>
    <m/>
    <m/>
    <m/>
    <m/>
    <m/>
    <m/>
    <m/>
    <m/>
    <m/>
  </r>
  <r>
    <s v="2022-04-22 07:51 (PST)"/>
    <x v="74"/>
    <x v="208"/>
    <x v="0"/>
    <s v="On Demand"/>
    <x v="16"/>
    <x v="2"/>
    <x v="4"/>
    <s v="Flow"/>
    <x v="69"/>
    <x v="210"/>
    <m/>
    <m/>
    <m/>
    <m/>
    <m/>
    <m/>
    <n v="98"/>
    <m/>
    <m/>
    <m/>
  </r>
  <r>
    <s v="2022-04-22 08:23 (PST)"/>
    <x v="74"/>
    <x v="209"/>
    <x v="0"/>
    <s v="On Demand"/>
    <x v="8"/>
    <x v="1"/>
    <x v="1"/>
    <s v="Barre"/>
    <x v="98"/>
    <x v="211"/>
    <m/>
    <m/>
    <m/>
    <m/>
    <m/>
    <m/>
    <n v="45"/>
    <m/>
    <m/>
    <m/>
  </r>
  <r>
    <s v="2022-04-22 12:45 (PST)"/>
    <x v="74"/>
    <x v="210"/>
    <x v="0"/>
    <s v="On Demand"/>
    <x v="31"/>
    <x v="0"/>
    <x v="6"/>
    <s v="Hiking"/>
    <x v="99"/>
    <x v="212"/>
    <n v="0"/>
    <m/>
    <m/>
    <m/>
    <n v="3.26"/>
    <n v="1.99"/>
    <n v="241"/>
    <n v="122.38"/>
    <m/>
    <m/>
  </r>
  <r>
    <s v="2022-04-22 23:21 (PST)"/>
    <x v="74"/>
    <x v="211"/>
    <x v="0"/>
    <s v="On Demand"/>
    <x v="32"/>
    <x v="1"/>
    <x v="5"/>
    <s v="Theme"/>
    <x v="100"/>
    <x v="213"/>
    <m/>
    <m/>
    <m/>
    <m/>
    <m/>
    <m/>
    <m/>
    <m/>
    <m/>
    <m/>
  </r>
  <r>
    <s v="2022-04-29 23:45 (PST)"/>
    <x v="75"/>
    <x v="212"/>
    <x v="0"/>
    <s v="On Demand"/>
    <x v="25"/>
    <x v="1"/>
    <x v="5"/>
    <s v="Sleep"/>
    <x v="39"/>
    <x v="214"/>
    <m/>
    <m/>
    <m/>
    <m/>
    <m/>
    <m/>
    <m/>
    <m/>
    <m/>
    <m/>
  </r>
  <r>
    <s v="2022-05-06 08:29 (PST)"/>
    <x v="76"/>
    <x v="213"/>
    <x v="0"/>
    <s v="On Demand"/>
    <x v="13"/>
    <x v="2"/>
    <x v="4"/>
    <s v="Flow"/>
    <x v="41"/>
    <x v="215"/>
    <m/>
    <m/>
    <m/>
    <m/>
    <m/>
    <m/>
    <n v="95"/>
    <m/>
    <m/>
    <m/>
  </r>
  <r>
    <s v="2022-05-06 12:12 (-07)"/>
    <x v="76"/>
    <x v="214"/>
    <x v="0"/>
    <s v="On Demand"/>
    <x v="5"/>
    <x v="1"/>
    <x v="1"/>
    <s v="Core"/>
    <x v="101"/>
    <x v="216"/>
    <m/>
    <m/>
    <m/>
    <m/>
    <m/>
    <m/>
    <n v="46"/>
    <m/>
    <m/>
    <m/>
  </r>
  <r>
    <s v="2022-05-06 12:23 (-07)"/>
    <x v="76"/>
    <x v="215"/>
    <x v="0"/>
    <s v="On Demand"/>
    <x v="9"/>
    <x v="0"/>
    <x v="0"/>
    <s v="Power Zone"/>
    <x v="102"/>
    <x v="217"/>
    <n v="261"/>
    <n v="97"/>
    <n v="0.36"/>
    <n v="85"/>
    <n v="15.88"/>
    <n v="11.92"/>
    <n v="416"/>
    <n v="147.18"/>
    <m/>
    <m/>
  </r>
  <r>
    <s v="2022-05-06 13:11 (-07)"/>
    <x v="76"/>
    <x v="200"/>
    <x v="0"/>
    <s v="On Demand"/>
    <x v="5"/>
    <x v="3"/>
    <x v="2"/>
    <s v="Pre &amp; Post-Ride Stretch"/>
    <x v="8"/>
    <x v="218"/>
    <m/>
    <m/>
    <m/>
    <m/>
    <m/>
    <m/>
    <n v="12"/>
    <m/>
    <m/>
    <m/>
  </r>
  <r>
    <s v="2022-05-06 23:15 (PST)"/>
    <x v="76"/>
    <x v="216"/>
    <x v="0"/>
    <s v="On Demand"/>
    <x v="25"/>
    <x v="1"/>
    <x v="5"/>
    <s v="Emotions"/>
    <x v="46"/>
    <x v="219"/>
    <m/>
    <m/>
    <m/>
    <m/>
    <m/>
    <m/>
    <m/>
    <m/>
    <m/>
    <m/>
  </r>
  <r>
    <s v="2022-05-13 09:20 (PST)"/>
    <x v="77"/>
    <x v="217"/>
    <x v="0"/>
    <s v="On Demand"/>
    <x v="19"/>
    <x v="3"/>
    <x v="5"/>
    <s v="Fitness Focus"/>
    <x v="103"/>
    <x v="220"/>
    <m/>
    <m/>
    <m/>
    <m/>
    <m/>
    <m/>
    <m/>
    <m/>
    <m/>
    <m/>
  </r>
  <r>
    <s v="2022-05-13 11:02 (PST)"/>
    <x v="77"/>
    <x v="218"/>
    <x v="0"/>
    <s v="On Demand"/>
    <x v="11"/>
    <x v="5"/>
    <x v="6"/>
    <s v="Music Walk"/>
    <x v="104"/>
    <x v="221"/>
    <n v="0"/>
    <m/>
    <m/>
    <m/>
    <n v="3.55"/>
    <n v="1.19"/>
    <n v="118"/>
    <m/>
    <m/>
    <m/>
  </r>
  <r>
    <s v="2022-05-13 18:05 (PST)"/>
    <x v="77"/>
    <x v="219"/>
    <x v="0"/>
    <s v="On Demand"/>
    <x v="33"/>
    <x v="1"/>
    <x v="1"/>
    <s v="Core"/>
    <x v="1"/>
    <x v="222"/>
    <m/>
    <m/>
    <m/>
    <m/>
    <m/>
    <m/>
    <n v="46"/>
    <n v="106.9"/>
    <m/>
    <m/>
  </r>
  <r>
    <s v="2022-05-13 19:30 (PST)"/>
    <x v="77"/>
    <x v="21"/>
    <x v="0"/>
    <s v="On Demand"/>
    <x v="16"/>
    <x v="5"/>
    <x v="4"/>
    <s v="Focus Flow"/>
    <x v="105"/>
    <x v="223"/>
    <m/>
    <m/>
    <m/>
    <m/>
    <m/>
    <m/>
    <n v="60"/>
    <n v="89.94"/>
    <m/>
    <m/>
  </r>
  <r>
    <s v="2022-05-13 21:16 (PST)"/>
    <x v="77"/>
    <x v="220"/>
    <x v="0"/>
    <s v="On Demand"/>
    <x v="16"/>
    <x v="7"/>
    <x v="5"/>
    <s v="Relaxation"/>
    <x v="106"/>
    <x v="224"/>
    <m/>
    <m/>
    <m/>
    <m/>
    <m/>
    <m/>
    <m/>
    <m/>
    <m/>
    <m/>
  </r>
  <r>
    <s v="2022-05-20 23:16 (PST)"/>
    <x v="78"/>
    <x v="176"/>
    <x v="0"/>
    <s v="On Demand"/>
    <x v="19"/>
    <x v="1"/>
    <x v="5"/>
    <s v="Theme"/>
    <x v="107"/>
    <x v="225"/>
    <m/>
    <m/>
    <m/>
    <m/>
    <m/>
    <m/>
    <m/>
    <m/>
    <m/>
    <m/>
  </r>
  <r>
    <s v="2022-05-27 11:17 (PST)"/>
    <x v="79"/>
    <x v="221"/>
    <x v="0"/>
    <s v="On Demand"/>
    <x v="13"/>
    <x v="2"/>
    <x v="4"/>
    <s v="Slow Flow"/>
    <x v="50"/>
    <x v="226"/>
    <m/>
    <m/>
    <m/>
    <m/>
    <m/>
    <m/>
    <n v="95"/>
    <m/>
    <m/>
    <m/>
  </r>
  <r>
    <s v="2022-05-27 12:24 (PST)"/>
    <x v="79"/>
    <x v="222"/>
    <x v="0"/>
    <s v="On Demand"/>
    <x v="24"/>
    <x v="1"/>
    <x v="1"/>
    <s v="Core"/>
    <x v="108"/>
    <x v="227"/>
    <m/>
    <m/>
    <m/>
    <m/>
    <m/>
    <m/>
    <n v="44"/>
    <m/>
    <m/>
    <m/>
  </r>
  <r>
    <s v="2022-05-27 23:50 (PST)"/>
    <x v="79"/>
    <x v="223"/>
    <x v="0"/>
    <s v="On Demand"/>
    <x v="28"/>
    <x v="1"/>
    <x v="5"/>
    <s v="Emotions"/>
    <x v="109"/>
    <x v="228"/>
    <m/>
    <m/>
    <m/>
    <m/>
    <m/>
    <m/>
    <m/>
    <m/>
    <m/>
    <m/>
  </r>
  <r>
    <s v="2022-06-03 08:00 (PST)"/>
    <x v="80"/>
    <x v="224"/>
    <x v="0"/>
    <s v="On Demand"/>
    <x v="13"/>
    <x v="2"/>
    <x v="4"/>
    <s v="Flow"/>
    <x v="41"/>
    <x v="229"/>
    <m/>
    <m/>
    <m/>
    <m/>
    <m/>
    <m/>
    <n v="86"/>
    <m/>
    <m/>
    <m/>
  </r>
  <r>
    <s v="2022-06-03 12:21 (PST)"/>
    <x v="80"/>
    <x v="225"/>
    <x v="0"/>
    <s v="On Demand"/>
    <x v="31"/>
    <x v="5"/>
    <x v="6"/>
    <s v="Power Walk"/>
    <x v="110"/>
    <x v="230"/>
    <n v="0"/>
    <m/>
    <m/>
    <m/>
    <n v="3.65"/>
    <n v="1.21"/>
    <n v="73"/>
    <m/>
    <m/>
    <m/>
  </r>
  <r>
    <s v="2022-06-03 12:44 (PST)"/>
    <x v="80"/>
    <x v="226"/>
    <x v="0"/>
    <m/>
    <x v="34"/>
    <x v="1"/>
    <x v="6"/>
    <m/>
    <x v="111"/>
    <x v="231"/>
    <n v="0"/>
    <m/>
    <m/>
    <m/>
    <n v="3.58"/>
    <n v="0.68"/>
    <n v="10"/>
    <m/>
    <m/>
    <m/>
  </r>
  <r>
    <s v="2022-06-03 21:49 (PST)"/>
    <x v="80"/>
    <x v="227"/>
    <x v="0"/>
    <s v="On Demand"/>
    <x v="28"/>
    <x v="5"/>
    <x v="5"/>
    <s v="Sleep"/>
    <x v="29"/>
    <x v="232"/>
    <m/>
    <m/>
    <m/>
    <m/>
    <m/>
    <m/>
    <m/>
    <m/>
    <m/>
    <m/>
  </r>
  <r>
    <s v="2022-06-10 07:23 (PST)"/>
    <x v="81"/>
    <x v="228"/>
    <x v="0"/>
    <s v="On Demand"/>
    <x v="13"/>
    <x v="2"/>
    <x v="4"/>
    <s v="Slow Flow"/>
    <x v="50"/>
    <x v="233"/>
    <m/>
    <m/>
    <m/>
    <m/>
    <m/>
    <m/>
    <n v="84"/>
    <m/>
    <m/>
    <m/>
  </r>
  <r>
    <s v="2022-06-10 17:21 (-07)"/>
    <x v="81"/>
    <x v="229"/>
    <x v="0"/>
    <s v="On Demand"/>
    <x v="6"/>
    <x v="0"/>
    <x v="0"/>
    <s v="Power Zone"/>
    <x v="27"/>
    <x v="234"/>
    <n v="275"/>
    <n v="102"/>
    <n v="0.37"/>
    <n v="86"/>
    <n v="16.22"/>
    <n v="12.16"/>
    <n v="478"/>
    <n v="158.75"/>
    <m/>
    <m/>
  </r>
  <r>
    <s v="2022-06-10 22:41 (PST)"/>
    <x v="81"/>
    <x v="230"/>
    <x v="0"/>
    <s v="On Demand"/>
    <x v="25"/>
    <x v="5"/>
    <x v="5"/>
    <s v="Relaxation"/>
    <x v="112"/>
    <x v="235"/>
    <m/>
    <m/>
    <m/>
    <m/>
    <m/>
    <m/>
    <m/>
    <m/>
    <m/>
    <m/>
  </r>
  <r>
    <s v="2022-06-17 04:32 (PST)"/>
    <x v="82"/>
    <x v="231"/>
    <x v="0"/>
    <s v="On Demand"/>
    <x v="16"/>
    <x v="7"/>
    <x v="5"/>
    <s v="Sleep"/>
    <x v="65"/>
    <x v="236"/>
    <m/>
    <m/>
    <m/>
    <m/>
    <m/>
    <m/>
    <m/>
    <m/>
    <m/>
    <m/>
  </r>
  <r>
    <s v="2022-06-17 22:33 (PST)"/>
    <x v="82"/>
    <x v="232"/>
    <x v="0"/>
    <s v="On Demand"/>
    <x v="19"/>
    <x v="1"/>
    <x v="5"/>
    <s v="Emotions"/>
    <x v="44"/>
    <x v="237"/>
    <m/>
    <m/>
    <m/>
    <m/>
    <m/>
    <m/>
    <m/>
    <m/>
    <m/>
    <m/>
  </r>
  <r>
    <s v="2022-06-24 22:12 (PST)"/>
    <x v="83"/>
    <x v="233"/>
    <x v="0"/>
    <s v="On Demand"/>
    <x v="19"/>
    <x v="5"/>
    <x v="5"/>
    <s v="Sleep"/>
    <x v="29"/>
    <x v="238"/>
    <m/>
    <m/>
    <m/>
    <m/>
    <m/>
    <m/>
    <m/>
    <m/>
    <m/>
    <m/>
  </r>
  <r>
    <s v="2022-07-01 07:28 (PST)"/>
    <x v="84"/>
    <x v="234"/>
    <x v="0"/>
    <s v="On Demand"/>
    <x v="16"/>
    <x v="2"/>
    <x v="4"/>
    <s v="Power"/>
    <x v="113"/>
    <x v="239"/>
    <m/>
    <m/>
    <m/>
    <m/>
    <m/>
    <m/>
    <n v="96"/>
    <m/>
    <m/>
    <m/>
  </r>
  <r>
    <s v="2022-07-01 22:13 (PST)"/>
    <x v="84"/>
    <x v="235"/>
    <x v="0"/>
    <s v="On Demand"/>
    <x v="25"/>
    <x v="5"/>
    <x v="5"/>
    <s v="Relaxation"/>
    <x v="112"/>
    <x v="240"/>
    <m/>
    <m/>
    <m/>
    <m/>
    <m/>
    <m/>
    <m/>
    <m/>
    <m/>
    <m/>
  </r>
  <r>
    <s v="2022-07-08 07:54 (PST)"/>
    <x v="85"/>
    <x v="170"/>
    <x v="0"/>
    <s v="On Demand"/>
    <x v="25"/>
    <x v="2"/>
    <x v="4"/>
    <s v="Slow Flow"/>
    <x v="114"/>
    <x v="241"/>
    <m/>
    <m/>
    <m/>
    <m/>
    <m/>
    <m/>
    <n v="83"/>
    <m/>
    <m/>
    <m/>
  </r>
  <r>
    <s v="2022-07-08 22:40 (PST)"/>
    <x v="85"/>
    <x v="67"/>
    <x v="0"/>
    <s v="On Demand"/>
    <x v="28"/>
    <x v="1"/>
    <x v="5"/>
    <s v="Relaxation"/>
    <x v="71"/>
    <x v="242"/>
    <m/>
    <m/>
    <m/>
    <m/>
    <m/>
    <m/>
    <m/>
    <m/>
    <m/>
    <m/>
  </r>
  <r>
    <s v="2022-07-15 16:21 (-07)"/>
    <x v="86"/>
    <x v="236"/>
    <x v="0"/>
    <s v="On Demand"/>
    <x v="35"/>
    <x v="5"/>
    <x v="1"/>
    <s v="Core"/>
    <x v="115"/>
    <x v="243"/>
    <m/>
    <m/>
    <m/>
    <m/>
    <m/>
    <m/>
    <n v="102"/>
    <n v="110.57"/>
    <m/>
    <m/>
  </r>
  <r>
    <s v="2022-07-15 16:45 (-07)"/>
    <x v="86"/>
    <x v="237"/>
    <x v="0"/>
    <s v="On Demand"/>
    <x v="6"/>
    <x v="4"/>
    <x v="0"/>
    <s v="Power Zone"/>
    <x v="23"/>
    <x v="244"/>
    <n v="406"/>
    <n v="113"/>
    <n v="0.38"/>
    <n v="86"/>
    <n v="16.920000000000002"/>
    <n v="16.93"/>
    <n v="596"/>
    <n v="152.63999999999999"/>
    <m/>
    <m/>
  </r>
  <r>
    <s v="2022-07-15 17:46 (-07)"/>
    <x v="86"/>
    <x v="238"/>
    <x v="0"/>
    <s v="On Demand"/>
    <x v="5"/>
    <x v="3"/>
    <x v="0"/>
    <s v="Cool Down"/>
    <x v="10"/>
    <x v="245"/>
    <n v="21"/>
    <n v="69"/>
    <n v="0.32"/>
    <n v="83"/>
    <n v="13.82"/>
    <n v="1.1499999999999999"/>
    <n v="36"/>
    <n v="121.32"/>
    <m/>
    <m/>
  </r>
  <r>
    <s v="2022-07-15 17:52 (-07)"/>
    <x v="86"/>
    <x v="239"/>
    <x v="0"/>
    <s v="On Demand"/>
    <x v="36"/>
    <x v="3"/>
    <x v="2"/>
    <s v="Pre &amp; Post-Ride Stretch"/>
    <x v="8"/>
    <x v="246"/>
    <m/>
    <m/>
    <m/>
    <m/>
    <m/>
    <m/>
    <n v="11"/>
    <m/>
    <m/>
    <m/>
  </r>
  <r>
    <s v="2022-07-15 22:36 (PST)"/>
    <x v="86"/>
    <x v="102"/>
    <x v="0"/>
    <s v="On Demand"/>
    <x v="23"/>
    <x v="1"/>
    <x v="5"/>
    <s v="Relaxation"/>
    <x v="71"/>
    <x v="247"/>
    <m/>
    <m/>
    <m/>
    <m/>
    <m/>
    <m/>
    <m/>
    <m/>
    <m/>
    <m/>
  </r>
  <r>
    <s v="2022-07-22 19:06 (-07)"/>
    <x v="87"/>
    <x v="240"/>
    <x v="0"/>
    <s v="On Demand"/>
    <x v="7"/>
    <x v="0"/>
    <x v="0"/>
    <s v="Power Zone"/>
    <x v="27"/>
    <x v="248"/>
    <n v="272"/>
    <n v="101"/>
    <n v="0.36"/>
    <n v="86"/>
    <n v="16.14"/>
    <n v="12.11"/>
    <n v="343"/>
    <n v="132.63999999999999"/>
    <m/>
    <m/>
  </r>
  <r>
    <s v="2022-07-22 19:53 (-07)"/>
    <x v="87"/>
    <x v="241"/>
    <x v="0"/>
    <s v="On Demand"/>
    <x v="12"/>
    <x v="3"/>
    <x v="1"/>
    <s v="Warm Up"/>
    <x v="116"/>
    <x v="248"/>
    <m/>
    <m/>
    <m/>
    <m/>
    <m/>
    <m/>
    <n v="13"/>
    <n v="103.06"/>
    <m/>
    <m/>
  </r>
  <r>
    <s v="2022-07-22 19:59 (-07)"/>
    <x v="87"/>
    <x v="242"/>
    <x v="0"/>
    <s v="On Demand"/>
    <x v="12"/>
    <x v="1"/>
    <x v="1"/>
    <s v="Upper Body"/>
    <x v="117"/>
    <x v="248"/>
    <m/>
    <m/>
    <m/>
    <m/>
    <m/>
    <m/>
    <n v="49"/>
    <n v="110.75"/>
    <m/>
    <m/>
  </r>
  <r>
    <s v="2022-07-22 22:31 (PST)"/>
    <x v="87"/>
    <x v="243"/>
    <x v="0"/>
    <s v="On Demand"/>
    <x v="13"/>
    <x v="7"/>
    <x v="5"/>
    <s v="Sleep"/>
    <x v="65"/>
    <x v="249"/>
    <m/>
    <m/>
    <m/>
    <m/>
    <m/>
    <m/>
    <m/>
    <m/>
    <m/>
    <m/>
  </r>
  <r>
    <s v="2022-07-29 07:21 (PST)"/>
    <x v="88"/>
    <x v="169"/>
    <x v="0"/>
    <s v="On Demand"/>
    <x v="16"/>
    <x v="1"/>
    <x v="4"/>
    <s v="Focus Flow"/>
    <x v="118"/>
    <x v="250"/>
    <m/>
    <m/>
    <m/>
    <m/>
    <m/>
    <m/>
    <n v="33"/>
    <m/>
    <m/>
    <m/>
  </r>
  <r>
    <s v="2022-07-29 10:32 (-07)"/>
    <x v="88"/>
    <x v="244"/>
    <x v="0"/>
    <s v="On Demand"/>
    <x v="6"/>
    <x v="4"/>
    <x v="0"/>
    <s v="Power Zone"/>
    <x v="7"/>
    <x v="251"/>
    <n v="436"/>
    <n v="121"/>
    <n v="0.4"/>
    <n v="85"/>
    <n v="17.420000000000002"/>
    <n v="17.440000000000001"/>
    <n v="568"/>
    <n v="148.04"/>
    <m/>
    <m/>
  </r>
  <r>
    <s v="2022-07-29 11:34 (-07)"/>
    <x v="88"/>
    <x v="245"/>
    <x v="0"/>
    <s v="On Demand"/>
    <x v="6"/>
    <x v="3"/>
    <x v="0"/>
    <s v="Cool Down"/>
    <x v="10"/>
    <x v="252"/>
    <n v="14"/>
    <n v="45"/>
    <n v="0.27"/>
    <n v="80"/>
    <n v="11.42"/>
    <n v="0.95"/>
    <n v="23"/>
    <n v="114.55"/>
    <m/>
    <m/>
  </r>
  <r>
    <s v="2022-07-29 11:40 (-07)"/>
    <x v="88"/>
    <x v="246"/>
    <x v="0"/>
    <s v="On Demand"/>
    <x v="6"/>
    <x v="3"/>
    <x v="2"/>
    <s v="Pre &amp; Post-Ride Stretch"/>
    <x v="8"/>
    <x v="253"/>
    <m/>
    <m/>
    <m/>
    <m/>
    <m/>
    <m/>
    <n v="21"/>
    <n v="106.12"/>
    <m/>
    <m/>
  </r>
  <r>
    <s v="2022-07-29 22:37 (PST)"/>
    <x v="88"/>
    <x v="247"/>
    <x v="0"/>
    <s v="On Demand"/>
    <x v="19"/>
    <x v="7"/>
    <x v="5"/>
    <s v="Sleep"/>
    <x v="65"/>
    <x v="254"/>
    <m/>
    <m/>
    <m/>
    <m/>
    <m/>
    <m/>
    <m/>
    <m/>
    <m/>
    <m/>
  </r>
  <r>
    <s v="2022-08-05 17:15 (-07)"/>
    <x v="89"/>
    <x v="248"/>
    <x v="0"/>
    <s v="On Demand"/>
    <x v="6"/>
    <x v="0"/>
    <x v="0"/>
    <s v="Power Zone"/>
    <x v="102"/>
    <x v="255"/>
    <n v="312"/>
    <n v="116"/>
    <n v="0.39"/>
    <n v="86"/>
    <n v="17.02"/>
    <n v="12.77"/>
    <n v="427"/>
    <n v="149.43"/>
    <m/>
    <m/>
  </r>
  <r>
    <s v="2022-08-05 18:07 (-07)"/>
    <x v="89"/>
    <x v="249"/>
    <x v="0"/>
    <s v="On Demand"/>
    <x v="12"/>
    <x v="7"/>
    <x v="1"/>
    <s v="Upper Body"/>
    <x v="119"/>
    <x v="248"/>
    <m/>
    <m/>
    <m/>
    <m/>
    <m/>
    <m/>
    <n v="78"/>
    <n v="111.52"/>
    <m/>
    <m/>
  </r>
  <r>
    <s v="2022-08-05 18:24 (-07)"/>
    <x v="89"/>
    <x v="250"/>
    <x v="0"/>
    <s v="On Demand"/>
    <x v="24"/>
    <x v="1"/>
    <x v="1"/>
    <s v="Core"/>
    <x v="120"/>
    <x v="256"/>
    <m/>
    <m/>
    <m/>
    <m/>
    <m/>
    <m/>
    <n v="41"/>
    <n v="96.47"/>
    <m/>
    <m/>
  </r>
  <r>
    <s v="2022-08-05 23:41 (PST)"/>
    <x v="89"/>
    <x v="251"/>
    <x v="0"/>
    <s v="On Demand"/>
    <x v="19"/>
    <x v="1"/>
    <x v="5"/>
    <s v="Emotions"/>
    <x v="46"/>
    <x v="257"/>
    <m/>
    <m/>
    <m/>
    <m/>
    <m/>
    <m/>
    <m/>
    <m/>
    <m/>
    <m/>
  </r>
  <r>
    <s v="2022-08-19 22:46 (PST)"/>
    <x v="90"/>
    <x v="193"/>
    <x v="0"/>
    <s v="On Demand"/>
    <x v="16"/>
    <x v="5"/>
    <x v="5"/>
    <s v="Sleep"/>
    <x v="29"/>
    <x v="258"/>
    <m/>
    <m/>
    <m/>
    <m/>
    <m/>
    <m/>
    <m/>
    <m/>
    <m/>
    <m/>
  </r>
  <r>
    <s v="2022-08-26 08:01 (PST)"/>
    <x v="91"/>
    <x v="252"/>
    <x v="0"/>
    <s v="On Demand"/>
    <x v="23"/>
    <x v="2"/>
    <x v="4"/>
    <s v="Power"/>
    <x v="121"/>
    <x v="259"/>
    <m/>
    <m/>
    <m/>
    <m/>
    <m/>
    <m/>
    <n v="97"/>
    <m/>
    <m/>
    <m/>
  </r>
  <r>
    <s v="2022-08-26 13:35 (-07)"/>
    <x v="91"/>
    <x v="253"/>
    <x v="0"/>
    <s v="On Demand"/>
    <x v="5"/>
    <x v="1"/>
    <x v="1"/>
    <s v="Core"/>
    <x v="1"/>
    <x v="260"/>
    <m/>
    <m/>
    <m/>
    <m/>
    <m/>
    <m/>
    <n v="42"/>
    <n v="101.52"/>
    <m/>
    <m/>
  </r>
  <r>
    <s v="2022-08-26 13:48 (-07)"/>
    <x v="91"/>
    <x v="254"/>
    <x v="0"/>
    <s v="On Demand"/>
    <x v="6"/>
    <x v="4"/>
    <x v="0"/>
    <s v="Power Zone"/>
    <x v="7"/>
    <x v="261"/>
    <n v="430"/>
    <n v="120"/>
    <n v="0.41"/>
    <n v="83"/>
    <n v="17.34"/>
    <n v="17.350000000000001"/>
    <n v="581"/>
    <n v="150.52000000000001"/>
    <m/>
    <m/>
  </r>
  <r>
    <s v="2022-08-26 14:49 (-07)"/>
    <x v="91"/>
    <x v="255"/>
    <x v="0"/>
    <s v="On Demand"/>
    <x v="7"/>
    <x v="3"/>
    <x v="2"/>
    <s v="Pre &amp; Post-Ride Stretch"/>
    <x v="122"/>
    <x v="262"/>
    <m/>
    <m/>
    <m/>
    <m/>
    <m/>
    <m/>
    <n v="25"/>
    <n v="111.63"/>
    <m/>
    <m/>
  </r>
  <r>
    <s v="2022-08-26 23:49 (PST)"/>
    <x v="91"/>
    <x v="183"/>
    <x v="0"/>
    <s v="On Demand"/>
    <x v="19"/>
    <x v="1"/>
    <x v="5"/>
    <s v="Emotions"/>
    <x v="44"/>
    <x v="263"/>
    <m/>
    <m/>
    <m/>
    <m/>
    <m/>
    <m/>
    <m/>
    <m/>
    <m/>
    <m/>
  </r>
  <r>
    <s v="2022-09-02 16:56 (-07)"/>
    <x v="92"/>
    <x v="256"/>
    <x v="0"/>
    <s v="On Demand"/>
    <x v="6"/>
    <x v="4"/>
    <x v="0"/>
    <s v="Power Zone"/>
    <x v="7"/>
    <x v="264"/>
    <n v="416"/>
    <n v="116"/>
    <n v="0.39"/>
    <n v="85"/>
    <n v="17.100000000000001"/>
    <n v="17.09"/>
    <n v="598"/>
    <n v="155.32"/>
    <m/>
    <m/>
  </r>
  <r>
    <s v="2022-09-02 17:56 (-07)"/>
    <x v="92"/>
    <x v="257"/>
    <x v="0"/>
    <s v="On Demand"/>
    <x v="6"/>
    <x v="3"/>
    <x v="0"/>
    <s v="Cool Down"/>
    <x v="10"/>
    <x v="265"/>
    <n v="17"/>
    <n v="58"/>
    <n v="0.28000000000000003"/>
    <n v="87"/>
    <n v="12.76"/>
    <n v="1.06"/>
    <n v="33"/>
    <n v="125.01"/>
    <m/>
    <m/>
  </r>
  <r>
    <s v="2022-09-02 18:04 (-07)"/>
    <x v="92"/>
    <x v="258"/>
    <x v="0"/>
    <s v="On Demand"/>
    <x v="1"/>
    <x v="7"/>
    <x v="1"/>
    <s v="Core"/>
    <x v="123"/>
    <x v="266"/>
    <m/>
    <m/>
    <m/>
    <m/>
    <m/>
    <m/>
    <n v="61"/>
    <n v="102.2"/>
    <m/>
    <m/>
  </r>
  <r>
    <s v="2022-09-02 18:27 (PST)"/>
    <x v="92"/>
    <x v="259"/>
    <x v="0"/>
    <s v="On Demand"/>
    <x v="16"/>
    <x v="2"/>
    <x v="4"/>
    <s v="Flow"/>
    <x v="124"/>
    <x v="267"/>
    <m/>
    <m/>
    <m/>
    <m/>
    <m/>
    <m/>
    <n v="105"/>
    <n v="94.68"/>
    <m/>
    <m/>
  </r>
  <r>
    <s v="2022-09-02 22:12 (PST)"/>
    <x v="92"/>
    <x v="233"/>
    <x v="0"/>
    <s v="On Demand"/>
    <x v="23"/>
    <x v="1"/>
    <x v="5"/>
    <s v="Mindfulness"/>
    <x v="51"/>
    <x v="268"/>
    <m/>
    <m/>
    <m/>
    <m/>
    <m/>
    <m/>
    <m/>
    <m/>
    <m/>
    <m/>
  </r>
  <r>
    <s v="2022-09-16 13:07 (-07)"/>
    <x v="93"/>
    <x v="260"/>
    <x v="0"/>
    <s v="On Demand"/>
    <x v="4"/>
    <x v="4"/>
    <x v="0"/>
    <s v="Power Zone"/>
    <x v="7"/>
    <x v="248"/>
    <n v="433"/>
    <n v="120"/>
    <n v="0.4"/>
    <n v="85"/>
    <n v="17.41"/>
    <n v="17.41"/>
    <n v="627"/>
    <n v="157.04"/>
    <m/>
    <m/>
  </r>
  <r>
    <s v="2022-09-16 14:08 (-07)"/>
    <x v="93"/>
    <x v="261"/>
    <x v="0"/>
    <s v="On Demand"/>
    <x v="4"/>
    <x v="3"/>
    <x v="2"/>
    <s v="Pre &amp; Post-Ride Stretch"/>
    <x v="8"/>
    <x v="198"/>
    <m/>
    <m/>
    <m/>
    <m/>
    <m/>
    <m/>
    <n v="24"/>
    <n v="109.69"/>
    <m/>
    <m/>
  </r>
  <r>
    <s v="2022-09-16 22:46 (PST)"/>
    <x v="93"/>
    <x v="193"/>
    <x v="0"/>
    <s v="On Demand"/>
    <x v="23"/>
    <x v="1"/>
    <x v="5"/>
    <s v="Emotions"/>
    <x v="60"/>
    <x v="269"/>
    <m/>
    <m/>
    <m/>
    <m/>
    <m/>
    <m/>
    <m/>
    <m/>
    <m/>
    <m/>
  </r>
  <r>
    <s v="2022-09-23 12:24 (-07)"/>
    <x v="94"/>
    <x v="262"/>
    <x v="0"/>
    <s v="On Demand"/>
    <x v="11"/>
    <x v="2"/>
    <x v="1"/>
    <s v="Full Body"/>
    <x v="125"/>
    <x v="270"/>
    <m/>
    <m/>
    <m/>
    <m/>
    <m/>
    <m/>
    <n v="213"/>
    <n v="129.07"/>
    <m/>
    <m/>
  </r>
  <r>
    <s v="2022-09-23 12:59 (-07)"/>
    <x v="94"/>
    <x v="263"/>
    <x v="0"/>
    <s v="On Demand"/>
    <x v="1"/>
    <x v="7"/>
    <x v="1"/>
    <s v="Core"/>
    <x v="126"/>
    <x v="271"/>
    <m/>
    <m/>
    <m/>
    <m/>
    <m/>
    <m/>
    <n v="65"/>
    <n v="102.21"/>
    <m/>
    <m/>
  </r>
  <r>
    <s v="2022-09-30 23:00 (PST)"/>
    <x v="95"/>
    <x v="129"/>
    <x v="0"/>
    <s v="On Demand"/>
    <x v="23"/>
    <x v="1"/>
    <x v="5"/>
    <s v="Sleep"/>
    <x v="39"/>
    <x v="272"/>
    <m/>
    <m/>
    <m/>
    <m/>
    <m/>
    <m/>
    <m/>
    <m/>
    <m/>
    <m/>
  </r>
  <r>
    <s v="2022-09-30 23:59 (PST)"/>
    <x v="95"/>
    <x v="264"/>
    <x v="0"/>
    <s v="On Demand"/>
    <x v="13"/>
    <x v="3"/>
    <x v="5"/>
    <s v="Emotions"/>
    <x v="127"/>
    <x v="273"/>
    <m/>
    <m/>
    <m/>
    <m/>
    <m/>
    <m/>
    <m/>
    <m/>
    <m/>
    <m/>
  </r>
  <r>
    <s v="2022-10-07 11:49 (PST)"/>
    <x v="96"/>
    <x v="265"/>
    <x v="0"/>
    <s v="On Demand"/>
    <x v="16"/>
    <x v="2"/>
    <x v="4"/>
    <s v="Slow Flow"/>
    <x v="114"/>
    <x v="274"/>
    <m/>
    <m/>
    <m/>
    <m/>
    <m/>
    <m/>
    <n v="90"/>
    <m/>
    <m/>
    <m/>
  </r>
  <r>
    <s v="2022-10-07 16:01 (-07)"/>
    <x v="96"/>
    <x v="266"/>
    <x v="0"/>
    <s v="On Demand"/>
    <x v="7"/>
    <x v="2"/>
    <x v="0"/>
    <s v="Power Zone"/>
    <x v="5"/>
    <x v="275"/>
    <n v="196"/>
    <n v="109"/>
    <n v="0.37"/>
    <n v="88"/>
    <n v="16.62"/>
    <n v="8.31"/>
    <n v="310"/>
    <n v="156.24"/>
    <m/>
    <m/>
  </r>
  <r>
    <s v="2022-10-07 16:34 (-07)"/>
    <x v="96"/>
    <x v="267"/>
    <x v="0"/>
    <s v="On Demand"/>
    <x v="6"/>
    <x v="2"/>
    <x v="0"/>
    <s v="Low Impact"/>
    <x v="76"/>
    <x v="276"/>
    <n v="152"/>
    <n v="84"/>
    <n v="0.35"/>
    <n v="82"/>
    <n v="14.99"/>
    <n v="7.49"/>
    <n v="241"/>
    <n v="135.96"/>
    <m/>
    <m/>
  </r>
  <r>
    <s v="2022-10-14 23:13 (PST)"/>
    <x v="97"/>
    <x v="268"/>
    <x v="0"/>
    <s v="On Demand"/>
    <x v="13"/>
    <x v="1"/>
    <x v="5"/>
    <s v="Emotions"/>
    <x v="128"/>
    <x v="277"/>
    <m/>
    <m/>
    <m/>
    <m/>
    <m/>
    <m/>
    <m/>
    <m/>
    <m/>
    <m/>
  </r>
  <r>
    <s v="2022-10-21 05:52 (PST)"/>
    <x v="98"/>
    <x v="269"/>
    <x v="0"/>
    <m/>
    <x v="34"/>
    <x v="3"/>
    <x v="0"/>
    <m/>
    <x v="129"/>
    <x v="231"/>
    <n v="18"/>
    <n v="60"/>
    <n v="0.3"/>
    <n v="83"/>
    <n v="13.05"/>
    <n v="1.08"/>
    <n v="30"/>
    <n v="121.21"/>
    <m/>
    <m/>
  </r>
  <r>
    <s v="2022-10-21 06:13 (-07)"/>
    <x v="98"/>
    <x v="270"/>
    <x v="0"/>
    <s v="On Demand"/>
    <x v="10"/>
    <x v="0"/>
    <x v="0"/>
    <s v="Power Zone"/>
    <x v="130"/>
    <x v="278"/>
    <n v="303"/>
    <n v="112"/>
    <n v="0.38"/>
    <n v="85"/>
    <n v="16.84"/>
    <n v="12.63"/>
    <n v="449"/>
    <n v="154.43"/>
    <m/>
    <m/>
  </r>
  <r>
    <s v="2022-10-21 07:05 (-07)"/>
    <x v="98"/>
    <x v="47"/>
    <x v="0"/>
    <s v="On Demand"/>
    <x v="12"/>
    <x v="3"/>
    <x v="2"/>
    <s v="Pre &amp; Post-Ride Stretch"/>
    <x v="8"/>
    <x v="279"/>
    <m/>
    <m/>
    <m/>
    <m/>
    <m/>
    <m/>
    <n v="11"/>
    <m/>
    <m/>
    <m/>
  </r>
  <r>
    <s v="2022-10-28 07:58 (-07)"/>
    <x v="99"/>
    <x v="271"/>
    <x v="0"/>
    <s v="On Demand"/>
    <x v="6"/>
    <x v="2"/>
    <x v="0"/>
    <s v="Power Zone"/>
    <x v="131"/>
    <x v="280"/>
    <n v="200"/>
    <n v="111"/>
    <n v="0.37"/>
    <n v="89"/>
    <n v="16.829999999999998"/>
    <n v="8.41"/>
    <n v="306"/>
    <n v="155.1"/>
    <m/>
    <m/>
  </r>
  <r>
    <s v="2022-10-28 08:32 (-07)"/>
    <x v="99"/>
    <x v="272"/>
    <x v="0"/>
    <s v="On Demand"/>
    <x v="35"/>
    <x v="1"/>
    <x v="1"/>
    <s v="Core"/>
    <x v="1"/>
    <x v="281"/>
    <m/>
    <m/>
    <m/>
    <m/>
    <m/>
    <m/>
    <n v="67"/>
    <n v="121.81"/>
    <m/>
    <m/>
  </r>
  <r>
    <s v="2022-10-28 08:44 (-07)"/>
    <x v="99"/>
    <x v="273"/>
    <x v="0"/>
    <s v="On Demand"/>
    <x v="0"/>
    <x v="3"/>
    <x v="2"/>
    <s v="Pre &amp; Post-Ride Stretch"/>
    <x v="8"/>
    <x v="282"/>
    <m/>
    <m/>
    <m/>
    <m/>
    <m/>
    <m/>
    <n v="11"/>
    <m/>
    <m/>
    <m/>
  </r>
  <r>
    <s v="2022-11-04 00:52 (GMT)"/>
    <x v="100"/>
    <x v="274"/>
    <x v="0"/>
    <s v="On Demand"/>
    <x v="19"/>
    <x v="1"/>
    <x v="5"/>
    <s v="Emotions"/>
    <x v="109"/>
    <x v="283"/>
    <m/>
    <m/>
    <m/>
    <m/>
    <m/>
    <m/>
    <m/>
    <m/>
    <m/>
    <m/>
  </r>
  <r>
    <s v="2022-11-11 10:05 (-05)"/>
    <x v="101"/>
    <x v="275"/>
    <x v="0"/>
    <s v="On Demand"/>
    <x v="6"/>
    <x v="0"/>
    <x v="0"/>
    <s v="Power Zone"/>
    <x v="102"/>
    <x v="284"/>
    <n v="229"/>
    <n v="85"/>
    <n v="0.34"/>
    <n v="85"/>
    <n v="15"/>
    <n v="11.25"/>
    <n v="495"/>
    <n v="162.86000000000001"/>
    <m/>
    <m/>
  </r>
  <r>
    <s v="2022-11-11 10:57 (EST)"/>
    <x v="101"/>
    <x v="276"/>
    <x v="0"/>
    <s v="On Demand"/>
    <x v="31"/>
    <x v="1"/>
    <x v="1"/>
    <s v="Core"/>
    <x v="132"/>
    <x v="285"/>
    <m/>
    <m/>
    <m/>
    <m/>
    <m/>
    <m/>
    <n v="72"/>
    <n v="129.47"/>
    <m/>
    <m/>
  </r>
  <r>
    <s v="2022-11-11 11:08 (EST)"/>
    <x v="101"/>
    <x v="277"/>
    <x v="0"/>
    <s v="On Demand"/>
    <x v="16"/>
    <x v="1"/>
    <x v="4"/>
    <s v="Focus Flow"/>
    <x v="133"/>
    <x v="286"/>
    <m/>
    <m/>
    <m/>
    <m/>
    <m/>
    <m/>
    <n v="34"/>
    <m/>
    <m/>
    <m/>
  </r>
  <r>
    <s v="2022-11-18 00:02 (EST)"/>
    <x v="102"/>
    <x v="278"/>
    <x v="0"/>
    <s v="On Demand"/>
    <x v="16"/>
    <x v="1"/>
    <x v="5"/>
    <s v="Theme"/>
    <x v="68"/>
    <x v="287"/>
    <m/>
    <m/>
    <m/>
    <m/>
    <m/>
    <m/>
    <m/>
    <m/>
    <m/>
    <m/>
  </r>
  <r>
    <s v="2022-12-02 23:50 (PST)"/>
    <x v="103"/>
    <x v="223"/>
    <x v="0"/>
    <s v="On Demand"/>
    <x v="28"/>
    <x v="5"/>
    <x v="5"/>
    <s v="Mindfulness"/>
    <x v="38"/>
    <x v="288"/>
    <m/>
    <m/>
    <m/>
    <m/>
    <m/>
    <m/>
    <m/>
    <m/>
    <m/>
    <m/>
  </r>
  <r>
    <s v="2022-12-09 12:27 (PST)"/>
    <x v="104"/>
    <x v="139"/>
    <x v="0"/>
    <s v="On Demand"/>
    <x v="13"/>
    <x v="2"/>
    <x v="4"/>
    <s v="Theme"/>
    <x v="134"/>
    <x v="289"/>
    <m/>
    <m/>
    <m/>
    <m/>
    <m/>
    <m/>
    <n v="90"/>
    <m/>
    <m/>
    <m/>
  </r>
  <r>
    <s v="2022-12-09 16:47 (-08)"/>
    <x v="104"/>
    <x v="279"/>
    <x v="0"/>
    <s v="On Demand"/>
    <x v="31"/>
    <x v="3"/>
    <x v="1"/>
    <s v="Core"/>
    <x v="6"/>
    <x v="290"/>
    <m/>
    <m/>
    <m/>
    <m/>
    <m/>
    <m/>
    <n v="27"/>
    <n v="112.88"/>
    <m/>
    <m/>
  </r>
  <r>
    <s v="2022-12-09 16:55 (-08)"/>
    <x v="104"/>
    <x v="280"/>
    <x v="0"/>
    <s v="On Demand"/>
    <x v="6"/>
    <x v="4"/>
    <x v="0"/>
    <s v="Power Zone"/>
    <x v="7"/>
    <x v="291"/>
    <n v="361"/>
    <n v="100"/>
    <n v="0.37"/>
    <n v="84"/>
    <n v="16.13"/>
    <n v="16.13"/>
    <n v="645"/>
    <n v="158.96"/>
    <m/>
    <m/>
  </r>
  <r>
    <s v="2022-12-09 17:56 (-08)"/>
    <x v="104"/>
    <x v="281"/>
    <x v="0"/>
    <s v="On Demand"/>
    <x v="6"/>
    <x v="3"/>
    <x v="2"/>
    <s v="Pre &amp; Post-Ride Stretch"/>
    <x v="135"/>
    <x v="292"/>
    <m/>
    <m/>
    <m/>
    <m/>
    <m/>
    <m/>
    <n v="12"/>
    <m/>
    <m/>
    <m/>
  </r>
  <r>
    <s v="2022-12-09 23:56 (PST)"/>
    <x v="104"/>
    <x v="282"/>
    <x v="0"/>
    <s v="On Demand"/>
    <x v="23"/>
    <x v="3"/>
    <x v="5"/>
    <s v="Emotions"/>
    <x v="127"/>
    <x v="293"/>
    <m/>
    <m/>
    <m/>
    <m/>
    <m/>
    <m/>
    <m/>
    <m/>
    <m/>
    <m/>
  </r>
  <r>
    <s v="2022-12-16 10:08 (-05)"/>
    <x v="105"/>
    <x v="283"/>
    <x v="0"/>
    <s v="On Demand"/>
    <x v="6"/>
    <x v="6"/>
    <x v="0"/>
    <s v="Power Zone"/>
    <x v="20"/>
    <x v="294"/>
    <n v="361"/>
    <n v="80"/>
    <n v="0.34"/>
    <n v="83"/>
    <n v="14.59"/>
    <n v="18.239999999999998"/>
    <n v="789"/>
    <n v="161.25"/>
    <m/>
    <m/>
  </r>
  <r>
    <s v="2022-12-16 11:27 (-05)"/>
    <x v="105"/>
    <x v="284"/>
    <x v="0"/>
    <s v="On Demand"/>
    <x v="6"/>
    <x v="3"/>
    <x v="2"/>
    <s v="Pre &amp; Post-Ride Stretch"/>
    <x v="8"/>
    <x v="295"/>
    <m/>
    <m/>
    <m/>
    <m/>
    <m/>
    <m/>
    <n v="12"/>
    <m/>
    <m/>
    <m/>
  </r>
  <r>
    <s v="2022-12-23 13:00 (PST)"/>
    <x v="106"/>
    <x v="285"/>
    <x v="0"/>
    <s v="On Demand"/>
    <x v="23"/>
    <x v="2"/>
    <x v="4"/>
    <s v="Focus Flow"/>
    <x v="90"/>
    <x v="296"/>
    <m/>
    <m/>
    <m/>
    <m/>
    <m/>
    <m/>
    <n v="101"/>
    <m/>
    <m/>
    <m/>
  </r>
  <r>
    <s v="2022-12-23 16:29 (-08)"/>
    <x v="106"/>
    <x v="158"/>
    <x v="0"/>
    <s v="On Demand"/>
    <x v="6"/>
    <x v="4"/>
    <x v="0"/>
    <s v="Power Zone"/>
    <x v="7"/>
    <x v="297"/>
    <n v="354"/>
    <n v="98"/>
    <n v="0.36"/>
    <n v="84"/>
    <n v="16.02"/>
    <n v="16.02"/>
    <n v="682"/>
    <n v="164.33"/>
    <m/>
    <m/>
  </r>
  <r>
    <s v="2022-12-23 17:35 (-08)"/>
    <x v="106"/>
    <x v="286"/>
    <x v="0"/>
    <s v="On Demand"/>
    <x v="1"/>
    <x v="5"/>
    <x v="1"/>
    <s v="Core"/>
    <x v="115"/>
    <x v="298"/>
    <m/>
    <m/>
    <m/>
    <m/>
    <m/>
    <m/>
    <n v="104"/>
    <n v="110.35"/>
    <m/>
    <m/>
  </r>
  <r>
    <s v="2022-12-23 17:56 (-08)"/>
    <x v="106"/>
    <x v="281"/>
    <x v="0"/>
    <s v="On Demand"/>
    <x v="6"/>
    <x v="3"/>
    <x v="2"/>
    <s v="Pre &amp; Post-Ride Stretch"/>
    <x v="8"/>
    <x v="299"/>
    <m/>
    <m/>
    <m/>
    <m/>
    <m/>
    <m/>
    <n v="19"/>
    <n v="105.46"/>
    <m/>
    <m/>
  </r>
  <r>
    <s v="2022-12-30 08:57 (PST)"/>
    <x v="107"/>
    <x v="287"/>
    <x v="0"/>
    <s v="On Demand"/>
    <x v="16"/>
    <x v="2"/>
    <x v="4"/>
    <s v="Theme"/>
    <x v="136"/>
    <x v="300"/>
    <m/>
    <m/>
    <m/>
    <m/>
    <m/>
    <m/>
    <n v="97"/>
    <m/>
    <m/>
    <m/>
  </r>
  <r>
    <s v="2022-12-30 11:36 (-08)"/>
    <x v="107"/>
    <x v="288"/>
    <x v="0"/>
    <s v="On Demand"/>
    <x v="35"/>
    <x v="1"/>
    <x v="1"/>
    <s v="Core"/>
    <x v="1"/>
    <x v="301"/>
    <m/>
    <m/>
    <m/>
    <m/>
    <m/>
    <m/>
    <n v="50"/>
    <n v="110.92"/>
    <m/>
    <m/>
  </r>
  <r>
    <s v="2022-12-30 11:48 (-08)"/>
    <x v="107"/>
    <x v="289"/>
    <x v="0"/>
    <s v="On Demand"/>
    <x v="10"/>
    <x v="0"/>
    <x v="0"/>
    <s v="Power Zone"/>
    <x v="137"/>
    <x v="302"/>
    <n v="261"/>
    <n v="96"/>
    <n v="0.36"/>
    <n v="85"/>
    <n v="15.86"/>
    <n v="11.9"/>
    <n v="422"/>
    <n v="147.15"/>
    <m/>
    <m/>
  </r>
  <r>
    <s v="2022-12-30 12:35 (-08)"/>
    <x v="107"/>
    <x v="290"/>
    <x v="0"/>
    <s v="On Demand"/>
    <x v="7"/>
    <x v="2"/>
    <x v="0"/>
    <s v="Power Zone"/>
    <x v="5"/>
    <x v="303"/>
    <n v="172"/>
    <n v="96"/>
    <n v="0.35"/>
    <n v="86"/>
    <n v="15.76"/>
    <n v="7.87"/>
    <n v="274"/>
    <n v="146.69"/>
    <m/>
    <m/>
  </r>
  <r>
    <s v="2022-12-30 13:07 (-08)"/>
    <x v="107"/>
    <x v="291"/>
    <x v="0"/>
    <s v="On Demand"/>
    <x v="6"/>
    <x v="3"/>
    <x v="2"/>
    <s v="Pre &amp; Post-Ride Stretch"/>
    <x v="8"/>
    <x v="299"/>
    <m/>
    <m/>
    <m/>
    <m/>
    <m/>
    <m/>
    <n v="12"/>
    <m/>
    <m/>
    <m/>
  </r>
  <r>
    <s v="2023-01-06 12:33 (PST)"/>
    <x v="108"/>
    <x v="292"/>
    <x v="0"/>
    <s v="On Demand"/>
    <x v="3"/>
    <x v="0"/>
    <x v="6"/>
    <s v="Power Walk"/>
    <x v="138"/>
    <x v="304"/>
    <n v="0"/>
    <m/>
    <m/>
    <m/>
    <n v="3.39"/>
    <n v="2.42"/>
    <n v="167"/>
    <m/>
    <m/>
    <m/>
  </r>
  <r>
    <s v="2023-01-06 15:33 (-08)"/>
    <x v="108"/>
    <x v="293"/>
    <x v="0"/>
    <s v="On Demand"/>
    <x v="37"/>
    <x v="2"/>
    <x v="7"/>
    <s v="Music/Theme"/>
    <x v="139"/>
    <x v="305"/>
    <n v="122"/>
    <m/>
    <m/>
    <m/>
    <n v="2.85"/>
    <n v="3.1"/>
    <n v="293"/>
    <n v="152.79"/>
    <m/>
    <m/>
  </r>
  <r>
    <s v="2023-01-06 16:23 (PST)"/>
    <x v="108"/>
    <x v="294"/>
    <x v="0"/>
    <s v="On Demand"/>
    <x v="13"/>
    <x v="2"/>
    <x v="4"/>
    <s v="Flow"/>
    <x v="41"/>
    <x v="306"/>
    <m/>
    <m/>
    <m/>
    <m/>
    <m/>
    <m/>
    <n v="79"/>
    <m/>
    <m/>
    <m/>
  </r>
  <r>
    <s v="2023-01-06 23:01 (PST)"/>
    <x v="108"/>
    <x v="295"/>
    <x v="0"/>
    <s v="On Demand"/>
    <x v="19"/>
    <x v="1"/>
    <x v="5"/>
    <s v="Mindfulness"/>
    <x v="51"/>
    <x v="307"/>
    <m/>
    <m/>
    <m/>
    <m/>
    <m/>
    <m/>
    <m/>
    <m/>
    <m/>
    <m/>
  </r>
  <r>
    <s v="2023-01-13 22:58 (PST)"/>
    <x v="109"/>
    <x v="84"/>
    <x v="0"/>
    <s v="On Demand"/>
    <x v="25"/>
    <x v="5"/>
    <x v="5"/>
    <s v="Relaxation"/>
    <x v="112"/>
    <x v="308"/>
    <m/>
    <m/>
    <m/>
    <m/>
    <m/>
    <m/>
    <m/>
    <m/>
    <m/>
    <m/>
  </r>
  <r>
    <s v="2023-01-20 07:19 (PST)"/>
    <x v="110"/>
    <x v="296"/>
    <x v="0"/>
    <s v="On Demand"/>
    <x v="13"/>
    <x v="2"/>
    <x v="4"/>
    <s v="Slow Flow"/>
    <x v="50"/>
    <x v="309"/>
    <m/>
    <m/>
    <m/>
    <m/>
    <m/>
    <m/>
    <n v="96"/>
    <m/>
    <m/>
    <m/>
  </r>
  <r>
    <s v="2023-01-20 07:52 (PST)"/>
    <x v="110"/>
    <x v="297"/>
    <x v="0"/>
    <s v="On Demand"/>
    <x v="23"/>
    <x v="3"/>
    <x v="5"/>
    <s v="Emotions"/>
    <x v="140"/>
    <x v="310"/>
    <m/>
    <m/>
    <m/>
    <m/>
    <m/>
    <m/>
    <m/>
    <m/>
    <m/>
    <m/>
  </r>
  <r>
    <s v="2023-01-20 16:59 (-08)"/>
    <x v="110"/>
    <x v="298"/>
    <x v="0"/>
    <s v="On Demand"/>
    <x v="4"/>
    <x v="0"/>
    <x v="0"/>
    <s v="Power Zone"/>
    <x v="137"/>
    <x v="311"/>
    <n v="267"/>
    <n v="99"/>
    <n v="0.35"/>
    <n v="88"/>
    <n v="16.059999999999999"/>
    <n v="12.05"/>
    <n v="485"/>
    <n v="159.4"/>
    <m/>
    <m/>
  </r>
  <r>
    <s v="2023-01-20 17:48 (-08)"/>
    <x v="110"/>
    <x v="299"/>
    <x v="0"/>
    <s v="On Demand"/>
    <x v="4"/>
    <x v="5"/>
    <x v="1"/>
    <s v="Upper Body"/>
    <x v="141"/>
    <x v="312"/>
    <m/>
    <m/>
    <m/>
    <m/>
    <m/>
    <m/>
    <n v="127"/>
    <n v="111.57"/>
    <m/>
    <m/>
  </r>
  <r>
    <s v="2023-01-20 18:09 (-08)"/>
    <x v="110"/>
    <x v="300"/>
    <x v="0"/>
    <s v="On Demand"/>
    <x v="1"/>
    <x v="5"/>
    <x v="1"/>
    <s v="Core"/>
    <x v="115"/>
    <x v="313"/>
    <m/>
    <m/>
    <m/>
    <m/>
    <m/>
    <m/>
    <n v="109"/>
    <n v="112.77"/>
    <m/>
    <m/>
  </r>
  <r>
    <s v="2023-01-27 11:36 (-08)"/>
    <x v="111"/>
    <x v="288"/>
    <x v="0"/>
    <s v="On Demand"/>
    <x v="9"/>
    <x v="0"/>
    <x v="0"/>
    <s v="Power Zone"/>
    <x v="27"/>
    <x v="314"/>
    <n v="258"/>
    <n v="96"/>
    <n v="0.35"/>
    <n v="87"/>
    <n v="15.82"/>
    <n v="11.87"/>
    <n v="454"/>
    <n v="153.28"/>
    <m/>
    <m/>
  </r>
  <r>
    <s v="2023-01-27 12:26 (-08)"/>
    <x v="111"/>
    <x v="131"/>
    <x v="0"/>
    <s v="On Demand"/>
    <x v="6"/>
    <x v="2"/>
    <x v="0"/>
    <s v="Power Zone"/>
    <x v="5"/>
    <x v="315"/>
    <n v="168"/>
    <n v="93"/>
    <n v="0.35"/>
    <n v="86"/>
    <n v="15.6"/>
    <n v="7.8"/>
    <n v="308"/>
    <n v="154.78"/>
    <m/>
    <m/>
  </r>
  <r>
    <s v="2023-01-27 12:59 (-08)"/>
    <x v="111"/>
    <x v="301"/>
    <x v="0"/>
    <s v="On Demand"/>
    <x v="4"/>
    <x v="1"/>
    <x v="1"/>
    <s v="Core"/>
    <x v="1"/>
    <x v="316"/>
    <m/>
    <m/>
    <m/>
    <m/>
    <m/>
    <m/>
    <n v="57"/>
    <n v="111.76"/>
    <m/>
    <m/>
  </r>
  <r>
    <s v="2023-01-27 13:13 (-08)"/>
    <x v="111"/>
    <x v="302"/>
    <x v="0"/>
    <s v="On Demand"/>
    <x v="8"/>
    <x v="3"/>
    <x v="2"/>
    <s v="Pre &amp; Post-Ride Stretch"/>
    <x v="8"/>
    <x v="317"/>
    <m/>
    <m/>
    <m/>
    <m/>
    <m/>
    <m/>
    <n v="12"/>
    <m/>
    <m/>
    <m/>
  </r>
  <r>
    <s v="2023-02-03 11:25 (-05)"/>
    <x v="112"/>
    <x v="303"/>
    <x v="0"/>
    <s v="On Demand"/>
    <x v="7"/>
    <x v="2"/>
    <x v="0"/>
    <s v="Power Zone"/>
    <x v="5"/>
    <x v="318"/>
    <n v="137"/>
    <n v="76"/>
    <n v="0.32"/>
    <n v="85"/>
    <n v="14.22"/>
    <n v="7.11"/>
    <n v="300"/>
    <n v="157.99"/>
    <m/>
    <m/>
  </r>
  <r>
    <s v="2023-02-03 11:56 (-05)"/>
    <x v="112"/>
    <x v="304"/>
    <x v="0"/>
    <s v="On Demand"/>
    <x v="34"/>
    <x v="7"/>
    <x v="0"/>
    <s v="Scenic Ride"/>
    <x v="142"/>
    <x v="231"/>
    <n v="45"/>
    <n v="50"/>
    <n v="0.27"/>
    <n v="83"/>
    <n v="11.95"/>
    <n v="2.98"/>
    <n v="119"/>
    <n v="135.58000000000001"/>
    <m/>
    <m/>
  </r>
  <r>
    <s v="2023-02-03 12:14 (-05)"/>
    <x v="112"/>
    <x v="305"/>
    <x v="0"/>
    <s v="On Demand"/>
    <x v="11"/>
    <x v="2"/>
    <x v="1"/>
    <s v="Full Body"/>
    <x v="125"/>
    <x v="319"/>
    <m/>
    <m/>
    <m/>
    <m/>
    <m/>
    <m/>
    <n v="207"/>
    <n v="125.5"/>
    <m/>
    <m/>
  </r>
  <r>
    <s v="2023-02-03 12:46 (-05)"/>
    <x v="112"/>
    <x v="306"/>
    <x v="0"/>
    <s v="On Demand"/>
    <x v="13"/>
    <x v="7"/>
    <x v="4"/>
    <s v="Focus Flow"/>
    <x v="143"/>
    <x v="320"/>
    <m/>
    <m/>
    <m/>
    <m/>
    <m/>
    <m/>
    <n v="51"/>
    <m/>
    <m/>
    <m/>
  </r>
  <r>
    <s v="2023-02-10 11:21 (PST)"/>
    <x v="113"/>
    <x v="307"/>
    <x v="0"/>
    <m/>
    <x v="34"/>
    <x v="9"/>
    <x v="6"/>
    <m/>
    <x v="144"/>
    <x v="231"/>
    <n v="0"/>
    <m/>
    <m/>
    <m/>
    <n v="3.11"/>
    <n v="2.02"/>
    <n v="161"/>
    <m/>
    <m/>
    <m/>
  </r>
  <r>
    <s v="2023-02-10 12:35 (PST)"/>
    <x v="113"/>
    <x v="308"/>
    <x v="0"/>
    <s v="On Demand"/>
    <x v="7"/>
    <x v="2"/>
    <x v="4"/>
    <s v="Flow"/>
    <x v="145"/>
    <x v="321"/>
    <m/>
    <m/>
    <m/>
    <m/>
    <m/>
    <m/>
    <n v="92"/>
    <m/>
    <m/>
    <m/>
  </r>
  <r>
    <s v="2023-02-10 13:09 (PST)"/>
    <x v="113"/>
    <x v="309"/>
    <x v="0"/>
    <s v="On Demand"/>
    <x v="1"/>
    <x v="3"/>
    <x v="1"/>
    <s v="Core"/>
    <x v="6"/>
    <x v="322"/>
    <m/>
    <m/>
    <m/>
    <m/>
    <m/>
    <m/>
    <n v="22"/>
    <m/>
    <m/>
    <m/>
  </r>
  <r>
    <s v="2023-02-10 17:48 (-08)"/>
    <x v="113"/>
    <x v="299"/>
    <x v="0"/>
    <s v="On Demand"/>
    <x v="9"/>
    <x v="0"/>
    <x v="0"/>
    <s v="Power Zone"/>
    <x v="27"/>
    <x v="323"/>
    <n v="254"/>
    <n v="94"/>
    <n v="0.37"/>
    <n v="81"/>
    <n v="15.68"/>
    <n v="11.76"/>
    <n v="451"/>
    <n v="152.74"/>
    <m/>
    <m/>
  </r>
  <r>
    <s v="2023-02-10 18:33 (-08)"/>
    <x v="113"/>
    <x v="310"/>
    <x v="0"/>
    <s v="On Demand"/>
    <x v="17"/>
    <x v="3"/>
    <x v="0"/>
    <s v="Cool Down"/>
    <x v="10"/>
    <x v="324"/>
    <n v="17"/>
    <n v="55"/>
    <n v="0.3"/>
    <n v="78"/>
    <n v="12.43"/>
    <n v="1.03"/>
    <n v="34"/>
    <n v="128.1"/>
    <m/>
    <m/>
  </r>
  <r>
    <s v="2023-02-10 18:39 (-08)"/>
    <x v="113"/>
    <x v="43"/>
    <x v="0"/>
    <s v="On Demand"/>
    <x v="17"/>
    <x v="3"/>
    <x v="2"/>
    <s v="Pre &amp; Post-Ride Stretch"/>
    <x v="8"/>
    <x v="324"/>
    <m/>
    <m/>
    <m/>
    <m/>
    <m/>
    <m/>
    <n v="12"/>
    <m/>
    <m/>
    <m/>
  </r>
  <r>
    <s v="2023-02-17 15:41 (-08)"/>
    <x v="114"/>
    <x v="311"/>
    <x v="0"/>
    <s v="On Demand"/>
    <x v="10"/>
    <x v="0"/>
    <x v="0"/>
    <s v="Power Zone"/>
    <x v="27"/>
    <x v="325"/>
    <n v="271"/>
    <n v="100"/>
    <n v="0.36"/>
    <n v="87"/>
    <n v="16.11"/>
    <n v="12.08"/>
    <n v="500"/>
    <n v="162.11000000000001"/>
    <m/>
    <m/>
  </r>
  <r>
    <s v="2023-02-17 16:28 (-08)"/>
    <x v="114"/>
    <x v="312"/>
    <x v="0"/>
    <s v="On Demand"/>
    <x v="29"/>
    <x v="3"/>
    <x v="2"/>
    <s v="Pre &amp; Post-Ride Stretch"/>
    <x v="8"/>
    <x v="326"/>
    <m/>
    <m/>
    <m/>
    <m/>
    <m/>
    <m/>
    <n v="29"/>
    <n v="120.81"/>
    <m/>
    <m/>
  </r>
  <r>
    <s v="2023-02-17 22:51 (PST)"/>
    <x v="114"/>
    <x v="313"/>
    <x v="0"/>
    <s v="On Demand"/>
    <x v="23"/>
    <x v="3"/>
    <x v="5"/>
    <s v="Mindfulness"/>
    <x v="146"/>
    <x v="327"/>
    <m/>
    <m/>
    <m/>
    <m/>
    <m/>
    <m/>
    <m/>
    <m/>
    <m/>
    <m/>
  </r>
  <r>
    <s v="2023-02-24 17:28 (-08)"/>
    <x v="115"/>
    <x v="314"/>
    <x v="0"/>
    <s v="On Demand"/>
    <x v="6"/>
    <x v="0"/>
    <x v="0"/>
    <s v="Power Zone"/>
    <x v="85"/>
    <x v="328"/>
    <n v="82"/>
    <n v="89"/>
    <n v="0.33"/>
    <n v="86"/>
    <n v="14.74"/>
    <n v="3.79"/>
    <n v="170"/>
    <n v="161.71"/>
    <m/>
    <m/>
  </r>
  <r>
    <s v="2023-02-24 21:28 (PST)"/>
    <x v="115"/>
    <x v="315"/>
    <x v="0"/>
    <s v="On Demand"/>
    <x v="28"/>
    <x v="1"/>
    <x v="5"/>
    <s v="Emotions"/>
    <x v="147"/>
    <x v="329"/>
    <m/>
    <m/>
    <m/>
    <m/>
    <m/>
    <m/>
    <m/>
    <m/>
    <m/>
    <m/>
  </r>
  <r>
    <s v="2023-03-03 13:16 (-08)"/>
    <x v="116"/>
    <x v="316"/>
    <x v="0"/>
    <s v="On Demand"/>
    <x v="31"/>
    <x v="3"/>
    <x v="1"/>
    <s v="Core"/>
    <x v="6"/>
    <x v="330"/>
    <m/>
    <m/>
    <m/>
    <m/>
    <m/>
    <m/>
    <n v="22"/>
    <n v="93.13"/>
    <m/>
    <m/>
  </r>
  <r>
    <s v="2023-03-03 13:25 (-08)"/>
    <x v="116"/>
    <x v="317"/>
    <x v="0"/>
    <s v="On Demand"/>
    <x v="4"/>
    <x v="0"/>
    <x v="0"/>
    <s v="Power Zone"/>
    <x v="148"/>
    <x v="331"/>
    <n v="267"/>
    <n v="99"/>
    <n v="0.37"/>
    <n v="83"/>
    <n v="16.010000000000002"/>
    <n v="12.01"/>
    <n v="414"/>
    <n v="145.61000000000001"/>
    <m/>
    <m/>
  </r>
  <r>
    <s v="2023-03-03 14:12 (-08)"/>
    <x v="116"/>
    <x v="318"/>
    <x v="0"/>
    <s v="On Demand"/>
    <x v="36"/>
    <x v="1"/>
    <x v="0"/>
    <s v="Low Impact"/>
    <x v="149"/>
    <x v="332"/>
    <n v="41"/>
    <n v="68"/>
    <n v="0.32"/>
    <n v="81"/>
    <n v="13.68"/>
    <n v="2.2799999999999998"/>
    <n v="69"/>
    <n v="127.1"/>
    <m/>
    <m/>
  </r>
  <r>
    <s v="2023-03-03 14:24 (-08)"/>
    <x v="116"/>
    <x v="319"/>
    <x v="0"/>
    <s v="On Demand"/>
    <x v="1"/>
    <x v="1"/>
    <x v="1"/>
    <s v="Arms &amp; Light Weights"/>
    <x v="28"/>
    <x v="333"/>
    <m/>
    <m/>
    <m/>
    <m/>
    <m/>
    <m/>
    <n v="39"/>
    <n v="99.42"/>
    <m/>
    <m/>
  </r>
  <r>
    <s v="2023-03-03 14:37 (-08)"/>
    <x v="116"/>
    <x v="320"/>
    <x v="0"/>
    <s v="On Demand"/>
    <x v="23"/>
    <x v="2"/>
    <x v="4"/>
    <s v="Flow"/>
    <x v="41"/>
    <x v="334"/>
    <m/>
    <m/>
    <m/>
    <m/>
    <m/>
    <m/>
    <n v="122"/>
    <n v="100.62"/>
    <m/>
    <m/>
  </r>
  <r>
    <s v="2023-03-03 22:51 (PST)"/>
    <x v="116"/>
    <x v="313"/>
    <x v="0"/>
    <s v="On Demand"/>
    <x v="16"/>
    <x v="7"/>
    <x v="5"/>
    <s v="Relaxation"/>
    <x v="94"/>
    <x v="335"/>
    <m/>
    <m/>
    <m/>
    <m/>
    <m/>
    <m/>
    <m/>
    <m/>
    <m/>
    <m/>
  </r>
  <r>
    <s v="2023-03-10 10:40 (PST)"/>
    <x v="117"/>
    <x v="321"/>
    <x v="0"/>
    <s v="On Demand"/>
    <x v="23"/>
    <x v="2"/>
    <x v="4"/>
    <s v="Flow"/>
    <x v="150"/>
    <x v="336"/>
    <m/>
    <m/>
    <m/>
    <m/>
    <m/>
    <m/>
    <n v="101"/>
    <m/>
    <m/>
    <m/>
  </r>
  <r>
    <s v="2023-03-10 11:46 (-08)"/>
    <x v="117"/>
    <x v="322"/>
    <x v="0"/>
    <s v="On Demand"/>
    <x v="31"/>
    <x v="1"/>
    <x v="1"/>
    <s v="Core"/>
    <x v="1"/>
    <x v="330"/>
    <m/>
    <m/>
    <m/>
    <m/>
    <m/>
    <m/>
    <n v="40"/>
    <n v="99.41"/>
    <m/>
    <m/>
  </r>
  <r>
    <s v="2023-03-10 23:56 (PST)"/>
    <x v="117"/>
    <x v="282"/>
    <x v="0"/>
    <s v="On Demand"/>
    <x v="28"/>
    <x v="1"/>
    <x v="5"/>
    <s v="Emotions"/>
    <x v="151"/>
    <x v="337"/>
    <m/>
    <m/>
    <m/>
    <m/>
    <m/>
    <m/>
    <m/>
    <m/>
    <m/>
    <m/>
  </r>
  <r>
    <s v="2023-03-17 12:35 (-07)"/>
    <x v="118"/>
    <x v="323"/>
    <x v="0"/>
    <s v="On Demand"/>
    <x v="31"/>
    <x v="1"/>
    <x v="1"/>
    <s v="Core"/>
    <x v="1"/>
    <x v="338"/>
    <m/>
    <m/>
    <m/>
    <m/>
    <m/>
    <m/>
    <n v="53"/>
    <n v="112.86"/>
    <m/>
    <m/>
  </r>
  <r>
    <s v="2023-03-17 12:49 (-07)"/>
    <x v="118"/>
    <x v="324"/>
    <x v="0"/>
    <s v="On Demand"/>
    <x v="6"/>
    <x v="2"/>
    <x v="7"/>
    <s v="Endurance"/>
    <x v="152"/>
    <x v="339"/>
    <n v="106"/>
    <m/>
    <m/>
    <m/>
    <n v="2.66"/>
    <n v="2.98"/>
    <n v="250"/>
    <n v="137.91"/>
    <m/>
    <m/>
  </r>
  <r>
    <s v="2023-03-17 13:21 (-07)"/>
    <x v="118"/>
    <x v="325"/>
    <x v="0"/>
    <s v="On Demand"/>
    <x v="24"/>
    <x v="2"/>
    <x v="1"/>
    <s v="Upper Body"/>
    <x v="153"/>
    <x v="340"/>
    <m/>
    <m/>
    <m/>
    <m/>
    <m/>
    <m/>
    <n v="143"/>
    <n v="108.65"/>
    <m/>
    <m/>
  </r>
  <r>
    <s v="2023-03-17 23:29 (PST)"/>
    <x v="118"/>
    <x v="326"/>
    <x v="0"/>
    <s v="On Demand"/>
    <x v="23"/>
    <x v="1"/>
    <x v="5"/>
    <s v="Breath"/>
    <x v="154"/>
    <x v="341"/>
    <m/>
    <m/>
    <m/>
    <m/>
    <m/>
    <m/>
    <m/>
    <m/>
    <m/>
    <m/>
  </r>
  <r>
    <s v="2023-03-24 03:22 (EST)"/>
    <x v="119"/>
    <x v="327"/>
    <x v="0"/>
    <s v="On Demand"/>
    <x v="25"/>
    <x v="1"/>
    <x v="5"/>
    <s v="Relaxation"/>
    <x v="34"/>
    <x v="342"/>
    <m/>
    <m/>
    <m/>
    <m/>
    <m/>
    <m/>
    <m/>
    <m/>
    <m/>
    <m/>
  </r>
  <r>
    <s v="2023-03-24 17:00 (EST)"/>
    <x v="119"/>
    <x v="328"/>
    <x v="0"/>
    <s v="On Demand"/>
    <x v="16"/>
    <x v="3"/>
    <x v="5"/>
    <s v="Relaxation"/>
    <x v="89"/>
    <x v="343"/>
    <m/>
    <m/>
    <m/>
    <m/>
    <m/>
    <m/>
    <m/>
    <m/>
    <m/>
    <m/>
  </r>
  <r>
    <s v="2023-03-24 23:45 (EST)"/>
    <x v="119"/>
    <x v="329"/>
    <x v="0"/>
    <s v="On Demand"/>
    <x v="23"/>
    <x v="1"/>
    <x v="5"/>
    <s v="Sleep"/>
    <x v="39"/>
    <x v="344"/>
    <m/>
    <m/>
    <m/>
    <m/>
    <m/>
    <m/>
    <m/>
    <m/>
    <m/>
    <m/>
  </r>
  <r>
    <s v="2023-03-31 22:40 (PST)"/>
    <x v="120"/>
    <x v="67"/>
    <x v="0"/>
    <s v="On Demand"/>
    <x v="23"/>
    <x v="1"/>
    <x v="5"/>
    <s v="Relaxation"/>
    <x v="34"/>
    <x v="345"/>
    <m/>
    <m/>
    <m/>
    <m/>
    <m/>
    <m/>
    <m/>
    <m/>
    <m/>
    <m/>
  </r>
  <r>
    <s v="2023-04-07 12:10 (PST)"/>
    <x v="121"/>
    <x v="330"/>
    <x v="0"/>
    <m/>
    <x v="34"/>
    <x v="10"/>
    <x v="6"/>
    <m/>
    <x v="155"/>
    <x v="231"/>
    <n v="0"/>
    <m/>
    <m/>
    <m/>
    <n v="2.5499999999999998"/>
    <n v="2.06"/>
    <n v="297"/>
    <n v="126.13"/>
    <m/>
    <m/>
  </r>
  <r>
    <s v="2023-04-07 23:33 (PST)"/>
    <x v="121"/>
    <x v="331"/>
    <x v="0"/>
    <s v="On Demand"/>
    <x v="13"/>
    <x v="1"/>
    <x v="5"/>
    <s v="Relaxation"/>
    <x v="34"/>
    <x v="346"/>
    <m/>
    <m/>
    <m/>
    <m/>
    <m/>
    <m/>
    <m/>
    <m/>
    <m/>
    <m/>
  </r>
  <r>
    <s v="2023-04-21 05:01 (-07)"/>
    <x v="122"/>
    <x v="332"/>
    <x v="0"/>
    <s v="On Demand"/>
    <x v="10"/>
    <x v="0"/>
    <x v="0"/>
    <s v="Power Zone"/>
    <x v="137"/>
    <x v="347"/>
    <n v="297"/>
    <n v="110"/>
    <n v="0.38"/>
    <n v="85"/>
    <n v="16.72"/>
    <n v="12.54"/>
    <n v="447"/>
    <n v="151.87"/>
    <m/>
    <m/>
  </r>
  <r>
    <s v="2023-04-21 05:47 (-07)"/>
    <x v="122"/>
    <x v="333"/>
    <x v="0"/>
    <s v="On Demand"/>
    <x v="29"/>
    <x v="1"/>
    <x v="0"/>
    <s v="Low Impact"/>
    <x v="149"/>
    <x v="348"/>
    <n v="36"/>
    <n v="60"/>
    <n v="0.3"/>
    <n v="82"/>
    <n v="12.97"/>
    <n v="2.16"/>
    <n v="74"/>
    <n v="129.32"/>
    <m/>
    <m/>
  </r>
  <r>
    <s v="2023-04-21 05:59 (-07)"/>
    <x v="122"/>
    <x v="334"/>
    <x v="0"/>
    <s v="On Demand"/>
    <x v="17"/>
    <x v="1"/>
    <x v="1"/>
    <s v="Arms &amp; Light Weights"/>
    <x v="28"/>
    <x v="349"/>
    <m/>
    <m/>
    <m/>
    <m/>
    <m/>
    <m/>
    <n v="53"/>
    <n v="111.6"/>
    <m/>
    <m/>
  </r>
  <r>
    <s v="2023-04-21 06:09 (-07)"/>
    <x v="122"/>
    <x v="335"/>
    <x v="0"/>
    <s v="On Demand"/>
    <x v="17"/>
    <x v="3"/>
    <x v="2"/>
    <s v="Pre &amp; Post-Ride Stretch"/>
    <x v="8"/>
    <x v="350"/>
    <m/>
    <m/>
    <m/>
    <m/>
    <m/>
    <m/>
    <n v="21"/>
    <n v="102.25"/>
    <m/>
    <m/>
  </r>
  <r>
    <s v="2023-05-05 15:44 (PST)"/>
    <x v="123"/>
    <x v="336"/>
    <x v="0"/>
    <s v="On Demand"/>
    <x v="19"/>
    <x v="7"/>
    <x v="5"/>
    <s v="Relaxation"/>
    <x v="106"/>
    <x v="351"/>
    <m/>
    <m/>
    <m/>
    <m/>
    <m/>
    <m/>
    <m/>
    <n v="64.47"/>
    <m/>
    <m/>
  </r>
  <r>
    <s v="2023-05-19 14:45 (PST)"/>
    <x v="124"/>
    <x v="337"/>
    <x v="0"/>
    <s v="On Demand"/>
    <x v="7"/>
    <x v="2"/>
    <x v="4"/>
    <s v="Flow"/>
    <x v="156"/>
    <x v="352"/>
    <m/>
    <m/>
    <m/>
    <m/>
    <m/>
    <m/>
    <n v="92"/>
    <m/>
    <m/>
    <m/>
  </r>
  <r>
    <s v="2023-05-19 21:13 (PST)"/>
    <x v="124"/>
    <x v="338"/>
    <x v="0"/>
    <s v="On Demand"/>
    <x v="16"/>
    <x v="1"/>
    <x v="5"/>
    <s v="Breath"/>
    <x v="154"/>
    <x v="353"/>
    <m/>
    <m/>
    <m/>
    <m/>
    <m/>
    <m/>
    <m/>
    <m/>
    <m/>
    <m/>
  </r>
  <r>
    <s v="2023-05-19 21:25 (PST)"/>
    <x v="124"/>
    <x v="339"/>
    <x v="0"/>
    <s v="On Demand"/>
    <x v="13"/>
    <x v="1"/>
    <x v="5"/>
    <s v="Theme"/>
    <x v="157"/>
    <x v="354"/>
    <m/>
    <m/>
    <m/>
    <m/>
    <m/>
    <m/>
    <m/>
    <m/>
    <m/>
    <m/>
  </r>
  <r>
    <s v="2023-05-26 11:06 (PST)"/>
    <x v="125"/>
    <x v="340"/>
    <x v="0"/>
    <m/>
    <x v="34"/>
    <x v="11"/>
    <x v="6"/>
    <m/>
    <x v="158"/>
    <x v="231"/>
    <n v="0"/>
    <m/>
    <m/>
    <m/>
    <n v="3.02"/>
    <n v="2.06"/>
    <n v="249"/>
    <n v="122.02"/>
    <m/>
    <m/>
  </r>
  <r>
    <s v="2023-06-02 21:22 (PST)"/>
    <x v="126"/>
    <x v="341"/>
    <x v="0"/>
    <s v="On Demand"/>
    <x v="19"/>
    <x v="2"/>
    <x v="5"/>
    <s v="Sleep"/>
    <x v="31"/>
    <x v="355"/>
    <m/>
    <m/>
    <m/>
    <m/>
    <m/>
    <m/>
    <m/>
    <m/>
    <m/>
    <m/>
  </r>
  <r>
    <s v="2023-06-23 21:54 (PST)"/>
    <x v="127"/>
    <x v="152"/>
    <x v="0"/>
    <s v="On Demand"/>
    <x v="19"/>
    <x v="5"/>
    <x v="5"/>
    <s v="Emotions"/>
    <x v="53"/>
    <x v="356"/>
    <m/>
    <m/>
    <m/>
    <m/>
    <m/>
    <m/>
    <m/>
    <m/>
    <m/>
    <m/>
  </r>
  <r>
    <s v="2023-07-07 10:36 (PST)"/>
    <x v="128"/>
    <x v="342"/>
    <x v="0"/>
    <m/>
    <x v="34"/>
    <x v="12"/>
    <x v="6"/>
    <m/>
    <x v="159"/>
    <x v="231"/>
    <n v="0"/>
    <m/>
    <m/>
    <m/>
    <n v="2.96"/>
    <n v="1.99"/>
    <n v="161"/>
    <m/>
    <m/>
    <m/>
  </r>
  <r>
    <s v="2023-07-14 13:08 (PST)"/>
    <x v="129"/>
    <x v="343"/>
    <x v="0"/>
    <s v="On Demand"/>
    <x v="13"/>
    <x v="0"/>
    <x v="4"/>
    <s v="Slow Flow"/>
    <x v="33"/>
    <x v="357"/>
    <m/>
    <m/>
    <m/>
    <m/>
    <m/>
    <m/>
    <n v="145"/>
    <m/>
    <m/>
    <m/>
  </r>
  <r>
    <s v="2023-07-14 15:20 (-07)"/>
    <x v="129"/>
    <x v="344"/>
    <x v="0"/>
    <s v="On Demand"/>
    <x v="7"/>
    <x v="0"/>
    <x v="0"/>
    <s v="Power Zone"/>
    <x v="27"/>
    <x v="358"/>
    <n v="292"/>
    <n v="108"/>
    <n v="0.38"/>
    <n v="85"/>
    <n v="16.64"/>
    <n v="12.48"/>
    <n v="392"/>
    <n v="146.72"/>
    <m/>
    <m/>
  </r>
  <r>
    <s v="2023-07-14 16:06 (-07)"/>
    <x v="129"/>
    <x v="345"/>
    <x v="0"/>
    <s v="On Demand"/>
    <x v="9"/>
    <x v="3"/>
    <x v="2"/>
    <s v="Pre &amp; Post-Ride Stretch"/>
    <x v="8"/>
    <x v="359"/>
    <m/>
    <m/>
    <m/>
    <m/>
    <m/>
    <m/>
    <n v="26"/>
    <n v="110.88"/>
    <m/>
    <m/>
  </r>
  <r>
    <s v="2023-07-21 09:38 (-07)"/>
    <x v="130"/>
    <x v="346"/>
    <x v="0"/>
    <s v="On Demand"/>
    <x v="24"/>
    <x v="1"/>
    <x v="1"/>
    <s v="Core"/>
    <x v="108"/>
    <x v="360"/>
    <m/>
    <m/>
    <m/>
    <m/>
    <m/>
    <m/>
    <n v="50"/>
    <n v="108.73"/>
    <m/>
    <m/>
  </r>
  <r>
    <s v="2023-07-21 09:50 (-07)"/>
    <x v="130"/>
    <x v="347"/>
    <x v="0"/>
    <s v="On Demand"/>
    <x v="6"/>
    <x v="4"/>
    <x v="0"/>
    <s v="Power Zone"/>
    <x v="23"/>
    <x v="361"/>
    <n v="410"/>
    <n v="114"/>
    <n v="0.38"/>
    <n v="85"/>
    <n v="16.73"/>
    <n v="16.73"/>
    <n v="584"/>
    <n v="149.47999999999999"/>
    <m/>
    <m/>
  </r>
  <r>
    <s v="2023-07-21 10:51 (-07)"/>
    <x v="130"/>
    <x v="348"/>
    <x v="0"/>
    <s v="On Demand"/>
    <x v="22"/>
    <x v="1"/>
    <x v="0"/>
    <s v="Cool Down"/>
    <x v="160"/>
    <x v="362"/>
    <n v="31"/>
    <n v="52"/>
    <n v="0.28999999999999998"/>
    <n v="80"/>
    <n v="12.18"/>
    <n v="2.0299999999999998"/>
    <n v="57"/>
    <n v="115.52"/>
    <m/>
    <m/>
  </r>
  <r>
    <s v="2023-07-21 11:03 (-07)"/>
    <x v="130"/>
    <x v="349"/>
    <x v="0"/>
    <s v="On Demand"/>
    <x v="5"/>
    <x v="3"/>
    <x v="2"/>
    <s v="Pre &amp; Post-Ride Stretch"/>
    <x v="8"/>
    <x v="363"/>
    <m/>
    <m/>
    <m/>
    <m/>
    <m/>
    <m/>
    <n v="19"/>
    <n v="97.35"/>
    <m/>
    <m/>
  </r>
  <r>
    <s v="2023-07-21 23:19 (PST)"/>
    <x v="130"/>
    <x v="350"/>
    <x v="0"/>
    <s v="On Demand"/>
    <x v="28"/>
    <x v="1"/>
    <x v="5"/>
    <s v="Breath"/>
    <x v="154"/>
    <x v="364"/>
    <m/>
    <m/>
    <m/>
    <m/>
    <m/>
    <m/>
    <m/>
    <m/>
    <m/>
    <m/>
  </r>
  <r>
    <s v="2023-08-11 10:16 (-07)"/>
    <x v="131"/>
    <x v="351"/>
    <x v="0"/>
    <s v="On Demand"/>
    <x v="9"/>
    <x v="0"/>
    <x v="0"/>
    <s v="Power Zone"/>
    <x v="27"/>
    <x v="365"/>
    <n v="287"/>
    <n v="106"/>
    <n v="0.38"/>
    <n v="85"/>
    <n v="16.52"/>
    <n v="12.39"/>
    <n v="398"/>
    <n v="141.91999999999999"/>
    <m/>
    <m/>
  </r>
  <r>
    <s v="2023-08-18 02:50 (PST)"/>
    <x v="132"/>
    <x v="352"/>
    <x v="0"/>
    <s v="On Demand"/>
    <x v="28"/>
    <x v="1"/>
    <x v="5"/>
    <s v="Relaxation"/>
    <x v="71"/>
    <x v="366"/>
    <m/>
    <m/>
    <m/>
    <m/>
    <m/>
    <m/>
    <m/>
    <m/>
    <m/>
    <m/>
  </r>
  <r>
    <s v="2023-08-18 13:09 (PST)"/>
    <x v="132"/>
    <x v="309"/>
    <x v="0"/>
    <s v="On Demand"/>
    <x v="26"/>
    <x v="3"/>
    <x v="1"/>
    <s v="Full Body"/>
    <x v="161"/>
    <x v="367"/>
    <m/>
    <m/>
    <m/>
    <m/>
    <m/>
    <m/>
    <n v="21"/>
    <n v="80.95"/>
    <m/>
    <m/>
  </r>
  <r>
    <s v="2023-08-18 17:13 (-07)"/>
    <x v="132"/>
    <x v="353"/>
    <x v="0"/>
    <s v="On Demand"/>
    <x v="7"/>
    <x v="0"/>
    <x v="0"/>
    <s v="Power Zone"/>
    <x v="162"/>
    <x v="368"/>
    <n v="312"/>
    <n v="116"/>
    <n v="0.39"/>
    <n v="84"/>
    <n v="17.07"/>
    <n v="12.8"/>
    <n v="441"/>
    <n v="150.22"/>
    <m/>
    <m/>
  </r>
  <r>
    <s v="2023-08-18 17:59 (-07)"/>
    <x v="132"/>
    <x v="354"/>
    <x v="0"/>
    <s v="On Demand"/>
    <x v="4"/>
    <x v="3"/>
    <x v="2"/>
    <s v="Pre &amp; Post-Ride Stretch"/>
    <x v="8"/>
    <x v="369"/>
    <m/>
    <m/>
    <m/>
    <m/>
    <m/>
    <m/>
    <n v="30"/>
    <n v="118.4"/>
    <m/>
    <m/>
  </r>
  <r>
    <s v="2023-08-18 22:06 (PST)"/>
    <x v="132"/>
    <x v="355"/>
    <x v="0"/>
    <s v="On Demand"/>
    <x v="28"/>
    <x v="1"/>
    <x v="5"/>
    <s v="Relaxation"/>
    <x v="71"/>
    <x v="366"/>
    <m/>
    <m/>
    <m/>
    <m/>
    <m/>
    <m/>
    <m/>
    <m/>
    <m/>
    <m/>
  </r>
  <r>
    <s v="2023-09-01 23:28 (PST)"/>
    <x v="133"/>
    <x v="356"/>
    <x v="0"/>
    <s v="On Demand"/>
    <x v="23"/>
    <x v="1"/>
    <x v="5"/>
    <s v="Breath"/>
    <x v="154"/>
    <x v="370"/>
    <m/>
    <m/>
    <m/>
    <m/>
    <m/>
    <m/>
    <m/>
    <m/>
    <m/>
    <m/>
  </r>
  <r>
    <s v="2023-09-08 12:20 (PST)"/>
    <x v="134"/>
    <x v="357"/>
    <x v="0"/>
    <s v="On Demand"/>
    <x v="7"/>
    <x v="2"/>
    <x v="4"/>
    <s v="Focus Flow"/>
    <x v="86"/>
    <x v="371"/>
    <m/>
    <m/>
    <m/>
    <m/>
    <m/>
    <m/>
    <n v="87"/>
    <m/>
    <m/>
    <m/>
  </r>
  <r>
    <s v="2023-09-08 20:36 (PST)"/>
    <x v="134"/>
    <x v="358"/>
    <x v="0"/>
    <s v="On Demand"/>
    <x v="16"/>
    <x v="7"/>
    <x v="5"/>
    <s v="Mindfulness"/>
    <x v="163"/>
    <x v="372"/>
    <m/>
    <m/>
    <m/>
    <m/>
    <m/>
    <m/>
    <m/>
    <m/>
    <m/>
    <m/>
  </r>
  <r>
    <s v="2023-09-15 15:41 (MST)"/>
    <x v="135"/>
    <x v="359"/>
    <x v="0"/>
    <s v="On Demand"/>
    <x v="19"/>
    <x v="5"/>
    <x v="5"/>
    <s v="Sleep"/>
    <x v="29"/>
    <x v="373"/>
    <m/>
    <m/>
    <m/>
    <m/>
    <m/>
    <m/>
    <m/>
    <n v="82.2"/>
    <m/>
    <m/>
  </r>
  <r>
    <s v="2023-09-29 15:30 (PST)"/>
    <x v="136"/>
    <x v="360"/>
    <x v="0"/>
    <s v="On Demand"/>
    <x v="23"/>
    <x v="7"/>
    <x v="5"/>
    <s v="Mindfulness"/>
    <x v="42"/>
    <x v="374"/>
    <m/>
    <m/>
    <m/>
    <m/>
    <m/>
    <m/>
    <m/>
    <n v="72.36"/>
    <m/>
    <m/>
  </r>
  <r>
    <s v="2023-10-20 22:16 (PST)"/>
    <x v="137"/>
    <x v="51"/>
    <x v="0"/>
    <s v="On Demand"/>
    <x v="16"/>
    <x v="1"/>
    <x v="5"/>
    <s v="Fitness Focus"/>
    <x v="164"/>
    <x v="375"/>
    <m/>
    <m/>
    <m/>
    <m/>
    <m/>
    <m/>
    <m/>
    <m/>
    <m/>
    <m/>
  </r>
  <r>
    <s v="2023-10-27 22:14 (PST)"/>
    <x v="138"/>
    <x v="361"/>
    <x v="0"/>
    <s v="On Demand"/>
    <x v="16"/>
    <x v="1"/>
    <x v="5"/>
    <s v="Theme"/>
    <x v="68"/>
    <x v="376"/>
    <m/>
    <m/>
    <m/>
    <m/>
    <m/>
    <m/>
    <m/>
    <m/>
    <m/>
    <m/>
  </r>
  <r>
    <s v="2023-11-03 14:10 (PST)"/>
    <x v="139"/>
    <x v="362"/>
    <x v="0"/>
    <s v="On Demand"/>
    <x v="13"/>
    <x v="2"/>
    <x v="4"/>
    <s v="Flow"/>
    <x v="41"/>
    <x v="377"/>
    <m/>
    <m/>
    <m/>
    <m/>
    <m/>
    <m/>
    <n v="96"/>
    <m/>
    <m/>
    <m/>
  </r>
  <r>
    <s v="2023-11-03 15:44 (-07)"/>
    <x v="139"/>
    <x v="363"/>
    <x v="0"/>
    <s v="On Demand"/>
    <x v="21"/>
    <x v="1"/>
    <x v="1"/>
    <s v="Core"/>
    <x v="1"/>
    <x v="378"/>
    <m/>
    <m/>
    <m/>
    <m/>
    <m/>
    <m/>
    <n v="44"/>
    <n v="102.87"/>
    <m/>
    <m/>
  </r>
  <r>
    <s v="2023-11-03 15:55 (-07)"/>
    <x v="139"/>
    <x v="364"/>
    <x v="0"/>
    <s v="On Demand"/>
    <x v="38"/>
    <x v="5"/>
    <x v="7"/>
    <s v="Endurance"/>
    <x v="165"/>
    <x v="379"/>
    <n v="73"/>
    <m/>
    <m/>
    <m/>
    <n v="2.69"/>
    <n v="2.0099999999999998"/>
    <n v="163"/>
    <n v="135.84"/>
    <m/>
    <m/>
  </r>
  <r>
    <s v="2023-11-03 22:13 (PST)"/>
    <x v="139"/>
    <x v="235"/>
    <x v="0"/>
    <s v="On Demand"/>
    <x v="16"/>
    <x v="1"/>
    <x v="5"/>
    <s v="Mindfulness"/>
    <x v="92"/>
    <x v="380"/>
    <m/>
    <m/>
    <m/>
    <m/>
    <m/>
    <m/>
    <m/>
    <m/>
    <m/>
    <m/>
  </r>
  <r>
    <s v="2023-11-10 22:00 (PST)"/>
    <x v="140"/>
    <x v="365"/>
    <x v="0"/>
    <s v="On Demand"/>
    <x v="28"/>
    <x v="5"/>
    <x v="5"/>
    <s v="Relaxation"/>
    <x v="35"/>
    <x v="381"/>
    <m/>
    <m/>
    <m/>
    <m/>
    <m/>
    <m/>
    <m/>
    <m/>
    <m/>
    <m/>
  </r>
  <r>
    <s v="2023-12-01 00:06 (PST)"/>
    <x v="141"/>
    <x v="366"/>
    <x v="0"/>
    <s v="On Demand"/>
    <x v="28"/>
    <x v="1"/>
    <x v="5"/>
    <s v="Relaxation"/>
    <x v="34"/>
    <x v="382"/>
    <m/>
    <m/>
    <m/>
    <m/>
    <m/>
    <m/>
    <m/>
    <m/>
    <m/>
    <m/>
  </r>
  <r>
    <s v="2023-12-01 00:17 (PST)"/>
    <x v="141"/>
    <x v="367"/>
    <x v="0"/>
    <s v="On Demand"/>
    <x v="19"/>
    <x v="2"/>
    <x v="5"/>
    <s v="Sleep"/>
    <x v="31"/>
    <x v="383"/>
    <m/>
    <m/>
    <m/>
    <m/>
    <m/>
    <m/>
    <m/>
    <m/>
    <m/>
    <m/>
  </r>
  <r>
    <s v="2023-12-01 23:52 (PST)"/>
    <x v="141"/>
    <x v="368"/>
    <x v="0"/>
    <s v="On Demand"/>
    <x v="19"/>
    <x v="1"/>
    <x v="5"/>
    <s v="Emotions"/>
    <x v="60"/>
    <x v="384"/>
    <m/>
    <m/>
    <m/>
    <m/>
    <m/>
    <m/>
    <m/>
    <m/>
    <m/>
    <m/>
  </r>
  <r>
    <s v="2023-12-08 08:48 (PST)"/>
    <x v="142"/>
    <x v="369"/>
    <x v="0"/>
    <s v="On Demand"/>
    <x v="23"/>
    <x v="2"/>
    <x v="4"/>
    <s v="Flow"/>
    <x v="41"/>
    <x v="385"/>
    <m/>
    <m/>
    <m/>
    <m/>
    <m/>
    <m/>
    <n v="104"/>
    <m/>
    <m/>
    <m/>
  </r>
  <r>
    <s v="2023-12-08 10:05 (PST)"/>
    <x v="142"/>
    <x v="370"/>
    <x v="0"/>
    <s v="On Demand"/>
    <x v="16"/>
    <x v="3"/>
    <x v="5"/>
    <s v="Emotions"/>
    <x v="166"/>
    <x v="386"/>
    <m/>
    <m/>
    <m/>
    <m/>
    <m/>
    <m/>
    <m/>
    <m/>
    <m/>
    <m/>
  </r>
  <r>
    <s v="2023-12-29 22:35 (PST)"/>
    <x v="143"/>
    <x v="371"/>
    <x v="0"/>
    <s v="On Demand"/>
    <x v="19"/>
    <x v="1"/>
    <x v="5"/>
    <s v="Sleep"/>
    <x v="39"/>
    <x v="387"/>
    <m/>
    <m/>
    <m/>
    <m/>
    <m/>
    <m/>
    <m/>
    <m/>
    <m/>
    <m/>
  </r>
  <r>
    <s v="2024-01-05 16:56 (PST)"/>
    <x v="144"/>
    <x v="372"/>
    <x v="0"/>
    <s v="On Demand"/>
    <x v="7"/>
    <x v="4"/>
    <x v="4"/>
    <s v="Flow"/>
    <x v="24"/>
    <x v="388"/>
    <m/>
    <m/>
    <m/>
    <m/>
    <m/>
    <m/>
    <n v="74"/>
    <m/>
    <m/>
    <m/>
  </r>
  <r>
    <s v="2024-01-12 22:44 (PST)"/>
    <x v="145"/>
    <x v="373"/>
    <x v="0"/>
    <s v="On Demand"/>
    <x v="28"/>
    <x v="1"/>
    <x v="5"/>
    <s v="Emotions"/>
    <x v="15"/>
    <x v="389"/>
    <m/>
    <m/>
    <m/>
    <m/>
    <m/>
    <m/>
    <m/>
    <m/>
    <m/>
    <m/>
  </r>
  <r>
    <s v="2018-09-17 05:35 (PST)"/>
    <x v="146"/>
    <x v="374"/>
    <x v="1"/>
    <s v="On Demand"/>
    <x v="0"/>
    <x v="2"/>
    <x v="0"/>
    <s v="Music"/>
    <x v="167"/>
    <x v="390"/>
    <n v="172"/>
    <n v="96"/>
    <n v="0.4"/>
    <n v="75"/>
    <n v="15.68"/>
    <n v="7.83"/>
    <n v="227"/>
    <m/>
    <m/>
    <m/>
  </r>
  <r>
    <s v="2018-11-12 16:24 (PST)"/>
    <x v="147"/>
    <x v="375"/>
    <x v="1"/>
    <s v="On Demand"/>
    <x v="0"/>
    <x v="0"/>
    <x v="0"/>
    <s v="Music"/>
    <x v="168"/>
    <x v="391"/>
    <n v="234"/>
    <n v="87"/>
    <n v="0.37"/>
    <n v="78"/>
    <n v="15.04"/>
    <n v="11.27"/>
    <n v="309"/>
    <m/>
    <m/>
    <m/>
  </r>
  <r>
    <s v="2018-11-19 07:35 (PST)"/>
    <x v="148"/>
    <x v="138"/>
    <x v="1"/>
    <s v="On Demand"/>
    <x v="0"/>
    <x v="0"/>
    <x v="0"/>
    <s v="Theme"/>
    <x v="169"/>
    <x v="392"/>
    <n v="138"/>
    <n v="76"/>
    <n v="0.36"/>
    <n v="76"/>
    <n v="14.31"/>
    <n v="7.15"/>
    <n v="182"/>
    <m/>
    <m/>
    <m/>
  </r>
  <r>
    <s v="2018-11-26 12:13 (PST)"/>
    <x v="149"/>
    <x v="376"/>
    <x v="1"/>
    <s v="On Demand"/>
    <x v="0"/>
    <x v="2"/>
    <x v="0"/>
    <s v="Music"/>
    <x v="170"/>
    <x v="393"/>
    <n v="162"/>
    <n v="90"/>
    <n v="0.37"/>
    <n v="82"/>
    <n v="15.33"/>
    <n v="7.67"/>
    <n v="214"/>
    <m/>
    <m/>
    <m/>
  </r>
  <r>
    <s v="2018-12-10 12:13 (PST)"/>
    <x v="150"/>
    <x v="376"/>
    <x v="1"/>
    <s v="On Demand"/>
    <x v="0"/>
    <x v="0"/>
    <x v="0"/>
    <s v="Music"/>
    <x v="171"/>
    <x v="394"/>
    <n v="181"/>
    <n v="85"/>
    <n v="0.35"/>
    <n v="82"/>
    <n v="14.86"/>
    <n v="8.83"/>
    <n v="239"/>
    <m/>
    <m/>
    <m/>
  </r>
  <r>
    <s v="2019-11-11 16:26 (PST)"/>
    <x v="151"/>
    <x v="377"/>
    <x v="1"/>
    <s v="On Demand"/>
    <x v="1"/>
    <x v="2"/>
    <x v="0"/>
    <s v="Intervals"/>
    <x v="172"/>
    <x v="395"/>
    <n v="139"/>
    <n v="78"/>
    <n v="0.38"/>
    <n v="61"/>
    <n v="12.6"/>
    <n v="6.29"/>
    <n v="184"/>
    <m/>
    <m/>
    <m/>
  </r>
  <r>
    <s v="2020-01-06 18:05 (PST)"/>
    <x v="152"/>
    <x v="219"/>
    <x v="1"/>
    <s v="On Demand"/>
    <x v="1"/>
    <x v="3"/>
    <x v="1"/>
    <s v="Core"/>
    <x v="6"/>
    <x v="396"/>
    <m/>
    <m/>
    <m/>
    <m/>
    <m/>
    <m/>
    <n v="28"/>
    <m/>
    <m/>
    <m/>
  </r>
  <r>
    <s v="2020-01-06 18:13 (PST)"/>
    <x v="152"/>
    <x v="378"/>
    <x v="1"/>
    <s v="On Demand"/>
    <x v="19"/>
    <x v="2"/>
    <x v="4"/>
    <s v="Flow"/>
    <x v="41"/>
    <x v="397"/>
    <m/>
    <m/>
    <m/>
    <m/>
    <m/>
    <m/>
    <n v="118"/>
    <m/>
    <m/>
    <m/>
  </r>
  <r>
    <s v="2020-01-20 12:08 (PST)"/>
    <x v="153"/>
    <x v="379"/>
    <x v="1"/>
    <s v="On Demand"/>
    <x v="1"/>
    <x v="2"/>
    <x v="0"/>
    <s v="Music"/>
    <x v="170"/>
    <x v="398"/>
    <n v="161"/>
    <n v="89"/>
    <n v="0.38"/>
    <n v="77"/>
    <n v="15.23"/>
    <n v="7.61"/>
    <n v="212"/>
    <m/>
    <m/>
    <m/>
  </r>
  <r>
    <s v="2020-02-03 20:22 (PST)"/>
    <x v="154"/>
    <x v="380"/>
    <x v="1"/>
    <s v="On Demand"/>
    <x v="23"/>
    <x v="2"/>
    <x v="4"/>
    <s v="Focus Flow"/>
    <x v="173"/>
    <x v="399"/>
    <m/>
    <m/>
    <m/>
    <m/>
    <m/>
    <m/>
    <m/>
    <m/>
    <m/>
    <m/>
  </r>
  <r>
    <s v="2020-02-03 20:25 (PST)"/>
    <x v="154"/>
    <x v="381"/>
    <x v="1"/>
    <s v="On Demand"/>
    <x v="7"/>
    <x v="0"/>
    <x v="4"/>
    <s v="Flow"/>
    <x v="14"/>
    <x v="400"/>
    <m/>
    <m/>
    <m/>
    <m/>
    <m/>
    <m/>
    <n v="173"/>
    <m/>
    <m/>
    <m/>
  </r>
  <r>
    <s v="2020-02-17 19:04 (PST)"/>
    <x v="155"/>
    <x v="382"/>
    <x v="1"/>
    <s v="On Demand"/>
    <x v="1"/>
    <x v="1"/>
    <x v="1"/>
    <s v="Core"/>
    <x v="1"/>
    <x v="401"/>
    <m/>
    <m/>
    <m/>
    <m/>
    <m/>
    <m/>
    <n v="56"/>
    <m/>
    <m/>
    <m/>
  </r>
  <r>
    <s v="2020-10-19 18:26 (PST)"/>
    <x v="156"/>
    <x v="383"/>
    <x v="1"/>
    <s v="On Demand"/>
    <x v="2"/>
    <x v="1"/>
    <x v="2"/>
    <s v="Pre-Run Stretch"/>
    <x v="2"/>
    <x v="2"/>
    <m/>
    <m/>
    <m/>
    <m/>
    <m/>
    <m/>
    <n v="56"/>
    <m/>
    <m/>
    <m/>
  </r>
  <r>
    <s v="2020-10-19 19:17 (PST)"/>
    <x v="156"/>
    <x v="384"/>
    <x v="1"/>
    <s v="On Demand"/>
    <x v="26"/>
    <x v="1"/>
    <x v="2"/>
    <s v="Full Body Stretch"/>
    <x v="4"/>
    <x v="402"/>
    <m/>
    <m/>
    <m/>
    <m/>
    <m/>
    <m/>
    <n v="28"/>
    <m/>
    <m/>
    <m/>
  </r>
  <r>
    <s v="2020-11-09 07:00 (PST)"/>
    <x v="157"/>
    <x v="385"/>
    <x v="1"/>
    <s v="On Demand"/>
    <x v="9"/>
    <x v="2"/>
    <x v="0"/>
    <s v="Power Zone"/>
    <x v="5"/>
    <x v="403"/>
    <n v="125"/>
    <n v="70"/>
    <n v="0.31"/>
    <n v="88"/>
    <n v="13.84"/>
    <n v="6.92"/>
    <n v="171"/>
    <m/>
    <m/>
    <m/>
  </r>
  <r>
    <s v="2020-11-09 07:35 (PST)"/>
    <x v="157"/>
    <x v="138"/>
    <x v="1"/>
    <s v="On Demand"/>
    <x v="7"/>
    <x v="1"/>
    <x v="4"/>
    <s v="Focus Flow"/>
    <x v="174"/>
    <x v="404"/>
    <m/>
    <m/>
    <m/>
    <m/>
    <m/>
    <m/>
    <n v="38"/>
    <m/>
    <m/>
    <m/>
  </r>
  <r>
    <s v="2020-11-09 18:41 (PST)"/>
    <x v="157"/>
    <x v="386"/>
    <x v="1"/>
    <s v="On Demand"/>
    <x v="37"/>
    <x v="3"/>
    <x v="1"/>
    <s v="Warm Up"/>
    <x v="175"/>
    <x v="405"/>
    <m/>
    <m/>
    <m/>
    <m/>
    <m/>
    <m/>
    <n v="25"/>
    <m/>
    <m/>
    <m/>
  </r>
  <r>
    <s v="2020-11-09 19:04 (PST)"/>
    <x v="157"/>
    <x v="382"/>
    <x v="1"/>
    <s v="On Demand"/>
    <x v="34"/>
    <x v="7"/>
    <x v="0"/>
    <s v="Scenic Ride"/>
    <x v="176"/>
    <x v="231"/>
    <n v="22"/>
    <n v="69"/>
    <n v="0.3"/>
    <n v="88"/>
    <n v="13.65"/>
    <n v="1.24"/>
    <n v="31"/>
    <m/>
    <m/>
    <m/>
  </r>
  <r>
    <s v="2020-11-16 06:57 (PST)"/>
    <x v="158"/>
    <x v="387"/>
    <x v="1"/>
    <s v="On Demand"/>
    <x v="1"/>
    <x v="2"/>
    <x v="0"/>
    <s v="Music"/>
    <x v="177"/>
    <x v="406"/>
    <n v="165"/>
    <n v="92"/>
    <n v="0.37"/>
    <n v="80"/>
    <n v="15.4"/>
    <n v="7.7"/>
    <n v="226"/>
    <m/>
    <m/>
    <m/>
  </r>
  <r>
    <s v="2020-11-16 07:28 (PST)"/>
    <x v="158"/>
    <x v="234"/>
    <x v="1"/>
    <s v="On Demand"/>
    <x v="1"/>
    <x v="3"/>
    <x v="0"/>
    <s v="Cool Down"/>
    <x v="10"/>
    <x v="407"/>
    <n v="20"/>
    <n v="66"/>
    <n v="0.33"/>
    <n v="80"/>
    <n v="13.5"/>
    <n v="1.1299999999999999"/>
    <n v="27"/>
    <m/>
    <m/>
    <m/>
  </r>
  <r>
    <s v="2020-11-16 07:33 (PST)"/>
    <x v="158"/>
    <x v="118"/>
    <x v="1"/>
    <s v="On Demand"/>
    <x v="1"/>
    <x v="3"/>
    <x v="2"/>
    <s v="Pre &amp; Post-Ride Stretch"/>
    <x v="8"/>
    <x v="408"/>
    <m/>
    <m/>
    <m/>
    <m/>
    <m/>
    <m/>
    <n v="13"/>
    <m/>
    <m/>
    <m/>
  </r>
  <r>
    <s v="2020-11-23 06:15 (PST)"/>
    <x v="159"/>
    <x v="388"/>
    <x v="1"/>
    <s v="On Demand"/>
    <x v="7"/>
    <x v="0"/>
    <x v="0"/>
    <s v="Power Zone"/>
    <x v="85"/>
    <x v="409"/>
    <n v="212"/>
    <n v="79"/>
    <n v="0.33"/>
    <n v="87"/>
    <n v="14.53"/>
    <n v="10.89"/>
    <n v="290"/>
    <m/>
    <m/>
    <m/>
  </r>
  <r>
    <s v="2020-11-23 07:02 (PST)"/>
    <x v="159"/>
    <x v="389"/>
    <x v="1"/>
    <s v="On Demand"/>
    <x v="7"/>
    <x v="3"/>
    <x v="2"/>
    <s v="Pre &amp; Post-Ride Stretch"/>
    <x v="8"/>
    <x v="410"/>
    <m/>
    <m/>
    <m/>
    <m/>
    <m/>
    <m/>
    <n v="13"/>
    <m/>
    <m/>
    <m/>
  </r>
  <r>
    <s v="2020-11-30 14:36 (PST)"/>
    <x v="160"/>
    <x v="390"/>
    <x v="1"/>
    <s v="On Demand"/>
    <x v="6"/>
    <x v="4"/>
    <x v="0"/>
    <s v="Power Zone"/>
    <x v="7"/>
    <x v="411"/>
    <n v="301"/>
    <n v="84"/>
    <n v="0.33"/>
    <n v="90"/>
    <n v="15"/>
    <n v="14.99"/>
    <n v="411"/>
    <m/>
    <m/>
    <m/>
  </r>
  <r>
    <s v="2020-11-30 15:49 (PST)"/>
    <x v="160"/>
    <x v="391"/>
    <x v="1"/>
    <s v="On Demand"/>
    <x v="5"/>
    <x v="1"/>
    <x v="1"/>
    <s v="Core"/>
    <x v="1"/>
    <x v="412"/>
    <m/>
    <m/>
    <m/>
    <m/>
    <m/>
    <m/>
    <n v="51"/>
    <m/>
    <m/>
    <m/>
  </r>
  <r>
    <s v="2020-11-30 16:01 (PST)"/>
    <x v="160"/>
    <x v="392"/>
    <x v="1"/>
    <s v="On Demand"/>
    <x v="7"/>
    <x v="1"/>
    <x v="4"/>
    <s v="Flow"/>
    <x v="178"/>
    <x v="413"/>
    <m/>
    <m/>
    <m/>
    <m/>
    <m/>
    <m/>
    <n v="38"/>
    <m/>
    <m/>
    <m/>
  </r>
  <r>
    <s v="2020-12-07 12:16 (PST)"/>
    <x v="161"/>
    <x v="393"/>
    <x v="1"/>
    <s v="On Demand"/>
    <x v="6"/>
    <x v="2"/>
    <x v="0"/>
    <s v="Power Zone"/>
    <x v="5"/>
    <x v="414"/>
    <n v="150"/>
    <n v="83"/>
    <n v="0.34"/>
    <n v="86"/>
    <n v="14.95"/>
    <n v="7.47"/>
    <n v="205"/>
    <m/>
    <m/>
    <m/>
  </r>
  <r>
    <s v="2020-12-14 07:32 (PST)"/>
    <x v="162"/>
    <x v="394"/>
    <x v="1"/>
    <s v="On Demand"/>
    <x v="1"/>
    <x v="5"/>
    <x v="0"/>
    <s v="Music"/>
    <x v="179"/>
    <x v="415"/>
    <n v="120"/>
    <n v="100"/>
    <n v="0.41"/>
    <n v="76"/>
    <n v="16.05"/>
    <n v="5.34"/>
    <n v="149"/>
    <m/>
    <m/>
    <m/>
  </r>
  <r>
    <s v="2020-12-21 07:16 (PST)"/>
    <x v="163"/>
    <x v="107"/>
    <x v="1"/>
    <s v="On Demand"/>
    <x v="1"/>
    <x v="2"/>
    <x v="0"/>
    <s v="Intervals"/>
    <x v="172"/>
    <x v="416"/>
    <n v="113"/>
    <n v="63"/>
    <n v="0.36"/>
    <n v="52"/>
    <n v="9.76"/>
    <n v="4.88"/>
    <n v="139"/>
    <m/>
    <m/>
    <m/>
  </r>
  <r>
    <s v="2020-12-21 07:50 (PST)"/>
    <x v="163"/>
    <x v="71"/>
    <x v="1"/>
    <s v="On Demand"/>
    <x v="16"/>
    <x v="7"/>
    <x v="1"/>
    <s v="Pilates"/>
    <x v="180"/>
    <x v="417"/>
    <m/>
    <m/>
    <m/>
    <m/>
    <m/>
    <m/>
    <n v="69"/>
    <m/>
    <m/>
    <m/>
  </r>
  <r>
    <s v="2020-12-28 18:03 (PST)"/>
    <x v="164"/>
    <x v="395"/>
    <x v="1"/>
    <s v="On Demand"/>
    <x v="17"/>
    <x v="0"/>
    <x v="3"/>
    <s v="Body Focus"/>
    <x v="181"/>
    <x v="418"/>
    <n v="142"/>
    <m/>
    <m/>
    <m/>
    <n v="15.98"/>
    <n v="6.15"/>
    <n v="254"/>
    <m/>
    <m/>
    <m/>
  </r>
  <r>
    <s v="2020-12-28 18:52 (PST)"/>
    <x v="164"/>
    <x v="396"/>
    <x v="1"/>
    <s v="On Demand"/>
    <x v="1"/>
    <x v="1"/>
    <x v="1"/>
    <s v="Core"/>
    <x v="1"/>
    <x v="419"/>
    <m/>
    <m/>
    <m/>
    <m/>
    <m/>
    <m/>
    <n v="46"/>
    <m/>
    <m/>
    <m/>
  </r>
  <r>
    <s v="2021-01-04 07:03 (PST)"/>
    <x v="165"/>
    <x v="397"/>
    <x v="1"/>
    <s v="On Demand"/>
    <x v="9"/>
    <x v="2"/>
    <x v="0"/>
    <s v="Power Zone"/>
    <x v="182"/>
    <x v="420"/>
    <n v="163"/>
    <n v="91"/>
    <n v="0.35"/>
    <n v="85"/>
    <n v="15.41"/>
    <n v="7.7"/>
    <n v="202"/>
    <m/>
    <m/>
    <m/>
  </r>
  <r>
    <s v="2021-01-04 21:52 (PST)"/>
    <x v="165"/>
    <x v="398"/>
    <x v="1"/>
    <s v="On Demand"/>
    <x v="1"/>
    <x v="1"/>
    <x v="1"/>
    <s v="Core"/>
    <x v="1"/>
    <x v="1"/>
    <m/>
    <m/>
    <m/>
    <m/>
    <m/>
    <m/>
    <n v="46"/>
    <m/>
    <m/>
    <m/>
  </r>
  <r>
    <s v="2021-01-04 22:02 (PST)"/>
    <x v="165"/>
    <x v="399"/>
    <x v="1"/>
    <s v="On Demand"/>
    <x v="7"/>
    <x v="5"/>
    <x v="4"/>
    <s v="Focus Flow"/>
    <x v="183"/>
    <x v="421"/>
    <m/>
    <m/>
    <m/>
    <m/>
    <m/>
    <m/>
    <n v="61"/>
    <m/>
    <m/>
    <m/>
  </r>
  <r>
    <s v="2021-01-11 18:17 (PST)"/>
    <x v="166"/>
    <x v="400"/>
    <x v="1"/>
    <s v="On Demand"/>
    <x v="6"/>
    <x v="2"/>
    <x v="0"/>
    <s v="Power Zone"/>
    <x v="184"/>
    <x v="422"/>
    <n v="152"/>
    <n v="84"/>
    <n v="0.35"/>
    <n v="83"/>
    <n v="15.01"/>
    <n v="7.5"/>
    <n v="187"/>
    <m/>
    <m/>
    <m/>
  </r>
  <r>
    <s v="2021-01-11 18:49 (PST)"/>
    <x v="166"/>
    <x v="401"/>
    <x v="1"/>
    <s v="On Demand"/>
    <x v="1"/>
    <x v="1"/>
    <x v="0"/>
    <s v="Climb"/>
    <x v="185"/>
    <x v="423"/>
    <n v="69"/>
    <n v="116"/>
    <n v="0.46"/>
    <n v="68"/>
    <n v="17.059999999999999"/>
    <n v="2.84"/>
    <n v="86"/>
    <m/>
    <m/>
    <m/>
  </r>
  <r>
    <s v="2021-01-11 19:03 (PST)"/>
    <x v="166"/>
    <x v="402"/>
    <x v="1"/>
    <s v="On Demand"/>
    <x v="1"/>
    <x v="1"/>
    <x v="1"/>
    <s v="Bodyweight"/>
    <x v="186"/>
    <x v="424"/>
    <m/>
    <m/>
    <m/>
    <m/>
    <m/>
    <m/>
    <n v="46"/>
    <m/>
    <m/>
    <m/>
  </r>
  <r>
    <s v="2021-01-18 17:02 (PST)"/>
    <x v="167"/>
    <x v="403"/>
    <x v="1"/>
    <s v="On Demand"/>
    <x v="6"/>
    <x v="0"/>
    <x v="0"/>
    <s v="Power Zone"/>
    <x v="27"/>
    <x v="425"/>
    <n v="236"/>
    <n v="87"/>
    <n v="0.35"/>
    <n v="86"/>
    <n v="15.29"/>
    <n v="11.47"/>
    <n v="292"/>
    <m/>
    <m/>
    <m/>
  </r>
  <r>
    <s v="2021-01-18 17:49 (PST)"/>
    <x v="167"/>
    <x v="404"/>
    <x v="1"/>
    <s v="On Demand"/>
    <x v="6"/>
    <x v="3"/>
    <x v="2"/>
    <s v="Pre &amp; Post-Ride Stretch"/>
    <x v="8"/>
    <x v="8"/>
    <m/>
    <m/>
    <m/>
    <m/>
    <m/>
    <m/>
    <n v="12"/>
    <m/>
    <m/>
    <m/>
  </r>
  <r>
    <s v="2021-01-25 07:08 (-08)"/>
    <x v="168"/>
    <x v="405"/>
    <x v="1"/>
    <s v="On Demand"/>
    <x v="6"/>
    <x v="0"/>
    <x v="0"/>
    <s v="Power Zone"/>
    <x v="85"/>
    <x v="426"/>
    <n v="245"/>
    <n v="91"/>
    <n v="0.34"/>
    <n v="89"/>
    <n v="15.39"/>
    <n v="11.54"/>
    <n v="303"/>
    <m/>
    <m/>
    <m/>
  </r>
  <r>
    <s v="2021-01-25 07:53 (-08)"/>
    <x v="168"/>
    <x v="406"/>
    <x v="1"/>
    <s v="On Demand"/>
    <x v="6"/>
    <x v="3"/>
    <x v="2"/>
    <s v="Pre &amp; Post-Ride Stretch"/>
    <x v="8"/>
    <x v="24"/>
    <m/>
    <m/>
    <m/>
    <m/>
    <m/>
    <m/>
    <n v="12"/>
    <m/>
    <m/>
    <m/>
  </r>
  <r>
    <s v="2021-01-25 21:04 (PST)"/>
    <x v="168"/>
    <x v="407"/>
    <x v="1"/>
    <s v="On Demand"/>
    <x v="7"/>
    <x v="2"/>
    <x v="4"/>
    <s v="Focus Flow"/>
    <x v="187"/>
    <x v="427"/>
    <m/>
    <m/>
    <m/>
    <m/>
    <m/>
    <m/>
    <n v="100"/>
    <m/>
    <m/>
    <m/>
  </r>
  <r>
    <s v="2021-01-25 21:42 (PST)"/>
    <x v="168"/>
    <x v="408"/>
    <x v="1"/>
    <s v="On Demand"/>
    <x v="23"/>
    <x v="1"/>
    <x v="5"/>
    <s v="Emotions"/>
    <x v="109"/>
    <x v="428"/>
    <m/>
    <m/>
    <m/>
    <m/>
    <m/>
    <m/>
    <m/>
    <m/>
    <m/>
    <m/>
  </r>
  <r>
    <s v="2021-02-01 20:43 (-08)"/>
    <x v="169"/>
    <x v="409"/>
    <x v="1"/>
    <s v="On Demand"/>
    <x v="6"/>
    <x v="0"/>
    <x v="0"/>
    <s v="Power Zone"/>
    <x v="85"/>
    <x v="429"/>
    <n v="257"/>
    <n v="95"/>
    <n v="0.35"/>
    <n v="88"/>
    <n v="15.66"/>
    <n v="11.74"/>
    <n v="318"/>
    <m/>
    <m/>
    <m/>
  </r>
  <r>
    <s v="2021-02-01 21:29 (-08)"/>
    <x v="169"/>
    <x v="410"/>
    <x v="1"/>
    <s v="On Demand"/>
    <x v="6"/>
    <x v="3"/>
    <x v="0"/>
    <s v="Cool Down"/>
    <x v="10"/>
    <x v="38"/>
    <n v="16"/>
    <n v="53"/>
    <n v="0.26"/>
    <n v="91"/>
    <n v="12.31"/>
    <n v="1.02"/>
    <n v="20"/>
    <m/>
    <m/>
    <m/>
  </r>
  <r>
    <s v="2021-02-01 21:36 (-08)"/>
    <x v="169"/>
    <x v="411"/>
    <x v="1"/>
    <s v="On Demand"/>
    <x v="6"/>
    <x v="3"/>
    <x v="2"/>
    <s v="Pre &amp; Post-Ride Stretch"/>
    <x v="8"/>
    <x v="24"/>
    <m/>
    <m/>
    <m/>
    <m/>
    <m/>
    <m/>
    <n v="12"/>
    <m/>
    <m/>
    <m/>
  </r>
  <r>
    <s v="2021-02-08 06:17 (PST)"/>
    <x v="170"/>
    <x v="412"/>
    <x v="1"/>
    <s v="On Demand"/>
    <x v="18"/>
    <x v="3"/>
    <x v="0"/>
    <s v="Warm Up"/>
    <x v="22"/>
    <x v="430"/>
    <n v="22"/>
    <n v="75"/>
    <n v="0.28999999999999998"/>
    <n v="98"/>
    <n v="14.23"/>
    <n v="1.17"/>
    <n v="28"/>
    <m/>
    <m/>
    <m/>
  </r>
  <r>
    <s v="2021-02-08 06:23 (PST)"/>
    <x v="170"/>
    <x v="413"/>
    <x v="1"/>
    <s v="On Demand"/>
    <x v="6"/>
    <x v="0"/>
    <x v="0"/>
    <s v="Power Zone"/>
    <x v="27"/>
    <x v="431"/>
    <n v="240"/>
    <n v="89"/>
    <n v="0.35"/>
    <n v="86"/>
    <n v="15.4"/>
    <n v="11.55"/>
    <n v="297"/>
    <m/>
    <m/>
    <m/>
  </r>
  <r>
    <s v="2021-02-08 07:08 (PST)"/>
    <x v="170"/>
    <x v="414"/>
    <x v="1"/>
    <s v="On Demand"/>
    <x v="6"/>
    <x v="3"/>
    <x v="0"/>
    <s v="Cool Down"/>
    <x v="10"/>
    <x v="28"/>
    <n v="16"/>
    <n v="55"/>
    <n v="0.27"/>
    <n v="89"/>
    <n v="12.42"/>
    <n v="1.03"/>
    <n v="20"/>
    <m/>
    <m/>
    <m/>
  </r>
  <r>
    <s v="2021-02-08 07:14 (PST)"/>
    <x v="170"/>
    <x v="415"/>
    <x v="1"/>
    <s v="On Demand"/>
    <x v="6"/>
    <x v="3"/>
    <x v="2"/>
    <s v="Pre &amp; Post-Ride Stretch"/>
    <x v="8"/>
    <x v="8"/>
    <m/>
    <m/>
    <m/>
    <m/>
    <m/>
    <m/>
    <n v="12"/>
    <m/>
    <m/>
    <m/>
  </r>
  <r>
    <s v="2021-02-15 18:00 (PST)"/>
    <x v="171"/>
    <x v="416"/>
    <x v="1"/>
    <s v="On Demand"/>
    <x v="6"/>
    <x v="3"/>
    <x v="0"/>
    <s v="Warm Up"/>
    <x v="22"/>
    <x v="432"/>
    <n v="21"/>
    <n v="71"/>
    <n v="0.3"/>
    <n v="90"/>
    <n v="14.03"/>
    <n v="1.17"/>
    <n v="26"/>
    <m/>
    <m/>
    <m/>
  </r>
  <r>
    <s v="2021-02-15 18:08 (PST)"/>
    <x v="171"/>
    <x v="417"/>
    <x v="1"/>
    <s v="On Demand"/>
    <x v="6"/>
    <x v="0"/>
    <x v="0"/>
    <s v="Power Zone"/>
    <x v="85"/>
    <x v="433"/>
    <n v="250"/>
    <n v="92"/>
    <n v="0.34"/>
    <n v="84"/>
    <n v="14.75"/>
    <n v="11.19"/>
    <n v="309"/>
    <m/>
    <m/>
    <m/>
  </r>
  <r>
    <s v="2021-02-15 18:52 (PST)"/>
    <x v="171"/>
    <x v="396"/>
    <x v="1"/>
    <s v="On Demand"/>
    <x v="22"/>
    <x v="1"/>
    <x v="0"/>
    <s v="Cool Down"/>
    <x v="17"/>
    <x v="434"/>
    <n v="41"/>
    <n v="69"/>
    <n v="0.33"/>
    <n v="79"/>
    <n v="13.71"/>
    <n v="2.2799999999999998"/>
    <n v="51"/>
    <m/>
    <m/>
    <m/>
  </r>
  <r>
    <s v="2021-02-15 19:02 (PST)"/>
    <x v="171"/>
    <x v="418"/>
    <x v="1"/>
    <s v="On Demand"/>
    <x v="22"/>
    <x v="1"/>
    <x v="1"/>
    <s v="Arms &amp; Light Weights"/>
    <x v="18"/>
    <x v="435"/>
    <m/>
    <m/>
    <m/>
    <m/>
    <m/>
    <m/>
    <n v="46"/>
    <m/>
    <m/>
    <m/>
  </r>
  <r>
    <s v="2021-02-15 19:13 (PST)"/>
    <x v="171"/>
    <x v="419"/>
    <x v="1"/>
    <s v="On Demand"/>
    <x v="6"/>
    <x v="3"/>
    <x v="2"/>
    <s v="Lower Body Stretch"/>
    <x v="188"/>
    <x v="436"/>
    <m/>
    <m/>
    <m/>
    <m/>
    <m/>
    <m/>
    <n v="12"/>
    <m/>
    <m/>
    <m/>
  </r>
  <r>
    <s v="2021-02-22 19:36 (PST)"/>
    <x v="172"/>
    <x v="420"/>
    <x v="1"/>
    <s v="On Demand"/>
    <x v="6"/>
    <x v="2"/>
    <x v="0"/>
    <s v="Power Zone"/>
    <x v="189"/>
    <x v="437"/>
    <n v="149"/>
    <n v="83"/>
    <n v="0.33"/>
    <n v="89"/>
    <n v="14.9"/>
    <n v="7.45"/>
    <n v="185"/>
    <m/>
    <m/>
    <m/>
  </r>
  <r>
    <s v="2021-02-22 20:09 (PST)"/>
    <x v="172"/>
    <x v="421"/>
    <x v="1"/>
    <s v="On Demand"/>
    <x v="5"/>
    <x v="1"/>
    <x v="1"/>
    <s v="Core"/>
    <x v="1"/>
    <x v="438"/>
    <m/>
    <m/>
    <m/>
    <m/>
    <m/>
    <m/>
    <n v="46"/>
    <m/>
    <m/>
    <m/>
  </r>
  <r>
    <s v="2021-03-01 06:58 (PST)"/>
    <x v="173"/>
    <x v="42"/>
    <x v="1"/>
    <s v="On Demand"/>
    <x v="7"/>
    <x v="4"/>
    <x v="4"/>
    <s v="Flow"/>
    <x v="24"/>
    <x v="439"/>
    <m/>
    <m/>
    <m/>
    <m/>
    <m/>
    <m/>
    <n v="193"/>
    <m/>
    <m/>
    <m/>
  </r>
  <r>
    <s v="2021-03-08 07:25 (PST)"/>
    <x v="174"/>
    <x v="422"/>
    <x v="1"/>
    <s v="On Demand"/>
    <x v="16"/>
    <x v="0"/>
    <x v="4"/>
    <s v="Flow"/>
    <x v="14"/>
    <x v="440"/>
    <m/>
    <m/>
    <m/>
    <m/>
    <m/>
    <m/>
    <n v="150"/>
    <m/>
    <m/>
    <m/>
  </r>
  <r>
    <s v="2021-03-08 21:29 (PST)"/>
    <x v="174"/>
    <x v="423"/>
    <x v="1"/>
    <s v="On Demand"/>
    <x v="1"/>
    <x v="1"/>
    <x v="1"/>
    <s v="Core"/>
    <x v="190"/>
    <x v="441"/>
    <m/>
    <m/>
    <m/>
    <m/>
    <m/>
    <m/>
    <n v="46"/>
    <m/>
    <m/>
    <m/>
  </r>
  <r>
    <s v="2021-03-08 21:48 (PST)"/>
    <x v="174"/>
    <x v="424"/>
    <x v="1"/>
    <s v="On Demand"/>
    <x v="16"/>
    <x v="1"/>
    <x v="5"/>
    <s v="Relaxation"/>
    <x v="71"/>
    <x v="442"/>
    <m/>
    <m/>
    <m/>
    <m/>
    <m/>
    <m/>
    <m/>
    <m/>
    <m/>
    <m/>
  </r>
  <r>
    <s v="2021-03-15 05:46 (PST)"/>
    <x v="175"/>
    <x v="425"/>
    <x v="1"/>
    <s v="On Demand"/>
    <x v="16"/>
    <x v="2"/>
    <x v="4"/>
    <s v="Flow"/>
    <x v="41"/>
    <x v="443"/>
    <m/>
    <m/>
    <m/>
    <m/>
    <m/>
    <m/>
    <n v="98"/>
    <m/>
    <m/>
    <m/>
  </r>
  <r>
    <s v="2021-03-15 22:39 (PST)"/>
    <x v="175"/>
    <x v="426"/>
    <x v="1"/>
    <s v="On Demand"/>
    <x v="19"/>
    <x v="5"/>
    <x v="5"/>
    <s v="Relaxation"/>
    <x v="84"/>
    <x v="444"/>
    <m/>
    <m/>
    <m/>
    <m/>
    <m/>
    <m/>
    <m/>
    <m/>
    <m/>
    <m/>
  </r>
  <r>
    <s v="2021-03-22 18:48 (-07)"/>
    <x v="176"/>
    <x v="427"/>
    <x v="1"/>
    <s v="On Demand"/>
    <x v="6"/>
    <x v="0"/>
    <x v="0"/>
    <s v="Power Zone"/>
    <x v="27"/>
    <x v="445"/>
    <n v="258"/>
    <n v="96"/>
    <n v="0.36"/>
    <n v="86"/>
    <n v="15.83"/>
    <n v="11.87"/>
    <n v="319"/>
    <m/>
    <m/>
    <m/>
  </r>
  <r>
    <s v="2021-03-22 19:34 (-07)"/>
    <x v="176"/>
    <x v="428"/>
    <x v="1"/>
    <s v="On Demand"/>
    <x v="18"/>
    <x v="1"/>
    <x v="0"/>
    <s v="Cool Down"/>
    <x v="17"/>
    <x v="446"/>
    <n v="44"/>
    <n v="73"/>
    <n v="0.35"/>
    <n v="78"/>
    <n v="14.1"/>
    <n v="2.35"/>
    <n v="54"/>
    <m/>
    <m/>
    <m/>
  </r>
  <r>
    <s v="2021-03-22 19:45 (-07)"/>
    <x v="176"/>
    <x v="429"/>
    <x v="1"/>
    <s v="On Demand"/>
    <x v="6"/>
    <x v="3"/>
    <x v="2"/>
    <s v="Pre &amp; Post-Ride Stretch"/>
    <x v="8"/>
    <x v="447"/>
    <m/>
    <m/>
    <m/>
    <m/>
    <m/>
    <m/>
    <n v="12"/>
    <m/>
    <m/>
    <m/>
  </r>
  <r>
    <s v="2021-03-22 19:51 (-07)"/>
    <x v="176"/>
    <x v="430"/>
    <x v="1"/>
    <s v="On Demand"/>
    <x v="5"/>
    <x v="3"/>
    <x v="1"/>
    <s v="Core"/>
    <x v="6"/>
    <x v="448"/>
    <m/>
    <m/>
    <m/>
    <m/>
    <m/>
    <m/>
    <n v="23"/>
    <m/>
    <m/>
    <m/>
  </r>
  <r>
    <s v="2021-03-22 22:46 (PST)"/>
    <x v="176"/>
    <x v="193"/>
    <x v="1"/>
    <s v="On Demand"/>
    <x v="19"/>
    <x v="1"/>
    <x v="5"/>
    <s v="Emotions"/>
    <x v="128"/>
    <x v="449"/>
    <m/>
    <m/>
    <m/>
    <m/>
    <m/>
    <m/>
    <m/>
    <m/>
    <m/>
    <m/>
  </r>
  <r>
    <s v="2021-03-29 06:54 (PST)"/>
    <x v="177"/>
    <x v="431"/>
    <x v="1"/>
    <s v="On Demand"/>
    <x v="5"/>
    <x v="1"/>
    <x v="1"/>
    <s v="Core"/>
    <x v="1"/>
    <x v="450"/>
    <m/>
    <m/>
    <m/>
    <m/>
    <m/>
    <m/>
    <n v="54"/>
    <m/>
    <m/>
    <m/>
  </r>
  <r>
    <s v="2021-03-29 07:11 (PST)"/>
    <x v="177"/>
    <x v="13"/>
    <x v="1"/>
    <s v="On Demand"/>
    <x v="7"/>
    <x v="0"/>
    <x v="4"/>
    <s v="Focus Flow"/>
    <x v="191"/>
    <x v="451"/>
    <m/>
    <m/>
    <m/>
    <m/>
    <m/>
    <m/>
    <n v="137"/>
    <m/>
    <m/>
    <m/>
  </r>
  <r>
    <s v="2021-03-29 21:46 (PST)"/>
    <x v="177"/>
    <x v="432"/>
    <x v="1"/>
    <s v="On Demand"/>
    <x v="16"/>
    <x v="5"/>
    <x v="5"/>
    <s v="Sleep"/>
    <x v="29"/>
    <x v="452"/>
    <m/>
    <m/>
    <m/>
    <m/>
    <m/>
    <m/>
    <m/>
    <m/>
    <m/>
    <m/>
  </r>
  <r>
    <s v="2021-04-05 06:49 (-07)"/>
    <x v="178"/>
    <x v="433"/>
    <x v="1"/>
    <s v="On Demand"/>
    <x v="7"/>
    <x v="0"/>
    <x v="0"/>
    <s v="Power Zone"/>
    <x v="27"/>
    <x v="453"/>
    <n v="232"/>
    <n v="86"/>
    <n v="0.34"/>
    <n v="88"/>
    <n v="15.1"/>
    <n v="11.33"/>
    <n v="287"/>
    <m/>
    <m/>
    <m/>
  </r>
  <r>
    <s v="2021-04-05 07:36 (-07)"/>
    <x v="178"/>
    <x v="434"/>
    <x v="1"/>
    <s v="On Demand"/>
    <x v="7"/>
    <x v="3"/>
    <x v="2"/>
    <s v="Pre &amp; Post-Ride Stretch"/>
    <x v="8"/>
    <x v="454"/>
    <m/>
    <m/>
    <m/>
    <m/>
    <m/>
    <m/>
    <n v="12"/>
    <m/>
    <m/>
    <m/>
  </r>
  <r>
    <s v="2021-04-05 22:08 (PST)"/>
    <x v="178"/>
    <x v="435"/>
    <x v="1"/>
    <s v="On Demand"/>
    <x v="16"/>
    <x v="5"/>
    <x v="5"/>
    <s v="Emotions"/>
    <x v="29"/>
    <x v="209"/>
    <m/>
    <m/>
    <m/>
    <m/>
    <m/>
    <m/>
    <m/>
    <m/>
    <m/>
    <m/>
  </r>
  <r>
    <s v="2021-04-12 19:35 (-07)"/>
    <x v="179"/>
    <x v="436"/>
    <x v="1"/>
    <s v="On Demand"/>
    <x v="11"/>
    <x v="1"/>
    <x v="1"/>
    <s v="Core"/>
    <x v="1"/>
    <x v="455"/>
    <m/>
    <m/>
    <m/>
    <m/>
    <m/>
    <m/>
    <n v="46"/>
    <m/>
    <m/>
    <m/>
  </r>
  <r>
    <s v="2021-04-12 19:48 (-07)"/>
    <x v="179"/>
    <x v="437"/>
    <x v="1"/>
    <s v="On Demand"/>
    <x v="1"/>
    <x v="1"/>
    <x v="1"/>
    <s v="Arms &amp; Light Weights"/>
    <x v="28"/>
    <x v="456"/>
    <m/>
    <m/>
    <m/>
    <m/>
    <m/>
    <m/>
    <n v="46"/>
    <m/>
    <m/>
    <m/>
  </r>
  <r>
    <s v="2021-04-12 22:11 (PST)"/>
    <x v="179"/>
    <x v="137"/>
    <x v="1"/>
    <s v="On Demand"/>
    <x v="16"/>
    <x v="5"/>
    <x v="5"/>
    <s v="Mindfulness"/>
    <x v="38"/>
    <x v="64"/>
    <m/>
    <m/>
    <m/>
    <m/>
    <m/>
    <m/>
    <m/>
    <m/>
    <m/>
    <m/>
  </r>
  <r>
    <s v="2021-04-19 16:22 (-07)"/>
    <x v="180"/>
    <x v="438"/>
    <x v="1"/>
    <s v="On Demand"/>
    <x v="6"/>
    <x v="1"/>
    <x v="0"/>
    <s v="Low Impact"/>
    <x v="192"/>
    <x v="457"/>
    <n v="33"/>
    <n v="55"/>
    <n v="0.31"/>
    <n v="73"/>
    <n v="12.06"/>
    <n v="2.0099999999999998"/>
    <n v="41"/>
    <m/>
    <m/>
    <m/>
  </r>
  <r>
    <s v="2021-04-19 16:33 (-07)"/>
    <x v="180"/>
    <x v="439"/>
    <x v="1"/>
    <s v="On Demand"/>
    <x v="6"/>
    <x v="0"/>
    <x v="0"/>
    <s v="Power Zone"/>
    <x v="27"/>
    <x v="44"/>
    <n v="238"/>
    <n v="88"/>
    <n v="0.36"/>
    <n v="84"/>
    <n v="15.27"/>
    <n v="11.46"/>
    <n v="294"/>
    <m/>
    <m/>
    <m/>
  </r>
  <r>
    <s v="2021-04-19 17:19 (-07)"/>
    <x v="180"/>
    <x v="440"/>
    <x v="1"/>
    <s v="On Demand"/>
    <x v="12"/>
    <x v="3"/>
    <x v="0"/>
    <s v="Cool Down"/>
    <x v="10"/>
    <x v="458"/>
    <n v="22"/>
    <n v="73"/>
    <n v="0.32"/>
    <n v="85"/>
    <n v="14.04"/>
    <n v="1.17"/>
    <n v="27"/>
    <m/>
    <m/>
    <m/>
  </r>
  <r>
    <s v="2021-04-19 17:25 (-07)"/>
    <x v="180"/>
    <x v="441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4-19 17:31 (-07)"/>
    <x v="180"/>
    <x v="442"/>
    <x v="1"/>
    <s v="On Demand"/>
    <x v="11"/>
    <x v="1"/>
    <x v="1"/>
    <s v="Core"/>
    <x v="1"/>
    <x v="459"/>
    <m/>
    <m/>
    <m/>
    <m/>
    <m/>
    <m/>
    <n v="46"/>
    <m/>
    <m/>
    <m/>
  </r>
  <r>
    <s v="2021-04-19 17:54 (PST)"/>
    <x v="180"/>
    <x v="443"/>
    <x v="1"/>
    <s v="On Demand"/>
    <x v="7"/>
    <x v="2"/>
    <x v="4"/>
    <s v="Focus Flow"/>
    <x v="193"/>
    <x v="460"/>
    <m/>
    <m/>
    <m/>
    <m/>
    <m/>
    <m/>
    <n v="96"/>
    <m/>
    <m/>
    <m/>
  </r>
  <r>
    <s v="2021-04-19 21:48 (PST)"/>
    <x v="180"/>
    <x v="424"/>
    <x v="1"/>
    <s v="On Demand"/>
    <x v="16"/>
    <x v="2"/>
    <x v="5"/>
    <s v="Sleep"/>
    <x v="31"/>
    <x v="461"/>
    <m/>
    <m/>
    <m/>
    <m/>
    <m/>
    <m/>
    <m/>
    <m/>
    <m/>
    <m/>
  </r>
  <r>
    <s v="2021-04-26 06:27 (PST)"/>
    <x v="181"/>
    <x v="444"/>
    <x v="1"/>
    <s v="On Demand"/>
    <x v="7"/>
    <x v="5"/>
    <x v="4"/>
    <s v="Flow"/>
    <x v="30"/>
    <x v="462"/>
    <m/>
    <m/>
    <m/>
    <m/>
    <m/>
    <m/>
    <n v="66"/>
    <m/>
    <m/>
    <m/>
  </r>
  <r>
    <s v="2021-04-26 20:18 (-07)"/>
    <x v="181"/>
    <x v="445"/>
    <x v="1"/>
    <s v="On Demand"/>
    <x v="6"/>
    <x v="0"/>
    <x v="0"/>
    <s v="Power Zone"/>
    <x v="85"/>
    <x v="463"/>
    <n v="252"/>
    <n v="94"/>
    <n v="0.35"/>
    <n v="86"/>
    <n v="15.53"/>
    <n v="11.65"/>
    <n v="312"/>
    <m/>
    <m/>
    <m/>
  </r>
  <r>
    <s v="2021-04-26 21:04 (-07)"/>
    <x v="181"/>
    <x v="446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4-26 21:10 (-07)"/>
    <x v="181"/>
    <x v="447"/>
    <x v="1"/>
    <s v="On Demand"/>
    <x v="3"/>
    <x v="7"/>
    <x v="1"/>
    <s v="Core"/>
    <x v="126"/>
    <x v="464"/>
    <m/>
    <m/>
    <m/>
    <m/>
    <m/>
    <m/>
    <n v="69"/>
    <m/>
    <m/>
    <m/>
  </r>
  <r>
    <s v="2021-04-26 22:27 (PST)"/>
    <x v="181"/>
    <x v="448"/>
    <x v="1"/>
    <s v="On Demand"/>
    <x v="19"/>
    <x v="1"/>
    <x v="5"/>
    <s v="Relaxation"/>
    <x v="71"/>
    <x v="465"/>
    <m/>
    <m/>
    <m/>
    <m/>
    <m/>
    <m/>
    <m/>
    <m/>
    <m/>
    <m/>
  </r>
  <r>
    <s v="2021-05-03 06:46 (-07)"/>
    <x v="182"/>
    <x v="449"/>
    <x v="1"/>
    <s v="On Demand"/>
    <x v="6"/>
    <x v="6"/>
    <x v="0"/>
    <s v="Power Zone"/>
    <x v="20"/>
    <x v="466"/>
    <n v="403"/>
    <n v="90"/>
    <n v="0.35"/>
    <n v="84"/>
    <n v="15.41"/>
    <n v="19.27"/>
    <n v="499"/>
    <m/>
    <m/>
    <m/>
  </r>
  <r>
    <s v="2021-05-03 08:07 (PST)"/>
    <x v="182"/>
    <x v="450"/>
    <x v="1"/>
    <s v="On Demand"/>
    <x v="6"/>
    <x v="3"/>
    <x v="2"/>
    <s v="Pre &amp; Post-Ride Stretch"/>
    <x v="8"/>
    <x v="467"/>
    <m/>
    <m/>
    <m/>
    <m/>
    <m/>
    <m/>
    <n v="12"/>
    <m/>
    <m/>
    <m/>
  </r>
  <r>
    <s v="2021-05-10 06:18 (-07)"/>
    <x v="183"/>
    <x v="451"/>
    <x v="1"/>
    <s v="On Demand"/>
    <x v="6"/>
    <x v="6"/>
    <x v="0"/>
    <s v="Power Zone"/>
    <x v="20"/>
    <x v="468"/>
    <n v="410"/>
    <n v="91"/>
    <n v="0.36"/>
    <n v="84"/>
    <n v="15.52"/>
    <n v="19.39"/>
    <n v="507"/>
    <m/>
    <m/>
    <m/>
  </r>
  <r>
    <s v="2021-05-10 07:34 (-07)"/>
    <x v="183"/>
    <x v="452"/>
    <x v="1"/>
    <s v="On Demand"/>
    <x v="6"/>
    <x v="3"/>
    <x v="0"/>
    <s v="Cool Down"/>
    <x v="10"/>
    <x v="85"/>
    <n v="21"/>
    <n v="69"/>
    <n v="0.3"/>
    <n v="89"/>
    <n v="13.85"/>
    <n v="1.1499999999999999"/>
    <n v="26"/>
    <m/>
    <m/>
    <m/>
  </r>
  <r>
    <s v="2021-05-10 07:39 (-07)"/>
    <x v="183"/>
    <x v="453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5-10 22:32 (PST)"/>
    <x v="183"/>
    <x v="454"/>
    <x v="1"/>
    <s v="On Demand"/>
    <x v="16"/>
    <x v="2"/>
    <x v="5"/>
    <s v="Sleep"/>
    <x v="31"/>
    <x v="461"/>
    <m/>
    <m/>
    <m/>
    <m/>
    <m/>
    <m/>
    <m/>
    <m/>
    <m/>
    <m/>
  </r>
  <r>
    <s v="2021-05-17 16:32 (-07)"/>
    <x v="184"/>
    <x v="455"/>
    <x v="1"/>
    <s v="On Demand"/>
    <x v="6"/>
    <x v="4"/>
    <x v="0"/>
    <s v="Power Zone"/>
    <x v="7"/>
    <x v="469"/>
    <n v="325"/>
    <n v="90"/>
    <n v="0.36"/>
    <n v="85"/>
    <n v="15.47"/>
    <n v="15.47"/>
    <n v="401"/>
    <m/>
    <m/>
    <m/>
  </r>
  <r>
    <s v="2021-05-17 17:33 (-07)"/>
    <x v="184"/>
    <x v="456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5-17 17:41 (-07)"/>
    <x v="184"/>
    <x v="457"/>
    <x v="1"/>
    <s v="On Demand"/>
    <x v="4"/>
    <x v="1"/>
    <x v="1"/>
    <s v="Core"/>
    <x v="1"/>
    <x v="470"/>
    <m/>
    <m/>
    <m/>
    <m/>
    <m/>
    <m/>
    <n v="46"/>
    <m/>
    <m/>
    <m/>
  </r>
  <r>
    <s v="2021-05-17 21:30 (PST)"/>
    <x v="184"/>
    <x v="458"/>
    <x v="1"/>
    <s v="On Demand"/>
    <x v="13"/>
    <x v="1"/>
    <x v="5"/>
    <s v="Emotions"/>
    <x v="147"/>
    <x v="471"/>
    <m/>
    <m/>
    <m/>
    <m/>
    <m/>
    <m/>
    <m/>
    <m/>
    <m/>
    <m/>
  </r>
  <r>
    <s v="2021-05-24 07:03 (PST)"/>
    <x v="185"/>
    <x v="397"/>
    <x v="1"/>
    <s v="On Demand"/>
    <x v="7"/>
    <x v="5"/>
    <x v="4"/>
    <s v="Focus Flow"/>
    <x v="194"/>
    <x v="472"/>
    <m/>
    <m/>
    <m/>
    <m/>
    <m/>
    <m/>
    <n v="64"/>
    <m/>
    <m/>
    <m/>
  </r>
  <r>
    <s v="2021-05-24 20:38 (-07)"/>
    <x v="185"/>
    <x v="459"/>
    <x v="1"/>
    <s v="On Demand"/>
    <x v="6"/>
    <x v="0"/>
    <x v="0"/>
    <s v="Power Zone"/>
    <x v="195"/>
    <x v="473"/>
    <n v="244"/>
    <n v="90"/>
    <n v="0.33"/>
    <n v="89"/>
    <n v="14.9"/>
    <n v="11.17"/>
    <n v="301"/>
    <m/>
    <m/>
    <m/>
  </r>
  <r>
    <s v="2021-05-24 21:24 (-07)"/>
    <x v="185"/>
    <x v="460"/>
    <x v="1"/>
    <s v="On Demand"/>
    <x v="6"/>
    <x v="3"/>
    <x v="0"/>
    <s v="Cool Down"/>
    <x v="10"/>
    <x v="85"/>
    <n v="20"/>
    <n v="65"/>
    <n v="0.3"/>
    <n v="87"/>
    <n v="13.41"/>
    <n v="1.1100000000000001"/>
    <n v="24"/>
    <m/>
    <m/>
    <m/>
  </r>
  <r>
    <s v="2021-05-24 21:30 (-07)"/>
    <x v="185"/>
    <x v="461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5-24 22:48 (PST)"/>
    <x v="185"/>
    <x v="462"/>
    <x v="1"/>
    <s v="On Demand"/>
    <x v="25"/>
    <x v="5"/>
    <x v="5"/>
    <s v="Breath"/>
    <x v="62"/>
    <x v="474"/>
    <m/>
    <m/>
    <m/>
    <m/>
    <m/>
    <m/>
    <m/>
    <m/>
    <m/>
    <m/>
  </r>
  <r>
    <s v="2021-05-31 10:41 (-07)"/>
    <x v="186"/>
    <x v="463"/>
    <x v="1"/>
    <s v="On Demand"/>
    <x v="6"/>
    <x v="8"/>
    <x v="0"/>
    <s v="Power Zone"/>
    <x v="25"/>
    <x v="475"/>
    <n v="513"/>
    <n v="95"/>
    <n v="0.36"/>
    <n v="87"/>
    <n v="15.8"/>
    <n v="23.71"/>
    <n v="632"/>
    <m/>
    <m/>
    <m/>
  </r>
  <r>
    <s v="2021-05-31 12:12 (-07)"/>
    <x v="186"/>
    <x v="214"/>
    <x v="1"/>
    <s v="On Demand"/>
    <x v="6"/>
    <x v="3"/>
    <x v="2"/>
    <s v="Pre &amp; Post-Ride Stretch"/>
    <x v="8"/>
    <x v="61"/>
    <m/>
    <m/>
    <m/>
    <m/>
    <m/>
    <m/>
    <n v="11"/>
    <m/>
    <m/>
    <m/>
  </r>
  <r>
    <s v="2021-05-31 12:21 (-07)"/>
    <x v="186"/>
    <x v="464"/>
    <x v="1"/>
    <s v="On Demand"/>
    <x v="18"/>
    <x v="1"/>
    <x v="1"/>
    <s v="Arms &amp; Light Weights"/>
    <x v="28"/>
    <x v="476"/>
    <m/>
    <m/>
    <m/>
    <m/>
    <m/>
    <m/>
    <n v="46"/>
    <m/>
    <m/>
    <m/>
  </r>
  <r>
    <s v="2021-05-31 20:38 (PST)"/>
    <x v="186"/>
    <x v="465"/>
    <x v="1"/>
    <s v="On Demand"/>
    <x v="15"/>
    <x v="5"/>
    <x v="6"/>
    <s v="Power Walk"/>
    <x v="110"/>
    <x v="477"/>
    <n v="0"/>
    <m/>
    <m/>
    <m/>
    <n v="3.25"/>
    <n v="1.08"/>
    <n v="123"/>
    <n v="120.15"/>
    <m/>
    <m/>
  </r>
  <r>
    <s v="2021-05-31 22:12 (PST)"/>
    <x v="186"/>
    <x v="233"/>
    <x v="1"/>
    <s v="On Demand"/>
    <x v="16"/>
    <x v="1"/>
    <x v="5"/>
    <s v="Emotions"/>
    <x v="147"/>
    <x v="478"/>
    <m/>
    <m/>
    <m/>
    <m/>
    <m/>
    <m/>
    <m/>
    <m/>
    <m/>
    <m/>
  </r>
  <r>
    <s v="2021-06-07 17:08 (-07)"/>
    <x v="187"/>
    <x v="466"/>
    <x v="1"/>
    <s v="On Demand"/>
    <x v="7"/>
    <x v="2"/>
    <x v="0"/>
    <s v="Power Zone"/>
    <x v="196"/>
    <x v="479"/>
    <n v="155"/>
    <n v="86"/>
    <n v="0.35"/>
    <n v="83"/>
    <n v="15.08"/>
    <n v="7.54"/>
    <n v="191"/>
    <m/>
    <m/>
    <m/>
  </r>
  <r>
    <s v="2021-06-07 17:41 (-07)"/>
    <x v="187"/>
    <x v="457"/>
    <x v="1"/>
    <s v="On Demand"/>
    <x v="4"/>
    <x v="5"/>
    <x v="1"/>
    <s v="Bodyweight"/>
    <x v="197"/>
    <x v="480"/>
    <m/>
    <m/>
    <m/>
    <m/>
    <m/>
    <m/>
    <n v="92"/>
    <m/>
    <m/>
    <m/>
  </r>
  <r>
    <s v="2021-06-07 18:02 (-07)"/>
    <x v="187"/>
    <x v="467"/>
    <x v="1"/>
    <s v="On Demand"/>
    <x v="21"/>
    <x v="1"/>
    <x v="1"/>
    <s v="Core"/>
    <x v="1"/>
    <x v="481"/>
    <m/>
    <m/>
    <m/>
    <m/>
    <m/>
    <m/>
    <n v="46"/>
    <m/>
    <m/>
    <m/>
  </r>
  <r>
    <s v="2021-06-14 07:03 (PST)"/>
    <x v="188"/>
    <x v="397"/>
    <x v="1"/>
    <s v="On Demand"/>
    <x v="13"/>
    <x v="1"/>
    <x v="4"/>
    <s v="Focus Flow"/>
    <x v="133"/>
    <x v="482"/>
    <m/>
    <m/>
    <m/>
    <m/>
    <m/>
    <m/>
    <n v="34"/>
    <m/>
    <m/>
    <m/>
  </r>
  <r>
    <s v="2021-06-14 07:14 (PST)"/>
    <x v="188"/>
    <x v="415"/>
    <x v="1"/>
    <s v="On Demand"/>
    <x v="7"/>
    <x v="5"/>
    <x v="4"/>
    <s v="Theme"/>
    <x v="198"/>
    <x v="483"/>
    <m/>
    <m/>
    <m/>
    <m/>
    <m/>
    <m/>
    <n v="64"/>
    <m/>
    <m/>
    <m/>
  </r>
  <r>
    <s v="2021-06-14 22:09 (PST)"/>
    <x v="188"/>
    <x v="468"/>
    <x v="1"/>
    <s v="On Demand"/>
    <x v="25"/>
    <x v="7"/>
    <x v="5"/>
    <s v="Relaxation"/>
    <x v="199"/>
    <x v="484"/>
    <m/>
    <m/>
    <m/>
    <m/>
    <m/>
    <m/>
    <m/>
    <m/>
    <m/>
    <m/>
  </r>
  <r>
    <s v="2021-06-21 06:49 (-07)"/>
    <x v="189"/>
    <x v="433"/>
    <x v="1"/>
    <s v="On Demand"/>
    <x v="4"/>
    <x v="3"/>
    <x v="0"/>
    <s v="Warm Up"/>
    <x v="22"/>
    <x v="485"/>
    <n v="18"/>
    <n v="61"/>
    <n v="0.28000000000000003"/>
    <n v="89"/>
    <n v="12.99"/>
    <n v="1.08"/>
    <n v="23"/>
    <m/>
    <m/>
    <m/>
  </r>
  <r>
    <s v="2021-06-21 06:54 (-07)"/>
    <x v="189"/>
    <x v="469"/>
    <x v="1"/>
    <s v="On Demand"/>
    <x v="6"/>
    <x v="4"/>
    <x v="0"/>
    <s v="Power Zone"/>
    <x v="7"/>
    <x v="486"/>
    <n v="359"/>
    <n v="100"/>
    <n v="0.38"/>
    <n v="83"/>
    <n v="16.13"/>
    <n v="16.14"/>
    <n v="443"/>
    <m/>
    <m/>
    <m/>
  </r>
  <r>
    <s v="2021-06-21 07:57 (-07)"/>
    <x v="189"/>
    <x v="93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6-21 21:15 (PST)"/>
    <x v="189"/>
    <x v="470"/>
    <x v="1"/>
    <s v="On Demand"/>
    <x v="23"/>
    <x v="2"/>
    <x v="4"/>
    <s v="Focus Flow"/>
    <x v="86"/>
    <x v="487"/>
    <m/>
    <m/>
    <m/>
    <m/>
    <m/>
    <m/>
    <n v="100"/>
    <m/>
    <m/>
    <m/>
  </r>
  <r>
    <s v="2021-06-21 22:38 (PST)"/>
    <x v="189"/>
    <x v="101"/>
    <x v="1"/>
    <s v="On Demand"/>
    <x v="25"/>
    <x v="5"/>
    <x v="5"/>
    <s v="Theme"/>
    <x v="200"/>
    <x v="488"/>
    <m/>
    <m/>
    <m/>
    <m/>
    <m/>
    <m/>
    <m/>
    <m/>
    <m/>
    <m/>
  </r>
  <r>
    <s v="2021-06-28 18:10 (-07)"/>
    <x v="190"/>
    <x v="127"/>
    <x v="1"/>
    <s v="On Demand"/>
    <x v="6"/>
    <x v="4"/>
    <x v="0"/>
    <s v="Power Zone"/>
    <x v="7"/>
    <x v="489"/>
    <n v="367"/>
    <n v="102"/>
    <n v="0.38"/>
    <n v="82"/>
    <n v="16.25"/>
    <n v="16.25"/>
    <n v="453"/>
    <m/>
    <m/>
    <m/>
  </r>
  <r>
    <s v="2021-06-28 19:10 (-07)"/>
    <x v="190"/>
    <x v="471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6-28 22:28 (PST)"/>
    <x v="190"/>
    <x v="472"/>
    <x v="1"/>
    <s v="On Demand"/>
    <x v="19"/>
    <x v="5"/>
    <x v="5"/>
    <s v="Sleep"/>
    <x v="29"/>
    <x v="490"/>
    <m/>
    <m/>
    <m/>
    <m/>
    <m/>
    <m/>
    <m/>
    <m/>
    <m/>
    <m/>
  </r>
  <r>
    <s v="2021-07-05 00:27 (PST)"/>
    <x v="191"/>
    <x v="473"/>
    <x v="1"/>
    <s v="On Demand"/>
    <x v="13"/>
    <x v="5"/>
    <x v="5"/>
    <s v="Sleep"/>
    <x v="29"/>
    <x v="491"/>
    <m/>
    <m/>
    <m/>
    <m/>
    <m/>
    <m/>
    <m/>
    <m/>
    <m/>
    <m/>
  </r>
  <r>
    <s v="2021-07-05 23:05 (PST)"/>
    <x v="191"/>
    <x v="474"/>
    <x v="1"/>
    <s v="On Demand"/>
    <x v="19"/>
    <x v="5"/>
    <x v="5"/>
    <s v="Sleep"/>
    <x v="29"/>
    <x v="490"/>
    <m/>
    <m/>
    <m/>
    <m/>
    <m/>
    <m/>
    <m/>
    <m/>
    <m/>
    <m/>
  </r>
  <r>
    <s v="2021-07-12 06:32 (-07)"/>
    <x v="192"/>
    <x v="475"/>
    <x v="1"/>
    <s v="On Demand"/>
    <x v="6"/>
    <x v="4"/>
    <x v="0"/>
    <s v="Power Zone"/>
    <x v="7"/>
    <x v="492"/>
    <n v="343"/>
    <n v="95"/>
    <n v="0.38"/>
    <n v="81"/>
    <n v="15.78"/>
    <n v="15.79"/>
    <n v="423"/>
    <m/>
    <m/>
    <m/>
  </r>
  <r>
    <s v="2021-07-12 07:32 (-07)"/>
    <x v="192"/>
    <x v="476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7-12 07:38 (-07)"/>
    <x v="192"/>
    <x v="66"/>
    <x v="1"/>
    <s v="On Demand"/>
    <x v="24"/>
    <x v="1"/>
    <x v="1"/>
    <s v="Core"/>
    <x v="1"/>
    <x v="79"/>
    <m/>
    <m/>
    <m/>
    <m/>
    <m/>
    <m/>
    <n v="46"/>
    <m/>
    <m/>
    <m/>
  </r>
  <r>
    <s v="2021-07-12 13:08 (PST)"/>
    <x v="192"/>
    <x v="343"/>
    <x v="1"/>
    <s v="On Demand"/>
    <x v="7"/>
    <x v="1"/>
    <x v="4"/>
    <s v="Yoga Anywhere"/>
    <x v="201"/>
    <x v="493"/>
    <m/>
    <m/>
    <m/>
    <m/>
    <m/>
    <m/>
    <n v="27"/>
    <m/>
    <m/>
    <m/>
  </r>
  <r>
    <s v="2021-07-12 22:43 (PST)"/>
    <x v="192"/>
    <x v="477"/>
    <x v="1"/>
    <s v="On Demand"/>
    <x v="25"/>
    <x v="3"/>
    <x v="5"/>
    <s v="Emotions"/>
    <x v="202"/>
    <x v="494"/>
    <m/>
    <m/>
    <m/>
    <m/>
    <m/>
    <m/>
    <m/>
    <m/>
    <m/>
    <m/>
  </r>
  <r>
    <s v="2021-07-19 06:35 (-07)"/>
    <x v="193"/>
    <x v="478"/>
    <x v="1"/>
    <s v="On Demand"/>
    <x v="6"/>
    <x v="0"/>
    <x v="0"/>
    <s v="Power Zone"/>
    <x v="85"/>
    <x v="495"/>
    <n v="274"/>
    <n v="102"/>
    <n v="0.36"/>
    <n v="86"/>
    <n v="15.93"/>
    <n v="11.94"/>
    <n v="338"/>
    <m/>
    <m/>
    <m/>
  </r>
  <r>
    <s v="2021-07-19 07:21 (-07)"/>
    <x v="193"/>
    <x v="479"/>
    <x v="1"/>
    <s v="On Demand"/>
    <x v="6"/>
    <x v="1"/>
    <x v="0"/>
    <s v="Low Impact"/>
    <x v="192"/>
    <x v="496"/>
    <n v="42"/>
    <n v="69"/>
    <n v="0.31"/>
    <n v="87"/>
    <n v="13.85"/>
    <n v="2.31"/>
    <n v="51"/>
    <m/>
    <m/>
    <m/>
  </r>
  <r>
    <s v="2021-07-19 07:32 (-07)"/>
    <x v="193"/>
    <x v="476"/>
    <x v="1"/>
    <s v="On Demand"/>
    <x v="12"/>
    <x v="1"/>
    <x v="1"/>
    <s v="Arms &amp; Light Weights"/>
    <x v="28"/>
    <x v="497"/>
    <m/>
    <m/>
    <m/>
    <m/>
    <m/>
    <m/>
    <n v="0"/>
    <m/>
    <m/>
    <m/>
  </r>
  <r>
    <s v="2021-07-19 07:42 (-07)"/>
    <x v="193"/>
    <x v="480"/>
    <x v="1"/>
    <s v="On Demand"/>
    <x v="20"/>
    <x v="1"/>
    <x v="1"/>
    <s v="Core"/>
    <x v="1"/>
    <x v="498"/>
    <m/>
    <m/>
    <m/>
    <m/>
    <m/>
    <m/>
    <n v="46"/>
    <m/>
    <m/>
    <m/>
  </r>
  <r>
    <s v="2021-07-19 07:53 (-07)"/>
    <x v="193"/>
    <x v="481"/>
    <x v="1"/>
    <s v="On Demand"/>
    <x v="7"/>
    <x v="3"/>
    <x v="2"/>
    <s v="Pre &amp; Post-Ride Stretch"/>
    <x v="8"/>
    <x v="499"/>
    <m/>
    <m/>
    <m/>
    <m/>
    <m/>
    <m/>
    <n v="11"/>
    <m/>
    <m/>
    <m/>
  </r>
  <r>
    <s v="2021-07-19 11:49 (PST)"/>
    <x v="193"/>
    <x v="265"/>
    <x v="1"/>
    <s v="On Demand"/>
    <x v="23"/>
    <x v="1"/>
    <x v="4"/>
    <s v="Yoga Anywhere"/>
    <x v="48"/>
    <x v="500"/>
    <m/>
    <m/>
    <m/>
    <m/>
    <m/>
    <m/>
    <n v="35"/>
    <m/>
    <m/>
    <m/>
  </r>
  <r>
    <s v="2021-07-19 22:37 (PST)"/>
    <x v="193"/>
    <x v="247"/>
    <x v="1"/>
    <s v="On Demand"/>
    <x v="19"/>
    <x v="7"/>
    <x v="5"/>
    <s v="Sleep"/>
    <x v="65"/>
    <x v="501"/>
    <m/>
    <m/>
    <m/>
    <m/>
    <m/>
    <m/>
    <m/>
    <m/>
    <m/>
    <m/>
  </r>
  <r>
    <s v="2021-07-26 06:38 (-07)"/>
    <x v="194"/>
    <x v="482"/>
    <x v="1"/>
    <s v="On Demand"/>
    <x v="5"/>
    <x v="0"/>
    <x v="0"/>
    <s v="Power Zone"/>
    <x v="85"/>
    <x v="502"/>
    <n v="285"/>
    <n v="105"/>
    <n v="0.38"/>
    <n v="83"/>
    <n v="16.34"/>
    <n v="12.26"/>
    <n v="351"/>
    <m/>
    <m/>
    <m/>
  </r>
  <r>
    <s v="2021-07-26 07:23 (-07)"/>
    <x v="194"/>
    <x v="483"/>
    <x v="1"/>
    <s v="On Demand"/>
    <x v="5"/>
    <x v="1"/>
    <x v="0"/>
    <s v="Cool Down"/>
    <x v="17"/>
    <x v="503"/>
    <n v="52"/>
    <n v="86"/>
    <n v="0.35"/>
    <n v="82"/>
    <n v="15.09"/>
    <n v="2.52"/>
    <n v="64"/>
    <m/>
    <m/>
    <m/>
  </r>
  <r>
    <s v="2021-07-26 07:40 (PST)"/>
    <x v="194"/>
    <x v="484"/>
    <x v="1"/>
    <s v="On Demand"/>
    <x v="4"/>
    <x v="1"/>
    <x v="1"/>
    <s v="Core"/>
    <x v="1"/>
    <x v="504"/>
    <m/>
    <m/>
    <m/>
    <m/>
    <m/>
    <m/>
    <n v="46"/>
    <m/>
    <m/>
    <m/>
  </r>
  <r>
    <s v="2021-07-26 07:52 (PST)"/>
    <x v="194"/>
    <x v="297"/>
    <x v="1"/>
    <s v="On Demand"/>
    <x v="7"/>
    <x v="1"/>
    <x v="4"/>
    <s v="Focus Flow"/>
    <x v="133"/>
    <x v="505"/>
    <m/>
    <m/>
    <m/>
    <m/>
    <m/>
    <m/>
    <n v="33"/>
    <n v="94.67"/>
    <m/>
    <m/>
  </r>
  <r>
    <s v="2021-07-26 22:31 (PST)"/>
    <x v="194"/>
    <x v="243"/>
    <x v="1"/>
    <s v="On Demand"/>
    <x v="25"/>
    <x v="5"/>
    <x v="5"/>
    <s v="Emotions"/>
    <x v="203"/>
    <x v="506"/>
    <m/>
    <m/>
    <m/>
    <m/>
    <m/>
    <m/>
    <m/>
    <m/>
    <m/>
    <m/>
  </r>
  <r>
    <s v="2021-08-02 06:33 (-07)"/>
    <x v="195"/>
    <x v="485"/>
    <x v="1"/>
    <s v="On Demand"/>
    <x v="6"/>
    <x v="0"/>
    <x v="0"/>
    <s v="Power Zone"/>
    <x v="85"/>
    <x v="495"/>
    <n v="276"/>
    <n v="102"/>
    <n v="0.36"/>
    <n v="86"/>
    <n v="15.9"/>
    <n v="11.93"/>
    <n v="340"/>
    <m/>
    <m/>
    <m/>
  </r>
  <r>
    <s v="2021-08-02 07:18 (-07)"/>
    <x v="195"/>
    <x v="486"/>
    <x v="1"/>
    <s v="On Demand"/>
    <x v="6"/>
    <x v="3"/>
    <x v="0"/>
    <s v="Cool Down"/>
    <x v="10"/>
    <x v="85"/>
    <n v="19"/>
    <n v="62"/>
    <n v="0.3"/>
    <n v="85"/>
    <n v="13.17"/>
    <n v="1.1000000000000001"/>
    <n v="23"/>
    <m/>
    <m/>
    <m/>
  </r>
  <r>
    <s v="2021-08-02 07:23 (-07)"/>
    <x v="195"/>
    <x v="483"/>
    <x v="1"/>
    <s v="On Demand"/>
    <x v="6"/>
    <x v="3"/>
    <x v="2"/>
    <s v="Pre &amp; Post-Ride Stretch"/>
    <x v="8"/>
    <x v="61"/>
    <m/>
    <m/>
    <m/>
    <m/>
    <m/>
    <m/>
    <n v="12"/>
    <m/>
    <m/>
    <m/>
  </r>
  <r>
    <s v="2021-08-02 22:33 (PST)"/>
    <x v="195"/>
    <x v="232"/>
    <x v="1"/>
    <s v="On Demand"/>
    <x v="13"/>
    <x v="7"/>
    <x v="5"/>
    <s v="Emotions"/>
    <x v="204"/>
    <x v="507"/>
    <m/>
    <m/>
    <m/>
    <m/>
    <m/>
    <m/>
    <m/>
    <m/>
    <m/>
    <m/>
  </r>
  <r>
    <s v="2021-08-09 06:57 (PST)"/>
    <x v="196"/>
    <x v="387"/>
    <x v="1"/>
    <s v="On Demand"/>
    <x v="7"/>
    <x v="0"/>
    <x v="4"/>
    <s v="Flow"/>
    <x v="14"/>
    <x v="508"/>
    <m/>
    <m/>
    <m/>
    <m/>
    <m/>
    <m/>
    <n v="157"/>
    <n v="89.68"/>
    <m/>
    <m/>
  </r>
  <r>
    <s v="2021-08-09 17:35 (-07)"/>
    <x v="196"/>
    <x v="487"/>
    <x v="1"/>
    <s v="On Demand"/>
    <x v="6"/>
    <x v="6"/>
    <x v="0"/>
    <s v="Power Zone"/>
    <x v="20"/>
    <x v="509"/>
    <n v="460"/>
    <n v="102"/>
    <n v="0.38"/>
    <n v="83"/>
    <n v="16.28"/>
    <n v="20.350000000000001"/>
    <n v="567"/>
    <m/>
    <m/>
    <m/>
  </r>
  <r>
    <s v="2021-08-09 19:11 (-07)"/>
    <x v="196"/>
    <x v="488"/>
    <x v="1"/>
    <s v="On Demand"/>
    <x v="5"/>
    <x v="1"/>
    <x v="1"/>
    <s v="Core"/>
    <x v="1"/>
    <x v="510"/>
    <m/>
    <m/>
    <m/>
    <m/>
    <m/>
    <m/>
    <n v="46"/>
    <m/>
    <m/>
    <m/>
  </r>
  <r>
    <s v="2021-08-09 22:35 (PST)"/>
    <x v="196"/>
    <x v="371"/>
    <x v="1"/>
    <s v="On Demand"/>
    <x v="25"/>
    <x v="1"/>
    <x v="5"/>
    <s v="Sleep"/>
    <x v="39"/>
    <x v="511"/>
    <m/>
    <m/>
    <m/>
    <m/>
    <m/>
    <m/>
    <m/>
    <m/>
    <m/>
    <m/>
  </r>
  <r>
    <s v="2021-08-16 06:38 (PST)"/>
    <x v="197"/>
    <x v="489"/>
    <x v="1"/>
    <s v="On Demand"/>
    <x v="16"/>
    <x v="2"/>
    <x v="4"/>
    <s v="Flow"/>
    <x v="41"/>
    <x v="512"/>
    <m/>
    <m/>
    <m/>
    <m/>
    <m/>
    <m/>
    <n v="100"/>
    <m/>
    <m/>
    <m/>
  </r>
  <r>
    <s v="2021-08-16 16:16 (-07)"/>
    <x v="197"/>
    <x v="490"/>
    <x v="1"/>
    <s v="On Demand"/>
    <x v="6"/>
    <x v="0"/>
    <x v="0"/>
    <s v="Power Zone"/>
    <x v="195"/>
    <x v="513"/>
    <n v="288"/>
    <n v="107"/>
    <n v="0.36"/>
    <n v="88"/>
    <n v="15.98"/>
    <n v="11.99"/>
    <n v="356"/>
    <m/>
    <m/>
    <m/>
  </r>
  <r>
    <s v="2021-08-16 17:02 (-07)"/>
    <x v="197"/>
    <x v="491"/>
    <x v="1"/>
    <s v="On Demand"/>
    <x v="6"/>
    <x v="3"/>
    <x v="0"/>
    <s v="Cool Down"/>
    <x v="10"/>
    <x v="111"/>
    <n v="12"/>
    <n v="42"/>
    <n v="0.24"/>
    <n v="87"/>
    <n v="10.97"/>
    <n v="0.91"/>
    <n v="15"/>
    <m/>
    <m/>
    <m/>
  </r>
  <r>
    <s v="2021-08-16 17:08 (-07)"/>
    <x v="197"/>
    <x v="466"/>
    <x v="1"/>
    <s v="On Demand"/>
    <x v="6"/>
    <x v="3"/>
    <x v="2"/>
    <s v="Pre &amp; Post-Ride Stretch"/>
    <x v="8"/>
    <x v="111"/>
    <m/>
    <m/>
    <m/>
    <m/>
    <m/>
    <m/>
    <n v="12"/>
    <m/>
    <m/>
    <m/>
  </r>
  <r>
    <s v="2021-08-16 21:26 (PST)"/>
    <x v="197"/>
    <x v="492"/>
    <x v="1"/>
    <s v="On Demand"/>
    <x v="7"/>
    <x v="1"/>
    <x v="4"/>
    <s v="Focus Flow"/>
    <x v="133"/>
    <x v="505"/>
    <m/>
    <m/>
    <m/>
    <m/>
    <m/>
    <m/>
    <n v="33"/>
    <m/>
    <m/>
    <m/>
  </r>
  <r>
    <s v="2021-08-16 22:22 (PST)"/>
    <x v="197"/>
    <x v="493"/>
    <x v="1"/>
    <s v="On Demand"/>
    <x v="19"/>
    <x v="1"/>
    <x v="5"/>
    <s v="Sleep"/>
    <x v="39"/>
    <x v="514"/>
    <m/>
    <m/>
    <m/>
    <m/>
    <m/>
    <m/>
    <m/>
    <m/>
    <m/>
    <m/>
  </r>
  <r>
    <s v="2021-08-23 07:04 (PST)"/>
    <x v="198"/>
    <x v="494"/>
    <x v="1"/>
    <s v="On Demand"/>
    <x v="7"/>
    <x v="0"/>
    <x v="4"/>
    <s v="Flow"/>
    <x v="14"/>
    <x v="515"/>
    <m/>
    <m/>
    <m/>
    <m/>
    <m/>
    <m/>
    <n v="147"/>
    <m/>
    <m/>
    <m/>
  </r>
  <r>
    <s v="2021-08-23 18:22 (-07)"/>
    <x v="198"/>
    <x v="495"/>
    <x v="1"/>
    <s v="On Demand"/>
    <x v="6"/>
    <x v="4"/>
    <x v="0"/>
    <s v="Power Zone"/>
    <x v="23"/>
    <x v="516"/>
    <n v="389"/>
    <n v="108"/>
    <n v="0.37"/>
    <n v="86"/>
    <n v="16.43"/>
    <n v="16.440000000000001"/>
    <n v="480"/>
    <m/>
    <m/>
    <m/>
  </r>
  <r>
    <s v="2021-08-23 19:23 (-07)"/>
    <x v="198"/>
    <x v="496"/>
    <x v="1"/>
    <s v="On Demand"/>
    <x v="6"/>
    <x v="3"/>
    <x v="0"/>
    <s v="Cool Down"/>
    <x v="10"/>
    <x v="111"/>
    <n v="18"/>
    <n v="59"/>
    <n v="0.28000000000000003"/>
    <n v="89"/>
    <n v="12.86"/>
    <n v="1.07"/>
    <n v="22"/>
    <m/>
    <m/>
    <m/>
  </r>
  <r>
    <s v="2021-08-23 19:31 (-07)"/>
    <x v="198"/>
    <x v="497"/>
    <x v="1"/>
    <s v="On Demand"/>
    <x v="17"/>
    <x v="1"/>
    <x v="1"/>
    <s v="Arms &amp; Light Weights"/>
    <x v="28"/>
    <x v="517"/>
    <m/>
    <m/>
    <m/>
    <m/>
    <m/>
    <m/>
    <n v="46"/>
    <m/>
    <m/>
    <m/>
  </r>
  <r>
    <s v="2021-08-30 18:26 (-07)"/>
    <x v="199"/>
    <x v="498"/>
    <x v="1"/>
    <s v="On Demand"/>
    <x v="6"/>
    <x v="0"/>
    <x v="0"/>
    <s v="Power Zone"/>
    <x v="27"/>
    <x v="100"/>
    <n v="263"/>
    <n v="97"/>
    <n v="0.37"/>
    <n v="84"/>
    <n v="15.93"/>
    <n v="11.95"/>
    <n v="324"/>
    <m/>
    <m/>
    <m/>
  </r>
  <r>
    <s v="2021-08-30 22:40 (PST)"/>
    <x v="199"/>
    <x v="67"/>
    <x v="1"/>
    <s v="On Demand"/>
    <x v="19"/>
    <x v="1"/>
    <x v="5"/>
    <s v="Sleep"/>
    <x v="39"/>
    <x v="518"/>
    <m/>
    <m/>
    <m/>
    <m/>
    <m/>
    <m/>
    <m/>
    <m/>
    <m/>
    <m/>
  </r>
  <r>
    <s v="2021-09-06 00:58 (PST)"/>
    <x v="200"/>
    <x v="499"/>
    <x v="1"/>
    <s v="On Demand"/>
    <x v="25"/>
    <x v="3"/>
    <x v="5"/>
    <s v="Sleep"/>
    <x v="205"/>
    <x v="519"/>
    <m/>
    <m/>
    <m/>
    <m/>
    <m/>
    <m/>
    <m/>
    <m/>
    <m/>
    <m/>
  </r>
  <r>
    <s v="2021-09-13 07:13 (PST)"/>
    <x v="201"/>
    <x v="500"/>
    <x v="1"/>
    <s v="On Demand"/>
    <x v="16"/>
    <x v="5"/>
    <x v="4"/>
    <s v="Slow Flow"/>
    <x v="19"/>
    <x v="520"/>
    <m/>
    <m/>
    <m/>
    <m/>
    <m/>
    <m/>
    <n v="65"/>
    <m/>
    <m/>
    <m/>
  </r>
  <r>
    <s v="2021-09-13 17:13 (-07)"/>
    <x v="201"/>
    <x v="353"/>
    <x v="1"/>
    <s v="On Demand"/>
    <x v="7"/>
    <x v="4"/>
    <x v="0"/>
    <s v="Power Zone"/>
    <x v="7"/>
    <x v="100"/>
    <n v="364"/>
    <n v="101"/>
    <n v="0.39"/>
    <n v="81"/>
    <n v="16.18"/>
    <n v="16.18"/>
    <n v="449"/>
    <m/>
    <m/>
    <m/>
  </r>
  <r>
    <s v="2021-09-13 18:15 (-07)"/>
    <x v="201"/>
    <x v="501"/>
    <x v="1"/>
    <s v="On Demand"/>
    <x v="0"/>
    <x v="3"/>
    <x v="0"/>
    <s v="Cool Down"/>
    <x v="10"/>
    <x v="521"/>
    <n v="16"/>
    <n v="52"/>
    <n v="0.3"/>
    <n v="77"/>
    <n v="12.05"/>
    <n v="1"/>
    <n v="19"/>
    <m/>
    <m/>
    <m/>
  </r>
  <r>
    <s v="2021-09-13 18:22 (-07)"/>
    <x v="201"/>
    <x v="495"/>
    <x v="1"/>
    <s v="On Demand"/>
    <x v="1"/>
    <x v="3"/>
    <x v="2"/>
    <s v="Pre &amp; Post-Ride Stretch"/>
    <x v="8"/>
    <x v="522"/>
    <m/>
    <m/>
    <m/>
    <m/>
    <m/>
    <m/>
    <n v="11"/>
    <m/>
    <m/>
    <m/>
  </r>
  <r>
    <s v="2021-09-13 21:43 (PST)"/>
    <x v="201"/>
    <x v="502"/>
    <x v="1"/>
    <s v="On Demand"/>
    <x v="13"/>
    <x v="3"/>
    <x v="5"/>
    <s v="Sleep"/>
    <x v="58"/>
    <x v="523"/>
    <m/>
    <m/>
    <m/>
    <m/>
    <m/>
    <m/>
    <m/>
    <m/>
    <m/>
    <m/>
  </r>
  <r>
    <s v="2021-09-20 07:07 (PST)"/>
    <x v="202"/>
    <x v="503"/>
    <x v="1"/>
    <s v="On Demand"/>
    <x v="23"/>
    <x v="2"/>
    <x v="4"/>
    <s v="Flow"/>
    <x v="206"/>
    <x v="524"/>
    <m/>
    <m/>
    <m/>
    <m/>
    <m/>
    <m/>
    <n v="102"/>
    <m/>
    <m/>
    <m/>
  </r>
  <r>
    <s v="2021-09-20 07:38 (PST)"/>
    <x v="202"/>
    <x v="70"/>
    <x v="1"/>
    <s v="On Demand"/>
    <x v="16"/>
    <x v="5"/>
    <x v="4"/>
    <s v="Flow"/>
    <x v="40"/>
    <x v="525"/>
    <m/>
    <m/>
    <m/>
    <m/>
    <m/>
    <m/>
    <n v="67"/>
    <m/>
    <m/>
    <m/>
  </r>
  <r>
    <s v="2021-09-20 17:43 (-07)"/>
    <x v="202"/>
    <x v="504"/>
    <x v="1"/>
    <s v="On Demand"/>
    <x v="6"/>
    <x v="0"/>
    <x v="0"/>
    <s v="Power Zone"/>
    <x v="85"/>
    <x v="100"/>
    <n v="291"/>
    <n v="108"/>
    <n v="0.37"/>
    <n v="86"/>
    <n v="16.47"/>
    <n v="12.35"/>
    <n v="358"/>
    <m/>
    <m/>
    <m/>
  </r>
  <r>
    <s v="2021-09-20 18:31 (-07)"/>
    <x v="202"/>
    <x v="112"/>
    <x v="1"/>
    <s v="On Demand"/>
    <x v="4"/>
    <x v="1"/>
    <x v="0"/>
    <s v="Low Impact"/>
    <x v="192"/>
    <x v="526"/>
    <n v="40"/>
    <n v="66"/>
    <n v="0.3"/>
    <n v="86"/>
    <n v="13.52"/>
    <n v="2.25"/>
    <n v="49"/>
    <m/>
    <m/>
    <m/>
  </r>
  <r>
    <s v="2021-09-20 18:42 (-07)"/>
    <x v="202"/>
    <x v="505"/>
    <x v="1"/>
    <s v="On Demand"/>
    <x v="1"/>
    <x v="3"/>
    <x v="2"/>
    <s v="Pre &amp; Post-Ride Stretch"/>
    <x v="8"/>
    <x v="527"/>
    <m/>
    <m/>
    <m/>
    <m/>
    <m/>
    <m/>
    <n v="11"/>
    <m/>
    <m/>
    <m/>
  </r>
  <r>
    <s v="2021-09-20 18:52 (-07)"/>
    <x v="202"/>
    <x v="103"/>
    <x v="1"/>
    <s v="On Demand"/>
    <x v="24"/>
    <x v="3"/>
    <x v="1"/>
    <s v="Core"/>
    <x v="6"/>
    <x v="528"/>
    <m/>
    <m/>
    <m/>
    <m/>
    <m/>
    <m/>
    <n v="23"/>
    <m/>
    <m/>
    <m/>
  </r>
  <r>
    <s v="2021-09-20 22:25 (PST)"/>
    <x v="202"/>
    <x v="124"/>
    <x v="1"/>
    <s v="On Demand"/>
    <x v="16"/>
    <x v="1"/>
    <x v="5"/>
    <s v="Sleep"/>
    <x v="39"/>
    <x v="529"/>
    <m/>
    <m/>
    <m/>
    <m/>
    <m/>
    <m/>
    <m/>
    <m/>
    <m/>
    <m/>
  </r>
  <r>
    <s v="2021-09-27 02:00 (PST)"/>
    <x v="203"/>
    <x v="506"/>
    <x v="1"/>
    <s v="On Demand"/>
    <x v="19"/>
    <x v="1"/>
    <x v="5"/>
    <s v="Relaxation"/>
    <x v="71"/>
    <x v="530"/>
    <m/>
    <m/>
    <m/>
    <m/>
    <m/>
    <m/>
    <m/>
    <m/>
    <m/>
    <m/>
  </r>
  <r>
    <s v="2021-09-27 07:20 (PST)"/>
    <x v="203"/>
    <x v="507"/>
    <x v="1"/>
    <s v="On Demand"/>
    <x v="16"/>
    <x v="2"/>
    <x v="4"/>
    <s v="Flow"/>
    <x v="69"/>
    <x v="531"/>
    <m/>
    <m/>
    <m/>
    <m/>
    <m/>
    <m/>
    <n v="98"/>
    <m/>
    <m/>
    <m/>
  </r>
  <r>
    <s v="2021-09-27 17:50 (-07)"/>
    <x v="203"/>
    <x v="508"/>
    <x v="1"/>
    <s v="On Demand"/>
    <x v="6"/>
    <x v="3"/>
    <x v="0"/>
    <s v="Warm Up"/>
    <x v="22"/>
    <x v="532"/>
    <n v="24"/>
    <n v="79"/>
    <n v="0.31"/>
    <n v="92"/>
    <n v="14.7"/>
    <n v="1.22"/>
    <n v="29"/>
    <m/>
    <m/>
    <m/>
  </r>
  <r>
    <s v="2021-09-27 17:56 (-07)"/>
    <x v="203"/>
    <x v="257"/>
    <x v="1"/>
    <s v="On Demand"/>
    <x v="7"/>
    <x v="0"/>
    <x v="0"/>
    <s v="Power Zone"/>
    <x v="27"/>
    <x v="533"/>
    <n v="265"/>
    <n v="98"/>
    <n v="0.37"/>
    <n v="82"/>
    <n v="15.98"/>
    <n v="11.99"/>
    <n v="327"/>
    <m/>
    <m/>
    <m/>
  </r>
  <r>
    <s v="2021-09-27 18:41 (-07)"/>
    <x v="203"/>
    <x v="509"/>
    <x v="1"/>
    <s v="On Demand"/>
    <x v="7"/>
    <x v="3"/>
    <x v="0"/>
    <s v="Cool Down"/>
    <x v="10"/>
    <x v="105"/>
    <n v="17"/>
    <n v="55"/>
    <n v="0.28999999999999998"/>
    <n v="79"/>
    <n v="12.45"/>
    <n v="1.04"/>
    <n v="20"/>
    <m/>
    <m/>
    <m/>
  </r>
  <r>
    <s v="2021-09-27 18:47 (-07)"/>
    <x v="203"/>
    <x v="510"/>
    <x v="1"/>
    <s v="On Demand"/>
    <x v="5"/>
    <x v="1"/>
    <x v="1"/>
    <s v="Arms &amp; Light Weights"/>
    <x v="28"/>
    <x v="534"/>
    <m/>
    <m/>
    <m/>
    <m/>
    <m/>
    <m/>
    <n v="46"/>
    <m/>
    <m/>
    <m/>
  </r>
  <r>
    <s v="2021-09-27 21:37 (PST)"/>
    <x v="203"/>
    <x v="511"/>
    <x v="1"/>
    <s v="On Demand"/>
    <x v="19"/>
    <x v="7"/>
    <x v="5"/>
    <s v="Emotions"/>
    <x v="207"/>
    <x v="535"/>
    <m/>
    <m/>
    <m/>
    <m/>
    <m/>
    <m/>
    <m/>
    <m/>
    <m/>
    <m/>
  </r>
  <r>
    <s v="2021-10-04 07:23 (PST)"/>
    <x v="204"/>
    <x v="228"/>
    <x v="1"/>
    <s v="On Demand"/>
    <x v="23"/>
    <x v="2"/>
    <x v="4"/>
    <s v="Flow"/>
    <x v="41"/>
    <x v="536"/>
    <m/>
    <m/>
    <m/>
    <m/>
    <m/>
    <m/>
    <n v="102"/>
    <m/>
    <m/>
    <m/>
  </r>
  <r>
    <s v="2021-10-04 18:34 (-07)"/>
    <x v="204"/>
    <x v="512"/>
    <x v="1"/>
    <s v="On Demand"/>
    <x v="5"/>
    <x v="2"/>
    <x v="0"/>
    <s v="Power Zone"/>
    <x v="5"/>
    <x v="537"/>
    <n v="171"/>
    <n v="95"/>
    <n v="0.36"/>
    <n v="84"/>
    <n v="15.71"/>
    <n v="7.85"/>
    <n v="211"/>
    <m/>
    <m/>
    <m/>
  </r>
  <r>
    <s v="2021-10-04 19:05 (-07)"/>
    <x v="204"/>
    <x v="513"/>
    <x v="1"/>
    <s v="On Demand"/>
    <x v="1"/>
    <x v="1"/>
    <x v="1"/>
    <s v="Arms &amp; Light Weights"/>
    <x v="28"/>
    <x v="538"/>
    <m/>
    <m/>
    <m/>
    <m/>
    <m/>
    <m/>
    <n v="46"/>
    <m/>
    <m/>
    <m/>
  </r>
  <r>
    <s v="2021-10-04 19:16 (-07)"/>
    <x v="204"/>
    <x v="514"/>
    <x v="1"/>
    <s v="On Demand"/>
    <x v="37"/>
    <x v="1"/>
    <x v="1"/>
    <s v="Core"/>
    <x v="1"/>
    <x v="539"/>
    <m/>
    <m/>
    <m/>
    <m/>
    <m/>
    <m/>
    <n v="46"/>
    <m/>
    <m/>
    <m/>
  </r>
  <r>
    <s v="2021-10-04 19:27 (-07)"/>
    <x v="204"/>
    <x v="515"/>
    <x v="1"/>
    <s v="On Demand"/>
    <x v="1"/>
    <x v="3"/>
    <x v="2"/>
    <s v="Pre &amp; Post-Ride Stretch"/>
    <x v="8"/>
    <x v="527"/>
    <m/>
    <m/>
    <m/>
    <m/>
    <m/>
    <m/>
    <n v="11"/>
    <m/>
    <m/>
    <m/>
  </r>
  <r>
    <s v="2021-10-04 22:13 (PST)"/>
    <x v="204"/>
    <x v="235"/>
    <x v="1"/>
    <s v="On Demand"/>
    <x v="19"/>
    <x v="1"/>
    <x v="5"/>
    <s v="Emotions"/>
    <x v="60"/>
    <x v="540"/>
    <m/>
    <m/>
    <m/>
    <m/>
    <m/>
    <m/>
    <m/>
    <m/>
    <m/>
    <m/>
  </r>
  <r>
    <s v="2021-10-11 07:04 (PST)"/>
    <x v="205"/>
    <x v="494"/>
    <x v="1"/>
    <s v="On Demand"/>
    <x v="23"/>
    <x v="0"/>
    <x v="4"/>
    <s v="Slow Flow"/>
    <x v="33"/>
    <x v="541"/>
    <m/>
    <m/>
    <m/>
    <m/>
    <m/>
    <m/>
    <n v="154"/>
    <m/>
    <m/>
    <m/>
  </r>
  <r>
    <s v="2021-10-11 18:30 (-07)"/>
    <x v="205"/>
    <x v="128"/>
    <x v="1"/>
    <s v="On Demand"/>
    <x v="7"/>
    <x v="0"/>
    <x v="0"/>
    <s v="Power Zone"/>
    <x v="85"/>
    <x v="542"/>
    <n v="279"/>
    <n v="103"/>
    <n v="0.37"/>
    <n v="83"/>
    <n v="16.010000000000002"/>
    <n v="12.01"/>
    <n v="344"/>
    <m/>
    <m/>
    <m/>
  </r>
  <r>
    <s v="2021-10-11 19:16 (-07)"/>
    <x v="205"/>
    <x v="514"/>
    <x v="1"/>
    <s v="On Demand"/>
    <x v="9"/>
    <x v="3"/>
    <x v="0"/>
    <s v="Cool Down"/>
    <x v="10"/>
    <x v="119"/>
    <n v="9"/>
    <n v="31"/>
    <n v="0.2"/>
    <n v="85"/>
    <n v="9.42"/>
    <n v="0.79"/>
    <n v="11"/>
    <m/>
    <m/>
    <m/>
  </r>
  <r>
    <s v="2021-10-11 19:22 (-07)"/>
    <x v="205"/>
    <x v="516"/>
    <x v="1"/>
    <s v="On Demand"/>
    <x v="9"/>
    <x v="3"/>
    <x v="2"/>
    <s v="Pre &amp; Post-Ride Stretch"/>
    <x v="8"/>
    <x v="105"/>
    <m/>
    <m/>
    <m/>
    <m/>
    <m/>
    <m/>
    <n v="11"/>
    <m/>
    <m/>
    <m/>
  </r>
  <r>
    <s v="2021-10-11 19:34 (-07)"/>
    <x v="205"/>
    <x v="428"/>
    <x v="1"/>
    <s v="On Demand"/>
    <x v="5"/>
    <x v="3"/>
    <x v="1"/>
    <s v="Core"/>
    <x v="6"/>
    <x v="543"/>
    <m/>
    <m/>
    <m/>
    <m/>
    <m/>
    <m/>
    <n v="23"/>
    <m/>
    <m/>
    <m/>
  </r>
  <r>
    <s v="2021-10-11 22:28 (PST)"/>
    <x v="205"/>
    <x v="472"/>
    <x v="1"/>
    <s v="On Demand"/>
    <x v="25"/>
    <x v="1"/>
    <x v="5"/>
    <s v="Theme"/>
    <x v="208"/>
    <x v="544"/>
    <m/>
    <m/>
    <m/>
    <m/>
    <m/>
    <m/>
    <m/>
    <m/>
    <m/>
    <m/>
  </r>
  <r>
    <s v="2021-10-18 07:07 (PST)"/>
    <x v="206"/>
    <x v="503"/>
    <x v="1"/>
    <s v="On Demand"/>
    <x v="13"/>
    <x v="2"/>
    <x v="4"/>
    <s v="Flow"/>
    <x v="41"/>
    <x v="545"/>
    <m/>
    <m/>
    <m/>
    <m/>
    <m/>
    <m/>
    <n v="94"/>
    <m/>
    <m/>
    <m/>
  </r>
  <r>
    <s v="2021-10-18 17:10 (-07)"/>
    <x v="206"/>
    <x v="517"/>
    <x v="1"/>
    <s v="On Demand"/>
    <x v="7"/>
    <x v="0"/>
    <x v="0"/>
    <s v="Power Zone"/>
    <x v="27"/>
    <x v="546"/>
    <n v="263"/>
    <n v="97"/>
    <n v="0.37"/>
    <n v="84"/>
    <n v="15.89"/>
    <n v="11.92"/>
    <n v="325"/>
    <m/>
    <m/>
    <m/>
  </r>
  <r>
    <s v="2021-10-18 17:56 (-07)"/>
    <x v="206"/>
    <x v="257"/>
    <x v="1"/>
    <s v="On Demand"/>
    <x v="6"/>
    <x v="1"/>
    <x v="0"/>
    <s v="Cool Down"/>
    <x v="17"/>
    <x v="547"/>
    <n v="40"/>
    <n v="66"/>
    <n v="0.28999999999999998"/>
    <n v="92"/>
    <n v="13.56"/>
    <n v="2.2599999999999998"/>
    <n v="49"/>
    <m/>
    <m/>
    <m/>
  </r>
  <r>
    <s v="2021-10-18 18:09 (-07)"/>
    <x v="206"/>
    <x v="518"/>
    <x v="1"/>
    <s v="On Demand"/>
    <x v="11"/>
    <x v="1"/>
    <x v="1"/>
    <s v="Upper Body"/>
    <x v="117"/>
    <x v="539"/>
    <m/>
    <m/>
    <m/>
    <m/>
    <m/>
    <m/>
    <n v="46"/>
    <m/>
    <m/>
    <m/>
  </r>
  <r>
    <s v="2021-10-18 18:19 (-07)"/>
    <x v="206"/>
    <x v="519"/>
    <x v="1"/>
    <s v="On Demand"/>
    <x v="11"/>
    <x v="3"/>
    <x v="1"/>
    <s v="Core"/>
    <x v="6"/>
    <x v="548"/>
    <m/>
    <m/>
    <m/>
    <m/>
    <m/>
    <m/>
    <n v="23"/>
    <m/>
    <m/>
    <m/>
  </r>
  <r>
    <s v="2021-10-18 18:26 (-07)"/>
    <x v="206"/>
    <x v="498"/>
    <x v="1"/>
    <s v="On Demand"/>
    <x v="5"/>
    <x v="3"/>
    <x v="2"/>
    <s v="Pre &amp; Post-Ride Stretch"/>
    <x v="8"/>
    <x v="549"/>
    <m/>
    <m/>
    <m/>
    <m/>
    <m/>
    <m/>
    <n v="11"/>
    <m/>
    <m/>
    <m/>
  </r>
  <r>
    <s v="2021-10-18 21:59 (PST)"/>
    <x v="206"/>
    <x v="96"/>
    <x v="1"/>
    <s v="On Demand"/>
    <x v="13"/>
    <x v="1"/>
    <x v="5"/>
    <s v="Relaxation"/>
    <x v="71"/>
    <x v="550"/>
    <m/>
    <m/>
    <m/>
    <m/>
    <m/>
    <m/>
    <m/>
    <m/>
    <m/>
    <m/>
  </r>
  <r>
    <s v="2021-10-25 07:16 (PST)"/>
    <x v="207"/>
    <x v="107"/>
    <x v="1"/>
    <s v="On Demand"/>
    <x v="16"/>
    <x v="2"/>
    <x v="4"/>
    <s v="Focus Flow"/>
    <x v="209"/>
    <x v="551"/>
    <m/>
    <m/>
    <m/>
    <m/>
    <m/>
    <m/>
    <n v="100"/>
    <m/>
    <m/>
    <m/>
  </r>
  <r>
    <s v="2021-10-25 19:36 (-07)"/>
    <x v="207"/>
    <x v="520"/>
    <x v="1"/>
    <s v="On Demand"/>
    <x v="7"/>
    <x v="0"/>
    <x v="0"/>
    <s v="Power Zone"/>
    <x v="85"/>
    <x v="552"/>
    <n v="291"/>
    <n v="108"/>
    <n v="0.37"/>
    <n v="85"/>
    <n v="16.329999999999998"/>
    <n v="12.25"/>
    <n v="359"/>
    <m/>
    <m/>
    <m/>
  </r>
  <r>
    <s v="2021-10-25 20:22 (-07)"/>
    <x v="207"/>
    <x v="521"/>
    <x v="1"/>
    <s v="On Demand"/>
    <x v="7"/>
    <x v="3"/>
    <x v="0"/>
    <s v="Cool Down"/>
    <x v="10"/>
    <x v="105"/>
    <n v="15"/>
    <n v="50"/>
    <n v="0.28000000000000003"/>
    <n v="79"/>
    <n v="11.95"/>
    <n v="0.99"/>
    <n v="19"/>
    <m/>
    <m/>
    <m/>
  </r>
  <r>
    <s v="2021-10-25 20:28 (-07)"/>
    <x v="207"/>
    <x v="522"/>
    <x v="1"/>
    <s v="On Demand"/>
    <x v="7"/>
    <x v="3"/>
    <x v="2"/>
    <s v="Pre &amp; Post-Ride Stretch"/>
    <x v="8"/>
    <x v="499"/>
    <m/>
    <m/>
    <m/>
    <m/>
    <m/>
    <m/>
    <n v="11"/>
    <m/>
    <m/>
    <m/>
  </r>
  <r>
    <s v="2021-10-25 22:33 (PST)"/>
    <x v="207"/>
    <x v="232"/>
    <x v="1"/>
    <s v="On Demand"/>
    <x v="13"/>
    <x v="1"/>
    <x v="5"/>
    <s v="Emotions"/>
    <x v="210"/>
    <x v="553"/>
    <m/>
    <m/>
    <m/>
    <m/>
    <m/>
    <m/>
    <m/>
    <m/>
    <m/>
    <m/>
  </r>
  <r>
    <s v="2021-11-01 07:05 (PST)"/>
    <x v="208"/>
    <x v="69"/>
    <x v="1"/>
    <s v="On Demand"/>
    <x v="7"/>
    <x v="5"/>
    <x v="4"/>
    <s v="Focus Flow"/>
    <x v="40"/>
    <x v="554"/>
    <m/>
    <m/>
    <m/>
    <m/>
    <m/>
    <m/>
    <n v="64"/>
    <m/>
    <m/>
    <m/>
  </r>
  <r>
    <s v="2021-11-01 20:41 (PST)"/>
    <x v="208"/>
    <x v="523"/>
    <x v="1"/>
    <s v="On Demand"/>
    <x v="23"/>
    <x v="7"/>
    <x v="5"/>
    <s v="Sleep"/>
    <x v="65"/>
    <x v="120"/>
    <m/>
    <m/>
    <m/>
    <m/>
    <m/>
    <m/>
    <m/>
    <m/>
    <m/>
    <m/>
  </r>
  <r>
    <s v="2021-11-08 06:59 (PST)"/>
    <x v="209"/>
    <x v="524"/>
    <x v="1"/>
    <s v="On Demand"/>
    <x v="13"/>
    <x v="0"/>
    <x v="4"/>
    <s v="Flow"/>
    <x v="14"/>
    <x v="555"/>
    <m/>
    <m/>
    <m/>
    <m/>
    <m/>
    <m/>
    <n v="149"/>
    <m/>
    <m/>
    <m/>
  </r>
  <r>
    <s v="2021-11-08 07:45 (PST)"/>
    <x v="209"/>
    <x v="126"/>
    <x v="1"/>
    <s v="On Demand"/>
    <x v="3"/>
    <x v="3"/>
    <x v="1"/>
    <s v="Core"/>
    <x v="6"/>
    <x v="556"/>
    <m/>
    <m/>
    <m/>
    <m/>
    <m/>
    <m/>
    <n v="23"/>
    <m/>
    <m/>
    <m/>
  </r>
  <r>
    <s v="2021-11-08 18:19 (-08)"/>
    <x v="209"/>
    <x v="525"/>
    <x v="1"/>
    <s v="On Demand"/>
    <x v="7"/>
    <x v="5"/>
    <x v="0"/>
    <s v="Low Impact"/>
    <x v="67"/>
    <x v="557"/>
    <n v="100"/>
    <n v="83"/>
    <n v="0.35"/>
    <n v="81"/>
    <n v="14.84"/>
    <n v="4.95"/>
    <n v="123"/>
    <m/>
    <m/>
    <m/>
  </r>
  <r>
    <s v="2021-11-08 18:41 (-08)"/>
    <x v="209"/>
    <x v="526"/>
    <x v="1"/>
    <s v="On Demand"/>
    <x v="6"/>
    <x v="2"/>
    <x v="0"/>
    <s v="Power Zone"/>
    <x v="131"/>
    <x v="558"/>
    <n v="164"/>
    <n v="91"/>
    <n v="0.35"/>
    <n v="84"/>
    <n v="15.4"/>
    <n v="7.7"/>
    <n v="202"/>
    <m/>
    <m/>
    <m/>
  </r>
  <r>
    <s v="2021-11-08 19:12 (-08)"/>
    <x v="209"/>
    <x v="527"/>
    <x v="1"/>
    <s v="On Demand"/>
    <x v="29"/>
    <x v="1"/>
    <x v="1"/>
    <s v="Arms &amp; Light Weights"/>
    <x v="28"/>
    <x v="559"/>
    <m/>
    <m/>
    <m/>
    <m/>
    <m/>
    <m/>
    <n v="46"/>
    <m/>
    <m/>
    <m/>
  </r>
  <r>
    <s v="2021-11-08 19:23 (-08)"/>
    <x v="209"/>
    <x v="528"/>
    <x v="1"/>
    <s v="On Demand"/>
    <x v="24"/>
    <x v="3"/>
    <x v="2"/>
    <s v="Pre &amp; Post-Ride Stretch"/>
    <x v="8"/>
    <x v="560"/>
    <m/>
    <m/>
    <m/>
    <m/>
    <m/>
    <m/>
    <n v="11"/>
    <m/>
    <m/>
    <m/>
  </r>
  <r>
    <s v="2021-11-08 22:04 (PST)"/>
    <x v="209"/>
    <x v="529"/>
    <x v="1"/>
    <s v="On Demand"/>
    <x v="25"/>
    <x v="1"/>
    <x v="5"/>
    <s v="Relaxation"/>
    <x v="34"/>
    <x v="561"/>
    <m/>
    <m/>
    <m/>
    <m/>
    <m/>
    <m/>
    <m/>
    <m/>
    <m/>
    <m/>
  </r>
  <r>
    <s v="2021-11-15 02:37 (PST)"/>
    <x v="210"/>
    <x v="530"/>
    <x v="1"/>
    <s v="On Demand"/>
    <x v="19"/>
    <x v="1"/>
    <x v="5"/>
    <s v="Sleep"/>
    <x v="66"/>
    <x v="121"/>
    <m/>
    <m/>
    <m/>
    <m/>
    <m/>
    <m/>
    <m/>
    <m/>
    <m/>
    <m/>
  </r>
  <r>
    <s v="2021-11-15 02:51 (PST)"/>
    <x v="210"/>
    <x v="531"/>
    <x v="1"/>
    <s v="On Demand"/>
    <x v="19"/>
    <x v="1"/>
    <x v="5"/>
    <s v="Sleep"/>
    <x v="66"/>
    <x v="121"/>
    <m/>
    <m/>
    <m/>
    <m/>
    <m/>
    <m/>
    <m/>
    <m/>
    <m/>
    <m/>
  </r>
  <r>
    <s v="2021-11-15 07:12 (PST)"/>
    <x v="210"/>
    <x v="532"/>
    <x v="1"/>
    <s v="On Demand"/>
    <x v="7"/>
    <x v="2"/>
    <x v="4"/>
    <s v="Slow Flow"/>
    <x v="50"/>
    <x v="562"/>
    <m/>
    <m/>
    <m/>
    <m/>
    <m/>
    <m/>
    <n v="100"/>
    <m/>
    <m/>
    <m/>
  </r>
  <r>
    <s v="2021-11-15 12:57 (PST)"/>
    <x v="210"/>
    <x v="533"/>
    <x v="1"/>
    <s v="On Demand"/>
    <x v="7"/>
    <x v="7"/>
    <x v="4"/>
    <s v="Focus Flow"/>
    <x v="143"/>
    <x v="563"/>
    <m/>
    <m/>
    <m/>
    <m/>
    <m/>
    <m/>
    <n v="52"/>
    <m/>
    <m/>
    <m/>
  </r>
  <r>
    <s v="2021-11-15 16:23 (-08)"/>
    <x v="210"/>
    <x v="534"/>
    <x v="1"/>
    <s v="On Demand"/>
    <x v="6"/>
    <x v="2"/>
    <x v="0"/>
    <s v="Power Zone"/>
    <x v="5"/>
    <x v="564"/>
    <n v="148"/>
    <n v="82"/>
    <n v="0.33"/>
    <n v="87"/>
    <n v="14.83"/>
    <n v="7.41"/>
    <n v="182"/>
    <m/>
    <m/>
    <m/>
  </r>
  <r>
    <s v="2021-11-15 16:56 (-08)"/>
    <x v="210"/>
    <x v="535"/>
    <x v="1"/>
    <s v="On Demand"/>
    <x v="4"/>
    <x v="7"/>
    <x v="1"/>
    <s v="Upper Body"/>
    <x v="211"/>
    <x v="565"/>
    <m/>
    <m/>
    <m/>
    <m/>
    <m/>
    <m/>
    <n v="69"/>
    <m/>
    <m/>
    <m/>
  </r>
  <r>
    <s v="2021-11-15 17:12 (-08)"/>
    <x v="210"/>
    <x v="536"/>
    <x v="1"/>
    <s v="On Demand"/>
    <x v="1"/>
    <x v="1"/>
    <x v="1"/>
    <s v="Core"/>
    <x v="1"/>
    <x v="566"/>
    <m/>
    <m/>
    <m/>
    <m/>
    <m/>
    <m/>
    <n v="46"/>
    <m/>
    <m/>
    <m/>
  </r>
  <r>
    <s v="2021-11-15 21:45 (PST)"/>
    <x v="210"/>
    <x v="537"/>
    <x v="1"/>
    <s v="On Demand"/>
    <x v="28"/>
    <x v="1"/>
    <x v="5"/>
    <s v="Fitness Focus"/>
    <x v="164"/>
    <x v="133"/>
    <m/>
    <m/>
    <m/>
    <m/>
    <m/>
    <m/>
    <m/>
    <m/>
    <m/>
    <m/>
  </r>
  <r>
    <s v="2021-11-22 07:11 (PST)"/>
    <x v="211"/>
    <x v="13"/>
    <x v="1"/>
    <s v="On Demand"/>
    <x v="32"/>
    <x v="5"/>
    <x v="4"/>
    <s v="Focus Flow"/>
    <x v="212"/>
    <x v="567"/>
    <m/>
    <m/>
    <m/>
    <m/>
    <m/>
    <m/>
    <n v="65"/>
    <m/>
    <m/>
    <m/>
  </r>
  <r>
    <s v="2021-11-22 17:00 (-08)"/>
    <x v="211"/>
    <x v="538"/>
    <x v="1"/>
    <s v="On Demand"/>
    <x v="9"/>
    <x v="3"/>
    <x v="0"/>
    <s v="Warm Up"/>
    <x v="22"/>
    <x v="568"/>
    <n v="19"/>
    <n v="63"/>
    <n v="0.28999999999999998"/>
    <n v="87"/>
    <n v="13.26"/>
    <n v="1.1000000000000001"/>
    <n v="23"/>
    <m/>
    <m/>
    <m/>
  </r>
  <r>
    <s v="2021-11-22 17:06 (-08)"/>
    <x v="211"/>
    <x v="539"/>
    <x v="1"/>
    <s v="On Demand"/>
    <x v="6"/>
    <x v="0"/>
    <x v="0"/>
    <s v="Power Zone"/>
    <x v="85"/>
    <x v="569"/>
    <n v="280"/>
    <n v="104"/>
    <n v="0.37"/>
    <n v="84"/>
    <n v="16.22"/>
    <n v="12.17"/>
    <n v="346"/>
    <m/>
    <m/>
    <m/>
  </r>
  <r>
    <s v="2021-11-22 17:52 (-08)"/>
    <x v="211"/>
    <x v="540"/>
    <x v="1"/>
    <s v="On Demand"/>
    <x v="6"/>
    <x v="3"/>
    <x v="0"/>
    <s v="Cool Down"/>
    <x v="10"/>
    <x v="137"/>
    <n v="20"/>
    <n v="66"/>
    <n v="0.3"/>
    <n v="87"/>
    <n v="13.55"/>
    <n v="1.1299999999999999"/>
    <n v="24"/>
    <m/>
    <m/>
    <m/>
  </r>
  <r>
    <s v="2021-11-22 17:59 (-08)"/>
    <x v="211"/>
    <x v="541"/>
    <x v="1"/>
    <s v="On Demand"/>
    <x v="11"/>
    <x v="5"/>
    <x v="1"/>
    <s v="Upper Body"/>
    <x v="141"/>
    <x v="570"/>
    <m/>
    <m/>
    <m/>
    <m/>
    <m/>
    <m/>
    <n v="92"/>
    <m/>
    <m/>
    <m/>
  </r>
  <r>
    <s v="2021-11-22 18:21 (-08)"/>
    <x v="211"/>
    <x v="542"/>
    <x v="1"/>
    <s v="On Demand"/>
    <x v="1"/>
    <x v="3"/>
    <x v="2"/>
    <s v="Full Body Stretch"/>
    <x v="213"/>
    <x v="571"/>
    <m/>
    <m/>
    <m/>
    <m/>
    <m/>
    <m/>
    <n v="11"/>
    <m/>
    <m/>
    <m/>
  </r>
  <r>
    <s v="2021-11-22 22:11 (PST)"/>
    <x v="211"/>
    <x v="137"/>
    <x v="1"/>
    <s v="On Demand"/>
    <x v="28"/>
    <x v="1"/>
    <x v="5"/>
    <s v="Emotions"/>
    <x v="60"/>
    <x v="133"/>
    <m/>
    <m/>
    <m/>
    <m/>
    <m/>
    <m/>
    <m/>
    <m/>
    <m/>
    <m/>
  </r>
  <r>
    <s v="2021-11-29 15:27 (-08)"/>
    <x v="212"/>
    <x v="543"/>
    <x v="1"/>
    <s v="On Demand"/>
    <x v="29"/>
    <x v="3"/>
    <x v="0"/>
    <s v="Warm Up"/>
    <x v="22"/>
    <x v="572"/>
    <n v="26"/>
    <n v="86"/>
    <n v="0.33"/>
    <n v="89"/>
    <n v="15.25"/>
    <n v="1.27"/>
    <n v="32"/>
    <m/>
    <m/>
    <m/>
  </r>
  <r>
    <s v="2021-11-29 15:34 (-08)"/>
    <x v="212"/>
    <x v="544"/>
    <x v="1"/>
    <s v="On Demand"/>
    <x v="4"/>
    <x v="0"/>
    <x v="0"/>
    <s v="Power Zone"/>
    <x v="85"/>
    <x v="573"/>
    <n v="274"/>
    <n v="101"/>
    <n v="0.36"/>
    <n v="86"/>
    <n v="16"/>
    <n v="12"/>
    <n v="338"/>
    <m/>
    <m/>
    <m/>
  </r>
  <r>
    <s v="2021-11-29 16:19 (-08)"/>
    <x v="212"/>
    <x v="545"/>
    <x v="1"/>
    <s v="On Demand"/>
    <x v="4"/>
    <x v="3"/>
    <x v="0"/>
    <s v="Cool Down"/>
    <x v="10"/>
    <x v="574"/>
    <n v="22"/>
    <n v="73"/>
    <n v="0.31"/>
    <n v="88"/>
    <n v="14.11"/>
    <n v="1.17"/>
    <n v="27"/>
    <m/>
    <m/>
    <m/>
  </r>
  <r>
    <s v="2021-11-29 16:25 (-08)"/>
    <x v="212"/>
    <x v="546"/>
    <x v="1"/>
    <s v="On Demand"/>
    <x v="4"/>
    <x v="1"/>
    <x v="1"/>
    <s v="Arms &amp; Light Weights"/>
    <x v="28"/>
    <x v="575"/>
    <m/>
    <m/>
    <m/>
    <m/>
    <m/>
    <m/>
    <n v="46"/>
    <m/>
    <m/>
    <m/>
  </r>
  <r>
    <s v="2021-11-29 16:40 (-08)"/>
    <x v="212"/>
    <x v="547"/>
    <x v="1"/>
    <s v="On Demand"/>
    <x v="1"/>
    <x v="3"/>
    <x v="1"/>
    <s v="Core"/>
    <x v="6"/>
    <x v="576"/>
    <m/>
    <m/>
    <m/>
    <m/>
    <m/>
    <m/>
    <n v="23"/>
    <m/>
    <m/>
    <m/>
  </r>
  <r>
    <s v="2021-11-29 16:46 (-08)"/>
    <x v="212"/>
    <x v="548"/>
    <x v="1"/>
    <s v="On Demand"/>
    <x v="1"/>
    <x v="1"/>
    <x v="1"/>
    <s v="Core"/>
    <x v="1"/>
    <x v="139"/>
    <m/>
    <m/>
    <m/>
    <m/>
    <m/>
    <m/>
    <n v="46"/>
    <m/>
    <m/>
    <m/>
  </r>
  <r>
    <s v="2021-11-29 21:34 (PST)"/>
    <x v="212"/>
    <x v="549"/>
    <x v="1"/>
    <s v="On Demand"/>
    <x v="19"/>
    <x v="5"/>
    <x v="5"/>
    <s v="Sleep"/>
    <x v="29"/>
    <x v="577"/>
    <m/>
    <m/>
    <m/>
    <m/>
    <m/>
    <m/>
    <m/>
    <m/>
    <m/>
    <m/>
  </r>
  <r>
    <s v="2021-12-06 01:14 (PST)"/>
    <x v="213"/>
    <x v="550"/>
    <x v="1"/>
    <s v="On Demand"/>
    <x v="13"/>
    <x v="3"/>
    <x v="5"/>
    <s v="Sleep"/>
    <x v="205"/>
    <x v="578"/>
    <m/>
    <m/>
    <m/>
    <m/>
    <m/>
    <m/>
    <m/>
    <m/>
    <m/>
    <m/>
  </r>
  <r>
    <s v="2021-12-06 05:40 (PST)"/>
    <x v="213"/>
    <x v="551"/>
    <x v="1"/>
    <s v="On Demand"/>
    <x v="7"/>
    <x v="2"/>
    <x v="4"/>
    <s v="Flow"/>
    <x v="41"/>
    <x v="579"/>
    <m/>
    <m/>
    <m/>
    <m/>
    <m/>
    <m/>
    <n v="95"/>
    <m/>
    <m/>
    <m/>
  </r>
  <r>
    <s v="2021-12-06 06:14 (PST)"/>
    <x v="213"/>
    <x v="552"/>
    <x v="1"/>
    <s v="On Demand"/>
    <x v="1"/>
    <x v="1"/>
    <x v="1"/>
    <s v="Core"/>
    <x v="1"/>
    <x v="43"/>
    <m/>
    <m/>
    <m/>
    <m/>
    <m/>
    <m/>
    <n v="46"/>
    <m/>
    <m/>
    <m/>
  </r>
  <r>
    <s v="2021-12-06 17:37 (-08)"/>
    <x v="213"/>
    <x v="553"/>
    <x v="1"/>
    <s v="On Demand"/>
    <x v="1"/>
    <x v="1"/>
    <x v="0"/>
    <s v="Low Impact"/>
    <x v="192"/>
    <x v="580"/>
    <n v="50"/>
    <n v="83"/>
    <n v="0.34"/>
    <n v="84"/>
    <n v="14.84"/>
    <n v="2.4700000000000002"/>
    <n v="61"/>
    <m/>
    <m/>
    <m/>
  </r>
  <r>
    <s v="2021-12-06 17:49 (-08)"/>
    <x v="213"/>
    <x v="554"/>
    <x v="1"/>
    <s v="On Demand"/>
    <x v="6"/>
    <x v="2"/>
    <x v="0"/>
    <s v="Low Impact"/>
    <x v="76"/>
    <x v="581"/>
    <n v="135"/>
    <n v="75"/>
    <n v="0.34"/>
    <n v="80"/>
    <n v="14.22"/>
    <n v="7.11"/>
    <n v="166"/>
    <m/>
    <m/>
    <m/>
  </r>
  <r>
    <s v="2021-12-06 18:23 (-08)"/>
    <x v="213"/>
    <x v="555"/>
    <x v="1"/>
    <s v="On Demand"/>
    <x v="20"/>
    <x v="1"/>
    <x v="1"/>
    <s v="Arms &amp; Light Weights"/>
    <x v="28"/>
    <x v="582"/>
    <m/>
    <m/>
    <m/>
    <m/>
    <m/>
    <m/>
    <n v="46"/>
    <m/>
    <m/>
    <m/>
  </r>
  <r>
    <s v="2021-12-06 20:18 (PST)"/>
    <x v="213"/>
    <x v="556"/>
    <x v="1"/>
    <s v="On Demand"/>
    <x v="8"/>
    <x v="1"/>
    <x v="2"/>
    <s v="Foam Rolling"/>
    <x v="214"/>
    <x v="583"/>
    <m/>
    <m/>
    <m/>
    <m/>
    <m/>
    <m/>
    <n v="23"/>
    <m/>
    <m/>
    <m/>
  </r>
  <r>
    <s v="2021-12-06 21:49 (PST)"/>
    <x v="213"/>
    <x v="227"/>
    <x v="1"/>
    <s v="On Demand"/>
    <x v="25"/>
    <x v="7"/>
    <x v="5"/>
    <s v="Relaxation"/>
    <x v="199"/>
    <x v="584"/>
    <m/>
    <m/>
    <m/>
    <m/>
    <m/>
    <m/>
    <m/>
    <m/>
    <m/>
    <m/>
  </r>
  <r>
    <s v="2021-12-13 07:16 (PST)"/>
    <x v="214"/>
    <x v="107"/>
    <x v="1"/>
    <s v="On Demand"/>
    <x v="28"/>
    <x v="2"/>
    <x v="4"/>
    <s v="Slow Flow"/>
    <x v="50"/>
    <x v="585"/>
    <m/>
    <m/>
    <m/>
    <m/>
    <m/>
    <m/>
    <n v="95"/>
    <m/>
    <m/>
    <m/>
  </r>
  <r>
    <s v="2021-12-13 17:02 (-08)"/>
    <x v="214"/>
    <x v="557"/>
    <x v="1"/>
    <s v="On Demand"/>
    <x v="6"/>
    <x v="0"/>
    <x v="0"/>
    <s v="Power Zone"/>
    <x v="102"/>
    <x v="586"/>
    <n v="269"/>
    <n v="100"/>
    <n v="0.36"/>
    <n v="87"/>
    <n v="16.100000000000001"/>
    <n v="12.08"/>
    <n v="332"/>
    <m/>
    <m/>
    <m/>
  </r>
  <r>
    <s v="2021-12-13 17:50 (-08)"/>
    <x v="214"/>
    <x v="558"/>
    <x v="1"/>
    <s v="On Demand"/>
    <x v="12"/>
    <x v="1"/>
    <x v="1"/>
    <s v="Arms &amp; Light Weights"/>
    <x v="28"/>
    <x v="587"/>
    <m/>
    <m/>
    <m/>
    <m/>
    <m/>
    <m/>
    <n v="46"/>
    <m/>
    <m/>
    <m/>
  </r>
  <r>
    <s v="2021-12-13 18:03 (-08)"/>
    <x v="214"/>
    <x v="559"/>
    <x v="1"/>
    <s v="On Demand"/>
    <x v="1"/>
    <x v="1"/>
    <x v="1"/>
    <s v="Core"/>
    <x v="1"/>
    <x v="588"/>
    <m/>
    <m/>
    <m/>
    <m/>
    <m/>
    <m/>
    <n v="46"/>
    <m/>
    <m/>
    <m/>
  </r>
  <r>
    <s v="2021-12-13 18:14 (-08)"/>
    <x v="214"/>
    <x v="560"/>
    <x v="1"/>
    <s v="On Demand"/>
    <x v="1"/>
    <x v="3"/>
    <x v="1"/>
    <s v="Core"/>
    <x v="6"/>
    <x v="571"/>
    <m/>
    <m/>
    <m/>
    <m/>
    <m/>
    <m/>
    <n v="23"/>
    <m/>
    <m/>
    <m/>
  </r>
  <r>
    <s v="2021-12-13 22:26 (PST)"/>
    <x v="214"/>
    <x v="56"/>
    <x v="1"/>
    <s v="On Demand"/>
    <x v="19"/>
    <x v="7"/>
    <x v="5"/>
    <s v="Emotions"/>
    <x v="215"/>
    <x v="589"/>
    <m/>
    <m/>
    <m/>
    <m/>
    <m/>
    <m/>
    <m/>
    <m/>
    <m/>
    <m/>
  </r>
  <r>
    <s v="2021-12-20 06:33 (PST)"/>
    <x v="215"/>
    <x v="561"/>
    <x v="1"/>
    <s v="On Demand"/>
    <x v="16"/>
    <x v="7"/>
    <x v="4"/>
    <s v="Focus Flow"/>
    <x v="216"/>
    <x v="148"/>
    <m/>
    <m/>
    <m/>
    <m/>
    <m/>
    <m/>
    <n v="47"/>
    <m/>
    <m/>
    <m/>
  </r>
  <r>
    <s v="2021-12-20 06:50 (PST)"/>
    <x v="215"/>
    <x v="562"/>
    <x v="1"/>
    <s v="On Demand"/>
    <x v="25"/>
    <x v="1"/>
    <x v="4"/>
    <s v="Focus Flow"/>
    <x v="133"/>
    <x v="590"/>
    <m/>
    <m/>
    <m/>
    <m/>
    <m/>
    <m/>
    <n v="30"/>
    <m/>
    <m/>
    <m/>
  </r>
  <r>
    <s v="2021-12-20 17:24 (-08)"/>
    <x v="215"/>
    <x v="563"/>
    <x v="1"/>
    <s v="On Demand"/>
    <x v="39"/>
    <x v="1"/>
    <x v="0"/>
    <s v="Warm Up"/>
    <x v="217"/>
    <x v="591"/>
    <n v="55"/>
    <n v="91"/>
    <n v="0.36"/>
    <n v="84"/>
    <n v="15.5"/>
    <n v="2.59"/>
    <n v="68"/>
    <m/>
    <m/>
    <m/>
  </r>
  <r>
    <s v="2021-12-20 17:36 (-08)"/>
    <x v="215"/>
    <x v="564"/>
    <x v="1"/>
    <s v="On Demand"/>
    <x v="7"/>
    <x v="0"/>
    <x v="0"/>
    <s v="Power Zone"/>
    <x v="27"/>
    <x v="154"/>
    <n v="262"/>
    <n v="97"/>
    <n v="0.36"/>
    <n v="86"/>
    <n v="15.93"/>
    <n v="11.95"/>
    <n v="323"/>
    <m/>
    <m/>
    <m/>
  </r>
  <r>
    <s v="2021-12-20 18:21 (-08)"/>
    <x v="215"/>
    <x v="542"/>
    <x v="1"/>
    <s v="On Demand"/>
    <x v="7"/>
    <x v="3"/>
    <x v="0"/>
    <s v="Cool Down"/>
    <x v="10"/>
    <x v="592"/>
    <n v="17"/>
    <n v="57"/>
    <n v="0.28999999999999998"/>
    <n v="82"/>
    <n v="12.69"/>
    <n v="1.06"/>
    <n v="21"/>
    <m/>
    <m/>
    <m/>
  </r>
  <r>
    <s v="2021-12-20 18:27 (-08)"/>
    <x v="215"/>
    <x v="565"/>
    <x v="1"/>
    <s v="On Demand"/>
    <x v="26"/>
    <x v="1"/>
    <x v="2"/>
    <s v="Full Body Stretch"/>
    <x v="218"/>
    <x v="593"/>
    <m/>
    <m/>
    <m/>
    <m/>
    <m/>
    <m/>
    <n v="23"/>
    <m/>
    <m/>
    <m/>
  </r>
  <r>
    <s v="2021-12-20 21:44 (PST)"/>
    <x v="215"/>
    <x v="566"/>
    <x v="1"/>
    <s v="On Demand"/>
    <x v="19"/>
    <x v="7"/>
    <x v="5"/>
    <s v="Emotions"/>
    <x v="219"/>
    <x v="594"/>
    <m/>
    <m/>
    <m/>
    <m/>
    <m/>
    <m/>
    <m/>
    <m/>
    <m/>
    <m/>
  </r>
  <r>
    <s v="2021-12-27 00:58 (PST)"/>
    <x v="216"/>
    <x v="499"/>
    <x v="1"/>
    <s v="On Demand"/>
    <x v="25"/>
    <x v="1"/>
    <x v="5"/>
    <s v="Relaxation"/>
    <x v="71"/>
    <x v="595"/>
    <m/>
    <m/>
    <m/>
    <m/>
    <m/>
    <m/>
    <m/>
    <m/>
    <m/>
    <m/>
  </r>
  <r>
    <s v="2021-12-27 07:43 (PST)"/>
    <x v="216"/>
    <x v="567"/>
    <x v="1"/>
    <s v="On Demand"/>
    <x v="16"/>
    <x v="2"/>
    <x v="4"/>
    <s v="Slow Flow"/>
    <x v="220"/>
    <x v="596"/>
    <m/>
    <m/>
    <m/>
    <m/>
    <m/>
    <m/>
    <n v="97"/>
    <m/>
    <m/>
    <m/>
  </r>
  <r>
    <s v="2021-12-27 12:26 (PST)"/>
    <x v="216"/>
    <x v="568"/>
    <x v="1"/>
    <s v="On Demand"/>
    <x v="19"/>
    <x v="1"/>
    <x v="4"/>
    <s v="Focus Flow"/>
    <x v="118"/>
    <x v="597"/>
    <m/>
    <m/>
    <m/>
    <m/>
    <m/>
    <m/>
    <n v="27"/>
    <m/>
    <m/>
    <m/>
  </r>
  <r>
    <s v="2021-12-27 16:55 (-08)"/>
    <x v="216"/>
    <x v="280"/>
    <x v="1"/>
    <s v="On Demand"/>
    <x v="20"/>
    <x v="1"/>
    <x v="0"/>
    <s v="Low Impact"/>
    <x v="192"/>
    <x v="598"/>
    <n v="46"/>
    <n v="77"/>
    <n v="0.34"/>
    <n v="83"/>
    <n v="14.45"/>
    <n v="2.41"/>
    <n v="57"/>
    <m/>
    <m/>
    <m/>
  </r>
  <r>
    <s v="2021-12-27 17:05 (-08)"/>
    <x v="216"/>
    <x v="569"/>
    <x v="1"/>
    <s v="On Demand"/>
    <x v="6"/>
    <x v="0"/>
    <x v="0"/>
    <s v="Power Zone"/>
    <x v="27"/>
    <x v="599"/>
    <n v="272"/>
    <n v="101"/>
    <n v="0.37"/>
    <n v="84"/>
    <n v="16.16"/>
    <n v="12.13"/>
    <n v="336"/>
    <m/>
    <m/>
    <m/>
  </r>
  <r>
    <s v="2021-12-27 17:52 (-08)"/>
    <x v="216"/>
    <x v="540"/>
    <x v="1"/>
    <s v="On Demand"/>
    <x v="18"/>
    <x v="1"/>
    <x v="1"/>
    <s v="Arms &amp; Light Weights"/>
    <x v="28"/>
    <x v="600"/>
    <m/>
    <m/>
    <m/>
    <m/>
    <m/>
    <m/>
    <n v="46"/>
    <m/>
    <m/>
    <m/>
  </r>
  <r>
    <s v="2021-12-27 18:09 (PST)"/>
    <x v="216"/>
    <x v="570"/>
    <x v="1"/>
    <s v="On Demand"/>
    <x v="20"/>
    <x v="1"/>
    <x v="1"/>
    <s v="Core"/>
    <x v="1"/>
    <x v="601"/>
    <m/>
    <m/>
    <m/>
    <m/>
    <m/>
    <m/>
    <n v="46"/>
    <m/>
    <m/>
    <m/>
  </r>
  <r>
    <s v="2021-12-27 21:25 (PST)"/>
    <x v="216"/>
    <x v="339"/>
    <x v="1"/>
    <s v="On Demand"/>
    <x v="19"/>
    <x v="3"/>
    <x v="5"/>
    <s v="Relaxation"/>
    <x v="221"/>
    <x v="602"/>
    <m/>
    <m/>
    <m/>
    <m/>
    <m/>
    <m/>
    <m/>
    <m/>
    <m/>
    <m/>
  </r>
  <r>
    <s v="2022-01-03 07:07 (PST)"/>
    <x v="217"/>
    <x v="503"/>
    <x v="1"/>
    <s v="On Demand"/>
    <x v="13"/>
    <x v="5"/>
    <x v="4"/>
    <s v="Focus Flow"/>
    <x v="40"/>
    <x v="603"/>
    <m/>
    <m/>
    <m/>
    <m/>
    <m/>
    <m/>
    <n v="60"/>
    <m/>
    <m/>
    <m/>
  </r>
  <r>
    <s v="2022-01-03 07:29 (PST)"/>
    <x v="217"/>
    <x v="104"/>
    <x v="1"/>
    <s v="On Demand"/>
    <x v="23"/>
    <x v="1"/>
    <x v="4"/>
    <s v="Focus Flow"/>
    <x v="133"/>
    <x v="604"/>
    <m/>
    <m/>
    <m/>
    <m/>
    <m/>
    <m/>
    <n v="31"/>
    <m/>
    <m/>
    <m/>
  </r>
  <r>
    <s v="2022-01-03 16:08 (-08)"/>
    <x v="217"/>
    <x v="571"/>
    <x v="1"/>
    <s v="On Demand"/>
    <x v="4"/>
    <x v="3"/>
    <x v="0"/>
    <s v="Warm Up"/>
    <x v="22"/>
    <x v="173"/>
    <n v="30"/>
    <n v="101"/>
    <n v="0.38"/>
    <n v="83"/>
    <n v="16.21"/>
    <n v="1.34"/>
    <n v="37"/>
    <m/>
    <m/>
    <m/>
  </r>
  <r>
    <s v="2022-01-03 16:14 (-08)"/>
    <x v="217"/>
    <x v="572"/>
    <x v="1"/>
    <s v="On Demand"/>
    <x v="4"/>
    <x v="0"/>
    <x v="0"/>
    <s v="Power Zone"/>
    <x v="222"/>
    <x v="605"/>
    <n v="277"/>
    <n v="103"/>
    <n v="0.38"/>
    <n v="84"/>
    <n v="16.309999999999999"/>
    <n v="12.24"/>
    <n v="342"/>
    <m/>
    <m/>
    <m/>
  </r>
  <r>
    <s v="2022-01-03 17:01 (-08)"/>
    <x v="217"/>
    <x v="573"/>
    <x v="1"/>
    <s v="On Demand"/>
    <x v="4"/>
    <x v="3"/>
    <x v="0"/>
    <s v="Cool Down"/>
    <x v="10"/>
    <x v="173"/>
    <n v="26"/>
    <n v="87"/>
    <n v="0.39"/>
    <n v="73"/>
    <n v="15.17"/>
    <n v="1.26"/>
    <n v="32"/>
    <m/>
    <m/>
    <m/>
  </r>
  <r>
    <s v="2022-01-03 17:07 (-08)"/>
    <x v="217"/>
    <x v="574"/>
    <x v="1"/>
    <s v="On Demand"/>
    <x v="1"/>
    <x v="1"/>
    <x v="1"/>
    <s v="Core"/>
    <x v="1"/>
    <x v="606"/>
    <m/>
    <m/>
    <m/>
    <m/>
    <m/>
    <m/>
    <n v="46"/>
    <m/>
    <m/>
    <m/>
  </r>
  <r>
    <s v="2022-01-03 17:20 (-08)"/>
    <x v="217"/>
    <x v="575"/>
    <x v="1"/>
    <s v="On Demand"/>
    <x v="22"/>
    <x v="3"/>
    <x v="2"/>
    <s v="Pre &amp; Post-Ride Stretch"/>
    <x v="8"/>
    <x v="607"/>
    <m/>
    <m/>
    <m/>
    <m/>
    <m/>
    <m/>
    <n v="11"/>
    <m/>
    <m/>
    <m/>
  </r>
  <r>
    <s v="2022-01-03 22:46 (PST)"/>
    <x v="217"/>
    <x v="193"/>
    <x v="1"/>
    <s v="On Demand"/>
    <x v="19"/>
    <x v="5"/>
    <x v="5"/>
    <s v="Sleep"/>
    <x v="29"/>
    <x v="608"/>
    <m/>
    <m/>
    <m/>
    <m/>
    <m/>
    <m/>
    <m/>
    <m/>
    <m/>
    <m/>
  </r>
  <r>
    <s v="2022-01-10 07:20 (PST)"/>
    <x v="218"/>
    <x v="507"/>
    <x v="1"/>
    <s v="On Demand"/>
    <x v="13"/>
    <x v="2"/>
    <x v="4"/>
    <s v="Flow"/>
    <x v="91"/>
    <x v="609"/>
    <m/>
    <m/>
    <m/>
    <m/>
    <m/>
    <m/>
    <n v="96"/>
    <m/>
    <m/>
    <m/>
  </r>
  <r>
    <s v="2022-01-10 17:35 (-08)"/>
    <x v="218"/>
    <x v="286"/>
    <x v="1"/>
    <s v="On Demand"/>
    <x v="6"/>
    <x v="2"/>
    <x v="0"/>
    <s v="Power Zone"/>
    <x v="184"/>
    <x v="610"/>
    <n v="171"/>
    <n v="95"/>
    <n v="0.35"/>
    <n v="87"/>
    <n v="15.72"/>
    <n v="7.86"/>
    <n v="210"/>
    <m/>
    <m/>
    <m/>
  </r>
  <r>
    <s v="2022-01-10 18:05 (-08)"/>
    <x v="218"/>
    <x v="576"/>
    <x v="1"/>
    <s v="On Demand"/>
    <x v="6"/>
    <x v="2"/>
    <x v="0"/>
    <s v="Low Impact"/>
    <x v="76"/>
    <x v="611"/>
    <n v="116"/>
    <n v="64"/>
    <n v="0.33"/>
    <n v="75"/>
    <n v="13.08"/>
    <n v="6.54"/>
    <n v="142"/>
    <m/>
    <m/>
    <m/>
  </r>
  <r>
    <s v="2022-01-10 18:38 (-08)"/>
    <x v="218"/>
    <x v="577"/>
    <x v="1"/>
    <s v="On Demand"/>
    <x v="24"/>
    <x v="1"/>
    <x v="1"/>
    <s v="Core"/>
    <x v="1"/>
    <x v="612"/>
    <m/>
    <m/>
    <m/>
    <m/>
    <m/>
    <m/>
    <n v="46"/>
    <m/>
    <m/>
    <m/>
  </r>
  <r>
    <s v="2022-01-10 18:49 (-08)"/>
    <x v="218"/>
    <x v="578"/>
    <x v="1"/>
    <s v="On Demand"/>
    <x v="20"/>
    <x v="3"/>
    <x v="2"/>
    <s v="Pre &amp; Post-Ride Stretch"/>
    <x v="8"/>
    <x v="613"/>
    <m/>
    <m/>
    <m/>
    <m/>
    <m/>
    <m/>
    <n v="11"/>
    <m/>
    <m/>
    <m/>
  </r>
  <r>
    <s v="2022-01-10 22:01 (PST)"/>
    <x v="218"/>
    <x v="62"/>
    <x v="1"/>
    <s v="On Demand"/>
    <x v="25"/>
    <x v="5"/>
    <x v="5"/>
    <s v="Sleep"/>
    <x v="29"/>
    <x v="614"/>
    <m/>
    <m/>
    <m/>
    <m/>
    <m/>
    <m/>
    <m/>
    <n v="58.57"/>
    <m/>
    <m/>
  </r>
  <r>
    <s v="2022-01-17 07:10 (PST)"/>
    <x v="219"/>
    <x v="11"/>
    <x v="1"/>
    <s v="On Demand"/>
    <x v="23"/>
    <x v="2"/>
    <x v="4"/>
    <s v="Flow"/>
    <x v="69"/>
    <x v="615"/>
    <m/>
    <m/>
    <m/>
    <m/>
    <m/>
    <m/>
    <n v="103"/>
    <m/>
    <m/>
    <m/>
  </r>
  <r>
    <s v="2022-01-17 17:51 (-08)"/>
    <x v="219"/>
    <x v="579"/>
    <x v="1"/>
    <s v="On Demand"/>
    <x v="4"/>
    <x v="1"/>
    <x v="0"/>
    <s v="Low Impact"/>
    <x v="192"/>
    <x v="616"/>
    <n v="48"/>
    <n v="81"/>
    <n v="0.33"/>
    <n v="88"/>
    <n v="14.69"/>
    <n v="2.4500000000000002"/>
    <n v="60"/>
    <m/>
    <m/>
    <m/>
  </r>
  <r>
    <s v="2022-01-17 18:04 (-08)"/>
    <x v="219"/>
    <x v="580"/>
    <x v="1"/>
    <s v="On Demand"/>
    <x v="4"/>
    <x v="0"/>
    <x v="0"/>
    <s v="Power Zone"/>
    <x v="85"/>
    <x v="617"/>
    <n v="292"/>
    <n v="108"/>
    <n v="0.37"/>
    <n v="85"/>
    <n v="16.38"/>
    <n v="12.29"/>
    <n v="360"/>
    <m/>
    <m/>
    <m/>
  </r>
  <r>
    <s v="2022-01-17 18:49 (-08)"/>
    <x v="219"/>
    <x v="578"/>
    <x v="1"/>
    <s v="On Demand"/>
    <x v="4"/>
    <x v="3"/>
    <x v="0"/>
    <s v="Cool Down"/>
    <x v="10"/>
    <x v="173"/>
    <n v="23"/>
    <n v="78"/>
    <n v="0.33"/>
    <n v="84"/>
    <n v="14.47"/>
    <n v="1.2"/>
    <n v="29"/>
    <m/>
    <m/>
    <m/>
  </r>
  <r>
    <s v="2022-01-17 18:58 (-08)"/>
    <x v="219"/>
    <x v="581"/>
    <x v="1"/>
    <s v="On Demand"/>
    <x v="1"/>
    <x v="1"/>
    <x v="1"/>
    <s v="Arms &amp; Light Weights"/>
    <x v="28"/>
    <x v="618"/>
    <m/>
    <m/>
    <m/>
    <m/>
    <m/>
    <m/>
    <n v="46"/>
    <m/>
    <m/>
    <m/>
  </r>
  <r>
    <s v="2022-01-17 19:08 (-08)"/>
    <x v="219"/>
    <x v="582"/>
    <x v="1"/>
    <s v="On Demand"/>
    <x v="1"/>
    <x v="3"/>
    <x v="1"/>
    <s v="Core"/>
    <x v="6"/>
    <x v="619"/>
    <m/>
    <m/>
    <m/>
    <m/>
    <m/>
    <m/>
    <n v="23"/>
    <m/>
    <m/>
    <m/>
  </r>
  <r>
    <s v="2022-01-17 19:14 (-08)"/>
    <x v="219"/>
    <x v="583"/>
    <x v="1"/>
    <s v="On Demand"/>
    <x v="17"/>
    <x v="3"/>
    <x v="2"/>
    <s v="Pre &amp; Post-Ride Stretch"/>
    <x v="8"/>
    <x v="163"/>
    <m/>
    <m/>
    <m/>
    <m/>
    <m/>
    <m/>
    <n v="11"/>
    <m/>
    <m/>
    <m/>
  </r>
  <r>
    <s v="2022-01-17 21:58 (PST)"/>
    <x v="219"/>
    <x v="584"/>
    <x v="1"/>
    <s v="On Demand"/>
    <x v="19"/>
    <x v="1"/>
    <x v="5"/>
    <s v="Sleep"/>
    <x v="39"/>
    <x v="620"/>
    <m/>
    <m/>
    <m/>
    <m/>
    <m/>
    <m/>
    <m/>
    <m/>
    <m/>
    <m/>
  </r>
  <r>
    <s v="2022-01-24 06:56 (PST)"/>
    <x v="220"/>
    <x v="585"/>
    <x v="1"/>
    <s v="On Demand"/>
    <x v="7"/>
    <x v="2"/>
    <x v="4"/>
    <s v="Slow Flow"/>
    <x v="50"/>
    <x v="621"/>
    <m/>
    <m/>
    <m/>
    <m/>
    <m/>
    <m/>
    <n v="92"/>
    <m/>
    <m/>
    <m/>
  </r>
  <r>
    <s v="2022-01-24 07:32 (PST)"/>
    <x v="220"/>
    <x v="394"/>
    <x v="1"/>
    <s v="On Demand"/>
    <x v="1"/>
    <x v="3"/>
    <x v="1"/>
    <s v="Core"/>
    <x v="6"/>
    <x v="622"/>
    <m/>
    <m/>
    <m/>
    <m/>
    <m/>
    <m/>
    <n v="22"/>
    <m/>
    <m/>
    <m/>
  </r>
  <r>
    <s v="2022-01-24 13:08 (PST)"/>
    <x v="220"/>
    <x v="343"/>
    <x v="1"/>
    <s v="On Demand"/>
    <x v="37"/>
    <x v="2"/>
    <x v="6"/>
    <s v="Power Walk"/>
    <x v="223"/>
    <x v="623"/>
    <n v="0"/>
    <m/>
    <m/>
    <m/>
    <n v="0"/>
    <n v="0"/>
    <n v="69"/>
    <n v="103"/>
    <m/>
    <m/>
  </r>
  <r>
    <s v="2022-01-24 17:51 (-08)"/>
    <x v="220"/>
    <x v="579"/>
    <x v="1"/>
    <s v="On Demand"/>
    <x v="6"/>
    <x v="0"/>
    <x v="0"/>
    <s v="Power Zone"/>
    <x v="85"/>
    <x v="624"/>
    <n v="291"/>
    <n v="108"/>
    <n v="0.36"/>
    <n v="87"/>
    <n v="16.11"/>
    <n v="12.08"/>
    <n v="359"/>
    <m/>
    <m/>
    <m/>
  </r>
  <r>
    <s v="2022-01-24 18:36 (-08)"/>
    <x v="220"/>
    <x v="586"/>
    <x v="1"/>
    <s v="On Demand"/>
    <x v="17"/>
    <x v="3"/>
    <x v="0"/>
    <s v="Cool Down"/>
    <x v="10"/>
    <x v="163"/>
    <n v="22"/>
    <n v="72"/>
    <n v="0.33"/>
    <n v="81"/>
    <n v="14.07"/>
    <n v="1.17"/>
    <n v="27"/>
    <m/>
    <m/>
    <m/>
  </r>
  <r>
    <s v="2022-01-24 18:43 (-08)"/>
    <x v="220"/>
    <x v="587"/>
    <x v="1"/>
    <s v="On Demand"/>
    <x v="17"/>
    <x v="1"/>
    <x v="1"/>
    <s v="Arms &amp; Light Weights"/>
    <x v="28"/>
    <x v="625"/>
    <m/>
    <m/>
    <m/>
    <m/>
    <m/>
    <m/>
    <n v="46"/>
    <m/>
    <m/>
    <m/>
  </r>
  <r>
    <s v="2022-01-24 21:56 (PST)"/>
    <x v="220"/>
    <x v="588"/>
    <x v="1"/>
    <s v="On Demand"/>
    <x v="13"/>
    <x v="5"/>
    <x v="5"/>
    <s v="Relaxation"/>
    <x v="35"/>
    <x v="626"/>
    <m/>
    <m/>
    <m/>
    <m/>
    <m/>
    <m/>
    <m/>
    <m/>
    <m/>
    <m/>
  </r>
  <r>
    <s v="2022-01-31 07:33 (PST)"/>
    <x v="221"/>
    <x v="118"/>
    <x v="1"/>
    <s v="On Demand"/>
    <x v="13"/>
    <x v="2"/>
    <x v="4"/>
    <s v="Flow"/>
    <x v="224"/>
    <x v="627"/>
    <m/>
    <m/>
    <m/>
    <m/>
    <m/>
    <m/>
    <n v="97"/>
    <m/>
    <m/>
    <m/>
  </r>
  <r>
    <s v="2022-01-31 16:05 (PST)"/>
    <x v="221"/>
    <x v="589"/>
    <x v="1"/>
    <s v="On Demand"/>
    <x v="31"/>
    <x v="0"/>
    <x v="6"/>
    <s v="Power Walk"/>
    <x v="138"/>
    <x v="628"/>
    <n v="0"/>
    <m/>
    <m/>
    <m/>
    <n v="0"/>
    <n v="0"/>
    <n v="150"/>
    <m/>
    <m/>
    <m/>
  </r>
  <r>
    <s v="2022-01-31 17:18 (-08)"/>
    <x v="221"/>
    <x v="590"/>
    <x v="1"/>
    <s v="On Demand"/>
    <x v="7"/>
    <x v="5"/>
    <x v="0"/>
    <s v="Low Impact"/>
    <x v="67"/>
    <x v="629"/>
    <n v="97"/>
    <n v="81"/>
    <n v="0.35"/>
    <n v="81"/>
    <n v="14.69"/>
    <n v="4.9000000000000004"/>
    <n v="120"/>
    <m/>
    <m/>
    <m/>
  </r>
  <r>
    <s v="2022-01-31 17:39 (-08)"/>
    <x v="221"/>
    <x v="591"/>
    <x v="1"/>
    <s v="On Demand"/>
    <x v="7"/>
    <x v="2"/>
    <x v="0"/>
    <s v="Power Zone"/>
    <x v="196"/>
    <x v="630"/>
    <n v="181"/>
    <n v="100"/>
    <n v="0.36"/>
    <n v="87"/>
    <n v="16.05"/>
    <n v="8.0299999999999994"/>
    <n v="223"/>
    <m/>
    <m/>
    <m/>
  </r>
  <r>
    <s v="2022-01-31 18:11 (-08)"/>
    <x v="221"/>
    <x v="592"/>
    <x v="1"/>
    <s v="On Demand"/>
    <x v="6"/>
    <x v="3"/>
    <x v="2"/>
    <s v="Pre &amp; Post-Ride Stretch"/>
    <x v="8"/>
    <x v="156"/>
    <m/>
    <m/>
    <m/>
    <m/>
    <m/>
    <m/>
    <n v="12"/>
    <m/>
    <m/>
    <m/>
  </r>
  <r>
    <s v="2022-01-31 22:15 (PST)"/>
    <x v="221"/>
    <x v="593"/>
    <x v="1"/>
    <s v="On Demand"/>
    <x v="23"/>
    <x v="5"/>
    <x v="5"/>
    <s v="Relaxation"/>
    <x v="84"/>
    <x v="631"/>
    <m/>
    <m/>
    <m/>
    <m/>
    <m/>
    <m/>
    <m/>
    <m/>
    <m/>
    <m/>
  </r>
  <r>
    <s v="2022-02-07 07:31 (PST)"/>
    <x v="222"/>
    <x v="594"/>
    <x v="1"/>
    <s v="On Demand"/>
    <x v="13"/>
    <x v="5"/>
    <x v="4"/>
    <s v="Focus Flow"/>
    <x v="225"/>
    <x v="632"/>
    <m/>
    <m/>
    <m/>
    <m/>
    <m/>
    <m/>
    <n v="61"/>
    <m/>
    <m/>
    <m/>
  </r>
  <r>
    <s v="2022-02-07 07:54 (PST)"/>
    <x v="222"/>
    <x v="170"/>
    <x v="1"/>
    <s v="On Demand"/>
    <x v="1"/>
    <x v="1"/>
    <x v="1"/>
    <s v="Core"/>
    <x v="1"/>
    <x v="622"/>
    <m/>
    <m/>
    <m/>
    <m/>
    <m/>
    <m/>
    <n v="45"/>
    <m/>
    <m/>
    <m/>
  </r>
  <r>
    <s v="2022-02-07 11:33 (PST)"/>
    <x v="222"/>
    <x v="595"/>
    <x v="1"/>
    <s v="On Demand"/>
    <x v="40"/>
    <x v="2"/>
    <x v="6"/>
    <s v="Power Walk"/>
    <x v="226"/>
    <x v="633"/>
    <n v="0"/>
    <m/>
    <m/>
    <m/>
    <n v="0"/>
    <n v="0"/>
    <n v="110"/>
    <n v="129.68"/>
    <m/>
    <m/>
  </r>
  <r>
    <s v="2022-02-07 16:29 (-08)"/>
    <x v="222"/>
    <x v="158"/>
    <x v="1"/>
    <s v="On Demand"/>
    <x v="1"/>
    <x v="2"/>
    <x v="0"/>
    <s v="Low Impact"/>
    <x v="76"/>
    <x v="634"/>
    <n v="165"/>
    <n v="92"/>
    <n v="0.36"/>
    <n v="85"/>
    <n v="15.58"/>
    <n v="7.79"/>
    <n v="204"/>
    <m/>
    <m/>
    <m/>
  </r>
  <r>
    <s v="2022-02-07 17:01 (-08)"/>
    <x v="222"/>
    <x v="573"/>
    <x v="1"/>
    <s v="On Demand"/>
    <x v="1"/>
    <x v="1"/>
    <x v="1"/>
    <s v="Arms &amp; Light Weights"/>
    <x v="28"/>
    <x v="635"/>
    <m/>
    <m/>
    <m/>
    <m/>
    <m/>
    <m/>
    <n v="46"/>
    <m/>
    <m/>
    <m/>
  </r>
  <r>
    <s v="2022-02-07 22:34 (PST)"/>
    <x v="222"/>
    <x v="596"/>
    <x v="1"/>
    <s v="On Demand"/>
    <x v="13"/>
    <x v="3"/>
    <x v="5"/>
    <s v="Relaxation"/>
    <x v="221"/>
    <x v="636"/>
    <m/>
    <m/>
    <m/>
    <m/>
    <m/>
    <m/>
    <m/>
    <m/>
    <m/>
    <m/>
  </r>
  <r>
    <s v="2022-02-07 23:09 (PST)"/>
    <x v="222"/>
    <x v="148"/>
    <x v="1"/>
    <s v="On Demand"/>
    <x v="16"/>
    <x v="7"/>
    <x v="5"/>
    <s v="Sleep"/>
    <x v="65"/>
    <x v="637"/>
    <m/>
    <m/>
    <m/>
    <m/>
    <m/>
    <m/>
    <m/>
    <m/>
    <m/>
    <m/>
  </r>
  <r>
    <s v="2022-02-14 11:08 (PST)"/>
    <x v="223"/>
    <x v="597"/>
    <x v="1"/>
    <s v="On Demand"/>
    <x v="1"/>
    <x v="1"/>
    <x v="1"/>
    <s v="Core"/>
    <x v="1"/>
    <x v="622"/>
    <m/>
    <m/>
    <m/>
    <m/>
    <m/>
    <m/>
    <n v="45"/>
    <m/>
    <m/>
    <m/>
  </r>
  <r>
    <s v="2022-02-14 11:19 (PST)"/>
    <x v="223"/>
    <x v="598"/>
    <x v="1"/>
    <s v="On Demand"/>
    <x v="16"/>
    <x v="2"/>
    <x v="4"/>
    <s v="Flow"/>
    <x v="227"/>
    <x v="638"/>
    <m/>
    <m/>
    <m/>
    <m/>
    <m/>
    <m/>
    <n v="96"/>
    <m/>
    <m/>
    <m/>
  </r>
  <r>
    <s v="2022-02-14 16:58 (-08)"/>
    <x v="223"/>
    <x v="599"/>
    <x v="1"/>
    <s v="On Demand"/>
    <x v="11"/>
    <x v="5"/>
    <x v="1"/>
    <s v="Lower Body"/>
    <x v="228"/>
    <x v="639"/>
    <m/>
    <m/>
    <m/>
    <m/>
    <m/>
    <m/>
    <n v="92"/>
    <m/>
    <m/>
    <m/>
  </r>
  <r>
    <s v="2022-02-14 17:24 (-08)"/>
    <x v="223"/>
    <x v="563"/>
    <x v="1"/>
    <s v="On Demand"/>
    <x v="5"/>
    <x v="2"/>
    <x v="0"/>
    <s v="Power Zone"/>
    <x v="5"/>
    <x v="640"/>
    <n v="165"/>
    <n v="92"/>
    <n v="0.34"/>
    <n v="89"/>
    <n v="15.45"/>
    <n v="7.73"/>
    <n v="204"/>
    <m/>
    <m/>
    <m/>
  </r>
  <r>
    <s v="2022-02-14 17:57 (-08)"/>
    <x v="223"/>
    <x v="600"/>
    <x v="1"/>
    <s v="On Demand"/>
    <x v="5"/>
    <x v="1"/>
    <x v="1"/>
    <s v="Arms &amp; Light Weights"/>
    <x v="28"/>
    <x v="641"/>
    <m/>
    <m/>
    <m/>
    <m/>
    <m/>
    <m/>
    <n v="46"/>
    <m/>
    <m/>
    <m/>
  </r>
  <r>
    <s v="2022-02-14 22:14 (PST)"/>
    <x v="223"/>
    <x v="361"/>
    <x v="1"/>
    <s v="On Demand"/>
    <x v="19"/>
    <x v="5"/>
    <x v="5"/>
    <s v="Relaxation"/>
    <x v="84"/>
    <x v="642"/>
    <m/>
    <m/>
    <m/>
    <m/>
    <m/>
    <m/>
    <m/>
    <m/>
    <m/>
    <m/>
  </r>
  <r>
    <s v="2022-02-21 07:32 (PST)"/>
    <x v="224"/>
    <x v="394"/>
    <x v="1"/>
    <s v="On Demand"/>
    <x v="24"/>
    <x v="1"/>
    <x v="1"/>
    <s v="Core"/>
    <x v="229"/>
    <x v="643"/>
    <m/>
    <m/>
    <m/>
    <m/>
    <m/>
    <m/>
    <n v="45"/>
    <m/>
    <m/>
    <m/>
  </r>
  <r>
    <s v="2022-02-21 07:44 (PST)"/>
    <x v="224"/>
    <x v="601"/>
    <x v="1"/>
    <s v="On Demand"/>
    <x v="16"/>
    <x v="1"/>
    <x v="4"/>
    <s v="Focus Flow"/>
    <x v="230"/>
    <x v="644"/>
    <m/>
    <m/>
    <m/>
    <m/>
    <m/>
    <m/>
    <n v="33"/>
    <m/>
    <m/>
    <m/>
  </r>
  <r>
    <s v="2022-02-21 21:39 (PST)"/>
    <x v="224"/>
    <x v="602"/>
    <x v="1"/>
    <s v="On Demand"/>
    <x v="19"/>
    <x v="5"/>
    <x v="5"/>
    <s v="Sleep"/>
    <x v="29"/>
    <x v="645"/>
    <m/>
    <m/>
    <m/>
    <m/>
    <m/>
    <m/>
    <m/>
    <m/>
    <m/>
    <m/>
  </r>
  <r>
    <s v="2022-02-28 07:23 (PST)"/>
    <x v="225"/>
    <x v="228"/>
    <x v="1"/>
    <s v="On Demand"/>
    <x v="13"/>
    <x v="2"/>
    <x v="4"/>
    <s v="Slow Flow"/>
    <x v="50"/>
    <x v="646"/>
    <m/>
    <m/>
    <m/>
    <m/>
    <m/>
    <m/>
    <n v="95"/>
    <m/>
    <m/>
    <m/>
  </r>
  <r>
    <s v="2022-02-28 18:06 (-08)"/>
    <x v="225"/>
    <x v="603"/>
    <x v="1"/>
    <s v="On Demand"/>
    <x v="7"/>
    <x v="0"/>
    <x v="0"/>
    <s v="Power Zone"/>
    <x v="85"/>
    <x v="647"/>
    <n v="277"/>
    <n v="102"/>
    <n v="0.35"/>
    <n v="88"/>
    <n v="15.86"/>
    <n v="11.89"/>
    <n v="341"/>
    <m/>
    <m/>
    <m/>
  </r>
  <r>
    <s v="2022-02-28 18:53 (-08)"/>
    <x v="225"/>
    <x v="604"/>
    <x v="1"/>
    <s v="On Demand"/>
    <x v="22"/>
    <x v="3"/>
    <x v="0"/>
    <s v="Cool Down"/>
    <x v="10"/>
    <x v="648"/>
    <n v="17"/>
    <n v="57"/>
    <n v="0.28999999999999998"/>
    <n v="83"/>
    <n v="12.78"/>
    <n v="1.06"/>
    <n v="21"/>
    <m/>
    <m/>
    <m/>
  </r>
  <r>
    <s v="2022-02-28 19:01 (-08)"/>
    <x v="225"/>
    <x v="605"/>
    <x v="1"/>
    <s v="On Demand"/>
    <x v="7"/>
    <x v="3"/>
    <x v="2"/>
    <s v="Pre &amp; Post-Ride Stretch"/>
    <x v="8"/>
    <x v="649"/>
    <m/>
    <m/>
    <m/>
    <m/>
    <m/>
    <m/>
    <n v="11"/>
    <m/>
    <m/>
    <m/>
  </r>
  <r>
    <s v="2022-02-28 22:30 (PST)"/>
    <x v="225"/>
    <x v="57"/>
    <x v="1"/>
    <s v="On Demand"/>
    <x v="19"/>
    <x v="1"/>
    <x v="5"/>
    <s v="Relaxation"/>
    <x v="71"/>
    <x v="650"/>
    <m/>
    <m/>
    <m/>
    <m/>
    <m/>
    <m/>
    <m/>
    <m/>
    <m/>
    <m/>
  </r>
  <r>
    <s v="2022-03-07 16:05 (PST)"/>
    <x v="226"/>
    <x v="589"/>
    <x v="1"/>
    <s v="On Demand"/>
    <x v="26"/>
    <x v="0"/>
    <x v="6"/>
    <s v="Power Walk"/>
    <x v="138"/>
    <x v="651"/>
    <n v="0"/>
    <m/>
    <m/>
    <m/>
    <n v="0"/>
    <n v="0"/>
    <n v="166"/>
    <m/>
    <m/>
    <m/>
  </r>
  <r>
    <s v="2022-03-07 17:42 (PST)"/>
    <x v="226"/>
    <x v="606"/>
    <x v="1"/>
    <s v="On Demand"/>
    <x v="7"/>
    <x v="0"/>
    <x v="4"/>
    <s v="Flow"/>
    <x v="14"/>
    <x v="652"/>
    <m/>
    <m/>
    <m/>
    <m/>
    <m/>
    <m/>
    <n v="141"/>
    <m/>
    <m/>
    <m/>
  </r>
  <r>
    <s v="2022-03-07 22:06 (PST)"/>
    <x v="226"/>
    <x v="355"/>
    <x v="1"/>
    <s v="On Demand"/>
    <x v="13"/>
    <x v="1"/>
    <x v="5"/>
    <s v="Mindfulness"/>
    <x v="51"/>
    <x v="653"/>
    <m/>
    <m/>
    <m/>
    <m/>
    <m/>
    <m/>
    <m/>
    <m/>
    <m/>
    <m/>
  </r>
  <r>
    <s v="2022-03-14 07:08 (PST)"/>
    <x v="227"/>
    <x v="414"/>
    <x v="1"/>
    <s v="On Demand"/>
    <x v="7"/>
    <x v="2"/>
    <x v="4"/>
    <s v="Flow"/>
    <x v="41"/>
    <x v="654"/>
    <m/>
    <m/>
    <m/>
    <m/>
    <m/>
    <m/>
    <n v="95"/>
    <m/>
    <m/>
    <m/>
  </r>
  <r>
    <s v="2022-03-14 17:09 (-07)"/>
    <x v="227"/>
    <x v="607"/>
    <x v="1"/>
    <s v="On Demand"/>
    <x v="4"/>
    <x v="0"/>
    <x v="0"/>
    <s v="Power Zone"/>
    <x v="137"/>
    <x v="655"/>
    <n v="280"/>
    <n v="104"/>
    <n v="0.37"/>
    <n v="86"/>
    <n v="16.38"/>
    <n v="12.28"/>
    <n v="430"/>
    <n v="150.09"/>
    <m/>
    <m/>
  </r>
  <r>
    <s v="2022-03-14 17:55 (-07)"/>
    <x v="227"/>
    <x v="608"/>
    <x v="1"/>
    <s v="On Demand"/>
    <x v="29"/>
    <x v="1"/>
    <x v="0"/>
    <s v="Cool Down"/>
    <x v="17"/>
    <x v="656"/>
    <n v="31"/>
    <n v="52"/>
    <n v="0.3"/>
    <n v="76"/>
    <n v="12.15"/>
    <n v="2.0299999999999998"/>
    <n v="58"/>
    <n v="116.5"/>
    <m/>
    <m/>
  </r>
  <r>
    <s v="2022-03-14 18:07 (-07)"/>
    <x v="227"/>
    <x v="249"/>
    <x v="1"/>
    <s v="On Demand"/>
    <x v="31"/>
    <x v="1"/>
    <x v="1"/>
    <s v="Core"/>
    <x v="1"/>
    <x v="657"/>
    <m/>
    <m/>
    <m/>
    <m/>
    <m/>
    <m/>
    <n v="38"/>
    <n v="99.51"/>
    <m/>
    <m/>
  </r>
  <r>
    <s v="2022-03-14 18:20 (-07)"/>
    <x v="227"/>
    <x v="111"/>
    <x v="1"/>
    <s v="On Demand"/>
    <x v="7"/>
    <x v="1"/>
    <x v="4"/>
    <s v="Focus Flow"/>
    <x v="118"/>
    <x v="658"/>
    <m/>
    <m/>
    <m/>
    <m/>
    <m/>
    <m/>
    <n v="34"/>
    <n v="92"/>
    <m/>
    <m/>
  </r>
  <r>
    <s v="2022-03-14 22:18 (PST)"/>
    <x v="227"/>
    <x v="117"/>
    <x v="1"/>
    <s v="On Demand"/>
    <x v="19"/>
    <x v="1"/>
    <x v="5"/>
    <s v="Sleep"/>
    <x v="39"/>
    <x v="659"/>
    <m/>
    <m/>
    <m/>
    <m/>
    <m/>
    <m/>
    <m/>
    <m/>
    <m/>
    <m/>
  </r>
  <r>
    <s v="2022-03-21 07:11 (PST)"/>
    <x v="228"/>
    <x v="13"/>
    <x v="1"/>
    <s v="On Demand"/>
    <x v="16"/>
    <x v="2"/>
    <x v="4"/>
    <s v="Flow"/>
    <x v="41"/>
    <x v="660"/>
    <m/>
    <m/>
    <m/>
    <m/>
    <m/>
    <m/>
    <n v="100"/>
    <m/>
    <m/>
    <m/>
  </r>
  <r>
    <s v="2022-03-21 16:37 (-07)"/>
    <x v="228"/>
    <x v="609"/>
    <x v="1"/>
    <s v="On Demand"/>
    <x v="1"/>
    <x v="1"/>
    <x v="1"/>
    <s v="Core"/>
    <x v="1"/>
    <x v="661"/>
    <m/>
    <m/>
    <m/>
    <m/>
    <m/>
    <m/>
    <n v="38"/>
    <n v="97.21"/>
    <m/>
    <m/>
  </r>
  <r>
    <s v="2022-03-21 16:48 (-07)"/>
    <x v="228"/>
    <x v="610"/>
    <x v="1"/>
    <s v="On Demand"/>
    <x v="29"/>
    <x v="3"/>
    <x v="0"/>
    <s v="Warm Up"/>
    <x v="22"/>
    <x v="656"/>
    <n v="24"/>
    <n v="81"/>
    <n v="0.32"/>
    <n v="90"/>
    <n v="14.79"/>
    <n v="1.23"/>
    <n v="34"/>
    <n v="128.22"/>
    <m/>
    <m/>
  </r>
  <r>
    <s v="2022-03-21 16:54 (-07)"/>
    <x v="228"/>
    <x v="611"/>
    <x v="1"/>
    <s v="On Demand"/>
    <x v="6"/>
    <x v="0"/>
    <x v="0"/>
    <s v="Power Zone"/>
    <x v="85"/>
    <x v="662"/>
    <n v="287"/>
    <n v="106"/>
    <n v="0.37"/>
    <n v="86"/>
    <n v="16.27"/>
    <n v="12.21"/>
    <n v="448"/>
    <n v="153.52000000000001"/>
    <m/>
    <m/>
  </r>
  <r>
    <s v="2022-03-21 17:41 (-07)"/>
    <x v="228"/>
    <x v="457"/>
    <x v="1"/>
    <s v="On Demand"/>
    <x v="22"/>
    <x v="1"/>
    <x v="0"/>
    <s v="Cool Down"/>
    <x v="231"/>
    <x v="663"/>
    <n v="39"/>
    <n v="66"/>
    <n v="0.32"/>
    <n v="79"/>
    <n v="13.44"/>
    <n v="2.2400000000000002"/>
    <n v="70"/>
    <n v="121.27"/>
    <m/>
    <m/>
  </r>
  <r>
    <s v="2022-03-21 18:01 (-07)"/>
    <x v="228"/>
    <x v="612"/>
    <x v="1"/>
    <s v="On Demand"/>
    <x v="7"/>
    <x v="7"/>
    <x v="4"/>
    <s v="Focus Flow"/>
    <x v="232"/>
    <x v="664"/>
    <m/>
    <m/>
    <m/>
    <m/>
    <m/>
    <m/>
    <n v="63"/>
    <n v="102.69"/>
    <m/>
    <m/>
  </r>
  <r>
    <s v="2022-03-21 22:31 (PST)"/>
    <x v="228"/>
    <x v="243"/>
    <x v="1"/>
    <s v="On Demand"/>
    <x v="23"/>
    <x v="1"/>
    <x v="5"/>
    <s v="Emotions"/>
    <x v="210"/>
    <x v="665"/>
    <m/>
    <m/>
    <m/>
    <m/>
    <m/>
    <m/>
    <m/>
    <m/>
    <m/>
    <m/>
  </r>
  <r>
    <s v="2022-03-28 02:20 (PST)"/>
    <x v="229"/>
    <x v="613"/>
    <x v="1"/>
    <s v="On Demand"/>
    <x v="13"/>
    <x v="3"/>
    <x v="5"/>
    <s v="Emotions"/>
    <x v="233"/>
    <x v="666"/>
    <m/>
    <m/>
    <m/>
    <m/>
    <m/>
    <m/>
    <m/>
    <m/>
    <m/>
    <m/>
  </r>
  <r>
    <s v="2022-03-28 07:16 (PST)"/>
    <x v="229"/>
    <x v="107"/>
    <x v="1"/>
    <s v="On Demand"/>
    <x v="4"/>
    <x v="1"/>
    <x v="1"/>
    <s v="Core"/>
    <x v="1"/>
    <x v="667"/>
    <m/>
    <m/>
    <m/>
    <m/>
    <m/>
    <m/>
    <n v="44"/>
    <m/>
    <m/>
    <m/>
  </r>
  <r>
    <s v="2022-03-28 07:27 (PST)"/>
    <x v="229"/>
    <x v="614"/>
    <x v="1"/>
    <s v="On Demand"/>
    <x v="16"/>
    <x v="2"/>
    <x v="4"/>
    <s v="Flow"/>
    <x v="69"/>
    <x v="668"/>
    <m/>
    <m/>
    <m/>
    <m/>
    <m/>
    <m/>
    <m/>
    <m/>
    <m/>
    <m/>
  </r>
  <r>
    <s v="2022-03-28 16:32 (-07)"/>
    <x v="229"/>
    <x v="455"/>
    <x v="1"/>
    <s v="On Demand"/>
    <x v="15"/>
    <x v="3"/>
    <x v="0"/>
    <s v="Warm Up"/>
    <x v="22"/>
    <x v="669"/>
    <n v="25"/>
    <n v="83"/>
    <n v="0.31"/>
    <n v="96"/>
    <n v="14.93"/>
    <n v="1.25"/>
    <n v="33"/>
    <n v="126.03"/>
    <m/>
    <m/>
  </r>
  <r>
    <s v="2022-03-28 16:38 (-07)"/>
    <x v="229"/>
    <x v="615"/>
    <x v="1"/>
    <s v="On Demand"/>
    <x v="6"/>
    <x v="4"/>
    <x v="0"/>
    <s v="Power Zone"/>
    <x v="7"/>
    <x v="670"/>
    <n v="379"/>
    <n v="105"/>
    <n v="0.38"/>
    <n v="85"/>
    <n v="16.48"/>
    <n v="16.489999999999998"/>
    <n v="536"/>
    <n v="144.51"/>
    <m/>
    <m/>
  </r>
  <r>
    <s v="2022-03-28 17:39 (-07)"/>
    <x v="229"/>
    <x v="616"/>
    <x v="1"/>
    <s v="On Demand"/>
    <x v="5"/>
    <x v="3"/>
    <x v="0"/>
    <s v="Cool Down"/>
    <x v="10"/>
    <x v="671"/>
    <n v="19"/>
    <n v="62"/>
    <n v="0.31"/>
    <n v="80"/>
    <n v="13.14"/>
    <n v="1.0900000000000001"/>
    <n v="28"/>
    <n v="117.62"/>
    <m/>
    <m/>
  </r>
  <r>
    <s v="2022-03-28 17:46 (-07)"/>
    <x v="229"/>
    <x v="238"/>
    <x v="1"/>
    <s v="On Demand"/>
    <x v="29"/>
    <x v="1"/>
    <x v="1"/>
    <s v="Arms &amp; Light Weights"/>
    <x v="28"/>
    <x v="672"/>
    <m/>
    <m/>
    <m/>
    <m/>
    <m/>
    <m/>
    <n v="52"/>
    <n v="125.79"/>
    <m/>
    <m/>
  </r>
  <r>
    <s v="2022-03-28 17:59 (-07)"/>
    <x v="229"/>
    <x v="354"/>
    <x v="1"/>
    <s v="On Demand"/>
    <x v="20"/>
    <x v="1"/>
    <x v="2"/>
    <s v="Full Body Stretch"/>
    <x v="4"/>
    <x v="673"/>
    <m/>
    <m/>
    <m/>
    <m/>
    <m/>
    <m/>
    <n v="26"/>
    <n v="87.58"/>
    <m/>
    <m/>
  </r>
  <r>
    <s v="2022-03-28 22:16 (PST)"/>
    <x v="229"/>
    <x v="51"/>
    <x v="1"/>
    <s v="On Demand"/>
    <x v="25"/>
    <x v="1"/>
    <x v="5"/>
    <s v="Emotions"/>
    <x v="15"/>
    <x v="674"/>
    <m/>
    <m/>
    <m/>
    <m/>
    <m/>
    <m/>
    <m/>
    <m/>
    <m/>
    <m/>
  </r>
  <r>
    <s v="2022-04-04 15:45 (-07)"/>
    <x v="230"/>
    <x v="617"/>
    <x v="1"/>
    <s v="On Demand"/>
    <x v="24"/>
    <x v="1"/>
    <x v="1"/>
    <s v="Core"/>
    <x v="1"/>
    <x v="675"/>
    <m/>
    <m/>
    <m/>
    <m/>
    <m/>
    <m/>
    <n v="37"/>
    <n v="94.69"/>
    <m/>
    <m/>
  </r>
  <r>
    <s v="2022-04-04 15:59 (-07)"/>
    <x v="230"/>
    <x v="618"/>
    <x v="1"/>
    <s v="On Demand"/>
    <x v="6"/>
    <x v="6"/>
    <x v="0"/>
    <s v="Power Zone"/>
    <x v="20"/>
    <x v="676"/>
    <n v="469"/>
    <n v="104"/>
    <n v="0.38"/>
    <n v="82"/>
    <n v="16.420000000000002"/>
    <n v="20.53"/>
    <n v="653"/>
    <n v="134.79"/>
    <m/>
    <m/>
  </r>
  <r>
    <s v="2022-04-04 17:20 (-07)"/>
    <x v="230"/>
    <x v="619"/>
    <x v="1"/>
    <s v="On Demand"/>
    <x v="16"/>
    <x v="7"/>
    <x v="4"/>
    <s v="Focus Flow"/>
    <x v="143"/>
    <x v="677"/>
    <m/>
    <m/>
    <m/>
    <m/>
    <m/>
    <m/>
    <n v="44"/>
    <n v="68.61"/>
    <m/>
    <m/>
  </r>
  <r>
    <s v="2022-04-04 22:10 (PST)"/>
    <x v="230"/>
    <x v="620"/>
    <x v="1"/>
    <s v="On Demand"/>
    <x v="16"/>
    <x v="1"/>
    <x v="5"/>
    <s v="Mindfulness"/>
    <x v="51"/>
    <x v="678"/>
    <m/>
    <m/>
    <m/>
    <m/>
    <m/>
    <m/>
    <m/>
    <m/>
    <m/>
    <m/>
  </r>
  <r>
    <s v="2022-04-11 12:22 (PST)"/>
    <x v="231"/>
    <x v="621"/>
    <x v="1"/>
    <s v="On Demand"/>
    <x v="13"/>
    <x v="2"/>
    <x v="4"/>
    <s v="Focus Flow"/>
    <x v="86"/>
    <x v="679"/>
    <m/>
    <m/>
    <m/>
    <m/>
    <m/>
    <m/>
    <n v="94"/>
    <m/>
    <m/>
    <m/>
  </r>
  <r>
    <s v="2022-04-11 16:06 (-07)"/>
    <x v="231"/>
    <x v="345"/>
    <x v="1"/>
    <s v="On Demand"/>
    <x v="0"/>
    <x v="1"/>
    <x v="1"/>
    <s v="Barre"/>
    <x v="98"/>
    <x v="680"/>
    <m/>
    <m/>
    <m/>
    <m/>
    <m/>
    <m/>
    <n v="39"/>
    <n v="93.83"/>
    <m/>
    <m/>
  </r>
  <r>
    <s v="2022-04-11 16:18 (-07)"/>
    <x v="231"/>
    <x v="622"/>
    <x v="1"/>
    <s v="On Demand"/>
    <x v="4"/>
    <x v="1"/>
    <x v="1"/>
    <s v="Core"/>
    <x v="1"/>
    <x v="681"/>
    <m/>
    <m/>
    <m/>
    <m/>
    <m/>
    <m/>
    <n v="40"/>
    <n v="101.94"/>
    <m/>
    <m/>
  </r>
  <r>
    <s v="2022-04-11 16:32 (-07)"/>
    <x v="231"/>
    <x v="455"/>
    <x v="1"/>
    <s v="On Demand"/>
    <x v="6"/>
    <x v="0"/>
    <x v="0"/>
    <s v="Power Zone"/>
    <x v="85"/>
    <x v="682"/>
    <n v="288"/>
    <n v="107"/>
    <n v="0.36"/>
    <n v="88"/>
    <n v="16.21"/>
    <n v="12.15"/>
    <n v="439"/>
    <n v="151.78"/>
    <m/>
    <m/>
  </r>
  <r>
    <s v="2022-04-11 17:17 (-07)"/>
    <x v="231"/>
    <x v="623"/>
    <x v="1"/>
    <s v="On Demand"/>
    <x v="20"/>
    <x v="3"/>
    <x v="0"/>
    <s v="Cool Down"/>
    <x v="10"/>
    <x v="683"/>
    <n v="14"/>
    <n v="47"/>
    <n v="0.28000000000000003"/>
    <n v="76"/>
    <n v="11.47"/>
    <n v="0.96"/>
    <n v="17"/>
    <m/>
    <m/>
    <m/>
  </r>
  <r>
    <s v="2022-04-11 17:24 (-07)"/>
    <x v="231"/>
    <x v="624"/>
    <x v="1"/>
    <s v="On Demand"/>
    <x v="7"/>
    <x v="3"/>
    <x v="2"/>
    <s v="Pre &amp; Post-Ride Stretch"/>
    <x v="8"/>
    <x v="684"/>
    <m/>
    <m/>
    <m/>
    <m/>
    <m/>
    <m/>
    <n v="22"/>
    <n v="106.62"/>
    <m/>
    <m/>
  </r>
  <r>
    <s v="2022-04-11 23:01 (PST)"/>
    <x v="231"/>
    <x v="295"/>
    <x v="1"/>
    <s v="On Demand"/>
    <x v="19"/>
    <x v="5"/>
    <x v="5"/>
    <s v="Sleep"/>
    <x v="29"/>
    <x v="685"/>
    <m/>
    <m/>
    <m/>
    <m/>
    <m/>
    <m/>
    <m/>
    <m/>
    <m/>
    <m/>
  </r>
  <r>
    <s v="2022-04-18 07:04 (PST)"/>
    <x v="232"/>
    <x v="494"/>
    <x v="1"/>
    <s v="On Demand"/>
    <x v="7"/>
    <x v="0"/>
    <x v="4"/>
    <s v="Slow Flow"/>
    <x v="234"/>
    <x v="686"/>
    <m/>
    <m/>
    <m/>
    <m/>
    <m/>
    <m/>
    <n v="143"/>
    <m/>
    <m/>
    <m/>
  </r>
  <r>
    <s v="2022-04-18 13:00 (PST)"/>
    <x v="232"/>
    <x v="285"/>
    <x v="1"/>
    <s v="On Demand"/>
    <x v="41"/>
    <x v="2"/>
    <x v="6"/>
    <s v="Podcast"/>
    <x v="235"/>
    <x v="687"/>
    <n v="0"/>
    <m/>
    <m/>
    <m/>
    <n v="2.13"/>
    <n v="1.05"/>
    <n v="179"/>
    <n v="120.94"/>
    <m/>
    <m/>
  </r>
  <r>
    <s v="2022-04-18 15:58 (-07)"/>
    <x v="232"/>
    <x v="625"/>
    <x v="1"/>
    <s v="On Demand"/>
    <x v="31"/>
    <x v="1"/>
    <x v="1"/>
    <s v="Core"/>
    <x v="1"/>
    <x v="688"/>
    <m/>
    <m/>
    <m/>
    <m/>
    <m/>
    <m/>
    <n v="44"/>
    <n v="101.45"/>
    <m/>
    <m/>
  </r>
  <r>
    <s v="2022-04-18 16:14 (-07)"/>
    <x v="232"/>
    <x v="626"/>
    <x v="1"/>
    <s v="On Demand"/>
    <x v="6"/>
    <x v="0"/>
    <x v="0"/>
    <s v="Power Zone"/>
    <x v="195"/>
    <x v="473"/>
    <n v="275"/>
    <n v="102"/>
    <n v="0.34"/>
    <n v="90"/>
    <n v="15.41"/>
    <n v="11.56"/>
    <n v="440"/>
    <n v="154.06"/>
    <m/>
    <m/>
  </r>
  <r>
    <s v="2022-04-18 16:59 (-07)"/>
    <x v="232"/>
    <x v="627"/>
    <x v="1"/>
    <s v="On Demand"/>
    <x v="29"/>
    <x v="3"/>
    <x v="0"/>
    <s v="Cool Down"/>
    <x v="10"/>
    <x v="689"/>
    <n v="25"/>
    <n v="83"/>
    <n v="0.35"/>
    <n v="83"/>
    <n v="14.97"/>
    <n v="1.24"/>
    <n v="40"/>
    <n v="139.41"/>
    <m/>
    <m/>
  </r>
  <r>
    <s v="2022-04-18 17:06 (-07)"/>
    <x v="232"/>
    <x v="628"/>
    <x v="1"/>
    <s v="On Demand"/>
    <x v="29"/>
    <x v="3"/>
    <x v="2"/>
    <s v="Pre &amp; Post-Ride Stretch"/>
    <x v="8"/>
    <x v="689"/>
    <m/>
    <m/>
    <m/>
    <m/>
    <m/>
    <m/>
    <n v="11"/>
    <m/>
    <m/>
    <m/>
  </r>
  <r>
    <s v="2022-04-18 22:44 (PST)"/>
    <x v="232"/>
    <x v="373"/>
    <x v="1"/>
    <s v="On Demand"/>
    <x v="25"/>
    <x v="5"/>
    <x v="5"/>
    <s v="Relaxation"/>
    <x v="112"/>
    <x v="690"/>
    <m/>
    <m/>
    <m/>
    <m/>
    <m/>
    <m/>
    <m/>
    <m/>
    <m/>
    <m/>
  </r>
  <r>
    <s v="2022-04-25 07:29 (PST)"/>
    <x v="233"/>
    <x v="104"/>
    <x v="1"/>
    <s v="On Demand"/>
    <x v="16"/>
    <x v="2"/>
    <x v="4"/>
    <s v="Focus Flow"/>
    <x v="86"/>
    <x v="691"/>
    <m/>
    <m/>
    <m/>
    <m/>
    <m/>
    <m/>
    <n v="99"/>
    <m/>
    <m/>
    <m/>
  </r>
  <r>
    <s v="2022-04-25 08:08 (PST)"/>
    <x v="233"/>
    <x v="629"/>
    <x v="1"/>
    <s v="On Demand"/>
    <x v="16"/>
    <x v="1"/>
    <x v="5"/>
    <s v="Mindfulness"/>
    <x v="92"/>
    <x v="692"/>
    <m/>
    <m/>
    <m/>
    <m/>
    <m/>
    <m/>
    <m/>
    <m/>
    <m/>
    <m/>
  </r>
  <r>
    <s v="2022-04-25 19:01 (-07)"/>
    <x v="233"/>
    <x v="630"/>
    <x v="1"/>
    <s v="On Demand"/>
    <x v="37"/>
    <x v="1"/>
    <x v="1"/>
    <s v="Core"/>
    <x v="1"/>
    <x v="693"/>
    <m/>
    <m/>
    <m/>
    <m/>
    <m/>
    <m/>
    <n v="36"/>
    <n v="85.31"/>
    <m/>
    <m/>
  </r>
  <r>
    <s v="2022-04-25 19:13 (-07)"/>
    <x v="233"/>
    <x v="631"/>
    <x v="1"/>
    <s v="On Demand"/>
    <x v="6"/>
    <x v="0"/>
    <x v="0"/>
    <s v="Power Zone"/>
    <x v="195"/>
    <x v="694"/>
    <n v="286"/>
    <n v="106"/>
    <n v="0.35"/>
    <n v="88"/>
    <n v="15.75"/>
    <n v="11.81"/>
    <n v="439"/>
    <n v="151.74"/>
    <m/>
    <m/>
  </r>
  <r>
    <s v="2022-04-25 20:01 (-07)"/>
    <x v="233"/>
    <x v="123"/>
    <x v="1"/>
    <s v="On Demand"/>
    <x v="42"/>
    <x v="3"/>
    <x v="0"/>
    <s v="Cool Down"/>
    <x v="10"/>
    <x v="207"/>
    <n v="20"/>
    <n v="68"/>
    <n v="0.32"/>
    <n v="82"/>
    <n v="13.53"/>
    <n v="1.1299999999999999"/>
    <n v="34"/>
    <n v="130.55000000000001"/>
    <m/>
    <m/>
  </r>
  <r>
    <s v="2022-04-25 20:12 (-07)"/>
    <x v="233"/>
    <x v="632"/>
    <x v="1"/>
    <s v="On Demand"/>
    <x v="18"/>
    <x v="3"/>
    <x v="2"/>
    <s v="Pre &amp; Post-Ride Stretch"/>
    <x v="8"/>
    <x v="695"/>
    <m/>
    <m/>
    <m/>
    <m/>
    <m/>
    <m/>
    <n v="19"/>
    <n v="104.84"/>
    <m/>
    <m/>
  </r>
  <r>
    <s v="2022-04-25 22:36 (PST)"/>
    <x v="233"/>
    <x v="102"/>
    <x v="1"/>
    <s v="On Demand"/>
    <x v="25"/>
    <x v="1"/>
    <x v="5"/>
    <s v="Relaxation"/>
    <x v="81"/>
    <x v="696"/>
    <m/>
    <m/>
    <m/>
    <m/>
    <m/>
    <m/>
    <m/>
    <m/>
    <m/>
    <m/>
  </r>
  <r>
    <s v="2022-05-02 07:05 (PST)"/>
    <x v="234"/>
    <x v="69"/>
    <x v="1"/>
    <s v="On Demand"/>
    <x v="30"/>
    <x v="2"/>
    <x v="4"/>
    <s v="Flow"/>
    <x v="236"/>
    <x v="697"/>
    <m/>
    <m/>
    <m/>
    <m/>
    <m/>
    <m/>
    <n v="96"/>
    <m/>
    <m/>
    <m/>
  </r>
  <r>
    <s v="2022-05-02 16:40 (PST)"/>
    <x v="234"/>
    <x v="633"/>
    <x v="1"/>
    <s v="On Demand"/>
    <x v="15"/>
    <x v="2"/>
    <x v="6"/>
    <s v="Walk + Run"/>
    <x v="237"/>
    <x v="698"/>
    <n v="0"/>
    <m/>
    <m/>
    <m/>
    <n v="3.56"/>
    <n v="1.78"/>
    <n v="166"/>
    <m/>
    <m/>
    <m/>
  </r>
  <r>
    <s v="2022-05-02 21:50 (PST)"/>
    <x v="234"/>
    <x v="634"/>
    <x v="1"/>
    <s v="On Demand"/>
    <x v="19"/>
    <x v="1"/>
    <x v="5"/>
    <s v="Relaxation"/>
    <x v="71"/>
    <x v="699"/>
    <m/>
    <m/>
    <m/>
    <m/>
    <m/>
    <m/>
    <m/>
    <m/>
    <m/>
    <m/>
  </r>
  <r>
    <s v="2022-05-02 23:05 (PST)"/>
    <x v="234"/>
    <x v="474"/>
    <x v="1"/>
    <s v="On Demand"/>
    <x v="25"/>
    <x v="1"/>
    <x v="5"/>
    <s v="Sleep"/>
    <x v="39"/>
    <x v="700"/>
    <m/>
    <m/>
    <m/>
    <m/>
    <m/>
    <m/>
    <m/>
    <m/>
    <m/>
    <m/>
  </r>
  <r>
    <s v="2022-05-09 07:51 (PST)"/>
    <x v="235"/>
    <x v="208"/>
    <x v="1"/>
    <s v="On Demand"/>
    <x v="7"/>
    <x v="2"/>
    <x v="4"/>
    <s v="Flow"/>
    <x v="124"/>
    <x v="701"/>
    <m/>
    <m/>
    <m/>
    <m/>
    <m/>
    <m/>
    <n v="92"/>
    <m/>
    <m/>
    <m/>
  </r>
  <r>
    <s v="2022-05-09 15:58 (PST)"/>
    <x v="235"/>
    <x v="635"/>
    <x v="1"/>
    <s v="On Demand"/>
    <x v="15"/>
    <x v="2"/>
    <x v="6"/>
    <s v="Hiking"/>
    <x v="238"/>
    <x v="702"/>
    <n v="0"/>
    <m/>
    <m/>
    <m/>
    <n v="0"/>
    <n v="0"/>
    <n v="110"/>
    <m/>
    <m/>
    <m/>
  </r>
  <r>
    <s v="2022-05-09 17:46 (-07)"/>
    <x v="235"/>
    <x v="238"/>
    <x v="1"/>
    <s v="On Demand"/>
    <x v="3"/>
    <x v="1"/>
    <x v="1"/>
    <s v="Core"/>
    <x v="1"/>
    <x v="703"/>
    <m/>
    <m/>
    <m/>
    <m/>
    <m/>
    <m/>
    <n v="38"/>
    <n v="98.74"/>
    <m/>
    <m/>
  </r>
  <r>
    <s v="2022-05-09 17:58 (-07)"/>
    <x v="235"/>
    <x v="636"/>
    <x v="1"/>
    <s v="On Demand"/>
    <x v="6"/>
    <x v="8"/>
    <x v="0"/>
    <s v="Power Zone"/>
    <x v="25"/>
    <x v="704"/>
    <n v="593"/>
    <n v="110"/>
    <n v="0.39"/>
    <n v="84"/>
    <n v="16.8"/>
    <n v="25.2"/>
    <n v="875"/>
    <n v="151.38999999999999"/>
    <m/>
    <m/>
  </r>
  <r>
    <s v="2022-05-09 19:35 (-07)"/>
    <x v="235"/>
    <x v="436"/>
    <x v="1"/>
    <s v="On Demand"/>
    <x v="8"/>
    <x v="1"/>
    <x v="2"/>
    <s v="Lower Body Stretch"/>
    <x v="239"/>
    <x v="705"/>
    <m/>
    <m/>
    <m/>
    <m/>
    <m/>
    <m/>
    <n v="36"/>
    <n v="98.64"/>
    <m/>
    <m/>
  </r>
  <r>
    <s v="2022-05-09 21:46 (PST)"/>
    <x v="235"/>
    <x v="432"/>
    <x v="1"/>
    <s v="On Demand"/>
    <x v="23"/>
    <x v="1"/>
    <x v="5"/>
    <s v="Emotions"/>
    <x v="147"/>
    <x v="706"/>
    <m/>
    <m/>
    <m/>
    <m/>
    <m/>
    <m/>
    <m/>
    <m/>
    <m/>
    <m/>
  </r>
  <r>
    <s v="2022-05-16 19:49 (-07)"/>
    <x v="236"/>
    <x v="637"/>
    <x v="1"/>
    <s v="On Demand"/>
    <x v="37"/>
    <x v="7"/>
    <x v="1"/>
    <s v="Core"/>
    <x v="126"/>
    <x v="707"/>
    <m/>
    <m/>
    <m/>
    <m/>
    <m/>
    <m/>
    <n v="70"/>
    <n v="107.36"/>
    <m/>
    <m/>
  </r>
  <r>
    <s v="2022-05-16 20:08 (-07)"/>
    <x v="236"/>
    <x v="638"/>
    <x v="1"/>
    <s v="On Demand"/>
    <x v="1"/>
    <x v="2"/>
    <x v="0"/>
    <s v="Low Impact"/>
    <x v="76"/>
    <x v="708"/>
    <n v="156"/>
    <n v="87"/>
    <n v="0.37"/>
    <n v="78"/>
    <n v="15.15"/>
    <n v="7.58"/>
    <n v="217"/>
    <n v="129.72"/>
    <m/>
    <m/>
  </r>
  <r>
    <s v="2022-05-16 20:46 (PST)"/>
    <x v="236"/>
    <x v="22"/>
    <x v="1"/>
    <s v="On Demand"/>
    <x v="8"/>
    <x v="7"/>
    <x v="2"/>
    <s v="Foam Rolling"/>
    <x v="240"/>
    <x v="709"/>
    <m/>
    <m/>
    <m/>
    <m/>
    <m/>
    <m/>
    <n v="33"/>
    <m/>
    <m/>
    <m/>
  </r>
  <r>
    <s v="2022-05-16 22:29 (PST)"/>
    <x v="236"/>
    <x v="639"/>
    <x v="1"/>
    <s v="On Demand"/>
    <x v="13"/>
    <x v="1"/>
    <x v="5"/>
    <s v="Relaxation"/>
    <x v="71"/>
    <x v="710"/>
    <m/>
    <m/>
    <m/>
    <m/>
    <m/>
    <m/>
    <m/>
    <m/>
    <m/>
    <m/>
  </r>
  <r>
    <s v="2022-05-23 07:25 (PST)"/>
    <x v="237"/>
    <x v="422"/>
    <x v="1"/>
    <s v="On Demand"/>
    <x v="16"/>
    <x v="2"/>
    <x v="4"/>
    <s v="Slow Flow"/>
    <x v="114"/>
    <x v="711"/>
    <m/>
    <m/>
    <m/>
    <m/>
    <m/>
    <m/>
    <n v="97"/>
    <m/>
    <m/>
    <m/>
  </r>
  <r>
    <s v="2022-05-23 12:48 (PST)"/>
    <x v="237"/>
    <x v="640"/>
    <x v="1"/>
    <s v="On Demand"/>
    <x v="40"/>
    <x v="5"/>
    <x v="6"/>
    <s v="Music Walk"/>
    <x v="241"/>
    <x v="712"/>
    <n v="0"/>
    <m/>
    <m/>
    <m/>
    <n v="3.47"/>
    <n v="1.1599999999999999"/>
    <n v="73"/>
    <m/>
    <m/>
    <m/>
  </r>
  <r>
    <s v="2022-05-23 13:09 (PST)"/>
    <x v="237"/>
    <x v="309"/>
    <x v="1"/>
    <s v="On Demand"/>
    <x v="43"/>
    <x v="5"/>
    <x v="6"/>
    <s v="Power Walk"/>
    <x v="110"/>
    <x v="713"/>
    <n v="0"/>
    <m/>
    <m/>
    <m/>
    <n v="3.15"/>
    <n v="1.01"/>
    <n v="71"/>
    <m/>
    <m/>
    <m/>
  </r>
  <r>
    <s v="2022-05-23 18:26 (-07)"/>
    <x v="237"/>
    <x v="498"/>
    <x v="1"/>
    <s v="On Demand"/>
    <x v="6"/>
    <x v="4"/>
    <x v="0"/>
    <s v="Power Zone"/>
    <x v="7"/>
    <x v="714"/>
    <n v="378"/>
    <n v="105"/>
    <n v="0.37"/>
    <n v="86"/>
    <n v="16.47"/>
    <n v="16.46"/>
    <n v="560"/>
    <n v="147.47999999999999"/>
    <m/>
    <m/>
  </r>
  <r>
    <s v="2022-05-23 19:28 (-07)"/>
    <x v="237"/>
    <x v="641"/>
    <x v="1"/>
    <s v="On Demand"/>
    <x v="21"/>
    <x v="1"/>
    <x v="1"/>
    <s v="Core"/>
    <x v="242"/>
    <x v="715"/>
    <m/>
    <m/>
    <m/>
    <m/>
    <m/>
    <m/>
    <n v="46"/>
    <m/>
    <m/>
    <m/>
  </r>
  <r>
    <s v="2022-05-23 22:08 (PST)"/>
    <x v="237"/>
    <x v="435"/>
    <x v="1"/>
    <s v="On Demand"/>
    <x v="23"/>
    <x v="1"/>
    <x v="5"/>
    <s v="Emotions"/>
    <x v="46"/>
    <x v="716"/>
    <m/>
    <m/>
    <m/>
    <m/>
    <m/>
    <m/>
    <m/>
    <m/>
    <m/>
    <m/>
  </r>
  <r>
    <s v="2022-05-30 02:43 (PST)"/>
    <x v="238"/>
    <x v="642"/>
    <x v="1"/>
    <s v="On Demand"/>
    <x v="25"/>
    <x v="5"/>
    <x v="5"/>
    <s v="Relaxation"/>
    <x v="112"/>
    <x v="690"/>
    <m/>
    <m/>
    <m/>
    <m/>
    <m/>
    <m/>
    <m/>
    <m/>
    <m/>
    <m/>
  </r>
  <r>
    <s v="2022-05-30 09:15 (PST)"/>
    <x v="238"/>
    <x v="643"/>
    <x v="1"/>
    <s v="On Demand"/>
    <x v="16"/>
    <x v="2"/>
    <x v="4"/>
    <s v="Flow"/>
    <x v="114"/>
    <x v="717"/>
    <m/>
    <m/>
    <m/>
    <m/>
    <m/>
    <m/>
    <n v="94"/>
    <m/>
    <m/>
    <m/>
  </r>
  <r>
    <s v="2022-05-30 18:41 (-07)"/>
    <x v="238"/>
    <x v="509"/>
    <x v="1"/>
    <s v="On Demand"/>
    <x v="6"/>
    <x v="4"/>
    <x v="0"/>
    <s v="Power Zone"/>
    <x v="7"/>
    <x v="264"/>
    <n v="376"/>
    <n v="105"/>
    <n v="0.37"/>
    <n v="87"/>
    <n v="16.440000000000001"/>
    <n v="16.440000000000001"/>
    <n v="575"/>
    <n v="149.80000000000001"/>
    <m/>
    <m/>
  </r>
  <r>
    <s v="2022-05-30 19:43 (-07)"/>
    <x v="238"/>
    <x v="644"/>
    <x v="1"/>
    <s v="On Demand"/>
    <x v="5"/>
    <x v="1"/>
    <x v="1"/>
    <s v="Arms &amp; Light Weights"/>
    <x v="28"/>
    <x v="718"/>
    <m/>
    <m/>
    <m/>
    <m/>
    <m/>
    <m/>
    <n v="63"/>
    <n v="120.44"/>
    <m/>
    <m/>
  </r>
  <r>
    <s v="2022-05-30 19:55 (-07)"/>
    <x v="238"/>
    <x v="122"/>
    <x v="1"/>
    <s v="On Demand"/>
    <x v="37"/>
    <x v="3"/>
    <x v="1"/>
    <s v="Core"/>
    <x v="6"/>
    <x v="719"/>
    <m/>
    <m/>
    <m/>
    <m/>
    <m/>
    <m/>
    <n v="23"/>
    <m/>
    <m/>
    <m/>
  </r>
  <r>
    <s v="2022-05-30 20:08 (-07)"/>
    <x v="238"/>
    <x v="638"/>
    <x v="1"/>
    <s v="On Demand"/>
    <x v="1"/>
    <x v="3"/>
    <x v="2"/>
    <s v="Pre &amp; Post-Ride Stretch"/>
    <x v="8"/>
    <x v="720"/>
    <m/>
    <m/>
    <m/>
    <m/>
    <m/>
    <m/>
    <n v="21"/>
    <n v="103.7"/>
    <m/>
    <m/>
  </r>
  <r>
    <s v="2022-05-30 22:37 (PST)"/>
    <x v="238"/>
    <x v="247"/>
    <x v="1"/>
    <s v="On Demand"/>
    <x v="28"/>
    <x v="1"/>
    <x v="5"/>
    <s v="Emotions"/>
    <x v="128"/>
    <x v="721"/>
    <m/>
    <m/>
    <m/>
    <m/>
    <m/>
    <m/>
    <m/>
    <m/>
    <m/>
    <m/>
  </r>
  <r>
    <s v="2022-06-06 07:13 (PST)"/>
    <x v="239"/>
    <x v="500"/>
    <x v="1"/>
    <s v="On Demand"/>
    <x v="7"/>
    <x v="2"/>
    <x v="4"/>
    <s v="Theme"/>
    <x v="243"/>
    <x v="722"/>
    <m/>
    <m/>
    <m/>
    <m/>
    <m/>
    <m/>
    <n v="93"/>
    <m/>
    <m/>
    <m/>
  </r>
  <r>
    <s v="2022-06-06 16:33 (PST)"/>
    <x v="239"/>
    <x v="645"/>
    <x v="1"/>
    <s v="On Demand"/>
    <x v="2"/>
    <x v="5"/>
    <x v="6"/>
    <s v="Power Walk"/>
    <x v="110"/>
    <x v="723"/>
    <n v="0"/>
    <m/>
    <m/>
    <m/>
    <n v="3.83"/>
    <n v="1.28"/>
    <n v="73"/>
    <m/>
    <m/>
    <m/>
  </r>
  <r>
    <s v="2022-06-06 16:54 (PST)"/>
    <x v="239"/>
    <x v="646"/>
    <x v="1"/>
    <m/>
    <x v="34"/>
    <x v="7"/>
    <x v="6"/>
    <m/>
    <x v="244"/>
    <x v="231"/>
    <n v="0"/>
    <m/>
    <m/>
    <m/>
    <n v="3.11"/>
    <n v="0.82"/>
    <n v="58"/>
    <m/>
    <m/>
    <m/>
  </r>
  <r>
    <s v="2022-06-06 17:56 (-07)"/>
    <x v="239"/>
    <x v="257"/>
    <x v="1"/>
    <s v="On Demand"/>
    <x v="4"/>
    <x v="1"/>
    <x v="1"/>
    <s v="Core"/>
    <x v="245"/>
    <x v="724"/>
    <m/>
    <m/>
    <m/>
    <m/>
    <m/>
    <m/>
    <n v="39"/>
    <n v="96.91"/>
    <m/>
    <m/>
  </r>
  <r>
    <s v="2022-06-06 18:07 (-07)"/>
    <x v="239"/>
    <x v="249"/>
    <x v="1"/>
    <s v="On Demand"/>
    <x v="6"/>
    <x v="2"/>
    <x v="0"/>
    <s v="Low Impact"/>
    <x v="76"/>
    <x v="725"/>
    <n v="131"/>
    <n v="74"/>
    <n v="0.34"/>
    <n v="79"/>
    <n v="14.04"/>
    <n v="6.96"/>
    <n v="161"/>
    <m/>
    <m/>
    <m/>
  </r>
  <r>
    <s v="2022-06-06 18:40 (-07)"/>
    <x v="239"/>
    <x v="647"/>
    <x v="1"/>
    <s v="On Demand"/>
    <x v="6"/>
    <x v="2"/>
    <x v="0"/>
    <s v="Power Zone"/>
    <x v="5"/>
    <x v="726"/>
    <n v="184"/>
    <n v="102"/>
    <n v="0.37"/>
    <n v="86"/>
    <n v="16.239999999999998"/>
    <n v="8.1199999999999992"/>
    <n v="232"/>
    <n v="104.93"/>
    <m/>
    <m/>
  </r>
  <r>
    <s v="2022-06-06 22:39 (PST)"/>
    <x v="239"/>
    <x v="426"/>
    <x v="1"/>
    <s v="On Demand"/>
    <x v="25"/>
    <x v="1"/>
    <x v="5"/>
    <s v="Emotions"/>
    <x v="46"/>
    <x v="727"/>
    <m/>
    <m/>
    <m/>
    <m/>
    <m/>
    <m/>
    <m/>
    <m/>
    <m/>
    <m/>
  </r>
  <r>
    <s v="2022-06-13 07:08 (PST)"/>
    <x v="240"/>
    <x v="414"/>
    <x v="1"/>
    <s v="On Demand"/>
    <x v="23"/>
    <x v="2"/>
    <x v="4"/>
    <s v="Slow Flow"/>
    <x v="50"/>
    <x v="728"/>
    <m/>
    <m/>
    <m/>
    <m/>
    <m/>
    <m/>
    <n v="98"/>
    <m/>
    <m/>
    <m/>
  </r>
  <r>
    <s v="2022-06-13 17:09 (-07)"/>
    <x v="240"/>
    <x v="607"/>
    <x v="1"/>
    <s v="On Demand"/>
    <x v="24"/>
    <x v="7"/>
    <x v="1"/>
    <s v="Core"/>
    <x v="126"/>
    <x v="729"/>
    <m/>
    <m/>
    <m/>
    <m/>
    <m/>
    <m/>
    <n v="54"/>
    <n v="88.03"/>
    <m/>
    <m/>
  </r>
  <r>
    <s v="2022-06-13 17:27 (-07)"/>
    <x v="240"/>
    <x v="109"/>
    <x v="1"/>
    <s v="On Demand"/>
    <x v="7"/>
    <x v="0"/>
    <x v="0"/>
    <s v="Power Zone"/>
    <x v="27"/>
    <x v="730"/>
    <n v="271"/>
    <n v="100"/>
    <n v="0.37"/>
    <n v="86"/>
    <n v="16.149999999999999"/>
    <n v="12.11"/>
    <n v="394"/>
    <n v="142.84"/>
    <m/>
    <m/>
  </r>
  <r>
    <s v="2022-06-13 18:14 (-07)"/>
    <x v="240"/>
    <x v="648"/>
    <x v="1"/>
    <s v="On Demand"/>
    <x v="15"/>
    <x v="1"/>
    <x v="1"/>
    <s v="Arms &amp; Light Weights"/>
    <x v="28"/>
    <x v="731"/>
    <m/>
    <m/>
    <m/>
    <m/>
    <m/>
    <m/>
    <n v="50"/>
    <n v="107.23"/>
    <m/>
    <m/>
  </r>
  <r>
    <s v="2022-06-13 18:28 (-07)"/>
    <x v="240"/>
    <x v="649"/>
    <x v="1"/>
    <s v="On Demand"/>
    <x v="4"/>
    <x v="1"/>
    <x v="2"/>
    <s v="Full Body Stretch"/>
    <x v="4"/>
    <x v="732"/>
    <m/>
    <m/>
    <m/>
    <m/>
    <m/>
    <m/>
    <n v="25"/>
    <n v="83.46"/>
    <m/>
    <m/>
  </r>
  <r>
    <s v="2022-06-13 22:06 (PST)"/>
    <x v="240"/>
    <x v="355"/>
    <x v="1"/>
    <s v="On Demand"/>
    <x v="16"/>
    <x v="7"/>
    <x v="5"/>
    <s v="Sleep"/>
    <x v="65"/>
    <x v="236"/>
    <m/>
    <m/>
    <m/>
    <m/>
    <m/>
    <m/>
    <m/>
    <m/>
    <m/>
    <m/>
  </r>
  <r>
    <s v="2022-06-20 01:46 (PST)"/>
    <x v="241"/>
    <x v="650"/>
    <x v="1"/>
    <s v="On Demand"/>
    <x v="19"/>
    <x v="5"/>
    <x v="5"/>
    <s v="Sleep"/>
    <x v="29"/>
    <x v="685"/>
    <m/>
    <m/>
    <m/>
    <m/>
    <m/>
    <m/>
    <m/>
    <m/>
    <m/>
    <m/>
  </r>
  <r>
    <s v="2022-06-20 02:08 (PST)"/>
    <x v="241"/>
    <x v="651"/>
    <x v="1"/>
    <s v="On Demand"/>
    <x v="19"/>
    <x v="5"/>
    <x v="5"/>
    <s v="Sleep"/>
    <x v="29"/>
    <x v="685"/>
    <m/>
    <m/>
    <m/>
    <m/>
    <m/>
    <m/>
    <m/>
    <m/>
    <m/>
    <m/>
  </r>
  <r>
    <s v="2022-06-20 07:08 (PST)"/>
    <x v="241"/>
    <x v="414"/>
    <x v="1"/>
    <s v="On Demand"/>
    <x v="30"/>
    <x v="2"/>
    <x v="4"/>
    <s v="Flow"/>
    <x v="69"/>
    <x v="733"/>
    <m/>
    <m/>
    <m/>
    <m/>
    <m/>
    <m/>
    <n v="91"/>
    <m/>
    <m/>
    <m/>
  </r>
  <r>
    <s v="2022-06-20 15:51 (-07)"/>
    <x v="241"/>
    <x v="652"/>
    <x v="1"/>
    <s v="On Demand"/>
    <x v="7"/>
    <x v="0"/>
    <x v="0"/>
    <s v="Power Zone"/>
    <x v="85"/>
    <x v="734"/>
    <n v="287"/>
    <n v="106"/>
    <n v="0.36"/>
    <n v="86"/>
    <n v="16.21"/>
    <n v="12.16"/>
    <n v="513"/>
    <n v="166.08"/>
    <m/>
    <m/>
  </r>
  <r>
    <s v="2022-06-20 16:37 (-07)"/>
    <x v="241"/>
    <x v="609"/>
    <x v="1"/>
    <s v="On Demand"/>
    <x v="0"/>
    <x v="3"/>
    <x v="0"/>
    <s v="Cool Down"/>
    <x v="10"/>
    <x v="735"/>
    <n v="22"/>
    <n v="72"/>
    <n v="0.36"/>
    <n v="71"/>
    <n v="13.85"/>
    <n v="1.1499999999999999"/>
    <n v="46"/>
    <n v="152.85"/>
    <m/>
    <m/>
  </r>
  <r>
    <s v="2022-06-20 16:46 (-07)"/>
    <x v="241"/>
    <x v="653"/>
    <x v="1"/>
    <s v="On Demand"/>
    <x v="35"/>
    <x v="1"/>
    <x v="1"/>
    <s v="Core"/>
    <x v="1"/>
    <x v="736"/>
    <m/>
    <m/>
    <m/>
    <m/>
    <m/>
    <m/>
    <n v="49"/>
    <n v="108"/>
    <m/>
    <m/>
  </r>
  <r>
    <s v="2022-06-20 16:58 (-07)"/>
    <x v="241"/>
    <x v="654"/>
    <x v="1"/>
    <s v="On Demand"/>
    <x v="6"/>
    <x v="3"/>
    <x v="2"/>
    <s v="Pre &amp; Post-Ride Stretch"/>
    <x v="8"/>
    <x v="737"/>
    <m/>
    <m/>
    <m/>
    <m/>
    <m/>
    <m/>
    <n v="24"/>
    <n v="108.34"/>
    <m/>
    <m/>
  </r>
  <r>
    <s v="2022-06-20 22:05 (PST)"/>
    <x v="241"/>
    <x v="655"/>
    <x v="1"/>
    <s v="On Demand"/>
    <x v="23"/>
    <x v="3"/>
    <x v="5"/>
    <s v="Sleep"/>
    <x v="58"/>
    <x v="738"/>
    <m/>
    <m/>
    <m/>
    <m/>
    <m/>
    <m/>
    <m/>
    <m/>
    <m/>
    <m/>
  </r>
  <r>
    <s v="2022-06-27 07:47 (PST)"/>
    <x v="242"/>
    <x v="656"/>
    <x v="1"/>
    <s v="On Demand"/>
    <x v="13"/>
    <x v="2"/>
    <x v="4"/>
    <s v="Flow"/>
    <x v="246"/>
    <x v="739"/>
    <m/>
    <m/>
    <m/>
    <m/>
    <m/>
    <m/>
    <n v="94"/>
    <m/>
    <m/>
    <m/>
  </r>
  <r>
    <s v="2022-06-27 18:42 (-07)"/>
    <x v="242"/>
    <x v="505"/>
    <x v="1"/>
    <s v="On Demand"/>
    <x v="21"/>
    <x v="1"/>
    <x v="1"/>
    <s v="Core"/>
    <x v="1"/>
    <x v="740"/>
    <m/>
    <m/>
    <m/>
    <m/>
    <m/>
    <m/>
    <n v="43"/>
    <n v="101.66"/>
    <m/>
    <m/>
  </r>
  <r>
    <s v="2022-06-27 19:00 (-07)"/>
    <x v="242"/>
    <x v="657"/>
    <x v="1"/>
    <s v="On Demand"/>
    <x v="11"/>
    <x v="5"/>
    <x v="1"/>
    <s v="Upper Body"/>
    <x v="247"/>
    <x v="741"/>
    <m/>
    <m/>
    <m/>
    <m/>
    <m/>
    <m/>
    <n v="116"/>
    <n v="117.16"/>
    <m/>
    <m/>
  </r>
  <r>
    <s v="2022-06-27 19:21 (-07)"/>
    <x v="242"/>
    <x v="658"/>
    <x v="1"/>
    <s v="On Demand"/>
    <x v="26"/>
    <x v="1"/>
    <x v="2"/>
    <s v="Upper Body Stretch"/>
    <x v="248"/>
    <x v="742"/>
    <m/>
    <m/>
    <m/>
    <m/>
    <m/>
    <m/>
    <n v="23"/>
    <m/>
    <m/>
    <m/>
  </r>
  <r>
    <s v="2022-06-27 19:33 (-07)"/>
    <x v="242"/>
    <x v="659"/>
    <x v="1"/>
    <s v="On Demand"/>
    <x v="1"/>
    <x v="7"/>
    <x v="0"/>
    <s v="Low Impact"/>
    <x v="249"/>
    <x v="743"/>
    <n v="87"/>
    <n v="97"/>
    <n v="0.39"/>
    <n v="77"/>
    <n v="15.87"/>
    <n v="3.97"/>
    <n v="118"/>
    <n v="134.88999999999999"/>
    <m/>
    <m/>
  </r>
  <r>
    <s v="2022-06-27 22:41 (PST)"/>
    <x v="242"/>
    <x v="230"/>
    <x v="1"/>
    <s v="On Demand"/>
    <x v="13"/>
    <x v="7"/>
    <x v="5"/>
    <s v="Emotions"/>
    <x v="250"/>
    <x v="744"/>
    <m/>
    <m/>
    <m/>
    <m/>
    <m/>
    <m/>
    <m/>
    <m/>
    <m/>
    <m/>
  </r>
  <r>
    <s v="2022-07-04 11:42 (-07)"/>
    <x v="243"/>
    <x v="660"/>
    <x v="1"/>
    <s v="On Demand"/>
    <x v="20"/>
    <x v="1"/>
    <x v="1"/>
    <s v="Core"/>
    <x v="1"/>
    <x v="745"/>
    <m/>
    <m/>
    <m/>
    <m/>
    <m/>
    <m/>
    <n v="41"/>
    <n v="100.43"/>
    <m/>
    <m/>
  </r>
  <r>
    <s v="2022-07-04 11:55 (-07)"/>
    <x v="243"/>
    <x v="661"/>
    <x v="1"/>
    <s v="On Demand"/>
    <x v="4"/>
    <x v="0"/>
    <x v="0"/>
    <s v="Power Zone"/>
    <x v="251"/>
    <x v="746"/>
    <n v="299"/>
    <n v="111"/>
    <n v="0.38"/>
    <n v="84"/>
    <n v="16.600000000000001"/>
    <n v="12.45"/>
    <n v="439"/>
    <n v="151.28"/>
    <m/>
    <m/>
  </r>
  <r>
    <s v="2022-07-04 12:41 (-07)"/>
    <x v="243"/>
    <x v="662"/>
    <x v="1"/>
    <s v="On Demand"/>
    <x v="6"/>
    <x v="4"/>
    <x v="0"/>
    <s v="Power Zone"/>
    <x v="7"/>
    <x v="747"/>
    <n v="382"/>
    <n v="106"/>
    <n v="0.38"/>
    <n v="85"/>
    <n v="16.52"/>
    <n v="16.52"/>
    <n v="550"/>
    <n v="145.96"/>
    <m/>
    <m/>
  </r>
  <r>
    <s v="2022-07-04 13:42 (-07)"/>
    <x v="243"/>
    <x v="663"/>
    <x v="1"/>
    <s v="On Demand"/>
    <x v="6"/>
    <x v="3"/>
    <x v="0"/>
    <s v="Cool Down"/>
    <x v="10"/>
    <x v="252"/>
    <n v="13"/>
    <n v="42"/>
    <n v="0.25"/>
    <n v="82"/>
    <n v="11.03"/>
    <n v="0.92"/>
    <n v="28"/>
    <n v="116.79"/>
    <m/>
    <m/>
  </r>
  <r>
    <s v="2022-07-04 13:47 (-07)"/>
    <x v="243"/>
    <x v="664"/>
    <x v="1"/>
    <s v="On Demand"/>
    <x v="6"/>
    <x v="3"/>
    <x v="2"/>
    <s v="Pre &amp; Post-Ride Stretch"/>
    <x v="8"/>
    <x v="737"/>
    <m/>
    <m/>
    <m/>
    <m/>
    <m/>
    <m/>
    <n v="11"/>
    <m/>
    <m/>
    <m/>
  </r>
  <r>
    <s v="2022-07-11 07:13 (-07)"/>
    <x v="244"/>
    <x v="665"/>
    <x v="1"/>
    <s v="On Demand"/>
    <x v="6"/>
    <x v="4"/>
    <x v="0"/>
    <s v="Power Zone"/>
    <x v="23"/>
    <x v="748"/>
    <n v="407"/>
    <n v="113"/>
    <n v="0.39"/>
    <n v="85"/>
    <n v="16.87"/>
    <n v="16.87"/>
    <n v="576"/>
    <n v="149.85"/>
    <m/>
    <m/>
  </r>
  <r>
    <s v="2022-07-11 08:13 (-07)"/>
    <x v="244"/>
    <x v="666"/>
    <x v="1"/>
    <s v="On Demand"/>
    <x v="6"/>
    <x v="3"/>
    <x v="0"/>
    <s v="Cool Down"/>
    <x v="10"/>
    <x v="252"/>
    <n v="18"/>
    <n v="60"/>
    <n v="0.28000000000000003"/>
    <n v="91"/>
    <n v="12.85"/>
    <n v="1.07"/>
    <n v="34"/>
    <n v="99.83"/>
    <m/>
    <m/>
  </r>
  <r>
    <s v="2022-07-11 08:19 (-07)"/>
    <x v="244"/>
    <x v="667"/>
    <x v="1"/>
    <s v="On Demand"/>
    <x v="6"/>
    <x v="3"/>
    <x v="2"/>
    <s v="Pre &amp; Post-Ride Stretch"/>
    <x v="8"/>
    <x v="737"/>
    <m/>
    <m/>
    <m/>
    <m/>
    <m/>
    <m/>
    <n v="11"/>
    <m/>
    <m/>
    <m/>
  </r>
  <r>
    <s v="2022-07-11 23:57 (PST)"/>
    <x v="244"/>
    <x v="668"/>
    <x v="1"/>
    <s v="On Demand"/>
    <x v="25"/>
    <x v="1"/>
    <x v="5"/>
    <s v="Theme"/>
    <x v="252"/>
    <x v="749"/>
    <m/>
    <m/>
    <m/>
    <m/>
    <m/>
    <m/>
    <m/>
    <m/>
    <m/>
    <m/>
  </r>
  <r>
    <s v="2022-07-18 07:48 (PST)"/>
    <x v="245"/>
    <x v="194"/>
    <x v="1"/>
    <s v="On Demand"/>
    <x v="23"/>
    <x v="2"/>
    <x v="4"/>
    <s v="Focus Flow"/>
    <x v="253"/>
    <x v="750"/>
    <m/>
    <m/>
    <m/>
    <m/>
    <m/>
    <m/>
    <n v="94"/>
    <m/>
    <m/>
    <m/>
  </r>
  <r>
    <s v="2022-07-18 13:38 (-07)"/>
    <x v="245"/>
    <x v="669"/>
    <x v="1"/>
    <s v="On Demand"/>
    <x v="4"/>
    <x v="0"/>
    <x v="0"/>
    <s v="Power Zone"/>
    <x v="27"/>
    <x v="751"/>
    <n v="283"/>
    <n v="105"/>
    <n v="0.37"/>
    <n v="86"/>
    <n v="16.43"/>
    <n v="12.33"/>
    <n v="418"/>
    <n v="147.37"/>
    <m/>
    <m/>
  </r>
  <r>
    <s v="2022-07-18 14:24 (-07)"/>
    <x v="245"/>
    <x v="670"/>
    <x v="1"/>
    <s v="On Demand"/>
    <x v="12"/>
    <x v="3"/>
    <x v="1"/>
    <s v="Warm Up"/>
    <x v="116"/>
    <x v="248"/>
    <m/>
    <m/>
    <m/>
    <m/>
    <m/>
    <m/>
    <n v="23"/>
    <n v="107.97"/>
    <m/>
    <m/>
  </r>
  <r>
    <s v="2022-07-18 14:30 (-07)"/>
    <x v="245"/>
    <x v="671"/>
    <x v="1"/>
    <s v="On Demand"/>
    <x v="12"/>
    <x v="1"/>
    <x v="1"/>
    <s v="Upper Body"/>
    <x v="117"/>
    <x v="248"/>
    <m/>
    <m/>
    <m/>
    <m/>
    <m/>
    <m/>
    <n v="77"/>
    <n v="128.76"/>
    <m/>
    <m/>
  </r>
  <r>
    <s v="2022-07-18 22:18 (PST)"/>
    <x v="245"/>
    <x v="117"/>
    <x v="1"/>
    <s v="On Demand"/>
    <x v="25"/>
    <x v="1"/>
    <x v="5"/>
    <s v="Emotions"/>
    <x v="44"/>
    <x v="752"/>
    <m/>
    <m/>
    <m/>
    <m/>
    <m/>
    <m/>
    <m/>
    <m/>
    <m/>
    <m/>
  </r>
  <r>
    <s v="2022-07-25 03:48 (PST)"/>
    <x v="246"/>
    <x v="672"/>
    <x v="1"/>
    <s v="On Demand"/>
    <x v="28"/>
    <x v="3"/>
    <x v="5"/>
    <s v="Sleep"/>
    <x v="58"/>
    <x v="753"/>
    <m/>
    <m/>
    <m/>
    <m/>
    <m/>
    <m/>
    <m/>
    <m/>
    <m/>
    <m/>
  </r>
  <r>
    <s v="2022-07-25 22:34 (PST)"/>
    <x v="246"/>
    <x v="596"/>
    <x v="1"/>
    <s v="On Demand"/>
    <x v="23"/>
    <x v="1"/>
    <x v="5"/>
    <s v="Emotions"/>
    <x v="128"/>
    <x v="754"/>
    <m/>
    <m/>
    <m/>
    <m/>
    <m/>
    <m/>
    <m/>
    <m/>
    <m/>
    <m/>
  </r>
  <r>
    <s v="2022-08-01 17:20 (-07)"/>
    <x v="247"/>
    <x v="619"/>
    <x v="1"/>
    <s v="On Demand"/>
    <x v="12"/>
    <x v="7"/>
    <x v="1"/>
    <s v="Upper Body"/>
    <x v="119"/>
    <x v="248"/>
    <m/>
    <m/>
    <m/>
    <m/>
    <m/>
    <m/>
    <n v="89"/>
    <n v="118.53"/>
    <m/>
    <m/>
  </r>
  <r>
    <s v="2022-08-01 17:37 (-07)"/>
    <x v="247"/>
    <x v="673"/>
    <x v="1"/>
    <s v="On Demand"/>
    <x v="24"/>
    <x v="7"/>
    <x v="1"/>
    <s v="Core"/>
    <x v="254"/>
    <x v="755"/>
    <m/>
    <m/>
    <m/>
    <m/>
    <m/>
    <m/>
    <n v="64"/>
    <n v="103.32"/>
    <m/>
    <m/>
  </r>
  <r>
    <s v="2022-08-01 17:54 (-07)"/>
    <x v="247"/>
    <x v="674"/>
    <x v="1"/>
    <s v="On Demand"/>
    <x v="6"/>
    <x v="2"/>
    <x v="0"/>
    <s v="Power Zone"/>
    <x v="184"/>
    <x v="756"/>
    <n v="198"/>
    <n v="110"/>
    <n v="0.38"/>
    <n v="87"/>
    <n v="16.66"/>
    <n v="8.33"/>
    <n v="281"/>
    <n v="148.11000000000001"/>
    <m/>
    <m/>
  </r>
  <r>
    <s v="2022-08-01 18:35 (PST)"/>
    <x v="247"/>
    <x v="675"/>
    <x v="1"/>
    <s v="On Demand"/>
    <x v="13"/>
    <x v="0"/>
    <x v="4"/>
    <s v="Flow"/>
    <x v="14"/>
    <x v="757"/>
    <m/>
    <m/>
    <m/>
    <m/>
    <m/>
    <m/>
    <n v="138"/>
    <m/>
    <m/>
    <m/>
  </r>
  <r>
    <s v="2022-08-01 22:45 (PST)"/>
    <x v="247"/>
    <x v="676"/>
    <x v="1"/>
    <s v="On Demand"/>
    <x v="25"/>
    <x v="1"/>
    <x v="5"/>
    <s v="Relaxation"/>
    <x v="81"/>
    <x v="758"/>
    <m/>
    <m/>
    <m/>
    <m/>
    <m/>
    <m/>
    <m/>
    <m/>
    <m/>
    <m/>
  </r>
  <r>
    <s v="2022-08-08 07:51 (PST)"/>
    <x v="248"/>
    <x v="208"/>
    <x v="1"/>
    <s v="On Demand"/>
    <x v="16"/>
    <x v="2"/>
    <x v="4"/>
    <s v="Flow"/>
    <x v="69"/>
    <x v="759"/>
    <m/>
    <m/>
    <m/>
    <m/>
    <m/>
    <m/>
    <n v="89"/>
    <m/>
    <m/>
    <m/>
  </r>
  <r>
    <s v="2022-08-08 22:13 (PST)"/>
    <x v="248"/>
    <x v="235"/>
    <x v="1"/>
    <s v="On Demand"/>
    <x v="23"/>
    <x v="1"/>
    <x v="5"/>
    <s v="Emotions"/>
    <x v="15"/>
    <x v="760"/>
    <m/>
    <m/>
    <m/>
    <m/>
    <m/>
    <m/>
    <m/>
    <m/>
    <m/>
    <m/>
  </r>
  <r>
    <s v="2022-08-15 07:20 (PST)"/>
    <x v="249"/>
    <x v="507"/>
    <x v="1"/>
    <s v="On Demand"/>
    <x v="7"/>
    <x v="0"/>
    <x v="4"/>
    <s v="Power"/>
    <x v="255"/>
    <x v="761"/>
    <m/>
    <m/>
    <m/>
    <m/>
    <m/>
    <m/>
    <n v="141"/>
    <m/>
    <m/>
    <m/>
  </r>
  <r>
    <s v="2022-08-15 17:44 (-07)"/>
    <x v="249"/>
    <x v="677"/>
    <x v="1"/>
    <s v="On Demand"/>
    <x v="7"/>
    <x v="0"/>
    <x v="0"/>
    <s v="Power Zone"/>
    <x v="85"/>
    <x v="762"/>
    <n v="328"/>
    <n v="121"/>
    <n v="0.39"/>
    <n v="85"/>
    <n v="17.149999999999999"/>
    <n v="12.86"/>
    <n v="466"/>
    <n v="156.34"/>
    <m/>
    <m/>
  </r>
  <r>
    <s v="2022-08-15 22:42 (PST)"/>
    <x v="249"/>
    <x v="678"/>
    <x v="1"/>
    <s v="On Demand"/>
    <x v="13"/>
    <x v="3"/>
    <x v="5"/>
    <s v="Sleep"/>
    <x v="58"/>
    <x v="763"/>
    <m/>
    <m/>
    <m/>
    <m/>
    <m/>
    <m/>
    <m/>
    <m/>
    <m/>
    <m/>
  </r>
  <r>
    <s v="2022-08-22 11:46 (PST)"/>
    <x v="250"/>
    <x v="679"/>
    <x v="1"/>
    <s v="On Demand"/>
    <x v="7"/>
    <x v="2"/>
    <x v="4"/>
    <s v="Flow"/>
    <x v="256"/>
    <x v="764"/>
    <m/>
    <m/>
    <m/>
    <m/>
    <m/>
    <m/>
    <n v="89"/>
    <m/>
    <m/>
    <m/>
  </r>
  <r>
    <s v="2022-08-22 17:40 (-07)"/>
    <x v="250"/>
    <x v="680"/>
    <x v="1"/>
    <s v="On Demand"/>
    <x v="6"/>
    <x v="0"/>
    <x v="0"/>
    <s v="Power Zone"/>
    <x v="85"/>
    <x v="765"/>
    <n v="194"/>
    <n v="90"/>
    <n v="0.34"/>
    <n v="84"/>
    <n v="14.89"/>
    <n v="8"/>
    <n v="305"/>
    <n v="139.28"/>
    <m/>
    <m/>
  </r>
  <r>
    <s v="2022-08-22 18:43 (-07)"/>
    <x v="250"/>
    <x v="681"/>
    <x v="1"/>
    <s v="On Demand"/>
    <x v="9"/>
    <x v="1"/>
    <x v="0"/>
    <s v="Cool Down"/>
    <x v="257"/>
    <x v="262"/>
    <n v="40"/>
    <n v="66"/>
    <n v="0.33"/>
    <n v="78"/>
    <n v="13.57"/>
    <n v="2.27"/>
    <n v="75"/>
    <n v="132.02000000000001"/>
    <m/>
    <m/>
  </r>
  <r>
    <s v="2022-08-22 18:53 (-07)"/>
    <x v="250"/>
    <x v="682"/>
    <x v="1"/>
    <s v="On Demand"/>
    <x v="6"/>
    <x v="3"/>
    <x v="2"/>
    <s v="Pre &amp; Post-Ride Stretch"/>
    <x v="135"/>
    <x v="766"/>
    <m/>
    <m/>
    <m/>
    <m/>
    <m/>
    <m/>
    <n v="27"/>
    <n v="115.5"/>
    <m/>
    <m/>
  </r>
  <r>
    <s v="2022-08-22 22:30 (PST)"/>
    <x v="250"/>
    <x v="57"/>
    <x v="1"/>
    <s v="On Demand"/>
    <x v="25"/>
    <x v="1"/>
    <x v="5"/>
    <s v="Emotions"/>
    <x v="71"/>
    <x v="767"/>
    <m/>
    <m/>
    <m/>
    <m/>
    <m/>
    <m/>
    <m/>
    <m/>
    <m/>
    <m/>
  </r>
  <r>
    <s v="2022-08-29 07:39 (PST)"/>
    <x v="251"/>
    <x v="683"/>
    <x v="1"/>
    <s v="On Demand"/>
    <x v="23"/>
    <x v="2"/>
    <x v="4"/>
    <s v="Focus Flow"/>
    <x v="86"/>
    <x v="768"/>
    <m/>
    <m/>
    <m/>
    <m/>
    <m/>
    <m/>
    <n v="98"/>
    <m/>
    <m/>
    <m/>
  </r>
  <r>
    <s v="2022-08-29 08:12 (PST)"/>
    <x v="251"/>
    <x v="684"/>
    <x v="1"/>
    <s v="On Demand"/>
    <x v="8"/>
    <x v="1"/>
    <x v="2"/>
    <s v="Foam Rolling"/>
    <x v="214"/>
    <x v="583"/>
    <m/>
    <m/>
    <m/>
    <m/>
    <m/>
    <m/>
    <n v="22"/>
    <m/>
    <m/>
    <m/>
  </r>
  <r>
    <s v="2022-08-29 11:36 (PST)"/>
    <x v="251"/>
    <x v="685"/>
    <x v="1"/>
    <s v="On Demand"/>
    <x v="31"/>
    <x v="5"/>
    <x v="6"/>
    <s v="Music Walk"/>
    <x v="258"/>
    <x v="769"/>
    <n v="0"/>
    <m/>
    <m/>
    <m/>
    <n v="3.67"/>
    <n v="1.17"/>
    <n v="122"/>
    <n v="127.16"/>
    <m/>
    <m/>
  </r>
  <r>
    <s v="2022-08-29 11:56 (PST)"/>
    <x v="251"/>
    <x v="0"/>
    <x v="1"/>
    <s v="On Demand"/>
    <x v="44"/>
    <x v="1"/>
    <x v="8"/>
    <s v="Warm Up/Cool Down Run"/>
    <x v="259"/>
    <x v="770"/>
    <n v="0"/>
    <m/>
    <m/>
    <m/>
    <n v="3.83"/>
    <n v="0.59"/>
    <n v="50"/>
    <m/>
    <n v="0"/>
    <d v="1899-12-30T15:40:00"/>
  </r>
  <r>
    <s v="2022-08-29 22:14 (PST)"/>
    <x v="251"/>
    <x v="361"/>
    <x v="1"/>
    <s v="On Demand"/>
    <x v="23"/>
    <x v="1"/>
    <x v="5"/>
    <s v="Sleep"/>
    <x v="39"/>
    <x v="771"/>
    <m/>
    <m/>
    <m/>
    <m/>
    <m/>
    <m/>
    <m/>
    <m/>
    <m/>
    <m/>
  </r>
  <r>
    <s v="2022-09-05 16:51 (-07)"/>
    <x v="252"/>
    <x v="686"/>
    <x v="1"/>
    <s v="On Demand"/>
    <x v="29"/>
    <x v="3"/>
    <x v="0"/>
    <s v="Warm Up"/>
    <x v="22"/>
    <x v="772"/>
    <n v="22"/>
    <n v="75"/>
    <n v="0.28999999999999998"/>
    <n v="96"/>
    <n v="14.34"/>
    <n v="1.19"/>
    <n v="31"/>
    <n v="122.29"/>
    <m/>
    <m/>
  </r>
  <r>
    <s v="2022-09-05 16:56 (-07)"/>
    <x v="252"/>
    <x v="256"/>
    <x v="1"/>
    <s v="On Demand"/>
    <x v="7"/>
    <x v="0"/>
    <x v="0"/>
    <s v="Power Zone"/>
    <x v="260"/>
    <x v="773"/>
    <n v="317"/>
    <n v="117"/>
    <n v="0.4"/>
    <n v="83"/>
    <n v="17.02"/>
    <n v="12.76"/>
    <n v="421"/>
    <n v="150.91999999999999"/>
    <m/>
    <m/>
  </r>
  <r>
    <s v="2022-09-05 17:42 (-07)"/>
    <x v="252"/>
    <x v="687"/>
    <x v="1"/>
    <s v="On Demand"/>
    <x v="45"/>
    <x v="1"/>
    <x v="0"/>
    <s v="Cool Down"/>
    <x v="261"/>
    <x v="262"/>
    <n v="42"/>
    <n v="70"/>
    <n v="0.31"/>
    <n v="85"/>
    <n v="13.94"/>
    <n v="2.3199999999999998"/>
    <n v="70"/>
    <n v="126.45"/>
    <m/>
    <m/>
  </r>
  <r>
    <s v="2022-09-05 17:54 (-07)"/>
    <x v="252"/>
    <x v="674"/>
    <x v="1"/>
    <s v="On Demand"/>
    <x v="35"/>
    <x v="3"/>
    <x v="1"/>
    <s v="Core"/>
    <x v="6"/>
    <x v="774"/>
    <m/>
    <m/>
    <m/>
    <m/>
    <m/>
    <m/>
    <n v="27"/>
    <n v="113.15"/>
    <m/>
    <m/>
  </r>
  <r>
    <s v="2022-09-05 17:59 (-07)"/>
    <x v="252"/>
    <x v="354"/>
    <x v="1"/>
    <s v="On Demand"/>
    <x v="22"/>
    <x v="3"/>
    <x v="2"/>
    <s v="Pre &amp; Post-Ride Stretch"/>
    <x v="8"/>
    <x v="775"/>
    <m/>
    <m/>
    <m/>
    <m/>
    <m/>
    <m/>
    <n v="20"/>
    <n v="101.32"/>
    <m/>
    <m/>
  </r>
  <r>
    <s v="2022-09-05 21:54 (PST)"/>
    <x v="252"/>
    <x v="152"/>
    <x v="1"/>
    <s v="On Demand"/>
    <x v="16"/>
    <x v="3"/>
    <x v="5"/>
    <s v="Mindfulness"/>
    <x v="146"/>
    <x v="776"/>
    <m/>
    <m/>
    <m/>
    <m/>
    <m/>
    <m/>
    <m/>
    <m/>
    <m/>
    <m/>
  </r>
  <r>
    <s v="2022-09-12 07:49 (PST)"/>
    <x v="253"/>
    <x v="95"/>
    <x v="1"/>
    <s v="On Demand"/>
    <x v="28"/>
    <x v="2"/>
    <x v="4"/>
    <s v="Flow"/>
    <x v="41"/>
    <x v="777"/>
    <m/>
    <m/>
    <m/>
    <m/>
    <m/>
    <m/>
    <n v="93"/>
    <m/>
    <m/>
    <m/>
  </r>
  <r>
    <s v="2022-09-12 17:39 (-07)"/>
    <x v="253"/>
    <x v="616"/>
    <x v="1"/>
    <s v="On Demand"/>
    <x v="7"/>
    <x v="0"/>
    <x v="0"/>
    <s v="Power Zone"/>
    <x v="85"/>
    <x v="778"/>
    <n v="307"/>
    <n v="114"/>
    <n v="0.37"/>
    <n v="87"/>
    <n v="16.52"/>
    <n v="12.39"/>
    <n v="462"/>
    <n v="155.54"/>
    <m/>
    <m/>
  </r>
  <r>
    <s v="2022-09-12 18:25 (-07)"/>
    <x v="253"/>
    <x v="688"/>
    <x v="1"/>
    <s v="On Demand"/>
    <x v="7"/>
    <x v="3"/>
    <x v="2"/>
    <s v="Pre &amp; Post-Ride Stretch"/>
    <x v="8"/>
    <x v="779"/>
    <m/>
    <m/>
    <m/>
    <m/>
    <m/>
    <m/>
    <n v="24"/>
    <n v="114.96"/>
    <m/>
    <m/>
  </r>
  <r>
    <s v="2022-09-12 22:31 (PST)"/>
    <x v="253"/>
    <x v="243"/>
    <x v="1"/>
    <s v="On Demand"/>
    <x v="13"/>
    <x v="1"/>
    <x v="5"/>
    <s v="Emotions"/>
    <x v="46"/>
    <x v="780"/>
    <m/>
    <m/>
    <m/>
    <m/>
    <m/>
    <m/>
    <m/>
    <m/>
    <m/>
    <m/>
  </r>
  <r>
    <s v="2022-09-19 07:29 (PST)"/>
    <x v="254"/>
    <x v="104"/>
    <x v="1"/>
    <s v="On Demand"/>
    <x v="16"/>
    <x v="2"/>
    <x v="4"/>
    <s v="Flow"/>
    <x v="262"/>
    <x v="781"/>
    <m/>
    <m/>
    <m/>
    <m/>
    <m/>
    <m/>
    <n v="95"/>
    <m/>
    <m/>
    <m/>
  </r>
  <r>
    <s v="2022-09-26 00:35 (PST)"/>
    <x v="255"/>
    <x v="689"/>
    <x v="1"/>
    <s v="On Demand"/>
    <x v="13"/>
    <x v="1"/>
    <x v="5"/>
    <s v="Fitness Focus"/>
    <x v="164"/>
    <x v="782"/>
    <m/>
    <m/>
    <m/>
    <m/>
    <m/>
    <m/>
    <m/>
    <m/>
    <m/>
    <m/>
  </r>
  <r>
    <s v="2022-09-26 06:47 (-07)"/>
    <x v="255"/>
    <x v="690"/>
    <x v="1"/>
    <s v="On Demand"/>
    <x v="6"/>
    <x v="4"/>
    <x v="0"/>
    <s v="Power Zone"/>
    <x v="23"/>
    <x v="72"/>
    <n v="442"/>
    <n v="123"/>
    <n v="0.4"/>
    <n v="83"/>
    <n v="17.2"/>
    <n v="17.2"/>
    <n v="641"/>
    <n v="138.97"/>
    <m/>
    <m/>
  </r>
  <r>
    <s v="2022-09-26 07:49 (-07)"/>
    <x v="255"/>
    <x v="89"/>
    <x v="1"/>
    <s v="On Demand"/>
    <x v="29"/>
    <x v="1"/>
    <x v="0"/>
    <s v="Cool Down"/>
    <x v="17"/>
    <x v="783"/>
    <n v="31"/>
    <n v="51"/>
    <n v="0.28000000000000003"/>
    <n v="81"/>
    <n v="12.03"/>
    <n v="2"/>
    <n v="73"/>
    <n v="130.36000000000001"/>
    <m/>
    <m/>
  </r>
  <r>
    <s v="2022-09-26 07:59 (-07)"/>
    <x v="255"/>
    <x v="86"/>
    <x v="1"/>
    <s v="On Demand"/>
    <x v="29"/>
    <x v="3"/>
    <x v="2"/>
    <s v="Pre &amp; Post-Ride Stretch"/>
    <x v="8"/>
    <x v="784"/>
    <m/>
    <m/>
    <m/>
    <m/>
    <m/>
    <m/>
    <n v="24"/>
    <n v="109.13"/>
    <m/>
    <m/>
  </r>
  <r>
    <s v="2022-09-26 22:34 (PST)"/>
    <x v="255"/>
    <x v="596"/>
    <x v="1"/>
    <s v="On Demand"/>
    <x v="28"/>
    <x v="3"/>
    <x v="5"/>
    <s v="Emotions"/>
    <x v="54"/>
    <x v="785"/>
    <m/>
    <m/>
    <m/>
    <m/>
    <m/>
    <m/>
    <m/>
    <m/>
    <m/>
    <m/>
  </r>
  <r>
    <s v="2022-10-03 07:50 (PST)"/>
    <x v="256"/>
    <x v="71"/>
    <x v="1"/>
    <s v="On Demand"/>
    <x v="13"/>
    <x v="2"/>
    <x v="4"/>
    <s v="Flow"/>
    <x v="41"/>
    <x v="786"/>
    <m/>
    <m/>
    <m/>
    <m/>
    <m/>
    <m/>
    <n v="95"/>
    <m/>
    <m/>
    <m/>
  </r>
  <r>
    <s v="2022-10-03 16:16 (-07)"/>
    <x v="256"/>
    <x v="490"/>
    <x v="1"/>
    <s v="On Demand"/>
    <x v="6"/>
    <x v="8"/>
    <x v="0"/>
    <s v="Power Zone"/>
    <x v="25"/>
    <x v="787"/>
    <n v="642"/>
    <n v="119"/>
    <n v="0.39"/>
    <n v="86"/>
    <n v="17.350000000000001"/>
    <n v="26.03"/>
    <n v="908"/>
    <n v="154.09"/>
    <m/>
    <m/>
  </r>
  <r>
    <s v="2022-10-03 17:52 (-07)"/>
    <x v="256"/>
    <x v="239"/>
    <x v="1"/>
    <s v="On Demand"/>
    <x v="8"/>
    <x v="1"/>
    <x v="2"/>
    <s v="Pre &amp; Post-Ride Stretch"/>
    <x v="263"/>
    <x v="788"/>
    <m/>
    <m/>
    <m/>
    <m/>
    <m/>
    <m/>
    <n v="38"/>
    <n v="99.49"/>
    <m/>
    <m/>
  </r>
  <r>
    <s v="2022-10-03 22:37 (PST)"/>
    <x v="256"/>
    <x v="247"/>
    <x v="1"/>
    <s v="On Demand"/>
    <x v="23"/>
    <x v="1"/>
    <x v="5"/>
    <s v="Emotions"/>
    <x v="210"/>
    <x v="789"/>
    <m/>
    <m/>
    <m/>
    <m/>
    <m/>
    <m/>
    <m/>
    <m/>
    <m/>
    <m/>
  </r>
  <r>
    <s v="2022-10-10 07:25 (PST)"/>
    <x v="257"/>
    <x v="422"/>
    <x v="1"/>
    <s v="On Demand"/>
    <x v="16"/>
    <x v="2"/>
    <x v="4"/>
    <s v="Flow"/>
    <x v="41"/>
    <x v="790"/>
    <m/>
    <m/>
    <m/>
    <m/>
    <m/>
    <m/>
    <n v="96"/>
    <m/>
    <m/>
    <m/>
  </r>
  <r>
    <s v="2022-10-10 17:21 (-07)"/>
    <x v="257"/>
    <x v="229"/>
    <x v="1"/>
    <s v="On Demand"/>
    <x v="4"/>
    <x v="0"/>
    <x v="0"/>
    <s v="Power Zone"/>
    <x v="27"/>
    <x v="791"/>
    <n v="302"/>
    <n v="112"/>
    <n v="0.38"/>
    <n v="87"/>
    <n v="16.850000000000001"/>
    <n v="12.64"/>
    <n v="482"/>
    <n v="159.86000000000001"/>
    <m/>
    <m/>
  </r>
  <r>
    <s v="2022-10-10 18:07 (-07)"/>
    <x v="257"/>
    <x v="249"/>
    <x v="1"/>
    <s v="On Demand"/>
    <x v="29"/>
    <x v="3"/>
    <x v="0"/>
    <s v="Cool Down"/>
    <x v="10"/>
    <x v="784"/>
    <n v="24"/>
    <n v="79"/>
    <n v="0.35"/>
    <n v="79"/>
    <n v="14.52"/>
    <n v="1.21"/>
    <n v="41"/>
    <n v="139.37"/>
    <m/>
    <m/>
  </r>
  <r>
    <s v="2022-10-10 18:17 (-07)"/>
    <x v="257"/>
    <x v="691"/>
    <x v="1"/>
    <s v="On Demand"/>
    <x v="24"/>
    <x v="1"/>
    <x v="1"/>
    <s v="Core"/>
    <x v="108"/>
    <x v="792"/>
    <m/>
    <m/>
    <m/>
    <m/>
    <m/>
    <m/>
    <n v="45"/>
    <n v="107.1"/>
    <m/>
    <m/>
  </r>
  <r>
    <s v="2022-10-10 22:02 (PST)"/>
    <x v="257"/>
    <x v="399"/>
    <x v="1"/>
    <s v="On Demand"/>
    <x v="19"/>
    <x v="3"/>
    <x v="5"/>
    <s v="Breath"/>
    <x v="264"/>
    <x v="793"/>
    <m/>
    <m/>
    <m/>
    <m/>
    <m/>
    <m/>
    <m/>
    <m/>
    <m/>
    <m/>
  </r>
  <r>
    <s v="2022-10-17 05:48 (-07)"/>
    <x v="258"/>
    <x v="692"/>
    <x v="1"/>
    <s v="On Demand"/>
    <x v="0"/>
    <x v="3"/>
    <x v="0"/>
    <s v="Warm Up"/>
    <x v="22"/>
    <x v="794"/>
    <n v="21"/>
    <n v="72"/>
    <n v="0.3"/>
    <n v="93"/>
    <n v="14.12"/>
    <n v="1.17"/>
    <n v="26"/>
    <n v="92.02"/>
    <m/>
    <m/>
  </r>
  <r>
    <s v="2022-10-17 05:53 (-07)"/>
    <x v="258"/>
    <x v="693"/>
    <x v="1"/>
    <s v="On Demand"/>
    <x v="18"/>
    <x v="3"/>
    <x v="0"/>
    <s v="Warm Up"/>
    <x v="22"/>
    <x v="795"/>
    <n v="24"/>
    <n v="79"/>
    <n v="0.32"/>
    <n v="90"/>
    <n v="14.54"/>
    <n v="1.21"/>
    <n v="29"/>
    <m/>
    <m/>
    <m/>
  </r>
  <r>
    <s v="2022-10-17 06:00 (-07)"/>
    <x v="258"/>
    <x v="694"/>
    <x v="1"/>
    <s v="Live"/>
    <x v="6"/>
    <x v="4"/>
    <x v="0"/>
    <s v="Power Zone"/>
    <x v="7"/>
    <x v="796"/>
    <n v="401"/>
    <n v="111"/>
    <n v="0.39"/>
    <n v="84"/>
    <n v="16.84"/>
    <n v="16.84"/>
    <n v="660"/>
    <n v="163.5"/>
    <m/>
    <m/>
  </r>
  <r>
    <s v="2022-10-17 07:01 (-07)"/>
    <x v="258"/>
    <x v="695"/>
    <x v="1"/>
    <s v="On Demand"/>
    <x v="29"/>
    <x v="3"/>
    <x v="2"/>
    <s v="Pre &amp; Post-Ride Stretch"/>
    <x v="8"/>
    <x v="689"/>
    <m/>
    <m/>
    <m/>
    <m/>
    <m/>
    <m/>
    <n v="11"/>
    <m/>
    <m/>
    <m/>
  </r>
  <r>
    <s v="2022-10-17 21:50 (PST)"/>
    <x v="258"/>
    <x v="634"/>
    <x v="1"/>
    <s v="On Demand"/>
    <x v="16"/>
    <x v="7"/>
    <x v="5"/>
    <s v="Sleep"/>
    <x v="65"/>
    <x v="797"/>
    <m/>
    <m/>
    <m/>
    <m/>
    <m/>
    <m/>
    <m/>
    <m/>
    <m/>
    <m/>
  </r>
  <r>
    <s v="2022-10-24 03:13 (PST)"/>
    <x v="259"/>
    <x v="696"/>
    <x v="1"/>
    <s v="On Demand"/>
    <x v="25"/>
    <x v="3"/>
    <x v="5"/>
    <s v="Relaxation"/>
    <x v="221"/>
    <x v="678"/>
    <m/>
    <m/>
    <m/>
    <m/>
    <m/>
    <m/>
    <m/>
    <m/>
    <m/>
    <m/>
  </r>
  <r>
    <s v="2022-10-24 07:21 (PST)"/>
    <x v="259"/>
    <x v="169"/>
    <x v="1"/>
    <s v="On Demand"/>
    <x v="7"/>
    <x v="0"/>
    <x v="4"/>
    <s v="Power"/>
    <x v="265"/>
    <x v="798"/>
    <m/>
    <m/>
    <m/>
    <m/>
    <m/>
    <m/>
    <n v="138"/>
    <m/>
    <m/>
    <m/>
  </r>
  <r>
    <s v="2022-10-24 10:28 (PST)"/>
    <x v="259"/>
    <x v="697"/>
    <x v="1"/>
    <s v="On Demand"/>
    <x v="40"/>
    <x v="1"/>
    <x v="6"/>
    <s v="Warm Up/Cool Down Walk"/>
    <x v="266"/>
    <x v="799"/>
    <n v="0"/>
    <m/>
    <m/>
    <m/>
    <n v="3.24"/>
    <n v="0.57999999999999996"/>
    <n v="79"/>
    <n v="135.72"/>
    <m/>
    <m/>
  </r>
  <r>
    <s v="2022-10-24 10:38 (PST)"/>
    <x v="259"/>
    <x v="698"/>
    <x v="1"/>
    <s v="On Demand"/>
    <x v="5"/>
    <x v="5"/>
    <x v="6"/>
    <s v="Music Walk"/>
    <x v="267"/>
    <x v="800"/>
    <n v="0"/>
    <m/>
    <m/>
    <m/>
    <n v="3.59"/>
    <n v="1.17"/>
    <n v="128"/>
    <n v="133.72"/>
    <m/>
    <m/>
  </r>
  <r>
    <s v="2022-10-24 17:52 (-07)"/>
    <x v="259"/>
    <x v="239"/>
    <x v="1"/>
    <s v="On Demand"/>
    <x v="7"/>
    <x v="0"/>
    <x v="0"/>
    <s v="Power Zone"/>
    <x v="27"/>
    <x v="801"/>
    <n v="294"/>
    <n v="109"/>
    <n v="0.38"/>
    <n v="85"/>
    <n v="16.62"/>
    <n v="12.46"/>
    <n v="459"/>
    <n v="155.15"/>
    <m/>
    <m/>
  </r>
  <r>
    <s v="2022-10-24 18:44 (-07)"/>
    <x v="259"/>
    <x v="699"/>
    <x v="1"/>
    <s v="On Demand"/>
    <x v="24"/>
    <x v="2"/>
    <x v="1"/>
    <s v="Full Body"/>
    <x v="268"/>
    <x v="802"/>
    <m/>
    <m/>
    <m/>
    <m/>
    <m/>
    <m/>
    <n v="158"/>
    <n v="110.67"/>
    <m/>
    <m/>
  </r>
  <r>
    <s v="2022-10-24 22:35 (PST)"/>
    <x v="259"/>
    <x v="371"/>
    <x v="1"/>
    <s v="On Demand"/>
    <x v="19"/>
    <x v="2"/>
    <x v="5"/>
    <s v="Sleep"/>
    <x v="31"/>
    <x v="803"/>
    <m/>
    <m/>
    <m/>
    <m/>
    <m/>
    <m/>
    <m/>
    <m/>
    <m/>
    <m/>
  </r>
  <r>
    <s v="2022-10-31 20:15 (GMT)"/>
    <x v="260"/>
    <x v="700"/>
    <x v="1"/>
    <s v="On Demand"/>
    <x v="24"/>
    <x v="1"/>
    <x v="1"/>
    <s v="Core"/>
    <x v="108"/>
    <x v="804"/>
    <m/>
    <m/>
    <m/>
    <m/>
    <m/>
    <m/>
    <n v="46"/>
    <m/>
    <m/>
    <m/>
  </r>
  <r>
    <s v="2022-10-31 20:27 (GMT)"/>
    <x v="260"/>
    <x v="701"/>
    <x v="1"/>
    <s v="On Demand"/>
    <x v="23"/>
    <x v="2"/>
    <x v="4"/>
    <s v="Slow Flow"/>
    <x v="50"/>
    <x v="805"/>
    <m/>
    <m/>
    <m/>
    <m/>
    <m/>
    <m/>
    <n v="104"/>
    <m/>
    <m/>
    <m/>
  </r>
  <r>
    <s v="2022-11-14 04:57 (EST)"/>
    <x v="261"/>
    <x v="702"/>
    <x v="1"/>
    <s v="On Demand"/>
    <x v="25"/>
    <x v="7"/>
    <x v="5"/>
    <s v="Relaxation"/>
    <x v="199"/>
    <x v="806"/>
    <m/>
    <m/>
    <m/>
    <m/>
    <m/>
    <m/>
    <m/>
    <m/>
    <m/>
    <m/>
  </r>
  <r>
    <s v="2022-11-14 10:54 (-05)"/>
    <x v="261"/>
    <x v="703"/>
    <x v="1"/>
    <s v="On Demand"/>
    <x v="6"/>
    <x v="2"/>
    <x v="0"/>
    <s v="Power Zone"/>
    <x v="5"/>
    <x v="807"/>
    <n v="165"/>
    <n v="91"/>
    <n v="0.36"/>
    <n v="83"/>
    <n v="15.4"/>
    <n v="7.7"/>
    <n v="358"/>
    <n v="170.06"/>
    <m/>
    <m/>
  </r>
  <r>
    <s v="2022-11-14 11:25 (-05)"/>
    <x v="261"/>
    <x v="303"/>
    <x v="1"/>
    <s v="On Demand"/>
    <x v="6"/>
    <x v="3"/>
    <x v="2"/>
    <s v="Pre &amp; Post-Ride Stretch"/>
    <x v="8"/>
    <x v="295"/>
    <m/>
    <m/>
    <m/>
    <m/>
    <m/>
    <m/>
    <n v="11"/>
    <m/>
    <m/>
    <m/>
  </r>
  <r>
    <s v="2022-11-21 07:44 (PST)"/>
    <x v="262"/>
    <x v="601"/>
    <x v="1"/>
    <s v="On Demand"/>
    <x v="16"/>
    <x v="2"/>
    <x v="4"/>
    <s v="Theme"/>
    <x v="63"/>
    <x v="808"/>
    <m/>
    <m/>
    <m/>
    <m/>
    <m/>
    <m/>
    <n v="81"/>
    <m/>
    <m/>
    <m/>
  </r>
  <r>
    <s v="2022-11-21 15:31 (PST)"/>
    <x v="262"/>
    <x v="704"/>
    <x v="1"/>
    <s v="On Demand"/>
    <x v="15"/>
    <x v="5"/>
    <x v="6"/>
    <s v="Power Walk"/>
    <x v="110"/>
    <x v="809"/>
    <n v="0"/>
    <m/>
    <m/>
    <m/>
    <n v="3.39"/>
    <n v="1.1200000000000001"/>
    <n v="73"/>
    <m/>
    <m/>
    <m/>
  </r>
  <r>
    <s v="2022-11-21 15:51 (PST)"/>
    <x v="262"/>
    <x v="705"/>
    <x v="1"/>
    <s v="On Demand"/>
    <x v="37"/>
    <x v="1"/>
    <x v="6"/>
    <s v="Warm Up/Cool Down Walk"/>
    <x v="269"/>
    <x v="810"/>
    <n v="0"/>
    <m/>
    <m/>
    <m/>
    <n v="3.26"/>
    <n v="0.53"/>
    <n v="37"/>
    <m/>
    <m/>
    <m/>
  </r>
  <r>
    <s v="2022-11-21 22:15 (PST)"/>
    <x v="262"/>
    <x v="593"/>
    <x v="1"/>
    <s v="On Demand"/>
    <x v="28"/>
    <x v="7"/>
    <x v="5"/>
    <s v="Sleep"/>
    <x v="65"/>
    <x v="811"/>
    <m/>
    <m/>
    <m/>
    <m/>
    <m/>
    <m/>
    <m/>
    <m/>
    <m/>
    <m/>
  </r>
  <r>
    <s v="2022-11-28 22:12 (PST)"/>
    <x v="263"/>
    <x v="233"/>
    <x v="1"/>
    <s v="On Demand"/>
    <x v="19"/>
    <x v="1"/>
    <x v="5"/>
    <s v="Emotions"/>
    <x v="147"/>
    <x v="812"/>
    <m/>
    <m/>
    <m/>
    <m/>
    <m/>
    <m/>
    <m/>
    <m/>
    <m/>
    <m/>
  </r>
  <r>
    <s v="2022-12-05 07:23 (PST)"/>
    <x v="264"/>
    <x v="228"/>
    <x v="1"/>
    <s v="On Demand"/>
    <x v="7"/>
    <x v="2"/>
    <x v="4"/>
    <s v="Flow"/>
    <x v="41"/>
    <x v="813"/>
    <m/>
    <m/>
    <m/>
    <m/>
    <m/>
    <m/>
    <n v="87"/>
    <m/>
    <m/>
    <m/>
  </r>
  <r>
    <s v="2022-12-05 15:49 (-08)"/>
    <x v="264"/>
    <x v="179"/>
    <x v="1"/>
    <s v="On Demand"/>
    <x v="31"/>
    <x v="1"/>
    <x v="1"/>
    <s v="Core"/>
    <x v="1"/>
    <x v="814"/>
    <m/>
    <m/>
    <m/>
    <m/>
    <m/>
    <m/>
    <n v="61"/>
    <n v="118.58"/>
    <m/>
    <m/>
  </r>
  <r>
    <s v="2022-12-05 16:06 (-08)"/>
    <x v="264"/>
    <x v="706"/>
    <x v="1"/>
    <s v="On Demand"/>
    <x v="6"/>
    <x v="4"/>
    <x v="0"/>
    <s v="Power Zone"/>
    <x v="7"/>
    <x v="815"/>
    <n v="357"/>
    <n v="99"/>
    <n v="0.37"/>
    <n v="84"/>
    <n v="16.07"/>
    <n v="16.07"/>
    <n v="673"/>
    <n v="164.1"/>
    <m/>
    <m/>
  </r>
  <r>
    <s v="2022-12-05 17:08 (-08)"/>
    <x v="264"/>
    <x v="707"/>
    <x v="1"/>
    <s v="On Demand"/>
    <x v="15"/>
    <x v="1"/>
    <x v="0"/>
    <s v="Low Impact"/>
    <x v="270"/>
    <x v="816"/>
    <n v="31"/>
    <n v="52"/>
    <n v="0.28000000000000003"/>
    <n v="81"/>
    <n v="12.19"/>
    <n v="2.0299999999999998"/>
    <n v="76"/>
    <n v="132.15"/>
    <m/>
    <m/>
  </r>
  <r>
    <s v="2022-12-12 09:08 (-05)"/>
    <x v="265"/>
    <x v="708"/>
    <x v="1"/>
    <s v="On Demand"/>
    <x v="29"/>
    <x v="3"/>
    <x v="0"/>
    <s v="Warm Up"/>
    <x v="22"/>
    <x v="817"/>
    <n v="22"/>
    <n v="73"/>
    <n v="0.3"/>
    <n v="90"/>
    <n v="14.18"/>
    <n v="1.18"/>
    <n v="39"/>
    <n v="137.63"/>
    <m/>
    <m/>
  </r>
  <r>
    <s v="2022-12-12 09:15 (-05)"/>
    <x v="265"/>
    <x v="709"/>
    <x v="1"/>
    <s v="On Demand"/>
    <x v="6"/>
    <x v="0"/>
    <x v="0"/>
    <s v="Power Zone"/>
    <x v="195"/>
    <x v="818"/>
    <n v="214"/>
    <n v="79"/>
    <n v="0.3"/>
    <n v="85"/>
    <n v="13.58"/>
    <n v="10.18"/>
    <n v="462"/>
    <n v="154.78"/>
    <m/>
    <m/>
  </r>
  <r>
    <s v="2022-12-12 10:01 (-05)"/>
    <x v="265"/>
    <x v="710"/>
    <x v="1"/>
    <s v="On Demand"/>
    <x v="29"/>
    <x v="1"/>
    <x v="0"/>
    <s v="Cool Down"/>
    <x v="17"/>
    <x v="817"/>
    <n v="23"/>
    <n v="38"/>
    <n v="0.24"/>
    <n v="79"/>
    <n v="10.4"/>
    <n v="1.73"/>
    <n v="77"/>
    <n v="132.47999999999999"/>
    <m/>
    <m/>
  </r>
  <r>
    <s v="2022-12-12 10:13 (-05)"/>
    <x v="265"/>
    <x v="711"/>
    <x v="1"/>
    <s v="On Demand"/>
    <x v="4"/>
    <x v="3"/>
    <x v="2"/>
    <s v="Pre &amp; Post-Ride Stretch"/>
    <x v="8"/>
    <x v="819"/>
    <m/>
    <m/>
    <m/>
    <m/>
    <m/>
    <m/>
    <n v="19"/>
    <n v="109.24"/>
    <m/>
    <m/>
  </r>
  <r>
    <s v="2022-12-12 15:00 (EST)"/>
    <x v="265"/>
    <x v="712"/>
    <x v="1"/>
    <s v="On Demand"/>
    <x v="13"/>
    <x v="2"/>
    <x v="4"/>
    <s v="Slow Flow"/>
    <x v="50"/>
    <x v="820"/>
    <m/>
    <m/>
    <m/>
    <m/>
    <m/>
    <m/>
    <n v="94"/>
    <n v="88.51"/>
    <m/>
    <m/>
  </r>
  <r>
    <s v="2022-12-12 22:40 (EST)"/>
    <x v="265"/>
    <x v="713"/>
    <x v="1"/>
    <s v="On Demand"/>
    <x v="28"/>
    <x v="1"/>
    <x v="5"/>
    <s v="Relaxation"/>
    <x v="34"/>
    <x v="821"/>
    <m/>
    <m/>
    <m/>
    <m/>
    <m/>
    <m/>
    <m/>
    <m/>
    <m/>
    <m/>
  </r>
  <r>
    <s v="2022-12-19 09:13 (-05)"/>
    <x v="266"/>
    <x v="714"/>
    <x v="1"/>
    <s v="On Demand"/>
    <x v="10"/>
    <x v="3"/>
    <x v="0"/>
    <s v="Warm Up"/>
    <x v="22"/>
    <x v="822"/>
    <n v="23"/>
    <n v="77"/>
    <n v="0.3"/>
    <n v="95"/>
    <n v="14.34"/>
    <n v="1.2"/>
    <n v="40"/>
    <n v="143.19"/>
    <m/>
    <m/>
  </r>
  <r>
    <s v="2022-12-19 09:22 (-05)"/>
    <x v="266"/>
    <x v="715"/>
    <x v="1"/>
    <s v="On Demand"/>
    <x v="7"/>
    <x v="0"/>
    <x v="0"/>
    <s v="Power Zone"/>
    <x v="85"/>
    <x v="823"/>
    <n v="227"/>
    <n v="84"/>
    <n v="0.33"/>
    <n v="84"/>
    <n v="14.69"/>
    <n v="11.02"/>
    <n v="475"/>
    <n v="157.34"/>
    <m/>
    <m/>
  </r>
  <r>
    <s v="2022-12-19 10:08 (-05)"/>
    <x v="266"/>
    <x v="283"/>
    <x v="1"/>
    <s v="On Demand"/>
    <x v="18"/>
    <x v="3"/>
    <x v="0"/>
    <s v="Cool Down"/>
    <x v="10"/>
    <x v="824"/>
    <n v="11"/>
    <n v="35"/>
    <n v="0.24"/>
    <n v="80"/>
    <n v="10.1"/>
    <n v="0.84"/>
    <n v="23"/>
    <n v="126.18"/>
    <m/>
    <m/>
  </r>
  <r>
    <s v="2022-12-19 10:15 (-05)"/>
    <x v="266"/>
    <x v="716"/>
    <x v="1"/>
    <s v="On Demand"/>
    <x v="12"/>
    <x v="1"/>
    <x v="1"/>
    <s v="Arms &amp; Light Weights"/>
    <x v="28"/>
    <x v="825"/>
    <m/>
    <m/>
    <m/>
    <m/>
    <m/>
    <m/>
    <n v="57"/>
    <n v="115.37"/>
    <m/>
    <m/>
  </r>
  <r>
    <s v="2022-12-19 10:32 (EST)"/>
    <x v="266"/>
    <x v="717"/>
    <x v="1"/>
    <s v="On Demand"/>
    <x v="24"/>
    <x v="1"/>
    <x v="1"/>
    <s v="Core"/>
    <x v="108"/>
    <x v="826"/>
    <m/>
    <m/>
    <m/>
    <m/>
    <m/>
    <m/>
    <n v="36"/>
    <n v="95.58"/>
    <m/>
    <m/>
  </r>
  <r>
    <s v="2022-12-26 11:01 (-08)"/>
    <x v="267"/>
    <x v="718"/>
    <x v="1"/>
    <s v="On Demand"/>
    <x v="6"/>
    <x v="0"/>
    <x v="0"/>
    <s v="Power Zone"/>
    <x v="195"/>
    <x v="827"/>
    <n v="292"/>
    <n v="108"/>
    <n v="0.35"/>
    <n v="87"/>
    <n v="16"/>
    <n v="12"/>
    <n v="488"/>
    <n v="159.84"/>
    <m/>
    <m/>
  </r>
  <r>
    <s v="2022-12-26 11:48 (-08)"/>
    <x v="267"/>
    <x v="289"/>
    <x v="1"/>
    <s v="On Demand"/>
    <x v="6"/>
    <x v="1"/>
    <x v="0"/>
    <s v="Low Impact"/>
    <x v="192"/>
    <x v="828"/>
    <n v="25"/>
    <n v="42"/>
    <n v="0.26"/>
    <n v="81"/>
    <n v="10.96"/>
    <n v="1.82"/>
    <n v="68"/>
    <n v="123.26"/>
    <m/>
    <m/>
  </r>
  <r>
    <s v="2022-12-26 12:06 (-08)"/>
    <x v="267"/>
    <x v="167"/>
    <x v="1"/>
    <s v="On Demand"/>
    <x v="31"/>
    <x v="1"/>
    <x v="1"/>
    <s v="Core"/>
    <x v="1"/>
    <x v="829"/>
    <m/>
    <m/>
    <m/>
    <m/>
    <m/>
    <m/>
    <n v="47"/>
    <m/>
    <m/>
    <m/>
  </r>
  <r>
    <s v="2022-12-26 22:58 (PST)"/>
    <x v="267"/>
    <x v="84"/>
    <x v="1"/>
    <s v="On Demand"/>
    <x v="25"/>
    <x v="1"/>
    <x v="5"/>
    <s v="Relaxation"/>
    <x v="81"/>
    <x v="830"/>
    <m/>
    <m/>
    <m/>
    <m/>
    <m/>
    <m/>
    <m/>
    <m/>
    <m/>
    <m/>
  </r>
  <r>
    <s v="2023-01-02 10:45 (PST)"/>
    <x v="268"/>
    <x v="719"/>
    <x v="1"/>
    <s v="On Demand"/>
    <x v="13"/>
    <x v="0"/>
    <x v="4"/>
    <s v="Flow"/>
    <x v="14"/>
    <x v="831"/>
    <m/>
    <m/>
    <m/>
    <m/>
    <m/>
    <m/>
    <n v="145"/>
    <m/>
    <m/>
    <m/>
  </r>
  <r>
    <s v="2023-01-02 12:57 (-08)"/>
    <x v="268"/>
    <x v="720"/>
    <x v="1"/>
    <s v="On Demand"/>
    <x v="46"/>
    <x v="0"/>
    <x v="9"/>
    <s v="Body Focus"/>
    <x v="271"/>
    <x v="832"/>
    <n v="108"/>
    <m/>
    <m/>
    <m/>
    <n v="2.99"/>
    <n v="2.35"/>
    <n v="302"/>
    <n v="127.55"/>
    <m/>
    <m/>
  </r>
  <r>
    <s v="2023-01-02 13:48 (-08)"/>
    <x v="268"/>
    <x v="721"/>
    <x v="1"/>
    <s v="On Demand"/>
    <x v="20"/>
    <x v="5"/>
    <x v="1"/>
    <s v="Core"/>
    <x v="272"/>
    <x v="305"/>
    <m/>
    <m/>
    <m/>
    <m/>
    <m/>
    <m/>
    <n v="82"/>
    <n v="97.22"/>
    <m/>
    <m/>
  </r>
  <r>
    <s v="2023-01-02 22:30 (PST)"/>
    <x v="268"/>
    <x v="57"/>
    <x v="1"/>
    <s v="On Demand"/>
    <x v="25"/>
    <x v="3"/>
    <x v="5"/>
    <s v="Emotions"/>
    <x v="54"/>
    <x v="833"/>
    <m/>
    <m/>
    <m/>
    <m/>
    <m/>
    <m/>
    <m/>
    <m/>
    <m/>
    <m/>
  </r>
  <r>
    <s v="2023-01-09 03:50 (PST)"/>
    <x v="269"/>
    <x v="722"/>
    <x v="1"/>
    <s v="On Demand"/>
    <x v="23"/>
    <x v="3"/>
    <x v="5"/>
    <s v="Sleep"/>
    <x v="58"/>
    <x v="834"/>
    <m/>
    <m/>
    <m/>
    <m/>
    <m/>
    <m/>
    <m/>
    <m/>
    <m/>
    <m/>
  </r>
  <r>
    <s v="2023-01-09 10:45 (PST)"/>
    <x v="269"/>
    <x v="719"/>
    <x v="1"/>
    <s v="On Demand"/>
    <x v="23"/>
    <x v="2"/>
    <x v="4"/>
    <s v="Flow"/>
    <x v="150"/>
    <x v="835"/>
    <m/>
    <m/>
    <m/>
    <m/>
    <m/>
    <m/>
    <n v="99"/>
    <m/>
    <m/>
    <m/>
  </r>
  <r>
    <s v="2023-01-09 11:59 (PST)"/>
    <x v="269"/>
    <x v="723"/>
    <x v="1"/>
    <s v="On Demand"/>
    <x v="2"/>
    <x v="1"/>
    <x v="6"/>
    <s v="Warm Up/Cool Down Walk"/>
    <x v="266"/>
    <x v="307"/>
    <n v="0"/>
    <m/>
    <m/>
    <m/>
    <n v="0"/>
    <n v="0"/>
    <n v="0"/>
    <m/>
    <m/>
    <m/>
  </r>
  <r>
    <s v="2023-01-09 12:09 (PST)"/>
    <x v="269"/>
    <x v="724"/>
    <x v="1"/>
    <s v="On Demand"/>
    <x v="15"/>
    <x v="7"/>
    <x v="6"/>
    <s v="Music Walk"/>
    <x v="273"/>
    <x v="307"/>
    <n v="0"/>
    <m/>
    <m/>
    <m/>
    <n v="3.32"/>
    <n v="0.85"/>
    <n v="56"/>
    <m/>
    <m/>
    <m/>
  </r>
  <r>
    <s v="2023-01-09 12:24 (PST)"/>
    <x v="269"/>
    <x v="222"/>
    <x v="1"/>
    <s v="On Demand"/>
    <x v="3"/>
    <x v="1"/>
    <x v="6"/>
    <s v="Warm Up/Cool Down Walk"/>
    <x v="269"/>
    <x v="836"/>
    <n v="0"/>
    <m/>
    <m/>
    <m/>
    <n v="3.31"/>
    <n v="0.57999999999999996"/>
    <n v="38"/>
    <m/>
    <m/>
    <m/>
  </r>
  <r>
    <s v="2023-01-09 17:20 (-08)"/>
    <x v="269"/>
    <x v="575"/>
    <x v="1"/>
    <s v="On Demand"/>
    <x v="7"/>
    <x v="2"/>
    <x v="0"/>
    <s v="Power Zone"/>
    <x v="274"/>
    <x v="837"/>
    <n v="171"/>
    <n v="95"/>
    <n v="0.36"/>
    <n v="84"/>
    <n v="15.71"/>
    <n v="7.86"/>
    <n v="292"/>
    <n v="150.16999999999999"/>
    <m/>
    <m/>
  </r>
  <r>
    <s v="2023-01-09 17:54 (-08)"/>
    <x v="269"/>
    <x v="725"/>
    <x v="1"/>
    <s v="On Demand"/>
    <x v="11"/>
    <x v="2"/>
    <x v="1"/>
    <s v="Full Body"/>
    <x v="275"/>
    <x v="838"/>
    <m/>
    <m/>
    <m/>
    <m/>
    <m/>
    <m/>
    <n v="231"/>
    <n v="132.94"/>
    <m/>
    <m/>
  </r>
  <r>
    <s v="2023-01-09 18:26 (-08)"/>
    <x v="269"/>
    <x v="726"/>
    <x v="1"/>
    <s v="On Demand"/>
    <x v="26"/>
    <x v="3"/>
    <x v="2"/>
    <s v="Full Body Stretch"/>
    <x v="213"/>
    <x v="839"/>
    <m/>
    <m/>
    <m/>
    <m/>
    <m/>
    <m/>
    <n v="12"/>
    <m/>
    <m/>
    <m/>
  </r>
  <r>
    <s v="2023-01-09 21:13 (PST)"/>
    <x v="269"/>
    <x v="338"/>
    <x v="1"/>
    <s v="On Demand"/>
    <x v="23"/>
    <x v="1"/>
    <x v="5"/>
    <s v="Emotions"/>
    <x v="109"/>
    <x v="840"/>
    <m/>
    <m/>
    <m/>
    <m/>
    <m/>
    <m/>
    <m/>
    <m/>
    <m/>
    <m/>
  </r>
  <r>
    <s v="2023-01-16 11:33 (PST)"/>
    <x v="270"/>
    <x v="595"/>
    <x v="1"/>
    <s v="On Demand"/>
    <x v="16"/>
    <x v="4"/>
    <x v="4"/>
    <s v="Flow"/>
    <x v="24"/>
    <x v="841"/>
    <m/>
    <m/>
    <m/>
    <m/>
    <m/>
    <m/>
    <n v="181"/>
    <m/>
    <m/>
    <m/>
  </r>
  <r>
    <s v="2023-01-16 22:35 (PST)"/>
    <x v="270"/>
    <x v="371"/>
    <x v="1"/>
    <s v="On Demand"/>
    <x v="28"/>
    <x v="1"/>
    <x v="5"/>
    <s v="Sleep"/>
    <x v="39"/>
    <x v="842"/>
    <m/>
    <m/>
    <m/>
    <m/>
    <m/>
    <m/>
    <m/>
    <m/>
    <m/>
    <m/>
  </r>
  <r>
    <s v="2023-01-23 14:44 (PST)"/>
    <x v="271"/>
    <x v="727"/>
    <x v="1"/>
    <s v="On Demand"/>
    <x v="43"/>
    <x v="2"/>
    <x v="6"/>
    <s v="Music Walk"/>
    <x v="276"/>
    <x v="843"/>
    <n v="0"/>
    <m/>
    <m/>
    <m/>
    <n v="2.92"/>
    <n v="1.46"/>
    <n v="201"/>
    <n v="125.87"/>
    <m/>
    <m/>
  </r>
  <r>
    <s v="2023-01-23 15:15 (PST)"/>
    <x v="271"/>
    <x v="728"/>
    <x v="1"/>
    <m/>
    <x v="34"/>
    <x v="13"/>
    <x v="6"/>
    <m/>
    <x v="277"/>
    <x v="231"/>
    <n v="0"/>
    <m/>
    <m/>
    <m/>
    <n v="3.03"/>
    <n v="0.18"/>
    <n v="18"/>
    <m/>
    <m/>
    <m/>
  </r>
  <r>
    <s v="2023-01-23 16:26 (-08)"/>
    <x v="271"/>
    <x v="729"/>
    <x v="1"/>
    <s v="On Demand"/>
    <x v="21"/>
    <x v="2"/>
    <x v="1"/>
    <s v="Full Body"/>
    <x v="125"/>
    <x v="844"/>
    <m/>
    <m/>
    <m/>
    <m/>
    <m/>
    <m/>
    <n v="164"/>
    <n v="113.62"/>
    <m/>
    <m/>
  </r>
  <r>
    <s v="2023-01-23 17:03 (PST)"/>
    <x v="271"/>
    <x v="730"/>
    <x v="1"/>
    <s v="On Demand"/>
    <x v="31"/>
    <x v="1"/>
    <x v="1"/>
    <s v="Core"/>
    <x v="1"/>
    <x v="845"/>
    <m/>
    <m/>
    <m/>
    <m/>
    <m/>
    <m/>
    <n v="45"/>
    <m/>
    <m/>
    <m/>
  </r>
  <r>
    <s v="2023-01-30 00:33 (EST)"/>
    <x v="272"/>
    <x v="731"/>
    <x v="1"/>
    <s v="On Demand"/>
    <x v="23"/>
    <x v="1"/>
    <x v="5"/>
    <s v="Emotions"/>
    <x v="147"/>
    <x v="846"/>
    <m/>
    <m/>
    <m/>
    <m/>
    <m/>
    <m/>
    <m/>
    <m/>
    <m/>
    <m/>
  </r>
  <r>
    <s v="2023-01-30 23:01 (EST)"/>
    <x v="272"/>
    <x v="732"/>
    <x v="1"/>
    <s v="On Demand"/>
    <x v="19"/>
    <x v="2"/>
    <x v="5"/>
    <s v="Sleep"/>
    <x v="31"/>
    <x v="847"/>
    <m/>
    <m/>
    <m/>
    <m/>
    <m/>
    <m/>
    <m/>
    <m/>
    <m/>
    <m/>
  </r>
  <r>
    <s v="2023-02-06 10:00 (-05)"/>
    <x v="273"/>
    <x v="733"/>
    <x v="1"/>
    <s v="On Demand"/>
    <x v="11"/>
    <x v="2"/>
    <x v="1"/>
    <s v="Full Body"/>
    <x v="125"/>
    <x v="848"/>
    <m/>
    <m/>
    <m/>
    <m/>
    <m/>
    <m/>
    <n v="215"/>
    <n v="128.5"/>
    <m/>
    <m/>
  </r>
  <r>
    <s v="2023-02-06 10:34 (-05)"/>
    <x v="273"/>
    <x v="734"/>
    <x v="1"/>
    <s v="On Demand"/>
    <x v="20"/>
    <x v="1"/>
    <x v="2"/>
    <s v="Upper Body Stretch"/>
    <x v="248"/>
    <x v="849"/>
    <m/>
    <m/>
    <m/>
    <m/>
    <m/>
    <m/>
    <n v="26"/>
    <n v="87.18"/>
    <m/>
    <m/>
  </r>
  <r>
    <s v="2023-02-06 23:31 (EST)"/>
    <x v="273"/>
    <x v="735"/>
    <x v="1"/>
    <s v="On Demand"/>
    <x v="19"/>
    <x v="1"/>
    <x v="5"/>
    <s v="Emotions"/>
    <x v="109"/>
    <x v="850"/>
    <m/>
    <m/>
    <m/>
    <m/>
    <m/>
    <m/>
    <m/>
    <m/>
    <m/>
    <m/>
  </r>
  <r>
    <s v="2023-02-13 15:39 (PST)"/>
    <x v="274"/>
    <x v="736"/>
    <x v="1"/>
    <s v="On Demand"/>
    <x v="8"/>
    <x v="7"/>
    <x v="2"/>
    <s v="Foam Rolling"/>
    <x v="240"/>
    <x v="709"/>
    <m/>
    <m/>
    <m/>
    <m/>
    <m/>
    <m/>
    <n v="33"/>
    <m/>
    <m/>
    <m/>
  </r>
  <r>
    <s v="2023-02-13 22:15 (PST)"/>
    <x v="274"/>
    <x v="593"/>
    <x v="1"/>
    <s v="On Demand"/>
    <x v="25"/>
    <x v="1"/>
    <x v="5"/>
    <s v="Relaxation"/>
    <x v="71"/>
    <x v="851"/>
    <m/>
    <m/>
    <m/>
    <m/>
    <m/>
    <m/>
    <m/>
    <m/>
    <m/>
    <m/>
  </r>
  <r>
    <s v="2023-02-13 22:25 (PST)"/>
    <x v="274"/>
    <x v="124"/>
    <x v="1"/>
    <s v="On Demand"/>
    <x v="13"/>
    <x v="3"/>
    <x v="5"/>
    <s v="Mindfulness"/>
    <x v="146"/>
    <x v="852"/>
    <m/>
    <m/>
    <m/>
    <m/>
    <m/>
    <m/>
    <m/>
    <m/>
    <m/>
    <m/>
  </r>
  <r>
    <s v="2023-02-20 11:42 (-08)"/>
    <x v="275"/>
    <x v="737"/>
    <x v="1"/>
    <s v="On Demand"/>
    <x v="6"/>
    <x v="4"/>
    <x v="0"/>
    <s v="Power Zone"/>
    <x v="23"/>
    <x v="853"/>
    <n v="366"/>
    <n v="102"/>
    <n v="0.36"/>
    <n v="85"/>
    <n v="16.010000000000002"/>
    <n v="16.010000000000002"/>
    <n v="634"/>
    <n v="157.49"/>
    <m/>
    <m/>
  </r>
  <r>
    <s v="2023-02-20 12:43 (-08)"/>
    <x v="275"/>
    <x v="738"/>
    <x v="1"/>
    <s v="On Demand"/>
    <x v="29"/>
    <x v="3"/>
    <x v="0"/>
    <s v="Cool Down"/>
    <x v="10"/>
    <x v="326"/>
    <n v="13"/>
    <n v="44"/>
    <n v="0.26"/>
    <n v="80"/>
    <n v="11.21"/>
    <n v="0.93"/>
    <n v="30"/>
    <n v="103.13"/>
    <m/>
    <m/>
  </r>
  <r>
    <s v="2023-02-20 12:49 (-08)"/>
    <x v="275"/>
    <x v="739"/>
    <x v="1"/>
    <s v="On Demand"/>
    <x v="29"/>
    <x v="3"/>
    <x v="2"/>
    <s v="Pre &amp; Post-Ride Stretch"/>
    <x v="8"/>
    <x v="326"/>
    <m/>
    <m/>
    <m/>
    <m/>
    <m/>
    <m/>
    <n v="24"/>
    <n v="110"/>
    <m/>
    <m/>
  </r>
  <r>
    <s v="2023-02-20 22:21 (PST)"/>
    <x v="275"/>
    <x v="740"/>
    <x v="1"/>
    <s v="On Demand"/>
    <x v="23"/>
    <x v="1"/>
    <x v="5"/>
    <s v="Relaxation"/>
    <x v="71"/>
    <x v="854"/>
    <m/>
    <m/>
    <m/>
    <m/>
    <m/>
    <m/>
    <m/>
    <m/>
    <m/>
    <m/>
  </r>
  <r>
    <s v="2023-02-27 12:53 (PST)"/>
    <x v="276"/>
    <x v="741"/>
    <x v="1"/>
    <m/>
    <x v="34"/>
    <x v="9"/>
    <x v="6"/>
    <m/>
    <x v="278"/>
    <x v="231"/>
    <n v="0"/>
    <m/>
    <m/>
    <m/>
    <n v="2.81"/>
    <n v="1.92"/>
    <n v="229"/>
    <n v="122.29"/>
    <m/>
    <m/>
  </r>
  <r>
    <s v="2023-02-27 13:53 (-08)"/>
    <x v="276"/>
    <x v="742"/>
    <x v="1"/>
    <s v="On Demand"/>
    <x v="24"/>
    <x v="1"/>
    <x v="1"/>
    <s v="Core"/>
    <x v="108"/>
    <x v="855"/>
    <m/>
    <m/>
    <m/>
    <m/>
    <m/>
    <m/>
    <n v="41"/>
    <n v="99.19"/>
    <m/>
    <m/>
  </r>
  <r>
    <s v="2023-02-27 14:05 (-08)"/>
    <x v="276"/>
    <x v="743"/>
    <x v="1"/>
    <s v="On Demand"/>
    <x v="6"/>
    <x v="4"/>
    <x v="0"/>
    <s v="Power Zone"/>
    <x v="23"/>
    <x v="856"/>
    <n v="386"/>
    <n v="107"/>
    <n v="0.37"/>
    <n v="84"/>
    <n v="16.329999999999998"/>
    <n v="16.34"/>
    <n v="586"/>
    <n v="150.13999999999999"/>
    <m/>
    <m/>
  </r>
  <r>
    <s v="2023-02-27 15:07 (-08)"/>
    <x v="276"/>
    <x v="744"/>
    <x v="1"/>
    <s v="On Demand"/>
    <x v="0"/>
    <x v="3"/>
    <x v="0"/>
    <s v="Cool Down"/>
    <x v="10"/>
    <x v="857"/>
    <n v="18"/>
    <n v="59"/>
    <n v="0.31"/>
    <n v="80"/>
    <n v="12.84"/>
    <n v="1.07"/>
    <n v="33"/>
    <n v="114.49"/>
    <m/>
    <m/>
  </r>
  <r>
    <s v="2023-02-27 23:02 (PST)"/>
    <x v="276"/>
    <x v="745"/>
    <x v="1"/>
    <s v="On Demand"/>
    <x v="25"/>
    <x v="1"/>
    <x v="5"/>
    <s v="Breath"/>
    <x v="154"/>
    <x v="858"/>
    <m/>
    <m/>
    <m/>
    <m/>
    <m/>
    <m/>
    <m/>
    <m/>
    <m/>
    <m/>
  </r>
  <r>
    <s v="2023-03-06 10:25 (-08)"/>
    <x v="277"/>
    <x v="746"/>
    <x v="1"/>
    <s v="On Demand"/>
    <x v="31"/>
    <x v="7"/>
    <x v="1"/>
    <s v="Core"/>
    <x v="126"/>
    <x v="330"/>
    <m/>
    <m/>
    <m/>
    <m/>
    <m/>
    <m/>
    <n v="62"/>
    <n v="100.71"/>
    <m/>
    <m/>
  </r>
  <r>
    <s v="2023-03-06 10:43 (-08)"/>
    <x v="277"/>
    <x v="747"/>
    <x v="1"/>
    <s v="On Demand"/>
    <x v="7"/>
    <x v="0"/>
    <x v="0"/>
    <s v="Power Zone"/>
    <x v="27"/>
    <x v="859"/>
    <n v="261"/>
    <n v="97"/>
    <n v="0.36"/>
    <n v="84"/>
    <n v="15.85"/>
    <n v="11.89"/>
    <n v="426"/>
    <n v="147.80000000000001"/>
    <m/>
    <m/>
  </r>
  <r>
    <s v="2023-03-06 11:30 (-08)"/>
    <x v="277"/>
    <x v="748"/>
    <x v="1"/>
    <s v="On Demand"/>
    <x v="29"/>
    <x v="1"/>
    <x v="1"/>
    <s v="Arms &amp; Light Weights"/>
    <x v="28"/>
    <x v="860"/>
    <m/>
    <m/>
    <m/>
    <m/>
    <m/>
    <m/>
    <n v="58"/>
    <n v="115.17"/>
    <m/>
    <m/>
  </r>
  <r>
    <s v="2023-03-06 22:22 (PST)"/>
    <x v="277"/>
    <x v="493"/>
    <x v="1"/>
    <s v="On Demand"/>
    <x v="28"/>
    <x v="1"/>
    <x v="5"/>
    <s v="Emotions"/>
    <x v="210"/>
    <x v="861"/>
    <m/>
    <m/>
    <m/>
    <m/>
    <m/>
    <m/>
    <m/>
    <m/>
    <m/>
    <m/>
  </r>
  <r>
    <s v="2023-03-13 07:20 (PST)"/>
    <x v="278"/>
    <x v="507"/>
    <x v="1"/>
    <s v="On Demand"/>
    <x v="23"/>
    <x v="2"/>
    <x v="4"/>
    <s v="Focus Flow"/>
    <x v="279"/>
    <x v="862"/>
    <m/>
    <m/>
    <m/>
    <m/>
    <m/>
    <m/>
    <n v="93"/>
    <m/>
    <m/>
    <m/>
  </r>
  <r>
    <s v="2023-03-13 15:34 (-07)"/>
    <x v="278"/>
    <x v="749"/>
    <x v="1"/>
    <s v="On Demand"/>
    <x v="31"/>
    <x v="5"/>
    <x v="1"/>
    <s v="Core"/>
    <x v="115"/>
    <x v="338"/>
    <m/>
    <m/>
    <m/>
    <m/>
    <m/>
    <m/>
    <n v="90"/>
    <n v="102.04"/>
    <m/>
    <m/>
  </r>
  <r>
    <s v="2023-03-13 15:58 (-07)"/>
    <x v="278"/>
    <x v="625"/>
    <x v="1"/>
    <s v="On Demand"/>
    <x v="6"/>
    <x v="0"/>
    <x v="0"/>
    <s v="Power Zone"/>
    <x v="27"/>
    <x v="863"/>
    <n v="268"/>
    <n v="99"/>
    <n v="0.37"/>
    <n v="84"/>
    <n v="16.079999999999998"/>
    <n v="12.06"/>
    <n v="392"/>
    <n v="141.24"/>
    <m/>
    <m/>
  </r>
  <r>
    <s v="2023-03-13 16:43 (-07)"/>
    <x v="278"/>
    <x v="750"/>
    <x v="1"/>
    <s v="On Demand"/>
    <x v="10"/>
    <x v="2"/>
    <x v="0"/>
    <s v="Power Zone"/>
    <x v="274"/>
    <x v="864"/>
    <n v="182"/>
    <n v="101"/>
    <n v="0.38"/>
    <n v="81"/>
    <n v="16.25"/>
    <n v="8.1300000000000008"/>
    <n v="255"/>
    <n v="139.27000000000001"/>
    <m/>
    <m/>
  </r>
  <r>
    <s v="2023-03-13 17:15 (-07)"/>
    <x v="278"/>
    <x v="248"/>
    <x v="1"/>
    <s v="On Demand"/>
    <x v="18"/>
    <x v="3"/>
    <x v="2"/>
    <s v="Pre &amp; Post-Ride Stretch"/>
    <x v="8"/>
    <x v="865"/>
    <m/>
    <m/>
    <m/>
    <m/>
    <m/>
    <m/>
    <n v="22"/>
    <n v="104.94"/>
    <m/>
    <m/>
  </r>
  <r>
    <s v="2023-03-13 23:05 (PST)"/>
    <x v="278"/>
    <x v="474"/>
    <x v="1"/>
    <s v="On Demand"/>
    <x v="19"/>
    <x v="1"/>
    <x v="5"/>
    <s v="Breath"/>
    <x v="154"/>
    <x v="866"/>
    <m/>
    <m/>
    <m/>
    <m/>
    <m/>
    <m/>
    <m/>
    <m/>
    <m/>
    <m/>
  </r>
  <r>
    <s v="2023-03-27 06:08 (EST)"/>
    <x v="279"/>
    <x v="751"/>
    <x v="1"/>
    <s v="On Demand"/>
    <x v="28"/>
    <x v="1"/>
    <x v="5"/>
    <s v="Emotions"/>
    <x v="46"/>
    <x v="867"/>
    <m/>
    <m/>
    <m/>
    <m/>
    <m/>
    <m/>
    <m/>
    <m/>
    <m/>
    <m/>
  </r>
  <r>
    <s v="2023-03-27 19:53 (PST)"/>
    <x v="279"/>
    <x v="752"/>
    <x v="1"/>
    <s v="On Demand"/>
    <x v="28"/>
    <x v="5"/>
    <x v="5"/>
    <s v="Sleep"/>
    <x v="29"/>
    <x v="868"/>
    <m/>
    <m/>
    <m/>
    <m/>
    <m/>
    <m/>
    <m/>
    <m/>
    <m/>
    <m/>
  </r>
  <r>
    <s v="2023-04-03 06:19 (PST)"/>
    <x v="280"/>
    <x v="753"/>
    <x v="1"/>
    <s v="On Demand"/>
    <x v="13"/>
    <x v="2"/>
    <x v="4"/>
    <s v="Flow"/>
    <x v="280"/>
    <x v="869"/>
    <m/>
    <m/>
    <m/>
    <m/>
    <m/>
    <m/>
    <n v="99"/>
    <m/>
    <m/>
    <m/>
  </r>
  <r>
    <s v="2023-04-03 15:35 (-07)"/>
    <x v="280"/>
    <x v="754"/>
    <x v="1"/>
    <s v="On Demand"/>
    <x v="9"/>
    <x v="0"/>
    <x v="0"/>
    <s v="Power Zone"/>
    <x v="27"/>
    <x v="870"/>
    <n v="268"/>
    <n v="99"/>
    <n v="0.38"/>
    <n v="80"/>
    <n v="16.100000000000001"/>
    <n v="12.08"/>
    <n v="390"/>
    <n v="140.91"/>
    <m/>
    <m/>
  </r>
  <r>
    <s v="2023-04-03 16:23 (-07)"/>
    <x v="280"/>
    <x v="755"/>
    <x v="1"/>
    <s v="On Demand"/>
    <x v="24"/>
    <x v="1"/>
    <x v="1"/>
    <s v="Core"/>
    <x v="108"/>
    <x v="871"/>
    <m/>
    <m/>
    <m/>
    <m/>
    <m/>
    <m/>
    <n v="44"/>
    <n v="104.37"/>
    <m/>
    <m/>
  </r>
  <r>
    <s v="2023-04-03 16:35 (-07)"/>
    <x v="280"/>
    <x v="756"/>
    <x v="1"/>
    <s v="On Demand"/>
    <x v="24"/>
    <x v="5"/>
    <x v="1"/>
    <s v="Upper Body"/>
    <x v="247"/>
    <x v="872"/>
    <m/>
    <m/>
    <m/>
    <m/>
    <m/>
    <m/>
    <n v="94"/>
    <n v="104.63"/>
    <m/>
    <m/>
  </r>
  <r>
    <s v="2023-04-10 12:03 (PST)"/>
    <x v="281"/>
    <x v="757"/>
    <x v="1"/>
    <s v="On Demand"/>
    <x v="13"/>
    <x v="2"/>
    <x v="4"/>
    <s v="Flow"/>
    <x v="41"/>
    <x v="873"/>
    <m/>
    <m/>
    <m/>
    <m/>
    <m/>
    <m/>
    <n v="100"/>
    <m/>
    <m/>
    <m/>
  </r>
  <r>
    <s v="2023-04-10 18:08 (-07)"/>
    <x v="281"/>
    <x v="758"/>
    <x v="1"/>
    <s v="On Demand"/>
    <x v="6"/>
    <x v="0"/>
    <x v="0"/>
    <s v="Power Zone"/>
    <x v="137"/>
    <x v="874"/>
    <n v="296"/>
    <n v="110"/>
    <n v="0.38"/>
    <n v="85"/>
    <n v="16.72"/>
    <n v="12.53"/>
    <n v="502"/>
    <n v="162.52000000000001"/>
    <m/>
    <m/>
  </r>
  <r>
    <s v="2023-04-10 18:55 (-07)"/>
    <x v="281"/>
    <x v="759"/>
    <x v="1"/>
    <s v="On Demand"/>
    <x v="29"/>
    <x v="3"/>
    <x v="0"/>
    <s v="Cool Down"/>
    <x v="10"/>
    <x v="875"/>
    <n v="18"/>
    <n v="59"/>
    <n v="0.3"/>
    <n v="83"/>
    <n v="12.97"/>
    <n v="1.08"/>
    <n v="23"/>
    <n v="107.04"/>
    <m/>
    <m/>
  </r>
  <r>
    <s v="2023-04-10 19:07 (-07)"/>
    <x v="281"/>
    <x v="760"/>
    <x v="1"/>
    <s v="On Demand"/>
    <x v="24"/>
    <x v="1"/>
    <x v="1"/>
    <s v="Core"/>
    <x v="108"/>
    <x v="876"/>
    <m/>
    <m/>
    <m/>
    <m/>
    <m/>
    <m/>
    <n v="43"/>
    <n v="102.36"/>
    <m/>
    <m/>
  </r>
  <r>
    <s v="2023-04-10 19:19 (-07)"/>
    <x v="281"/>
    <x v="761"/>
    <x v="1"/>
    <s v="On Demand"/>
    <x v="23"/>
    <x v="1"/>
    <x v="4"/>
    <s v="Focus Flow"/>
    <x v="281"/>
    <x v="877"/>
    <m/>
    <m/>
    <m/>
    <m/>
    <m/>
    <m/>
    <n v="36"/>
    <n v="98.09"/>
    <m/>
    <m/>
  </r>
  <r>
    <s v="2023-04-10 22:50 (PST)"/>
    <x v="281"/>
    <x v="762"/>
    <x v="1"/>
    <s v="On Demand"/>
    <x v="19"/>
    <x v="1"/>
    <x v="5"/>
    <s v="Emotions"/>
    <x v="210"/>
    <x v="878"/>
    <m/>
    <m/>
    <m/>
    <m/>
    <m/>
    <m/>
    <m/>
    <m/>
    <m/>
    <m/>
  </r>
  <r>
    <s v="2023-04-17 09:50 (PST)"/>
    <x v="282"/>
    <x v="186"/>
    <x v="1"/>
    <s v="On Demand"/>
    <x v="13"/>
    <x v="2"/>
    <x v="4"/>
    <s v="Flow"/>
    <x v="282"/>
    <x v="879"/>
    <m/>
    <m/>
    <m/>
    <m/>
    <m/>
    <m/>
    <n v="101"/>
    <m/>
    <m/>
    <m/>
  </r>
  <r>
    <s v="2023-04-17 14:15 (-07)"/>
    <x v="282"/>
    <x v="763"/>
    <x v="1"/>
    <s v="On Demand"/>
    <x v="47"/>
    <x v="0"/>
    <x v="0"/>
    <s v="Pro Cyclist"/>
    <x v="283"/>
    <x v="880"/>
    <n v="317"/>
    <n v="117"/>
    <n v="0.37"/>
    <n v="89"/>
    <n v="17.079999999999998"/>
    <n v="12.81"/>
    <n v="451"/>
    <n v="152.66"/>
    <m/>
    <m/>
  </r>
  <r>
    <s v="2023-04-17 15:02 (-07)"/>
    <x v="282"/>
    <x v="764"/>
    <x v="1"/>
    <s v="On Demand"/>
    <x v="26"/>
    <x v="1"/>
    <x v="1"/>
    <s v="Core"/>
    <x v="1"/>
    <x v="881"/>
    <m/>
    <m/>
    <m/>
    <m/>
    <m/>
    <m/>
    <n v="61"/>
    <n v="118.27"/>
    <m/>
    <m/>
  </r>
  <r>
    <s v="2023-04-17 15:14 (-07)"/>
    <x v="282"/>
    <x v="765"/>
    <x v="1"/>
    <s v="On Demand"/>
    <x v="7"/>
    <x v="3"/>
    <x v="2"/>
    <s v="Pre &amp; Post-Ride Stretch"/>
    <x v="8"/>
    <x v="882"/>
    <m/>
    <m/>
    <m/>
    <m/>
    <m/>
    <m/>
    <n v="19"/>
    <n v="99.54"/>
    <m/>
    <m/>
  </r>
  <r>
    <s v="2023-04-17 22:20 (PST)"/>
    <x v="282"/>
    <x v="766"/>
    <x v="1"/>
    <s v="On Demand"/>
    <x v="16"/>
    <x v="1"/>
    <x v="5"/>
    <s v="Emotions"/>
    <x v="128"/>
    <x v="883"/>
    <m/>
    <m/>
    <m/>
    <m/>
    <m/>
    <m/>
    <m/>
    <m/>
    <m/>
    <m/>
  </r>
  <r>
    <s v="2023-04-24 06:15 (PST)"/>
    <x v="283"/>
    <x v="388"/>
    <x v="1"/>
    <s v="On Demand"/>
    <x v="23"/>
    <x v="2"/>
    <x v="4"/>
    <s v="Flow"/>
    <x v="41"/>
    <x v="884"/>
    <m/>
    <m/>
    <m/>
    <m/>
    <m/>
    <m/>
    <n v="99"/>
    <m/>
    <m/>
    <m/>
  </r>
  <r>
    <s v="2023-04-24 14:45 (PST)"/>
    <x v="283"/>
    <x v="337"/>
    <x v="1"/>
    <m/>
    <x v="34"/>
    <x v="14"/>
    <x v="6"/>
    <m/>
    <x v="284"/>
    <x v="231"/>
    <n v="0"/>
    <m/>
    <m/>
    <m/>
    <n v="2.98"/>
    <n v="1.95"/>
    <n v="266"/>
    <n v="123.57"/>
    <m/>
    <m/>
  </r>
  <r>
    <s v="2023-04-24 15:38 (-07)"/>
    <x v="283"/>
    <x v="767"/>
    <x v="1"/>
    <s v="On Demand"/>
    <x v="24"/>
    <x v="5"/>
    <x v="1"/>
    <s v="Upper Body"/>
    <x v="285"/>
    <x v="885"/>
    <m/>
    <m/>
    <m/>
    <m/>
    <m/>
    <m/>
    <n v="112"/>
    <n v="113.56"/>
    <m/>
    <m/>
  </r>
  <r>
    <s v="2023-04-24 15:59 (-07)"/>
    <x v="283"/>
    <x v="618"/>
    <x v="1"/>
    <s v="On Demand"/>
    <x v="21"/>
    <x v="1"/>
    <x v="1"/>
    <s v="Core"/>
    <x v="1"/>
    <x v="886"/>
    <m/>
    <m/>
    <m/>
    <m/>
    <m/>
    <m/>
    <n v="53"/>
    <n v="111.12"/>
    <m/>
    <m/>
  </r>
  <r>
    <s v="2023-04-24 22:30 (PST)"/>
    <x v="283"/>
    <x v="57"/>
    <x v="1"/>
    <s v="On Demand"/>
    <x v="28"/>
    <x v="7"/>
    <x v="5"/>
    <s v="Emotions"/>
    <x v="286"/>
    <x v="887"/>
    <m/>
    <m/>
    <m/>
    <m/>
    <m/>
    <m/>
    <m/>
    <m/>
    <m/>
    <m/>
  </r>
  <r>
    <s v="2023-05-01 13:00 (PST)"/>
    <x v="284"/>
    <x v="285"/>
    <x v="1"/>
    <m/>
    <x v="34"/>
    <x v="15"/>
    <x v="6"/>
    <m/>
    <x v="287"/>
    <x v="231"/>
    <n v="0"/>
    <m/>
    <m/>
    <m/>
    <n v="3.02"/>
    <n v="2.04"/>
    <n v="254"/>
    <n v="114.89"/>
    <m/>
    <m/>
  </r>
  <r>
    <s v="2023-05-01 17:29 (-07)"/>
    <x v="284"/>
    <x v="768"/>
    <x v="1"/>
    <s v="On Demand"/>
    <x v="24"/>
    <x v="7"/>
    <x v="1"/>
    <s v="Core"/>
    <x v="254"/>
    <x v="888"/>
    <m/>
    <m/>
    <m/>
    <m/>
    <m/>
    <m/>
    <n v="80"/>
    <n v="111.93"/>
    <m/>
    <m/>
  </r>
  <r>
    <s v="2023-05-01 17:50 (-07)"/>
    <x v="284"/>
    <x v="508"/>
    <x v="1"/>
    <s v="On Demand"/>
    <x v="6"/>
    <x v="4"/>
    <x v="0"/>
    <s v="Power Zone"/>
    <x v="23"/>
    <x v="889"/>
    <n v="401"/>
    <n v="111"/>
    <n v="0.4"/>
    <n v="82"/>
    <n v="16.63"/>
    <n v="16.62"/>
    <n v="568"/>
    <n v="147.79"/>
    <m/>
    <m/>
  </r>
  <r>
    <s v="2023-05-01 18:53 (-07)"/>
    <x v="284"/>
    <x v="682"/>
    <x v="1"/>
    <s v="On Demand"/>
    <x v="7"/>
    <x v="5"/>
    <x v="4"/>
    <s v="Focus Flow"/>
    <x v="288"/>
    <x v="890"/>
    <m/>
    <m/>
    <m/>
    <m/>
    <m/>
    <m/>
    <n v="71"/>
    <n v="96.29"/>
    <m/>
    <m/>
  </r>
  <r>
    <s v="2023-05-01 22:31 (PST)"/>
    <x v="284"/>
    <x v="243"/>
    <x v="1"/>
    <s v="On Demand"/>
    <x v="19"/>
    <x v="7"/>
    <x v="5"/>
    <s v="Relaxation"/>
    <x v="106"/>
    <x v="351"/>
    <m/>
    <m/>
    <m/>
    <m/>
    <m/>
    <m/>
    <m/>
    <m/>
    <m/>
    <m/>
  </r>
  <r>
    <s v="2023-05-08 06:34 (PST)"/>
    <x v="285"/>
    <x v="769"/>
    <x v="1"/>
    <s v="On Demand"/>
    <x v="13"/>
    <x v="5"/>
    <x v="4"/>
    <s v="Focus Flow"/>
    <x v="40"/>
    <x v="891"/>
    <m/>
    <m/>
    <m/>
    <m/>
    <m/>
    <m/>
    <n v="52"/>
    <m/>
    <m/>
    <m/>
  </r>
  <r>
    <s v="2023-05-08 17:06 (-07)"/>
    <x v="285"/>
    <x v="628"/>
    <x v="1"/>
    <s v="On Demand"/>
    <x v="24"/>
    <x v="2"/>
    <x v="1"/>
    <s v="Upper Body"/>
    <x v="289"/>
    <x v="892"/>
    <m/>
    <m/>
    <m/>
    <m/>
    <m/>
    <m/>
    <n v="141"/>
    <n v="107.54"/>
    <m/>
    <m/>
  </r>
  <r>
    <s v="2023-05-08 17:38 (-07)"/>
    <x v="285"/>
    <x v="770"/>
    <x v="1"/>
    <s v="On Demand"/>
    <x v="1"/>
    <x v="5"/>
    <x v="1"/>
    <s v="Core"/>
    <x v="115"/>
    <x v="893"/>
    <m/>
    <m/>
    <m/>
    <m/>
    <m/>
    <m/>
    <n v="92"/>
    <n v="104.73"/>
    <m/>
    <m/>
  </r>
  <r>
    <s v="2023-05-08 22:00 (PST)"/>
    <x v="285"/>
    <x v="365"/>
    <x v="1"/>
    <s v="On Demand"/>
    <x v="19"/>
    <x v="1"/>
    <x v="5"/>
    <s v="Emotions"/>
    <x v="290"/>
    <x v="894"/>
    <m/>
    <m/>
    <m/>
    <m/>
    <m/>
    <m/>
    <m/>
    <m/>
    <m/>
    <m/>
  </r>
  <r>
    <s v="2023-05-15 06:27 (PST)"/>
    <x v="286"/>
    <x v="444"/>
    <x v="1"/>
    <s v="On Demand"/>
    <x v="7"/>
    <x v="2"/>
    <x v="4"/>
    <s v="Flow"/>
    <x v="41"/>
    <x v="895"/>
    <m/>
    <m/>
    <m/>
    <m/>
    <m/>
    <m/>
    <n v="95"/>
    <m/>
    <m/>
    <m/>
  </r>
  <r>
    <s v="2023-05-22 21:39 (PST)"/>
    <x v="287"/>
    <x v="602"/>
    <x v="1"/>
    <s v="On Demand"/>
    <x v="25"/>
    <x v="1"/>
    <x v="5"/>
    <s v="Emotions"/>
    <x v="290"/>
    <x v="896"/>
    <m/>
    <m/>
    <m/>
    <m/>
    <m/>
    <m/>
    <m/>
    <m/>
    <m/>
    <m/>
  </r>
  <r>
    <s v="2023-05-29 02:09 (PST)"/>
    <x v="288"/>
    <x v="771"/>
    <x v="1"/>
    <s v="On Demand"/>
    <x v="19"/>
    <x v="1"/>
    <x v="5"/>
    <s v="Relaxation"/>
    <x v="71"/>
    <x v="897"/>
    <m/>
    <m/>
    <m/>
    <m/>
    <m/>
    <m/>
    <m/>
    <m/>
    <m/>
    <m/>
  </r>
  <r>
    <s v="2023-06-05 06:24 (PST)"/>
    <x v="289"/>
    <x v="772"/>
    <x v="1"/>
    <s v="On Demand"/>
    <x v="7"/>
    <x v="0"/>
    <x v="4"/>
    <s v="Slow Flow"/>
    <x v="33"/>
    <x v="898"/>
    <m/>
    <m/>
    <m/>
    <m/>
    <m/>
    <m/>
    <n v="135"/>
    <m/>
    <m/>
    <m/>
  </r>
  <r>
    <s v="2023-06-05 14:51 (PST)"/>
    <x v="289"/>
    <x v="773"/>
    <x v="1"/>
    <m/>
    <x v="34"/>
    <x v="0"/>
    <x v="6"/>
    <m/>
    <x v="291"/>
    <x v="231"/>
    <n v="0"/>
    <m/>
    <m/>
    <m/>
    <n v="2.94"/>
    <n v="2.06"/>
    <n v="276"/>
    <n v="118.35"/>
    <m/>
    <m/>
  </r>
  <r>
    <s v="2023-06-05 16:34 (-07)"/>
    <x v="289"/>
    <x v="267"/>
    <x v="1"/>
    <s v="On Demand"/>
    <x v="12"/>
    <x v="2"/>
    <x v="1"/>
    <s v="Upper Body"/>
    <x v="292"/>
    <x v="899"/>
    <m/>
    <m/>
    <m/>
    <m/>
    <m/>
    <m/>
    <n v="157"/>
    <n v="107.55"/>
    <m/>
    <m/>
  </r>
  <r>
    <s v="2023-06-05 22:15 (PST)"/>
    <x v="289"/>
    <x v="593"/>
    <x v="1"/>
    <s v="On Demand"/>
    <x v="25"/>
    <x v="5"/>
    <x v="5"/>
    <s v="Relaxation"/>
    <x v="112"/>
    <x v="900"/>
    <m/>
    <m/>
    <m/>
    <m/>
    <m/>
    <m/>
    <m/>
    <m/>
    <m/>
    <m/>
  </r>
  <r>
    <s v="2023-06-12 22:21 (PST)"/>
    <x v="290"/>
    <x v="740"/>
    <x v="1"/>
    <s v="On Demand"/>
    <x v="16"/>
    <x v="7"/>
    <x v="5"/>
    <s v="Sleep"/>
    <x v="65"/>
    <x v="901"/>
    <m/>
    <m/>
    <m/>
    <m/>
    <m/>
    <m/>
    <m/>
    <m/>
    <m/>
    <m/>
  </r>
  <r>
    <s v="2023-06-19 12:22 (-07)"/>
    <x v="291"/>
    <x v="774"/>
    <x v="1"/>
    <s v="On Demand"/>
    <x v="6"/>
    <x v="0"/>
    <x v="0"/>
    <s v="Power Zone"/>
    <x v="102"/>
    <x v="902"/>
    <n v="301"/>
    <n v="111"/>
    <n v="0.38"/>
    <n v="86"/>
    <n v="16.84"/>
    <n v="12.63"/>
    <n v="381"/>
    <n v="138.61000000000001"/>
    <m/>
    <m/>
  </r>
  <r>
    <s v="2023-06-19 13:09 (-07)"/>
    <x v="291"/>
    <x v="775"/>
    <x v="1"/>
    <s v="On Demand"/>
    <x v="12"/>
    <x v="1"/>
    <x v="1"/>
    <s v="Arms &amp; Light Weights"/>
    <x v="28"/>
    <x v="903"/>
    <m/>
    <m/>
    <m/>
    <m/>
    <m/>
    <m/>
    <n v="45"/>
    <n v="104.2"/>
    <m/>
    <m/>
  </r>
  <r>
    <s v="2023-06-19 13:21 (-07)"/>
    <x v="291"/>
    <x v="325"/>
    <x v="1"/>
    <s v="On Demand"/>
    <x v="1"/>
    <x v="1"/>
    <x v="1"/>
    <s v="Core"/>
    <x v="1"/>
    <x v="904"/>
    <m/>
    <m/>
    <m/>
    <m/>
    <m/>
    <m/>
    <n v="38"/>
    <n v="94.05"/>
    <m/>
    <m/>
  </r>
  <r>
    <s v="2023-06-26 07:50 (PST)"/>
    <x v="292"/>
    <x v="71"/>
    <x v="1"/>
    <s v="On Demand"/>
    <x v="13"/>
    <x v="2"/>
    <x v="4"/>
    <s v="Flow"/>
    <x v="41"/>
    <x v="905"/>
    <m/>
    <m/>
    <m/>
    <m/>
    <m/>
    <m/>
    <n v="95"/>
    <m/>
    <m/>
    <m/>
  </r>
  <r>
    <s v="2023-06-26 15:20 (-07)"/>
    <x v="292"/>
    <x v="344"/>
    <x v="1"/>
    <s v="On Demand"/>
    <x v="7"/>
    <x v="4"/>
    <x v="0"/>
    <s v="Power Zone"/>
    <x v="7"/>
    <x v="906"/>
    <n v="400"/>
    <n v="111"/>
    <n v="0.38"/>
    <n v="84"/>
    <n v="16.809999999999999"/>
    <n v="16.809999999999999"/>
    <n v="554"/>
    <n v="145.16999999999999"/>
    <m/>
    <m/>
  </r>
  <r>
    <s v="2023-06-26 16:22 (-07)"/>
    <x v="292"/>
    <x v="438"/>
    <x v="1"/>
    <s v="On Demand"/>
    <x v="1"/>
    <x v="3"/>
    <x v="0"/>
    <s v="Cool Down"/>
    <x v="10"/>
    <x v="907"/>
    <n v="15"/>
    <n v="51"/>
    <n v="0.28999999999999998"/>
    <n v="77"/>
    <n v="11.92"/>
    <n v="0.99"/>
    <n v="31"/>
    <n v="120.05"/>
    <m/>
    <m/>
  </r>
  <r>
    <s v="2023-06-26 16:27 (-07)"/>
    <x v="292"/>
    <x v="776"/>
    <x v="1"/>
    <s v="On Demand"/>
    <x v="17"/>
    <x v="3"/>
    <x v="2"/>
    <s v="Pre &amp; Post-Ride Stretch"/>
    <x v="8"/>
    <x v="908"/>
    <m/>
    <m/>
    <m/>
    <m/>
    <m/>
    <m/>
    <n v="12"/>
    <m/>
    <m/>
    <m/>
  </r>
  <r>
    <s v="2023-06-26 22:26 (PST)"/>
    <x v="292"/>
    <x v="56"/>
    <x v="1"/>
    <s v="On Demand"/>
    <x v="28"/>
    <x v="7"/>
    <x v="5"/>
    <s v="Emotions"/>
    <x v="293"/>
    <x v="909"/>
    <m/>
    <m/>
    <m/>
    <m/>
    <m/>
    <m/>
    <m/>
    <m/>
    <m/>
    <m/>
  </r>
  <r>
    <s v="2023-07-03 14:35 (PST)"/>
    <x v="293"/>
    <x v="777"/>
    <x v="1"/>
    <s v="On Demand"/>
    <x v="16"/>
    <x v="2"/>
    <x v="4"/>
    <s v="Flow"/>
    <x v="150"/>
    <x v="910"/>
    <m/>
    <m/>
    <m/>
    <m/>
    <m/>
    <m/>
    <n v="96"/>
    <m/>
    <m/>
    <m/>
  </r>
  <r>
    <s v="2023-07-03 15:23 (-07)"/>
    <x v="293"/>
    <x v="778"/>
    <x v="1"/>
    <s v="On Demand"/>
    <x v="6"/>
    <x v="4"/>
    <x v="0"/>
    <s v="Power Zone"/>
    <x v="7"/>
    <x v="911"/>
    <n v="417"/>
    <n v="116"/>
    <n v="0.4"/>
    <n v="83"/>
    <n v="17.13"/>
    <n v="17.13"/>
    <n v="537"/>
    <n v="142.63999999999999"/>
    <m/>
    <m/>
  </r>
  <r>
    <s v="2023-07-03 16:24 (-07)"/>
    <x v="293"/>
    <x v="779"/>
    <x v="1"/>
    <s v="On Demand"/>
    <x v="36"/>
    <x v="1"/>
    <x v="1"/>
    <s v="Arms &amp; Light Weights"/>
    <x v="28"/>
    <x v="912"/>
    <m/>
    <m/>
    <m/>
    <m/>
    <m/>
    <m/>
    <n v="57"/>
    <n v="113.51"/>
    <m/>
    <m/>
  </r>
  <r>
    <s v="2023-07-03 16:37 (-07)"/>
    <x v="293"/>
    <x v="609"/>
    <x v="1"/>
    <s v="On Demand"/>
    <x v="35"/>
    <x v="1"/>
    <x v="1"/>
    <s v="Core"/>
    <x v="1"/>
    <x v="913"/>
    <m/>
    <m/>
    <m/>
    <m/>
    <m/>
    <m/>
    <n v="48"/>
    <n v="107.19"/>
    <m/>
    <m/>
  </r>
  <r>
    <s v="2023-07-03 16:49 (-07)"/>
    <x v="293"/>
    <x v="780"/>
    <x v="1"/>
    <s v="On Demand"/>
    <x v="22"/>
    <x v="3"/>
    <x v="2"/>
    <s v="Pre &amp; Post-Ride Stretch"/>
    <x v="8"/>
    <x v="914"/>
    <m/>
    <m/>
    <m/>
    <m/>
    <m/>
    <m/>
    <n v="18"/>
    <n v="96.54"/>
    <m/>
    <m/>
  </r>
  <r>
    <s v="2023-07-03 22:14 (PST)"/>
    <x v="293"/>
    <x v="361"/>
    <x v="1"/>
    <s v="On Demand"/>
    <x v="28"/>
    <x v="1"/>
    <x v="5"/>
    <s v="Mindfulness"/>
    <x v="294"/>
    <x v="915"/>
    <m/>
    <m/>
    <m/>
    <m/>
    <m/>
    <m/>
    <m/>
    <m/>
    <m/>
    <m/>
  </r>
  <r>
    <s v="2023-07-10 03:31 (PST)"/>
    <x v="294"/>
    <x v="781"/>
    <x v="1"/>
    <s v="On Demand"/>
    <x v="16"/>
    <x v="1"/>
    <x v="5"/>
    <s v="Breath"/>
    <x v="154"/>
    <x v="916"/>
    <m/>
    <m/>
    <m/>
    <m/>
    <m/>
    <m/>
    <m/>
    <m/>
    <m/>
    <m/>
  </r>
  <r>
    <s v="2023-07-10 06:34 (PST)"/>
    <x v="294"/>
    <x v="769"/>
    <x v="1"/>
    <s v="On Demand"/>
    <x v="16"/>
    <x v="2"/>
    <x v="4"/>
    <s v="Flow"/>
    <x v="295"/>
    <x v="917"/>
    <m/>
    <m/>
    <m/>
    <m/>
    <m/>
    <m/>
    <n v="98"/>
    <m/>
    <m/>
    <m/>
  </r>
  <r>
    <s v="2023-07-10 14:40 (PST)"/>
    <x v="294"/>
    <x v="782"/>
    <x v="1"/>
    <m/>
    <x v="34"/>
    <x v="9"/>
    <x v="6"/>
    <m/>
    <x v="296"/>
    <x v="231"/>
    <n v="0"/>
    <m/>
    <m/>
    <m/>
    <n v="3.16"/>
    <n v="2.0499999999999998"/>
    <n v="286"/>
    <n v="127.64"/>
    <m/>
    <m/>
  </r>
  <r>
    <s v="2023-07-10 16:47 (-07)"/>
    <x v="294"/>
    <x v="783"/>
    <x v="1"/>
    <s v="On Demand"/>
    <x v="6"/>
    <x v="6"/>
    <x v="0"/>
    <s v="Power Zone"/>
    <x v="20"/>
    <x v="918"/>
    <n v="532"/>
    <n v="118"/>
    <n v="0.4"/>
    <n v="82"/>
    <n v="17.29"/>
    <n v="21.61"/>
    <n v="717"/>
    <n v="148.07"/>
    <m/>
    <m/>
  </r>
  <r>
    <s v="2023-07-10 18:06 (-07)"/>
    <x v="294"/>
    <x v="784"/>
    <x v="1"/>
    <s v="On Demand"/>
    <x v="0"/>
    <x v="3"/>
    <x v="2"/>
    <s v="Pre &amp; Post-Ride Stretch"/>
    <x v="8"/>
    <x v="919"/>
    <m/>
    <m/>
    <m/>
    <m/>
    <m/>
    <m/>
    <n v="22"/>
    <n v="103.89"/>
    <m/>
    <m/>
  </r>
  <r>
    <s v="2023-07-10 22:34 (PST)"/>
    <x v="294"/>
    <x v="596"/>
    <x v="1"/>
    <s v="On Demand"/>
    <x v="13"/>
    <x v="1"/>
    <x v="5"/>
    <s v="Relaxation"/>
    <x v="71"/>
    <x v="920"/>
    <m/>
    <m/>
    <m/>
    <m/>
    <m/>
    <m/>
    <m/>
    <m/>
    <m/>
    <m/>
  </r>
  <r>
    <s v="2023-07-17 07:35 (PST)"/>
    <x v="295"/>
    <x v="138"/>
    <x v="1"/>
    <s v="On Demand"/>
    <x v="7"/>
    <x v="2"/>
    <x v="4"/>
    <s v="Flow"/>
    <x v="297"/>
    <x v="921"/>
    <m/>
    <m/>
    <m/>
    <m/>
    <m/>
    <m/>
    <n v="90"/>
    <m/>
    <m/>
    <m/>
  </r>
  <r>
    <s v="2023-07-17 17:33 (-07)"/>
    <x v="295"/>
    <x v="456"/>
    <x v="1"/>
    <s v="On Demand"/>
    <x v="9"/>
    <x v="4"/>
    <x v="0"/>
    <s v="Power Zone"/>
    <x v="7"/>
    <x v="922"/>
    <n v="395"/>
    <n v="110"/>
    <n v="0.38"/>
    <n v="84"/>
    <n v="16.75"/>
    <n v="16.75"/>
    <n v="565"/>
    <n v="146.66999999999999"/>
    <m/>
    <m/>
  </r>
  <r>
    <s v="2023-07-17 18:34 (-07)"/>
    <x v="295"/>
    <x v="512"/>
    <x v="1"/>
    <s v="On Demand"/>
    <x v="36"/>
    <x v="3"/>
    <x v="0"/>
    <s v="Cool Down"/>
    <x v="10"/>
    <x v="923"/>
    <n v="18"/>
    <n v="61"/>
    <n v="0.3"/>
    <n v="83"/>
    <n v="13.03"/>
    <n v="1.08"/>
    <n v="32"/>
    <n v="120.86"/>
    <m/>
    <m/>
  </r>
  <r>
    <s v="2023-07-17 18:41 (-07)"/>
    <x v="295"/>
    <x v="509"/>
    <x v="1"/>
    <s v="On Demand"/>
    <x v="0"/>
    <x v="1"/>
    <x v="1"/>
    <s v="Arms &amp; Light Weights"/>
    <x v="298"/>
    <x v="924"/>
    <m/>
    <m/>
    <m/>
    <m/>
    <m/>
    <m/>
    <n v="55"/>
    <n v="112.75"/>
    <m/>
    <m/>
  </r>
  <r>
    <s v="2023-07-24 03:10 (EST)"/>
    <x v="296"/>
    <x v="785"/>
    <x v="1"/>
    <s v="On Demand"/>
    <x v="25"/>
    <x v="2"/>
    <x v="5"/>
    <s v="Sleep"/>
    <x v="31"/>
    <x v="925"/>
    <m/>
    <m/>
    <m/>
    <m/>
    <m/>
    <m/>
    <m/>
    <m/>
    <m/>
    <m/>
  </r>
  <r>
    <s v="2023-07-31 15:53 (-07)"/>
    <x v="297"/>
    <x v="786"/>
    <x v="1"/>
    <s v="On Demand"/>
    <x v="1"/>
    <x v="5"/>
    <x v="1"/>
    <s v="Core"/>
    <x v="115"/>
    <x v="926"/>
    <m/>
    <m/>
    <m/>
    <m/>
    <m/>
    <m/>
    <n v="123"/>
    <n v="118.45"/>
    <m/>
    <m/>
  </r>
  <r>
    <s v="2023-07-31 16:15 (-07)"/>
    <x v="297"/>
    <x v="787"/>
    <x v="1"/>
    <s v="On Demand"/>
    <x v="6"/>
    <x v="4"/>
    <x v="0"/>
    <s v="Power Zone"/>
    <x v="23"/>
    <x v="927"/>
    <n v="452"/>
    <n v="125"/>
    <n v="0.4"/>
    <n v="84"/>
    <n v="17.55"/>
    <n v="17.55"/>
    <n v="601"/>
    <n v="151.83000000000001"/>
    <m/>
    <m/>
  </r>
  <r>
    <s v="2023-07-31 17:16 (-07)"/>
    <x v="297"/>
    <x v="788"/>
    <x v="1"/>
    <s v="On Demand"/>
    <x v="6"/>
    <x v="3"/>
    <x v="0"/>
    <s v="Cool Down"/>
    <x v="10"/>
    <x v="85"/>
    <n v="18"/>
    <n v="60"/>
    <n v="0.3"/>
    <n v="82"/>
    <n v="12.96"/>
    <n v="1.08"/>
    <n v="36"/>
    <n v="131.30000000000001"/>
    <m/>
    <m/>
  </r>
  <r>
    <s v="2023-07-31 17:23 (-07)"/>
    <x v="297"/>
    <x v="789"/>
    <x v="1"/>
    <s v="On Demand"/>
    <x v="12"/>
    <x v="1"/>
    <x v="1"/>
    <s v="Arms &amp; Light Weights"/>
    <x v="28"/>
    <x v="928"/>
    <m/>
    <m/>
    <m/>
    <m/>
    <m/>
    <m/>
    <n v="54"/>
    <n v="111.18"/>
    <m/>
    <m/>
  </r>
  <r>
    <s v="2023-07-31 18:55 (PST)"/>
    <x v="297"/>
    <x v="790"/>
    <x v="1"/>
    <m/>
    <x v="34"/>
    <x v="12"/>
    <x v="6"/>
    <m/>
    <x v="299"/>
    <x v="231"/>
    <n v="0"/>
    <m/>
    <m/>
    <m/>
    <n v="3.17"/>
    <n v="2.0499999999999998"/>
    <n v="360"/>
    <n v="138.33000000000001"/>
    <m/>
    <m/>
  </r>
  <r>
    <s v="2023-07-31 22:39 (PST)"/>
    <x v="297"/>
    <x v="426"/>
    <x v="1"/>
    <s v="On Demand"/>
    <x v="19"/>
    <x v="2"/>
    <x v="5"/>
    <s v="Sleep"/>
    <x v="31"/>
    <x v="929"/>
    <m/>
    <m/>
    <m/>
    <m/>
    <m/>
    <m/>
    <m/>
    <m/>
    <m/>
    <m/>
  </r>
  <r>
    <s v="2023-08-07 03:18 (PST)"/>
    <x v="298"/>
    <x v="791"/>
    <x v="1"/>
    <s v="On Demand"/>
    <x v="16"/>
    <x v="1"/>
    <x v="5"/>
    <s v="Emotions"/>
    <x v="151"/>
    <x v="930"/>
    <m/>
    <m/>
    <m/>
    <m/>
    <m/>
    <m/>
    <m/>
    <m/>
    <m/>
    <m/>
  </r>
  <r>
    <s v="2023-08-07 07:15 (PST)"/>
    <x v="298"/>
    <x v="792"/>
    <x v="1"/>
    <s v="On Demand"/>
    <x v="7"/>
    <x v="2"/>
    <x v="4"/>
    <s v="Flow"/>
    <x v="41"/>
    <x v="931"/>
    <m/>
    <m/>
    <m/>
    <m/>
    <m/>
    <m/>
    <n v="90"/>
    <m/>
    <m/>
    <m/>
  </r>
  <r>
    <s v="2023-08-07 15:52 (-07)"/>
    <x v="298"/>
    <x v="793"/>
    <x v="1"/>
    <s v="On Demand"/>
    <x v="7"/>
    <x v="0"/>
    <x v="0"/>
    <s v="Power Zone"/>
    <x v="85"/>
    <x v="932"/>
    <n v="311"/>
    <n v="115"/>
    <n v="0.38"/>
    <n v="84"/>
    <n v="16.71"/>
    <n v="12.53"/>
    <n v="458"/>
    <n v="153.51"/>
    <m/>
    <m/>
  </r>
  <r>
    <s v="2023-08-07 16:38 (-07)"/>
    <x v="298"/>
    <x v="615"/>
    <x v="1"/>
    <s v="On Demand"/>
    <x v="42"/>
    <x v="3"/>
    <x v="0"/>
    <s v="Cool Down"/>
    <x v="10"/>
    <x v="933"/>
    <n v="18"/>
    <n v="60"/>
    <n v="0.31"/>
    <n v="80"/>
    <n v="12.95"/>
    <n v="1.08"/>
    <n v="23"/>
    <m/>
    <m/>
    <m/>
  </r>
  <r>
    <s v="2023-08-07 16:47 (-07)"/>
    <x v="298"/>
    <x v="783"/>
    <x v="1"/>
    <s v="On Demand"/>
    <x v="48"/>
    <x v="1"/>
    <x v="1"/>
    <s v="Upper Body"/>
    <x v="300"/>
    <x v="934"/>
    <m/>
    <m/>
    <m/>
    <m/>
    <m/>
    <m/>
    <n v="71"/>
    <n v="122.63"/>
    <m/>
    <m/>
  </r>
  <r>
    <s v="2023-08-07 17:00 (-07)"/>
    <x v="298"/>
    <x v="794"/>
    <x v="1"/>
    <s v="On Demand"/>
    <x v="35"/>
    <x v="1"/>
    <x v="1"/>
    <s v="Core"/>
    <x v="1"/>
    <x v="935"/>
    <m/>
    <m/>
    <m/>
    <m/>
    <m/>
    <m/>
    <n v="61"/>
    <n v="117.81"/>
    <m/>
    <m/>
  </r>
  <r>
    <s v="2023-08-07 22:44 (PST)"/>
    <x v="298"/>
    <x v="373"/>
    <x v="1"/>
    <s v="On Demand"/>
    <x v="25"/>
    <x v="1"/>
    <x v="5"/>
    <s v="Emotions"/>
    <x v="210"/>
    <x v="936"/>
    <m/>
    <m/>
    <m/>
    <m/>
    <m/>
    <m/>
    <m/>
    <m/>
    <m/>
    <m/>
  </r>
  <r>
    <s v="2023-08-14 15:38 (-07)"/>
    <x v="299"/>
    <x v="767"/>
    <x v="1"/>
    <s v="On Demand"/>
    <x v="46"/>
    <x v="0"/>
    <x v="9"/>
    <s v="Body Focus"/>
    <x v="181"/>
    <x v="937"/>
    <n v="94"/>
    <m/>
    <m/>
    <m/>
    <n v="2.77"/>
    <n v="2.2999999999999998"/>
    <n v="378"/>
    <n v="137.97999999999999"/>
    <m/>
    <m/>
  </r>
  <r>
    <s v="2023-08-14 16:26 (-07)"/>
    <x v="299"/>
    <x v="795"/>
    <x v="1"/>
    <s v="On Demand"/>
    <x v="38"/>
    <x v="3"/>
    <x v="7"/>
    <s v="Endurance"/>
    <x v="301"/>
    <x v="938"/>
    <n v="20"/>
    <m/>
    <m/>
    <m/>
    <n v="2.8"/>
    <n v="0.52"/>
    <n v="44"/>
    <n v="142.65"/>
    <m/>
    <m/>
  </r>
  <r>
    <s v="2023-08-14 16:31 (-07)"/>
    <x v="299"/>
    <x v="796"/>
    <x v="1"/>
    <s v="On Demand"/>
    <x v="46"/>
    <x v="3"/>
    <x v="7"/>
    <s v="Warm Up/Cool Down"/>
    <x v="302"/>
    <x v="939"/>
    <n v="17"/>
    <m/>
    <m/>
    <m/>
    <n v="2.62"/>
    <n v="0.49"/>
    <n v="44"/>
    <n v="141.11000000000001"/>
    <m/>
    <m/>
  </r>
  <r>
    <s v="2023-08-14 19:06 (PST)"/>
    <x v="299"/>
    <x v="797"/>
    <x v="1"/>
    <s v="On Demand"/>
    <x v="13"/>
    <x v="2"/>
    <x v="4"/>
    <s v="Flow"/>
    <x v="262"/>
    <x v="940"/>
    <m/>
    <m/>
    <m/>
    <m/>
    <m/>
    <m/>
    <n v="99"/>
    <m/>
    <m/>
    <m/>
  </r>
  <r>
    <s v="2023-08-14 20:34 (PST)"/>
    <x v="299"/>
    <x v="798"/>
    <x v="1"/>
    <s v="On Demand"/>
    <x v="25"/>
    <x v="5"/>
    <x v="5"/>
    <s v="Relaxation"/>
    <x v="112"/>
    <x v="900"/>
    <m/>
    <m/>
    <m/>
    <m/>
    <m/>
    <m/>
    <m/>
    <m/>
    <m/>
    <m/>
  </r>
  <r>
    <s v="2023-08-21 07:59 (PST)"/>
    <x v="300"/>
    <x v="799"/>
    <x v="1"/>
    <s v="On Demand"/>
    <x v="13"/>
    <x v="2"/>
    <x v="4"/>
    <s v="Flow"/>
    <x v="303"/>
    <x v="941"/>
    <m/>
    <m/>
    <m/>
    <m/>
    <m/>
    <m/>
    <n v="98"/>
    <m/>
    <m/>
    <m/>
  </r>
  <r>
    <s v="2023-08-21 16:34 (-07)"/>
    <x v="300"/>
    <x v="267"/>
    <x v="1"/>
    <s v="On Demand"/>
    <x v="4"/>
    <x v="1"/>
    <x v="1"/>
    <s v="Core"/>
    <x v="1"/>
    <x v="942"/>
    <m/>
    <m/>
    <m/>
    <m/>
    <m/>
    <m/>
    <n v="47"/>
    <m/>
    <m/>
    <m/>
  </r>
  <r>
    <s v="2023-08-21 16:47 (-07)"/>
    <x v="300"/>
    <x v="783"/>
    <x v="1"/>
    <s v="On Demand"/>
    <x v="9"/>
    <x v="0"/>
    <x v="0"/>
    <s v="Power Zone"/>
    <x v="222"/>
    <x v="943"/>
    <n v="293"/>
    <n v="109"/>
    <n v="0.38"/>
    <n v="84"/>
    <n v="16.64"/>
    <n v="12.48"/>
    <n v="417"/>
    <n v="145.47"/>
    <m/>
    <m/>
  </r>
  <r>
    <s v="2023-08-21 17:40 (-07)"/>
    <x v="300"/>
    <x v="680"/>
    <x v="1"/>
    <s v="On Demand"/>
    <x v="12"/>
    <x v="3"/>
    <x v="2"/>
    <s v="Pre &amp; Post-Ride Stretch"/>
    <x v="8"/>
    <x v="944"/>
    <m/>
    <m/>
    <m/>
    <m/>
    <m/>
    <m/>
    <n v="12"/>
    <m/>
    <m/>
    <m/>
  </r>
  <r>
    <s v="2023-08-21 21:49 (PST)"/>
    <x v="300"/>
    <x v="227"/>
    <x v="1"/>
    <s v="On Demand"/>
    <x v="25"/>
    <x v="1"/>
    <x v="5"/>
    <s v="Emotions"/>
    <x v="44"/>
    <x v="945"/>
    <m/>
    <m/>
    <m/>
    <m/>
    <m/>
    <m/>
    <m/>
    <m/>
    <m/>
    <m/>
  </r>
  <r>
    <s v="2023-08-28 15:49 (-07)"/>
    <x v="301"/>
    <x v="800"/>
    <x v="1"/>
    <s v="On Demand"/>
    <x v="6"/>
    <x v="0"/>
    <x v="0"/>
    <s v="Power Zone"/>
    <x v="27"/>
    <x v="248"/>
    <n v="318"/>
    <n v="118"/>
    <n v="0.4"/>
    <n v="83"/>
    <n v="17.170000000000002"/>
    <n v="12.87"/>
    <n v="481"/>
    <n v="158.02000000000001"/>
    <m/>
    <m/>
  </r>
  <r>
    <s v="2023-08-28 16:35 (-07)"/>
    <x v="301"/>
    <x v="756"/>
    <x v="1"/>
    <s v="On Demand"/>
    <x v="12"/>
    <x v="1"/>
    <x v="0"/>
    <s v="Low Impact"/>
    <x v="149"/>
    <x v="946"/>
    <n v="35"/>
    <n v="58"/>
    <n v="0.3"/>
    <n v="79"/>
    <n v="12.81"/>
    <n v="2.14"/>
    <n v="44"/>
    <m/>
    <m/>
    <m/>
  </r>
  <r>
    <s v="2023-08-28 16:46 (-07)"/>
    <x v="301"/>
    <x v="653"/>
    <x v="1"/>
    <s v="On Demand"/>
    <x v="22"/>
    <x v="3"/>
    <x v="0"/>
    <s v="Cool Down"/>
    <x v="10"/>
    <x v="947"/>
    <n v="16"/>
    <n v="53"/>
    <n v="0.3"/>
    <n v="74"/>
    <n v="12.23"/>
    <n v="1.02"/>
    <n v="29"/>
    <n v="115.42"/>
    <m/>
    <m/>
  </r>
  <r>
    <s v="2023-08-28 17:03 (-07)"/>
    <x v="301"/>
    <x v="801"/>
    <x v="1"/>
    <s v="On Demand"/>
    <x v="26"/>
    <x v="5"/>
    <x v="1"/>
    <s v="Upper Body"/>
    <x v="285"/>
    <x v="948"/>
    <m/>
    <m/>
    <m/>
    <m/>
    <m/>
    <m/>
    <n v="96"/>
    <n v="106.37"/>
    <m/>
    <m/>
  </r>
  <r>
    <s v="2023-08-28 17:25 (-07)"/>
    <x v="301"/>
    <x v="441"/>
    <x v="1"/>
    <s v="On Demand"/>
    <x v="31"/>
    <x v="1"/>
    <x v="1"/>
    <s v="Core"/>
    <x v="1"/>
    <x v="949"/>
    <m/>
    <m/>
    <m/>
    <m/>
    <m/>
    <m/>
    <n v="40"/>
    <n v="94.38"/>
    <m/>
    <m/>
  </r>
  <r>
    <s v="2023-08-28 21:56 (PST)"/>
    <x v="301"/>
    <x v="588"/>
    <x v="1"/>
    <s v="On Demand"/>
    <x v="28"/>
    <x v="7"/>
    <x v="5"/>
    <s v="Relaxation"/>
    <x v="94"/>
    <x v="950"/>
    <m/>
    <m/>
    <m/>
    <m/>
    <m/>
    <m/>
    <m/>
    <m/>
    <m/>
    <m/>
  </r>
  <r>
    <s v="2023-09-04 00:07 (PST)"/>
    <x v="302"/>
    <x v="802"/>
    <x v="1"/>
    <s v="On Demand"/>
    <x v="13"/>
    <x v="1"/>
    <x v="5"/>
    <s v="Meditation Basics"/>
    <x v="304"/>
    <x v="951"/>
    <m/>
    <m/>
    <m/>
    <m/>
    <m/>
    <m/>
    <m/>
    <m/>
    <m/>
    <m/>
  </r>
  <r>
    <s v="2023-09-04 11:53 (-07)"/>
    <x v="302"/>
    <x v="803"/>
    <x v="1"/>
    <s v="On Demand"/>
    <x v="7"/>
    <x v="0"/>
    <x v="0"/>
    <s v="Power Zone"/>
    <x v="27"/>
    <x v="952"/>
    <n v="309"/>
    <n v="114"/>
    <n v="0.38"/>
    <n v="86"/>
    <n v="16.95"/>
    <n v="12.71"/>
    <n v="490"/>
    <n v="159.75"/>
    <m/>
    <m/>
  </r>
  <r>
    <s v="2023-09-04 12:40 (-07)"/>
    <x v="302"/>
    <x v="804"/>
    <x v="1"/>
    <s v="On Demand"/>
    <x v="1"/>
    <x v="1"/>
    <x v="0"/>
    <s v="Low Impact"/>
    <x v="149"/>
    <x v="938"/>
    <n v="51"/>
    <n v="85"/>
    <n v="0.35"/>
    <n v="82"/>
    <n v="15.03"/>
    <n v="2.5"/>
    <n v="71"/>
    <n v="151.21"/>
    <m/>
    <m/>
  </r>
  <r>
    <s v="2023-09-04 12:51 (-07)"/>
    <x v="302"/>
    <x v="805"/>
    <x v="1"/>
    <s v="On Demand"/>
    <x v="18"/>
    <x v="3"/>
    <x v="0"/>
    <s v="Cool Down"/>
    <x v="10"/>
    <x v="953"/>
    <n v="16"/>
    <n v="55"/>
    <n v="0.3"/>
    <n v="79"/>
    <n v="12.47"/>
    <n v="1.04"/>
    <n v="36"/>
    <n v="130.47"/>
    <m/>
    <m/>
  </r>
  <r>
    <s v="2023-09-04 12:56 (-07)"/>
    <x v="302"/>
    <x v="806"/>
    <x v="1"/>
    <s v="On Demand"/>
    <x v="6"/>
    <x v="3"/>
    <x v="2"/>
    <s v="Pre &amp; Post-Ride Stretch"/>
    <x v="8"/>
    <x v="954"/>
    <m/>
    <m/>
    <m/>
    <m/>
    <m/>
    <m/>
    <n v="29"/>
    <n v="116.85"/>
    <m/>
    <m/>
  </r>
  <r>
    <s v="2023-09-04 21:02 (PST)"/>
    <x v="302"/>
    <x v="807"/>
    <x v="1"/>
    <s v="On Demand"/>
    <x v="7"/>
    <x v="2"/>
    <x v="4"/>
    <s v="Flow"/>
    <x v="305"/>
    <x v="955"/>
    <m/>
    <m/>
    <m/>
    <m/>
    <m/>
    <m/>
    <n v="91"/>
    <m/>
    <m/>
    <m/>
  </r>
  <r>
    <s v="2023-09-04 21:55 (PST)"/>
    <x v="302"/>
    <x v="60"/>
    <x v="1"/>
    <s v="On Demand"/>
    <x v="19"/>
    <x v="7"/>
    <x v="5"/>
    <s v="Emotions"/>
    <x v="293"/>
    <x v="956"/>
    <m/>
    <m/>
    <m/>
    <m/>
    <m/>
    <m/>
    <m/>
    <m/>
    <m/>
    <m/>
  </r>
  <r>
    <s v="2023-09-11 15:20 (-07)"/>
    <x v="303"/>
    <x v="344"/>
    <x v="1"/>
    <s v="On Demand"/>
    <x v="9"/>
    <x v="3"/>
    <x v="0"/>
    <s v="Warm Up"/>
    <x v="22"/>
    <x v="957"/>
    <n v="23"/>
    <n v="76"/>
    <n v="0.32"/>
    <n v="87"/>
    <n v="14.34"/>
    <n v="1.19"/>
    <n v="29"/>
    <n v="117.14"/>
    <m/>
    <m/>
  </r>
  <r>
    <s v="2023-09-11 15:28 (-07)"/>
    <x v="303"/>
    <x v="808"/>
    <x v="1"/>
    <s v="On Demand"/>
    <x v="7"/>
    <x v="0"/>
    <x v="0"/>
    <s v="Power Zone"/>
    <x v="162"/>
    <x v="368"/>
    <n v="307"/>
    <n v="114"/>
    <n v="0.38"/>
    <n v="85"/>
    <n v="16.940000000000001"/>
    <n v="12.7"/>
    <n v="433"/>
    <n v="158.82"/>
    <m/>
    <m/>
  </r>
  <r>
    <s v="2023-09-11 16:14 (-07)"/>
    <x v="303"/>
    <x v="626"/>
    <x v="1"/>
    <s v="On Demand"/>
    <x v="7"/>
    <x v="1"/>
    <x v="0"/>
    <s v="Low Impact"/>
    <x v="149"/>
    <x v="958"/>
    <n v="38"/>
    <n v="63"/>
    <n v="0.3"/>
    <n v="82"/>
    <n v="13.28"/>
    <n v="2.21"/>
    <n v="60"/>
    <n v="131.9"/>
    <m/>
    <m/>
  </r>
  <r>
    <s v="2023-09-11 16:26 (-07)"/>
    <x v="303"/>
    <x v="795"/>
    <x v="1"/>
    <s v="On Demand"/>
    <x v="17"/>
    <x v="1"/>
    <x v="1"/>
    <s v="Arms &amp; Light Weights"/>
    <x v="28"/>
    <x v="959"/>
    <m/>
    <m/>
    <m/>
    <m/>
    <m/>
    <m/>
    <n v="51"/>
    <n v="109.5"/>
    <m/>
    <m/>
  </r>
  <r>
    <s v="2023-09-11 16:38 (-07)"/>
    <x v="303"/>
    <x v="615"/>
    <x v="1"/>
    <s v="On Demand"/>
    <x v="4"/>
    <x v="1"/>
    <x v="1"/>
    <s v="Core"/>
    <x v="1"/>
    <x v="960"/>
    <m/>
    <m/>
    <m/>
    <m/>
    <m/>
    <m/>
    <n v="46"/>
    <n v="105.04"/>
    <m/>
    <m/>
  </r>
  <r>
    <s v="2023-09-11 16:49 (-07)"/>
    <x v="303"/>
    <x v="780"/>
    <x v="1"/>
    <s v="On Demand"/>
    <x v="21"/>
    <x v="1"/>
    <x v="2"/>
    <s v="Full Body Stretch"/>
    <x v="306"/>
    <x v="961"/>
    <m/>
    <m/>
    <m/>
    <m/>
    <m/>
    <m/>
    <n v="39"/>
    <n v="98.11"/>
    <m/>
    <m/>
  </r>
  <r>
    <s v="2023-09-11 20:38 (PST)"/>
    <x v="303"/>
    <x v="465"/>
    <x v="1"/>
    <s v="On Demand"/>
    <x v="13"/>
    <x v="1"/>
    <x v="5"/>
    <s v="Theme"/>
    <x v="307"/>
    <x v="962"/>
    <m/>
    <m/>
    <m/>
    <m/>
    <m/>
    <m/>
    <m/>
    <m/>
    <m/>
    <m/>
  </r>
  <r>
    <s v="2023-09-18 23:47 (MST)"/>
    <x v="304"/>
    <x v="809"/>
    <x v="1"/>
    <s v="On Demand"/>
    <x v="19"/>
    <x v="7"/>
    <x v="5"/>
    <s v="Relaxation"/>
    <x v="106"/>
    <x v="963"/>
    <m/>
    <m/>
    <m/>
    <m/>
    <m/>
    <m/>
    <m/>
    <m/>
    <m/>
    <m/>
  </r>
  <r>
    <s v="2023-09-25 07:50 (PST)"/>
    <x v="305"/>
    <x v="71"/>
    <x v="1"/>
    <s v="On Demand"/>
    <x v="28"/>
    <x v="2"/>
    <x v="4"/>
    <s v="Slow Flow"/>
    <x v="50"/>
    <x v="964"/>
    <m/>
    <m/>
    <m/>
    <m/>
    <m/>
    <m/>
    <n v="93"/>
    <m/>
    <m/>
    <m/>
  </r>
  <r>
    <s v="2023-09-25 16:09 (-07)"/>
    <x v="305"/>
    <x v="810"/>
    <x v="1"/>
    <s v="On Demand"/>
    <x v="37"/>
    <x v="0"/>
    <x v="9"/>
    <s v="Music/Theme "/>
    <x v="13"/>
    <x v="965"/>
    <n v="110"/>
    <m/>
    <m/>
    <m/>
    <n v="2.68"/>
    <n v="2.77"/>
    <n v="357"/>
    <n v="133.63"/>
    <m/>
    <m/>
  </r>
  <r>
    <s v="2023-10-02 07:22 (PST)"/>
    <x v="306"/>
    <x v="811"/>
    <x v="1"/>
    <s v="On Demand"/>
    <x v="13"/>
    <x v="2"/>
    <x v="4"/>
    <s v="Flow"/>
    <x v="224"/>
    <x v="966"/>
    <m/>
    <m/>
    <m/>
    <m/>
    <m/>
    <m/>
    <n v="98"/>
    <m/>
    <m/>
    <m/>
  </r>
  <r>
    <s v="2023-10-02 16:31 (-07)"/>
    <x v="306"/>
    <x v="796"/>
    <x v="1"/>
    <s v="On Demand"/>
    <x v="26"/>
    <x v="3"/>
    <x v="1"/>
    <s v="Core"/>
    <x v="6"/>
    <x v="967"/>
    <m/>
    <m/>
    <m/>
    <m/>
    <m/>
    <m/>
    <n v="25"/>
    <n v="109.16"/>
    <m/>
    <m/>
  </r>
  <r>
    <s v="2023-10-02 16:37 (-07)"/>
    <x v="306"/>
    <x v="609"/>
    <x v="1"/>
    <s v="On Demand"/>
    <x v="20"/>
    <x v="1"/>
    <x v="1"/>
    <s v="Upper Body"/>
    <x v="117"/>
    <x v="968"/>
    <m/>
    <m/>
    <m/>
    <m/>
    <m/>
    <m/>
    <n v="49"/>
    <n v="107.74"/>
    <m/>
    <m/>
  </r>
  <r>
    <s v="2023-10-02 16:50 (-07)"/>
    <x v="306"/>
    <x v="812"/>
    <x v="1"/>
    <s v="On Demand"/>
    <x v="38"/>
    <x v="2"/>
    <x v="7"/>
    <s v="Endurance"/>
    <x v="152"/>
    <x v="969"/>
    <n v="109"/>
    <m/>
    <m/>
    <m/>
    <n v="2.68"/>
    <n v="3"/>
    <n v="240"/>
    <n v="134.66"/>
    <m/>
    <m/>
  </r>
  <r>
    <s v="2023-10-02 22:45 (PST)"/>
    <x v="306"/>
    <x v="676"/>
    <x v="1"/>
    <s v="On Demand"/>
    <x v="28"/>
    <x v="1"/>
    <x v="5"/>
    <s v="Breath"/>
    <x v="154"/>
    <x v="970"/>
    <m/>
    <m/>
    <m/>
    <m/>
    <m/>
    <m/>
    <m/>
    <m/>
    <m/>
    <m/>
  </r>
  <r>
    <s v="2023-10-09 16:27 (-07)"/>
    <x v="307"/>
    <x v="776"/>
    <x v="1"/>
    <s v="On Demand"/>
    <x v="6"/>
    <x v="0"/>
    <x v="0"/>
    <s v="Power Zone"/>
    <x v="27"/>
    <x v="971"/>
    <n v="301"/>
    <n v="111"/>
    <n v="0.39"/>
    <n v="84"/>
    <n v="16.829999999999998"/>
    <n v="12.63"/>
    <n v="464"/>
    <n v="154.54"/>
    <m/>
    <m/>
  </r>
  <r>
    <s v="2023-10-09 17:13 (-07)"/>
    <x v="307"/>
    <x v="353"/>
    <x v="1"/>
    <s v="On Demand"/>
    <x v="15"/>
    <x v="1"/>
    <x v="0"/>
    <s v="Low Impact"/>
    <x v="149"/>
    <x v="972"/>
    <n v="57"/>
    <n v="94"/>
    <n v="0.36"/>
    <n v="85"/>
    <n v="15.72"/>
    <n v="2.62"/>
    <n v="92"/>
    <n v="144.65"/>
    <m/>
    <m/>
  </r>
  <r>
    <s v="2023-10-09 17:24 (-07)"/>
    <x v="307"/>
    <x v="624"/>
    <x v="1"/>
    <s v="On Demand"/>
    <x v="0"/>
    <x v="3"/>
    <x v="0"/>
    <s v="Cool Down"/>
    <x v="10"/>
    <x v="973"/>
    <n v="18"/>
    <n v="59"/>
    <n v="0.28000000000000003"/>
    <n v="86"/>
    <n v="12.84"/>
    <n v="1.07"/>
    <n v="36"/>
    <n v="128"/>
    <m/>
    <m/>
  </r>
  <r>
    <s v="2023-10-09 17:30 (-07)"/>
    <x v="307"/>
    <x v="813"/>
    <x v="1"/>
    <s v="On Demand"/>
    <x v="0"/>
    <x v="1"/>
    <x v="1"/>
    <s v="Arms &amp; Light Weights"/>
    <x v="28"/>
    <x v="974"/>
    <m/>
    <m/>
    <m/>
    <m/>
    <m/>
    <m/>
    <n v="57"/>
    <n v="115.43"/>
    <m/>
    <m/>
  </r>
  <r>
    <s v="2023-10-09 22:19 (PST)"/>
    <x v="307"/>
    <x v="814"/>
    <x v="1"/>
    <s v="On Demand"/>
    <x v="25"/>
    <x v="7"/>
    <x v="4"/>
    <s v="Restoration"/>
    <x v="308"/>
    <x v="975"/>
    <m/>
    <m/>
    <m/>
    <m/>
    <m/>
    <m/>
    <n v="29"/>
    <m/>
    <m/>
    <m/>
  </r>
  <r>
    <s v="2023-10-16 17:12 (EST)"/>
    <x v="308"/>
    <x v="815"/>
    <x v="1"/>
    <s v="On Demand"/>
    <x v="31"/>
    <x v="0"/>
    <x v="6"/>
    <s v="Hiking"/>
    <x v="99"/>
    <x v="976"/>
    <n v="0"/>
    <m/>
    <m/>
    <m/>
    <n v="3"/>
    <n v="2.06"/>
    <n v="391"/>
    <n v="140.07"/>
    <m/>
    <m/>
  </r>
  <r>
    <s v="2023-10-16 17:58 (EST)"/>
    <x v="308"/>
    <x v="816"/>
    <x v="1"/>
    <s v="On Demand"/>
    <x v="31"/>
    <x v="1"/>
    <x v="6"/>
    <s v="Warm Up, Cool Down"/>
    <x v="309"/>
    <x v="977"/>
    <n v="0"/>
    <m/>
    <m/>
    <m/>
    <n v="2.64"/>
    <n v="0.34"/>
    <n v="60"/>
    <n v="117.94"/>
    <m/>
    <m/>
  </r>
  <r>
    <s v="2023-10-16 18:11 (EST)"/>
    <x v="308"/>
    <x v="817"/>
    <x v="1"/>
    <s v="On Demand"/>
    <x v="26"/>
    <x v="1"/>
    <x v="2"/>
    <s v="Lower Body Stretch"/>
    <x v="3"/>
    <x v="978"/>
    <m/>
    <m/>
    <m/>
    <m/>
    <m/>
    <m/>
    <n v="33"/>
    <n v="95.87"/>
    <m/>
    <m/>
  </r>
  <r>
    <s v="2023-10-16 23:55 (EST)"/>
    <x v="308"/>
    <x v="818"/>
    <x v="1"/>
    <s v="On Demand"/>
    <x v="25"/>
    <x v="1"/>
    <x v="5"/>
    <s v="Theme"/>
    <x v="310"/>
    <x v="979"/>
    <m/>
    <m/>
    <m/>
    <m/>
    <m/>
    <m/>
    <m/>
    <m/>
    <m/>
    <m/>
  </r>
  <r>
    <s v="2023-10-23 22:29 (PST)"/>
    <x v="309"/>
    <x v="639"/>
    <x v="1"/>
    <s v="On Demand"/>
    <x v="23"/>
    <x v="1"/>
    <x v="5"/>
    <s v="Emotions"/>
    <x v="15"/>
    <x v="980"/>
    <m/>
    <m/>
    <m/>
    <m/>
    <m/>
    <m/>
    <m/>
    <m/>
    <m/>
    <m/>
  </r>
  <r>
    <s v="2023-10-30 06:23 (PST)"/>
    <x v="310"/>
    <x v="413"/>
    <x v="1"/>
    <s v="On Demand"/>
    <x v="13"/>
    <x v="2"/>
    <x v="4"/>
    <s v="Focus Flow"/>
    <x v="86"/>
    <x v="981"/>
    <m/>
    <m/>
    <m/>
    <m/>
    <m/>
    <m/>
    <n v="98"/>
    <m/>
    <m/>
    <m/>
  </r>
  <r>
    <s v="2023-10-30 15:05 (-07)"/>
    <x v="310"/>
    <x v="819"/>
    <x v="1"/>
    <s v="On Demand"/>
    <x v="9"/>
    <x v="8"/>
    <x v="0"/>
    <s v="Power Zone"/>
    <x v="25"/>
    <x v="982"/>
    <n v="516"/>
    <n v="100"/>
    <n v="0.38"/>
    <n v="80"/>
    <n v="16.100000000000001"/>
    <n v="23.41"/>
    <n v="936"/>
    <n v="158.84"/>
    <m/>
    <m/>
  </r>
  <r>
    <s v="2023-10-30 16:37 (-07)"/>
    <x v="310"/>
    <x v="609"/>
    <x v="1"/>
    <s v="On Demand"/>
    <x v="36"/>
    <x v="1"/>
    <x v="1"/>
    <s v="Arms &amp; Light Weights"/>
    <x v="28"/>
    <x v="983"/>
    <m/>
    <m/>
    <m/>
    <m/>
    <m/>
    <m/>
    <n v="58"/>
    <n v="114.19"/>
    <m/>
    <m/>
  </r>
  <r>
    <s v="2023-10-30 22:56 (PST)"/>
    <x v="310"/>
    <x v="820"/>
    <x v="1"/>
    <s v="On Demand"/>
    <x v="25"/>
    <x v="1"/>
    <x v="5"/>
    <s v="Emotions"/>
    <x v="60"/>
    <x v="984"/>
    <m/>
    <m/>
    <m/>
    <m/>
    <m/>
    <m/>
    <m/>
    <m/>
    <m/>
    <m/>
  </r>
  <r>
    <s v="2023-11-06 08:07 (PST)"/>
    <x v="311"/>
    <x v="450"/>
    <x v="1"/>
    <s v="On Demand"/>
    <x v="7"/>
    <x v="2"/>
    <x v="4"/>
    <s v="Flow"/>
    <x v="311"/>
    <x v="985"/>
    <m/>
    <m/>
    <m/>
    <m/>
    <m/>
    <m/>
    <n v="92"/>
    <m/>
    <m/>
    <m/>
  </r>
  <r>
    <s v="2023-11-06 09:54 (-08)"/>
    <x v="311"/>
    <x v="821"/>
    <x v="1"/>
    <s v="On Demand"/>
    <x v="6"/>
    <x v="0"/>
    <x v="0"/>
    <s v="Power Zone"/>
    <x v="27"/>
    <x v="986"/>
    <n v="303"/>
    <n v="112"/>
    <n v="0.39"/>
    <n v="84"/>
    <n v="16.87"/>
    <n v="12.65"/>
    <n v="479"/>
    <n v="157.5"/>
    <m/>
    <m/>
  </r>
  <r>
    <s v="2023-11-06 10:42 (-08)"/>
    <x v="311"/>
    <x v="822"/>
    <x v="1"/>
    <s v="On Demand"/>
    <x v="18"/>
    <x v="3"/>
    <x v="0"/>
    <s v="Cool Down"/>
    <x v="10"/>
    <x v="987"/>
    <n v="16"/>
    <n v="52"/>
    <n v="0.28000000000000003"/>
    <n v="81"/>
    <n v="12.17"/>
    <n v="1.02"/>
    <n v="36"/>
    <n v="128.82"/>
    <m/>
    <m/>
  </r>
  <r>
    <s v="2023-11-06 10:47 (-08)"/>
    <x v="311"/>
    <x v="823"/>
    <x v="1"/>
    <s v="On Demand"/>
    <x v="4"/>
    <x v="3"/>
    <x v="2"/>
    <s v="Pre &amp; Post-Ride Stretch"/>
    <x v="8"/>
    <x v="988"/>
    <m/>
    <m/>
    <m/>
    <m/>
    <m/>
    <m/>
    <n v="29"/>
    <n v="116.51"/>
    <m/>
    <m/>
  </r>
  <r>
    <s v="2023-11-06 21:57 (PST)"/>
    <x v="311"/>
    <x v="824"/>
    <x v="1"/>
    <s v="On Demand"/>
    <x v="19"/>
    <x v="1"/>
    <x v="5"/>
    <s v="Relaxation"/>
    <x v="71"/>
    <x v="989"/>
    <m/>
    <m/>
    <m/>
    <m/>
    <m/>
    <m/>
    <m/>
    <m/>
    <m/>
    <m/>
  </r>
  <r>
    <s v="2023-11-13 11:05 (PST)"/>
    <x v="312"/>
    <x v="825"/>
    <x v="1"/>
    <m/>
    <x v="34"/>
    <x v="15"/>
    <x v="6"/>
    <m/>
    <x v="312"/>
    <x v="231"/>
    <n v="0"/>
    <m/>
    <m/>
    <m/>
    <n v="3"/>
    <n v="1.96"/>
    <n v="297"/>
    <n v="123.39"/>
    <m/>
    <m/>
  </r>
  <r>
    <s v="2023-11-13 17:49 (-08)"/>
    <x v="312"/>
    <x v="554"/>
    <x v="1"/>
    <s v="On Demand"/>
    <x v="38"/>
    <x v="2"/>
    <x v="7"/>
    <s v="Endurance"/>
    <x v="152"/>
    <x v="990"/>
    <n v="127"/>
    <m/>
    <m/>
    <m/>
    <n v="2.83"/>
    <n v="3.17"/>
    <n v="308"/>
    <n v="153.31"/>
    <m/>
    <m/>
  </r>
  <r>
    <s v="2023-11-13 18:23 (-08)"/>
    <x v="312"/>
    <x v="555"/>
    <x v="1"/>
    <s v="On Demand"/>
    <x v="4"/>
    <x v="1"/>
    <x v="1"/>
    <s v="Upper Body"/>
    <x v="313"/>
    <x v="991"/>
    <m/>
    <m/>
    <m/>
    <m/>
    <m/>
    <m/>
    <n v="71"/>
    <n v="124.68"/>
    <m/>
    <m/>
  </r>
  <r>
    <s v="2023-11-13 18:35 (-08)"/>
    <x v="312"/>
    <x v="826"/>
    <x v="1"/>
    <s v="On Demand"/>
    <x v="24"/>
    <x v="5"/>
    <x v="1"/>
    <s v="Upper Body"/>
    <x v="247"/>
    <x v="992"/>
    <m/>
    <m/>
    <m/>
    <m/>
    <m/>
    <m/>
    <n v="124"/>
    <n v="117.65"/>
    <m/>
    <m/>
  </r>
  <r>
    <s v="2023-11-13 18:55 (-08)"/>
    <x v="312"/>
    <x v="827"/>
    <x v="1"/>
    <s v="On Demand"/>
    <x v="1"/>
    <x v="3"/>
    <x v="1"/>
    <s v="Core"/>
    <x v="6"/>
    <x v="992"/>
    <m/>
    <m/>
    <m/>
    <m/>
    <m/>
    <m/>
    <n v="22"/>
    <n v="101.67"/>
    <m/>
    <m/>
  </r>
  <r>
    <s v="2023-11-13 21:39 (PST)"/>
    <x v="312"/>
    <x v="602"/>
    <x v="1"/>
    <s v="On Demand"/>
    <x v="16"/>
    <x v="1"/>
    <x v="5"/>
    <s v="Theme"/>
    <x v="68"/>
    <x v="993"/>
    <m/>
    <m/>
    <m/>
    <m/>
    <m/>
    <m/>
    <m/>
    <m/>
    <m/>
    <m/>
  </r>
  <r>
    <s v="2023-11-20 16:29 (-08)"/>
    <x v="313"/>
    <x v="158"/>
    <x v="1"/>
    <s v="On Demand"/>
    <x v="7"/>
    <x v="0"/>
    <x v="0"/>
    <s v="Power Zone"/>
    <x v="148"/>
    <x v="994"/>
    <n v="287"/>
    <n v="106"/>
    <n v="0.37"/>
    <n v="85"/>
    <n v="16.46"/>
    <n v="12.35"/>
    <n v="506"/>
    <n v="161.13"/>
    <m/>
    <m/>
  </r>
  <r>
    <s v="2023-11-20 17:20 (-08)"/>
    <x v="313"/>
    <x v="575"/>
    <x v="1"/>
    <s v="On Demand"/>
    <x v="1"/>
    <x v="1"/>
    <x v="0"/>
    <s v="Low Impact"/>
    <x v="149"/>
    <x v="995"/>
    <n v="42"/>
    <n v="70"/>
    <n v="0.31"/>
    <n v="87"/>
    <n v="13.88"/>
    <n v="2.31"/>
    <n v="85"/>
    <n v="138.5"/>
    <m/>
    <m/>
  </r>
  <r>
    <s v="2023-11-20 17:33 (-08)"/>
    <x v="313"/>
    <x v="828"/>
    <x v="1"/>
    <s v="On Demand"/>
    <x v="27"/>
    <x v="1"/>
    <x v="1"/>
    <s v="Core"/>
    <x v="1"/>
    <x v="995"/>
    <m/>
    <m/>
    <m/>
    <m/>
    <m/>
    <m/>
    <n v="49"/>
    <n v="106.46"/>
    <m/>
    <m/>
  </r>
  <r>
    <s v="2023-11-20 22:20 (PST)"/>
    <x v="313"/>
    <x v="766"/>
    <x v="1"/>
    <s v="On Demand"/>
    <x v="13"/>
    <x v="1"/>
    <x v="5"/>
    <s v="Emotions"/>
    <x v="44"/>
    <x v="996"/>
    <m/>
    <m/>
    <m/>
    <m/>
    <m/>
    <m/>
    <m/>
    <m/>
    <m/>
    <m/>
  </r>
  <r>
    <s v="2023-11-27 01:03 (PST)"/>
    <x v="314"/>
    <x v="829"/>
    <x v="1"/>
    <s v="On Demand"/>
    <x v="19"/>
    <x v="1"/>
    <x v="5"/>
    <s v="Emotions"/>
    <x v="109"/>
    <x v="997"/>
    <m/>
    <m/>
    <m/>
    <m/>
    <m/>
    <m/>
    <m/>
    <m/>
    <m/>
    <m/>
  </r>
  <r>
    <s v="2023-11-27 01:15 (PST)"/>
    <x v="314"/>
    <x v="830"/>
    <x v="1"/>
    <s v="On Demand"/>
    <x v="23"/>
    <x v="1"/>
    <x v="5"/>
    <s v="Relaxation"/>
    <x v="34"/>
    <x v="998"/>
    <m/>
    <m/>
    <m/>
    <m/>
    <m/>
    <m/>
    <m/>
    <m/>
    <m/>
    <m/>
  </r>
  <r>
    <s v="2023-11-27 19:05 (PST)"/>
    <x v="314"/>
    <x v="831"/>
    <x v="1"/>
    <s v="On Demand"/>
    <x v="12"/>
    <x v="1"/>
    <x v="1"/>
    <s v="Core"/>
    <x v="314"/>
    <x v="999"/>
    <m/>
    <m/>
    <m/>
    <m/>
    <m/>
    <m/>
    <n v="44"/>
    <n v="101.01"/>
    <m/>
    <m/>
  </r>
  <r>
    <s v="2023-12-04 07:49 (PST)"/>
    <x v="315"/>
    <x v="95"/>
    <x v="1"/>
    <s v="On Demand"/>
    <x v="16"/>
    <x v="2"/>
    <x v="4"/>
    <s v="Flow"/>
    <x v="315"/>
    <x v="1000"/>
    <m/>
    <m/>
    <m/>
    <m/>
    <m/>
    <m/>
    <n v="90"/>
    <m/>
    <m/>
    <m/>
  </r>
  <r>
    <s v="2023-12-04 15:29 (-08)"/>
    <x v="315"/>
    <x v="832"/>
    <x v="1"/>
    <s v="On Demand"/>
    <x v="3"/>
    <x v="1"/>
    <x v="1"/>
    <s v="Core"/>
    <x v="1"/>
    <x v="1001"/>
    <m/>
    <m/>
    <m/>
    <m/>
    <m/>
    <m/>
    <n v="55"/>
    <n v="113.69"/>
    <m/>
    <m/>
  </r>
  <r>
    <s v="2023-12-04 15:41 (-08)"/>
    <x v="315"/>
    <x v="311"/>
    <x v="1"/>
    <s v="On Demand"/>
    <x v="24"/>
    <x v="5"/>
    <x v="1"/>
    <s v="Upper Body"/>
    <x v="247"/>
    <x v="1002"/>
    <m/>
    <m/>
    <m/>
    <m/>
    <m/>
    <m/>
    <n v="129"/>
    <n v="121.52"/>
    <m/>
    <m/>
  </r>
  <r>
    <s v="2023-12-04 16:10 (-08)"/>
    <x v="315"/>
    <x v="833"/>
    <x v="1"/>
    <s v="On Demand"/>
    <x v="6"/>
    <x v="2"/>
    <x v="0"/>
    <s v="Power Zone"/>
    <x v="5"/>
    <x v="1003"/>
    <n v="180"/>
    <n v="100"/>
    <n v="0.37"/>
    <n v="84"/>
    <n v="16.09"/>
    <n v="8.0500000000000007"/>
    <n v="296"/>
    <n v="149.76"/>
    <m/>
    <m/>
  </r>
  <r>
    <s v="2023-12-04 16:42 (-08)"/>
    <x v="315"/>
    <x v="182"/>
    <x v="1"/>
    <s v="On Demand"/>
    <x v="29"/>
    <x v="1"/>
    <x v="0"/>
    <s v="Low Impact"/>
    <x v="149"/>
    <x v="1004"/>
    <n v="53"/>
    <n v="89"/>
    <n v="0.34"/>
    <n v="88"/>
    <n v="15.42"/>
    <n v="2.57"/>
    <n v="95"/>
    <n v="145.57"/>
    <m/>
    <m/>
  </r>
  <r>
    <s v="2023-12-04 16:52 (-08)"/>
    <x v="315"/>
    <x v="834"/>
    <x v="1"/>
    <s v="On Demand"/>
    <x v="12"/>
    <x v="3"/>
    <x v="2"/>
    <s v="Pre &amp; Post-Ride Stretch"/>
    <x v="8"/>
    <x v="1005"/>
    <m/>
    <m/>
    <m/>
    <m/>
    <m/>
    <m/>
    <n v="27"/>
    <n v="110.8"/>
    <m/>
    <m/>
  </r>
  <r>
    <s v="2023-12-11 07:46 (PST)"/>
    <x v="316"/>
    <x v="177"/>
    <x v="1"/>
    <s v="On Demand"/>
    <x v="13"/>
    <x v="2"/>
    <x v="4"/>
    <s v="Flow"/>
    <x v="316"/>
    <x v="1006"/>
    <m/>
    <m/>
    <m/>
    <m/>
    <m/>
    <m/>
    <n v="104"/>
    <m/>
    <m/>
    <m/>
  </r>
  <r>
    <s v="2023-12-11 15:17 (-08)"/>
    <x v="316"/>
    <x v="835"/>
    <x v="1"/>
    <s v="On Demand"/>
    <x v="1"/>
    <x v="7"/>
    <x v="1"/>
    <s v="Core"/>
    <x v="126"/>
    <x v="1007"/>
    <m/>
    <m/>
    <m/>
    <m/>
    <m/>
    <m/>
    <n v="80"/>
    <n v="110.09"/>
    <m/>
    <m/>
  </r>
  <r>
    <s v="2023-12-11 16:35 (-08)"/>
    <x v="316"/>
    <x v="836"/>
    <x v="1"/>
    <s v="On Demand"/>
    <x v="7"/>
    <x v="0"/>
    <x v="0"/>
    <s v="Power Zone"/>
    <x v="137"/>
    <x v="1008"/>
    <n v="272"/>
    <n v="101"/>
    <n v="0.37"/>
    <n v="85"/>
    <n v="16.190000000000001"/>
    <n v="12.14"/>
    <n v="441"/>
    <n v="149.52000000000001"/>
    <m/>
    <m/>
  </r>
  <r>
    <s v="2023-12-11 22:10 (PST)"/>
    <x v="316"/>
    <x v="620"/>
    <x v="1"/>
    <s v="On Demand"/>
    <x v="25"/>
    <x v="1"/>
    <x v="5"/>
    <s v="Emotions"/>
    <x v="15"/>
    <x v="1009"/>
    <m/>
    <m/>
    <m/>
    <m/>
    <m/>
    <m/>
    <m/>
    <m/>
    <m/>
    <m/>
  </r>
  <r>
    <s v="2023-12-18 08:03 (PST)"/>
    <x v="317"/>
    <x v="837"/>
    <x v="1"/>
    <s v="On Demand"/>
    <x v="7"/>
    <x v="2"/>
    <x v="4"/>
    <s v="Slow Flow"/>
    <x v="50"/>
    <x v="1010"/>
    <m/>
    <m/>
    <m/>
    <m/>
    <m/>
    <m/>
    <n v="96"/>
    <m/>
    <m/>
    <m/>
  </r>
  <r>
    <s v="2023-12-18 22:13 (PST)"/>
    <x v="317"/>
    <x v="235"/>
    <x v="1"/>
    <s v="On Demand"/>
    <x v="19"/>
    <x v="1"/>
    <x v="5"/>
    <s v="Emotions"/>
    <x v="151"/>
    <x v="1011"/>
    <m/>
    <m/>
    <m/>
    <m/>
    <m/>
    <m/>
    <m/>
    <m/>
    <m/>
    <m/>
  </r>
  <r>
    <s v="2023-12-25 12:57 (-08)"/>
    <x v="318"/>
    <x v="720"/>
    <x v="1"/>
    <s v="On Demand"/>
    <x v="1"/>
    <x v="5"/>
    <x v="1"/>
    <s v="Core"/>
    <x v="115"/>
    <x v="1012"/>
    <m/>
    <m/>
    <m/>
    <m/>
    <m/>
    <m/>
    <n v="130"/>
    <n v="120.11"/>
    <m/>
    <m/>
  </r>
  <r>
    <s v="2023-12-25 13:18 (-08)"/>
    <x v="318"/>
    <x v="838"/>
    <x v="1"/>
    <s v="On Demand"/>
    <x v="37"/>
    <x v="1"/>
    <x v="1"/>
    <s v="Warm Up"/>
    <x v="317"/>
    <x v="1013"/>
    <m/>
    <m/>
    <m/>
    <m/>
    <m/>
    <m/>
    <n v="56"/>
    <n v="113.52"/>
    <m/>
    <m/>
  </r>
  <r>
    <s v="2023-12-25 13:31 (-08)"/>
    <x v="318"/>
    <x v="839"/>
    <x v="1"/>
    <s v="On Demand"/>
    <x v="37"/>
    <x v="2"/>
    <x v="1"/>
    <s v="Lower Body"/>
    <x v="318"/>
    <x v="1013"/>
    <m/>
    <m/>
    <m/>
    <m/>
    <m/>
    <m/>
    <n v="235"/>
    <n v="132.04"/>
    <m/>
    <m/>
  </r>
  <r>
    <s v="2023-12-25 14:05 (-08)"/>
    <x v="318"/>
    <x v="743"/>
    <x v="1"/>
    <s v="On Demand"/>
    <x v="6"/>
    <x v="2"/>
    <x v="7"/>
    <s v="Endurance"/>
    <x v="152"/>
    <x v="1014"/>
    <n v="110"/>
    <m/>
    <m/>
    <m/>
    <n v="2.69"/>
    <n v="3"/>
    <n v="271"/>
    <n v="143.16999999999999"/>
    <m/>
    <m/>
  </r>
  <r>
    <s v="2023-12-25 14:36 (-08)"/>
    <x v="318"/>
    <x v="840"/>
    <x v="1"/>
    <s v="On Demand"/>
    <x v="49"/>
    <x v="3"/>
    <x v="2"/>
    <s v="Pre &amp; Post-Row Stretch"/>
    <x v="319"/>
    <x v="1015"/>
    <m/>
    <m/>
    <m/>
    <m/>
    <m/>
    <m/>
    <n v="20"/>
    <n v="99.02"/>
    <m/>
    <m/>
  </r>
  <r>
    <s v="2023-12-25 22:17 (PST)"/>
    <x v="318"/>
    <x v="841"/>
    <x v="1"/>
    <s v="On Demand"/>
    <x v="23"/>
    <x v="1"/>
    <x v="5"/>
    <s v="Theme"/>
    <x v="320"/>
    <x v="1016"/>
    <m/>
    <m/>
    <m/>
    <m/>
    <m/>
    <m/>
    <m/>
    <m/>
    <m/>
    <m/>
  </r>
  <r>
    <s v="2024-01-01 16:01 (-08)"/>
    <x v="319"/>
    <x v="842"/>
    <x v="1"/>
    <s v="On Demand"/>
    <x v="37"/>
    <x v="2"/>
    <x v="1"/>
    <s v="Lower Body"/>
    <x v="318"/>
    <x v="1017"/>
    <m/>
    <m/>
    <m/>
    <m/>
    <m/>
    <m/>
    <n v="182"/>
    <n v="117.22"/>
    <m/>
    <m/>
  </r>
  <r>
    <s v="2024-01-01 16:42 (-08)"/>
    <x v="319"/>
    <x v="182"/>
    <x v="1"/>
    <s v="On Demand"/>
    <x v="50"/>
    <x v="7"/>
    <x v="1"/>
    <s v="Core"/>
    <x v="254"/>
    <x v="1018"/>
    <m/>
    <m/>
    <m/>
    <m/>
    <m/>
    <m/>
    <n v="66"/>
    <n v="98.85"/>
    <m/>
    <m/>
  </r>
  <r>
    <s v="2024-01-01 19:07 (PST)"/>
    <x v="319"/>
    <x v="843"/>
    <x v="1"/>
    <s v="On Demand"/>
    <x v="13"/>
    <x v="2"/>
    <x v="4"/>
    <s v="Flow"/>
    <x v="124"/>
    <x v="1019"/>
    <m/>
    <m/>
    <m/>
    <m/>
    <m/>
    <m/>
    <n v="87"/>
    <m/>
    <m/>
    <m/>
  </r>
  <r>
    <s v="2024-01-01 21:47 (PST)"/>
    <x v="319"/>
    <x v="844"/>
    <x v="1"/>
    <s v="On Demand"/>
    <x v="23"/>
    <x v="1"/>
    <x v="5"/>
    <s v="Theme"/>
    <x v="321"/>
    <x v="1020"/>
    <m/>
    <m/>
    <m/>
    <m/>
    <m/>
    <m/>
    <m/>
    <m/>
    <m/>
    <m/>
  </r>
  <r>
    <s v="2024-01-08 07:33 (PST)"/>
    <x v="320"/>
    <x v="118"/>
    <x v="1"/>
    <s v="On Demand"/>
    <x v="23"/>
    <x v="2"/>
    <x v="4"/>
    <s v="Flow"/>
    <x v="41"/>
    <x v="1021"/>
    <m/>
    <m/>
    <m/>
    <m/>
    <m/>
    <m/>
    <n v="103"/>
    <m/>
    <m/>
    <m/>
  </r>
  <r>
    <s v="2024-01-08 15:09 (PST)"/>
    <x v="320"/>
    <x v="845"/>
    <x v="1"/>
    <s v="On Demand"/>
    <x v="21"/>
    <x v="0"/>
    <x v="6"/>
    <s v="Power Walk"/>
    <x v="138"/>
    <x v="1022"/>
    <n v="0"/>
    <m/>
    <m/>
    <m/>
    <n v="0"/>
    <n v="0"/>
    <n v="37"/>
    <m/>
    <m/>
    <m/>
  </r>
  <r>
    <s v="2024-01-08 16:17 (-08)"/>
    <x v="320"/>
    <x v="846"/>
    <x v="1"/>
    <s v="On Demand"/>
    <x v="6"/>
    <x v="0"/>
    <x v="0"/>
    <s v="Power Zone"/>
    <x v="102"/>
    <x v="1023"/>
    <n v="286"/>
    <n v="103"/>
    <n v="0.37"/>
    <n v="83"/>
    <n v="16.12"/>
    <n v="12.37"/>
    <n v="449"/>
    <n v="149.62"/>
    <m/>
    <m/>
  </r>
  <r>
    <s v="2024-01-08 17:05 (-08)"/>
    <x v="320"/>
    <x v="569"/>
    <x v="1"/>
    <s v="On Demand"/>
    <x v="12"/>
    <x v="1"/>
    <x v="0"/>
    <s v="Low Impact"/>
    <x v="149"/>
    <x v="1024"/>
    <n v="37"/>
    <n v="61"/>
    <n v="0.3"/>
    <n v="83"/>
    <n v="13.13"/>
    <n v="2.19"/>
    <n v="72"/>
    <n v="126.39"/>
    <m/>
    <m/>
  </r>
  <r>
    <s v="2024-01-08 17:19 (-08)"/>
    <x v="320"/>
    <x v="847"/>
    <x v="1"/>
    <s v="On Demand"/>
    <x v="26"/>
    <x v="3"/>
    <x v="1"/>
    <s v="Core"/>
    <x v="6"/>
    <x v="1025"/>
    <m/>
    <m/>
    <m/>
    <m/>
    <m/>
    <m/>
    <n v="24"/>
    <n v="105.53"/>
    <m/>
    <m/>
  </r>
  <r>
    <s v="2024-01-08 22:10 (PST)"/>
    <x v="320"/>
    <x v="620"/>
    <x v="1"/>
    <s v="On Demand"/>
    <x v="13"/>
    <x v="1"/>
    <x v="5"/>
    <s v="Emotions"/>
    <x v="210"/>
    <x v="1026"/>
    <m/>
    <m/>
    <m/>
    <m/>
    <m/>
    <m/>
    <m/>
    <m/>
    <m/>
    <m/>
  </r>
  <r>
    <s v="2024-01-15 12:35 (-08)"/>
    <x v="321"/>
    <x v="290"/>
    <x v="1"/>
    <s v="On Demand"/>
    <x v="1"/>
    <x v="7"/>
    <x v="1"/>
    <s v="Core"/>
    <x v="322"/>
    <x v="1027"/>
    <m/>
    <m/>
    <m/>
    <m/>
    <m/>
    <m/>
    <n v="73"/>
    <m/>
    <m/>
    <m/>
  </r>
  <r>
    <s v="2024-01-15 12:52 (-08)"/>
    <x v="321"/>
    <x v="848"/>
    <x v="1"/>
    <s v="On Demand"/>
    <x v="4"/>
    <x v="0"/>
    <x v="0"/>
    <s v="Power Zone"/>
    <x v="85"/>
    <x v="573"/>
    <n v="278"/>
    <n v="103"/>
    <n v="0.37"/>
    <n v="82"/>
    <n v="16.059999999999999"/>
    <n v="12.05"/>
    <n v="489"/>
    <n v="158.63"/>
    <m/>
    <m/>
  </r>
  <r>
    <s v="2024-01-15 13:38 (-08)"/>
    <x v="321"/>
    <x v="849"/>
    <x v="1"/>
    <s v="On Demand"/>
    <x v="1"/>
    <x v="1"/>
    <x v="0"/>
    <s v="Cool Down"/>
    <x v="17"/>
    <x v="1028"/>
    <n v="35"/>
    <n v="58"/>
    <n v="0.28999999999999998"/>
    <n v="82"/>
    <n v="12.79"/>
    <n v="2.13"/>
    <n v="86"/>
    <n v="138.54"/>
    <m/>
    <m/>
  </r>
  <r>
    <s v="2024-01-15 13:49 (-08)"/>
    <x v="321"/>
    <x v="850"/>
    <x v="1"/>
    <s v="On Demand"/>
    <x v="12"/>
    <x v="1"/>
    <x v="1"/>
    <s v="Arms &amp; Light Weights"/>
    <x v="28"/>
    <x v="1029"/>
    <m/>
    <m/>
    <m/>
    <m/>
    <m/>
    <m/>
    <n v="65"/>
    <n v="120.34"/>
    <m/>
    <m/>
  </r>
  <r>
    <s v="2024-01-15 21:49 (PST)"/>
    <x v="321"/>
    <x v="227"/>
    <x v="1"/>
    <s v="On Demand"/>
    <x v="25"/>
    <x v="1"/>
    <x v="5"/>
    <s v="Theme"/>
    <x v="323"/>
    <x v="1030"/>
    <m/>
    <m/>
    <m/>
    <m/>
    <m/>
    <m/>
    <m/>
    <m/>
    <m/>
    <m/>
  </r>
  <r>
    <s v="2020-10-24 08:57 (PST)"/>
    <x v="322"/>
    <x v="287"/>
    <x v="2"/>
    <s v="On Demand"/>
    <x v="6"/>
    <x v="3"/>
    <x v="2"/>
    <s v="Pre-Run Stretch"/>
    <x v="324"/>
    <x v="1031"/>
    <m/>
    <m/>
    <m/>
    <m/>
    <m/>
    <m/>
    <n v="28"/>
    <m/>
    <m/>
    <m/>
  </r>
  <r>
    <s v="2020-10-24 09:04 (PST)"/>
    <x v="322"/>
    <x v="851"/>
    <x v="2"/>
    <s v="On Demand"/>
    <x v="2"/>
    <x v="1"/>
    <x v="2"/>
    <s v="Pre-Run Stretch"/>
    <x v="2"/>
    <x v="2"/>
    <m/>
    <m/>
    <m/>
    <m/>
    <m/>
    <m/>
    <n v="2"/>
    <m/>
    <m/>
    <m/>
  </r>
  <r>
    <s v="2020-10-24 09:45 (PST)"/>
    <x v="322"/>
    <x v="852"/>
    <x v="2"/>
    <s v="On Demand"/>
    <x v="26"/>
    <x v="1"/>
    <x v="2"/>
    <s v="Full Body Stretch"/>
    <x v="4"/>
    <x v="402"/>
    <m/>
    <m/>
    <m/>
    <m/>
    <m/>
    <m/>
    <n v="28"/>
    <m/>
    <m/>
    <m/>
  </r>
  <r>
    <s v="2020-10-31 10:35 (PST)"/>
    <x v="323"/>
    <x v="853"/>
    <x v="2"/>
    <s v="On Demand"/>
    <x v="1"/>
    <x v="2"/>
    <x v="0"/>
    <s v="Music"/>
    <x v="325"/>
    <x v="1032"/>
    <n v="172"/>
    <n v="96"/>
    <n v="0.41"/>
    <n v="75"/>
    <n v="15.65"/>
    <n v="7.82"/>
    <n v="236"/>
    <m/>
    <m/>
    <m/>
  </r>
  <r>
    <s v="2020-10-31 11:19 (PST)"/>
    <x v="323"/>
    <x v="598"/>
    <x v="2"/>
    <s v="On Demand"/>
    <x v="37"/>
    <x v="1"/>
    <x v="2"/>
    <s v="Full Body Stretch"/>
    <x v="4"/>
    <x v="1033"/>
    <m/>
    <m/>
    <m/>
    <m/>
    <m/>
    <m/>
    <n v="26"/>
    <m/>
    <m/>
    <m/>
  </r>
  <r>
    <s v="2020-11-07 16:56 (PST)"/>
    <x v="324"/>
    <x v="372"/>
    <x v="2"/>
    <s v="On Demand"/>
    <x v="1"/>
    <x v="4"/>
    <x v="0"/>
    <s v="Groove"/>
    <x v="326"/>
    <x v="1034"/>
    <n v="105"/>
    <n v="77"/>
    <n v="0.34"/>
    <n v="81"/>
    <n v="14.35"/>
    <n v="5.45"/>
    <n v="143"/>
    <m/>
    <m/>
    <m/>
  </r>
  <r>
    <s v="2020-11-07 17:21 (PST)"/>
    <x v="324"/>
    <x v="854"/>
    <x v="2"/>
    <s v="On Demand"/>
    <x v="1"/>
    <x v="2"/>
    <x v="0"/>
    <s v="Low Impact"/>
    <x v="76"/>
    <x v="1035"/>
    <n v="131"/>
    <n v="73"/>
    <n v="0.36"/>
    <n v="75"/>
    <n v="14.08"/>
    <n v="7.04"/>
    <n v="180"/>
    <m/>
    <m/>
    <m/>
  </r>
  <r>
    <s v="2020-11-07 17:59 (PST)"/>
    <x v="324"/>
    <x v="855"/>
    <x v="2"/>
    <s v="On Demand"/>
    <x v="7"/>
    <x v="1"/>
    <x v="4"/>
    <s v="Focus Flow"/>
    <x v="174"/>
    <x v="404"/>
    <m/>
    <m/>
    <m/>
    <m/>
    <m/>
    <m/>
    <n v="38"/>
    <m/>
    <m/>
    <m/>
  </r>
  <r>
    <s v="2020-11-14 08:32 (PST)"/>
    <x v="325"/>
    <x v="856"/>
    <x v="2"/>
    <s v="On Demand"/>
    <x v="51"/>
    <x v="2"/>
    <x v="0"/>
    <s v="Music"/>
    <x v="327"/>
    <x v="1036"/>
    <n v="161"/>
    <n v="89"/>
    <n v="0.38"/>
    <n v="77"/>
    <n v="15.39"/>
    <n v="7.69"/>
    <n v="220"/>
    <m/>
    <m/>
    <m/>
  </r>
  <r>
    <s v="2020-11-21 09:47 (PST)"/>
    <x v="326"/>
    <x v="857"/>
    <x v="2"/>
    <s v="On Demand"/>
    <x v="15"/>
    <x v="3"/>
    <x v="0"/>
    <s v="Warm Up"/>
    <x v="22"/>
    <x v="1037"/>
    <n v="28"/>
    <n v="91"/>
    <n v="0.33"/>
    <n v="92"/>
    <n v="15.47"/>
    <n v="1.31"/>
    <n v="38"/>
    <m/>
    <m/>
    <m/>
  </r>
  <r>
    <s v="2020-11-21 10:01 (PST)"/>
    <x v="326"/>
    <x v="858"/>
    <x v="2"/>
    <s v="On Demand"/>
    <x v="15"/>
    <x v="2"/>
    <x v="0"/>
    <s v="Theme"/>
    <x v="328"/>
    <x v="1038"/>
    <n v="182"/>
    <n v="101"/>
    <n v="0.4"/>
    <n v="76"/>
    <n v="16.22"/>
    <n v="8.11"/>
    <n v="249"/>
    <m/>
    <m/>
    <m/>
  </r>
  <r>
    <s v="2020-11-21 10:32 (PST)"/>
    <x v="326"/>
    <x v="859"/>
    <x v="2"/>
    <s v="On Demand"/>
    <x v="15"/>
    <x v="3"/>
    <x v="0"/>
    <s v="Cool Down"/>
    <x v="10"/>
    <x v="1039"/>
    <n v="20"/>
    <n v="68"/>
    <n v="0.34"/>
    <n v="71"/>
    <n v="12.98"/>
    <n v="1.08"/>
    <n v="28"/>
    <m/>
    <m/>
    <m/>
  </r>
  <r>
    <s v="2020-11-21 10:47 (PST)"/>
    <x v="326"/>
    <x v="860"/>
    <x v="2"/>
    <s v="On Demand"/>
    <x v="7"/>
    <x v="5"/>
    <x v="4"/>
    <s v="Slow Flow"/>
    <x v="19"/>
    <x v="1040"/>
    <m/>
    <m/>
    <m/>
    <m/>
    <m/>
    <m/>
    <n v="72"/>
    <m/>
    <m/>
    <m/>
  </r>
  <r>
    <s v="2020-12-05 10:30 (PST)"/>
    <x v="327"/>
    <x v="861"/>
    <x v="2"/>
    <s v="On Demand"/>
    <x v="1"/>
    <x v="2"/>
    <x v="0"/>
    <s v="Theme"/>
    <x v="329"/>
    <x v="1041"/>
    <n v="155"/>
    <n v="86"/>
    <n v="0.37"/>
    <n v="79"/>
    <n v="15.12"/>
    <n v="7.55"/>
    <n v="212"/>
    <m/>
    <m/>
    <m/>
  </r>
  <r>
    <s v="2020-12-05 11:11 (PST)"/>
    <x v="327"/>
    <x v="862"/>
    <x v="2"/>
    <s v="On Demand"/>
    <x v="7"/>
    <x v="2"/>
    <x v="4"/>
    <s v="Power"/>
    <x v="330"/>
    <x v="1042"/>
    <m/>
    <m/>
    <m/>
    <m/>
    <m/>
    <m/>
    <n v="113"/>
    <m/>
    <m/>
    <m/>
  </r>
  <r>
    <s v="2020-12-05 11:46 (PST)"/>
    <x v="327"/>
    <x v="679"/>
    <x v="2"/>
    <s v="On Demand"/>
    <x v="16"/>
    <x v="1"/>
    <x v="5"/>
    <s v="Theme"/>
    <x v="210"/>
    <x v="1043"/>
    <m/>
    <m/>
    <m/>
    <m/>
    <m/>
    <m/>
    <m/>
    <m/>
    <m/>
    <m/>
  </r>
  <r>
    <s v="2020-12-12 16:58 (PST)"/>
    <x v="328"/>
    <x v="863"/>
    <x v="2"/>
    <s v="On Demand"/>
    <x v="4"/>
    <x v="3"/>
    <x v="0"/>
    <s v="Warm Up"/>
    <x v="22"/>
    <x v="1044"/>
    <n v="21"/>
    <n v="71"/>
    <n v="0.32"/>
    <n v="84"/>
    <n v="13.9"/>
    <n v="1.1499999999999999"/>
    <n v="26"/>
    <m/>
    <m/>
    <m/>
  </r>
  <r>
    <s v="2020-12-12 17:05 (PST)"/>
    <x v="328"/>
    <x v="864"/>
    <x v="2"/>
    <s v="On Demand"/>
    <x v="12"/>
    <x v="5"/>
    <x v="0"/>
    <s v="Music"/>
    <x v="331"/>
    <x v="1045"/>
    <n v="106"/>
    <n v="88"/>
    <n v="0.35"/>
    <n v="84"/>
    <n v="15.25"/>
    <n v="5.08"/>
    <n v="131"/>
    <m/>
    <m/>
    <m/>
  </r>
  <r>
    <s v="2020-12-12 17:33 (PST)"/>
    <x v="328"/>
    <x v="865"/>
    <x v="2"/>
    <s v="On Demand"/>
    <x v="16"/>
    <x v="0"/>
    <x v="4"/>
    <s v="Flow"/>
    <x v="14"/>
    <x v="1046"/>
    <m/>
    <m/>
    <m/>
    <m/>
    <m/>
    <m/>
    <n v="152"/>
    <m/>
    <m/>
    <m/>
  </r>
  <r>
    <s v="2020-12-19 13:55 (PST)"/>
    <x v="329"/>
    <x v="866"/>
    <x v="2"/>
    <s v="On Demand"/>
    <x v="6"/>
    <x v="0"/>
    <x v="0"/>
    <s v="Power Zone"/>
    <x v="27"/>
    <x v="425"/>
    <n v="216"/>
    <n v="80"/>
    <n v="0.33"/>
    <n v="88"/>
    <n v="14.72"/>
    <n v="10.98"/>
    <n v="267"/>
    <m/>
    <m/>
    <m/>
  </r>
  <r>
    <s v="2020-12-19 14:42 (PST)"/>
    <x v="329"/>
    <x v="867"/>
    <x v="2"/>
    <s v="On Demand"/>
    <x v="12"/>
    <x v="1"/>
    <x v="0"/>
    <s v="Low Impact"/>
    <x v="192"/>
    <x v="1047"/>
    <n v="48"/>
    <n v="81"/>
    <n v="0.33"/>
    <n v="89"/>
    <n v="14.81"/>
    <n v="2.46"/>
    <n v="60"/>
    <m/>
    <m/>
    <m/>
  </r>
  <r>
    <s v="2020-12-19 15:00 (PST)"/>
    <x v="329"/>
    <x v="868"/>
    <x v="2"/>
    <s v="On Demand"/>
    <x v="4"/>
    <x v="1"/>
    <x v="1"/>
    <s v="Lower Body"/>
    <x v="332"/>
    <x v="1048"/>
    <m/>
    <m/>
    <m/>
    <m/>
    <m/>
    <m/>
    <n v="46"/>
    <m/>
    <m/>
    <m/>
  </r>
  <r>
    <s v="2020-12-26 10:27 (PST)"/>
    <x v="330"/>
    <x v="869"/>
    <x v="2"/>
    <s v="On Demand"/>
    <x v="1"/>
    <x v="2"/>
    <x v="0"/>
    <s v="Intervals"/>
    <x v="172"/>
    <x v="1049"/>
    <n v="144"/>
    <n v="80"/>
    <n v="0.36"/>
    <n v="70"/>
    <n v="13.79"/>
    <n v="6.89"/>
    <n v="178"/>
    <m/>
    <m/>
    <m/>
  </r>
  <r>
    <s v="2020-12-26 10:58 (PST)"/>
    <x v="330"/>
    <x v="870"/>
    <x v="2"/>
    <s v="On Demand"/>
    <x v="18"/>
    <x v="3"/>
    <x v="0"/>
    <s v="Cool Down"/>
    <x v="10"/>
    <x v="1050"/>
    <n v="18"/>
    <n v="60"/>
    <n v="0.33"/>
    <n v="73"/>
    <n v="12.84"/>
    <n v="1.06"/>
    <n v="22"/>
    <m/>
    <m/>
    <m/>
  </r>
  <r>
    <s v="2020-12-26 11:09 (PST)"/>
    <x v="330"/>
    <x v="871"/>
    <x v="2"/>
    <s v="On Demand"/>
    <x v="8"/>
    <x v="1"/>
    <x v="1"/>
    <s v="Pilates"/>
    <x v="333"/>
    <x v="417"/>
    <m/>
    <m/>
    <m/>
    <m/>
    <m/>
    <m/>
    <n v="46"/>
    <m/>
    <m/>
    <m/>
  </r>
  <r>
    <s v="2021-01-02 13:31 (PST)"/>
    <x v="331"/>
    <x v="872"/>
    <x v="2"/>
    <s v="On Demand"/>
    <x v="11"/>
    <x v="4"/>
    <x v="3"/>
    <s v="Music"/>
    <x v="334"/>
    <x v="1051"/>
    <n v="206"/>
    <m/>
    <m/>
    <m/>
    <n v="15.96"/>
    <n v="8.8800000000000008"/>
    <n v="326"/>
    <m/>
    <m/>
    <m/>
  </r>
  <r>
    <s v="2021-01-02 14:33 (PST)"/>
    <x v="331"/>
    <x v="873"/>
    <x v="2"/>
    <s v="On Demand"/>
    <x v="17"/>
    <x v="1"/>
    <x v="0"/>
    <s v="Cool Down"/>
    <x v="17"/>
    <x v="1052"/>
    <n v="49"/>
    <n v="81"/>
    <n v="0.36"/>
    <n v="79"/>
    <n v="14.74"/>
    <n v="2.46"/>
    <n v="60"/>
    <m/>
    <m/>
    <m/>
  </r>
  <r>
    <s v="2021-01-02 21:14 (PST)"/>
    <x v="331"/>
    <x v="874"/>
    <x v="2"/>
    <s v="On Demand"/>
    <x v="1"/>
    <x v="3"/>
    <x v="1"/>
    <s v="Core"/>
    <x v="6"/>
    <x v="396"/>
    <m/>
    <m/>
    <m/>
    <m/>
    <m/>
    <m/>
    <n v="23"/>
    <m/>
    <m/>
    <m/>
  </r>
  <r>
    <s v="2021-01-02 21:21 (PST)"/>
    <x v="331"/>
    <x v="875"/>
    <x v="2"/>
    <s v="On Demand"/>
    <x v="7"/>
    <x v="1"/>
    <x v="4"/>
    <s v="Flow"/>
    <x v="335"/>
    <x v="1053"/>
    <m/>
    <m/>
    <m/>
    <m/>
    <m/>
    <m/>
    <n v="34"/>
    <m/>
    <m/>
    <m/>
  </r>
  <r>
    <s v="2021-01-09 19:19 (PST)"/>
    <x v="332"/>
    <x v="876"/>
    <x v="2"/>
    <s v="On Demand"/>
    <x v="6"/>
    <x v="4"/>
    <x v="0"/>
    <s v="Power Zone"/>
    <x v="7"/>
    <x v="1054"/>
    <n v="313"/>
    <n v="87"/>
    <n v="0.34"/>
    <n v="88"/>
    <n v="15.24"/>
    <n v="15.24"/>
    <n v="387"/>
    <m/>
    <m/>
    <m/>
  </r>
  <r>
    <s v="2021-01-09 20:20 (PST)"/>
    <x v="332"/>
    <x v="877"/>
    <x v="2"/>
    <s v="On Demand"/>
    <x v="6"/>
    <x v="1"/>
    <x v="1"/>
    <s v="Full Body"/>
    <x v="336"/>
    <x v="1055"/>
    <m/>
    <m/>
    <m/>
    <m/>
    <m/>
    <m/>
    <n v="49"/>
    <m/>
    <m/>
    <m/>
  </r>
  <r>
    <s v="2021-01-16 22:34 (PST)"/>
    <x v="333"/>
    <x v="596"/>
    <x v="2"/>
    <s v="On Demand"/>
    <x v="13"/>
    <x v="1"/>
    <x v="5"/>
    <s v="Relaxation"/>
    <x v="71"/>
    <x v="1056"/>
    <m/>
    <m/>
    <m/>
    <m/>
    <m/>
    <m/>
    <m/>
    <m/>
    <m/>
    <m/>
  </r>
  <r>
    <s v="2021-01-23 20:56 (PST)"/>
    <x v="334"/>
    <x v="878"/>
    <x v="2"/>
    <s v="On Demand"/>
    <x v="7"/>
    <x v="0"/>
    <x v="4"/>
    <s v="Flow"/>
    <x v="14"/>
    <x v="1057"/>
    <m/>
    <m/>
    <m/>
    <m/>
    <m/>
    <m/>
    <n v="142"/>
    <m/>
    <m/>
    <m/>
  </r>
  <r>
    <s v="2021-01-23 21:44 (PST)"/>
    <x v="334"/>
    <x v="566"/>
    <x v="2"/>
    <s v="On Demand"/>
    <x v="16"/>
    <x v="1"/>
    <x v="5"/>
    <s v="Theme"/>
    <x v="57"/>
    <x v="1058"/>
    <m/>
    <m/>
    <m/>
    <m/>
    <m/>
    <m/>
    <m/>
    <m/>
    <m/>
    <m/>
  </r>
  <r>
    <s v="2021-01-30 19:06 (PST)"/>
    <x v="335"/>
    <x v="797"/>
    <x v="2"/>
    <s v="On Demand"/>
    <x v="16"/>
    <x v="5"/>
    <x v="4"/>
    <s v="Focus Flow"/>
    <x v="337"/>
    <x v="1059"/>
    <m/>
    <m/>
    <m/>
    <m/>
    <m/>
    <m/>
    <n v="67"/>
    <m/>
    <m/>
    <m/>
  </r>
  <r>
    <s v="2021-02-06 20:02 (PST)"/>
    <x v="336"/>
    <x v="879"/>
    <x v="2"/>
    <s v="On Demand"/>
    <x v="7"/>
    <x v="5"/>
    <x v="4"/>
    <s v="Restoration"/>
    <x v="338"/>
    <x v="1060"/>
    <m/>
    <m/>
    <m/>
    <m/>
    <m/>
    <m/>
    <n v="35"/>
    <m/>
    <m/>
    <m/>
  </r>
  <r>
    <s v="2021-02-13 08:47 (PST)"/>
    <x v="337"/>
    <x v="880"/>
    <x v="2"/>
    <s v="On Demand"/>
    <x v="4"/>
    <x v="3"/>
    <x v="0"/>
    <s v="Warm Up"/>
    <x v="22"/>
    <x v="1044"/>
    <n v="22"/>
    <n v="74"/>
    <n v="0.32"/>
    <n v="87"/>
    <n v="14.23"/>
    <n v="1.18"/>
    <n v="27"/>
    <m/>
    <m/>
    <m/>
  </r>
  <r>
    <s v="2021-02-13 08:53 (PST)"/>
    <x v="337"/>
    <x v="881"/>
    <x v="2"/>
    <s v="On Demand"/>
    <x v="4"/>
    <x v="3"/>
    <x v="0"/>
    <s v="Warm Up"/>
    <x v="22"/>
    <x v="1061"/>
    <n v="23"/>
    <n v="77"/>
    <n v="0.31"/>
    <n v="92"/>
    <n v="14.43"/>
    <n v="1.2"/>
    <n v="28"/>
    <m/>
    <m/>
    <m/>
  </r>
  <r>
    <s v="2021-02-13 09:01 (PST)"/>
    <x v="337"/>
    <x v="882"/>
    <x v="2"/>
    <s v="On Demand"/>
    <x v="4"/>
    <x v="4"/>
    <x v="0"/>
    <s v="Climb"/>
    <x v="339"/>
    <x v="1062"/>
    <n v="349"/>
    <n v="97"/>
    <n v="0.42"/>
    <n v="71"/>
    <n v="15.9"/>
    <n v="15.89"/>
    <n v="432"/>
    <m/>
    <m/>
    <m/>
  </r>
  <r>
    <s v="2021-02-13 10:01 (PST)"/>
    <x v="337"/>
    <x v="858"/>
    <x v="2"/>
    <s v="On Demand"/>
    <x v="4"/>
    <x v="3"/>
    <x v="0"/>
    <s v="Cool Down"/>
    <x v="10"/>
    <x v="1063"/>
    <n v="19"/>
    <n v="62"/>
    <n v="0.35"/>
    <n v="69"/>
    <n v="12.97"/>
    <n v="1.08"/>
    <n v="23"/>
    <m/>
    <m/>
    <m/>
  </r>
  <r>
    <s v="2021-02-20 08:52 (PST)"/>
    <x v="338"/>
    <x v="33"/>
    <x v="2"/>
    <s v="On Demand"/>
    <x v="4"/>
    <x v="3"/>
    <x v="0"/>
    <s v="Warm Up"/>
    <x v="22"/>
    <x v="1044"/>
    <n v="21"/>
    <n v="69"/>
    <n v="0.32"/>
    <n v="86"/>
    <n v="14.26"/>
    <n v="1.18"/>
    <n v="25"/>
    <m/>
    <m/>
    <m/>
  </r>
  <r>
    <s v="2021-02-20 09:01 (PST)"/>
    <x v="338"/>
    <x v="882"/>
    <x v="2"/>
    <s v="On Demand"/>
    <x v="9"/>
    <x v="4"/>
    <x v="0"/>
    <s v="Climb"/>
    <x v="339"/>
    <x v="1064"/>
    <n v="383"/>
    <n v="106"/>
    <n v="0.42"/>
    <n v="73"/>
    <n v="16.54"/>
    <n v="16.54"/>
    <n v="474"/>
    <m/>
    <m/>
    <m/>
  </r>
  <r>
    <s v="2021-02-20 10:02 (PST)"/>
    <x v="338"/>
    <x v="883"/>
    <x v="2"/>
    <s v="On Demand"/>
    <x v="9"/>
    <x v="3"/>
    <x v="0"/>
    <s v="Cool Down"/>
    <x v="10"/>
    <x v="1065"/>
    <n v="17"/>
    <n v="59"/>
    <n v="0.32"/>
    <n v="74"/>
    <n v="12.85"/>
    <n v="1.07"/>
    <n v="22"/>
    <m/>
    <m/>
    <m/>
  </r>
  <r>
    <s v="2021-02-20 10:08 (PST)"/>
    <x v="338"/>
    <x v="884"/>
    <x v="2"/>
    <s v="On Demand"/>
    <x v="1"/>
    <x v="3"/>
    <x v="0"/>
    <s v="Cool Down"/>
    <x v="10"/>
    <x v="32"/>
    <n v="19"/>
    <n v="65"/>
    <n v="0.33"/>
    <n v="77"/>
    <n v="13.43"/>
    <n v="1.1200000000000001"/>
    <n v="24"/>
    <m/>
    <m/>
    <m/>
  </r>
  <r>
    <s v="2021-02-20 20:57 (PST)"/>
    <x v="338"/>
    <x v="885"/>
    <x v="2"/>
    <s v="On Demand"/>
    <x v="23"/>
    <x v="1"/>
    <x v="5"/>
    <s v="Sleep"/>
    <x v="39"/>
    <x v="1066"/>
    <m/>
    <m/>
    <m/>
    <m/>
    <m/>
    <m/>
    <m/>
    <m/>
    <m/>
    <m/>
  </r>
  <r>
    <s v="2021-03-06 20:12 (-08)"/>
    <x v="339"/>
    <x v="886"/>
    <x v="2"/>
    <s v="On Demand"/>
    <x v="12"/>
    <x v="1"/>
    <x v="1"/>
    <s v="Arms &amp; Light Weights"/>
    <x v="28"/>
    <x v="1067"/>
    <m/>
    <m/>
    <m/>
    <m/>
    <m/>
    <m/>
    <n v="46"/>
    <m/>
    <m/>
    <m/>
  </r>
  <r>
    <s v="2021-03-06 21:08 (PST)"/>
    <x v="339"/>
    <x v="887"/>
    <x v="2"/>
    <s v="On Demand"/>
    <x v="7"/>
    <x v="5"/>
    <x v="4"/>
    <s v="Restoration"/>
    <x v="338"/>
    <x v="1068"/>
    <m/>
    <m/>
    <m/>
    <m/>
    <m/>
    <m/>
    <n v="40"/>
    <n v="79.27"/>
    <m/>
    <m/>
  </r>
  <r>
    <s v="2021-03-13 20:11 (PST)"/>
    <x v="340"/>
    <x v="888"/>
    <x v="2"/>
    <s v="On Demand"/>
    <x v="19"/>
    <x v="5"/>
    <x v="5"/>
    <s v="Sleep"/>
    <x v="29"/>
    <x v="1069"/>
    <m/>
    <m/>
    <m/>
    <m/>
    <m/>
    <m/>
    <m/>
    <m/>
    <m/>
    <m/>
  </r>
  <r>
    <s v="2021-03-20 08:29 (-07)"/>
    <x v="341"/>
    <x v="889"/>
    <x v="2"/>
    <s v="On Demand"/>
    <x v="15"/>
    <x v="2"/>
    <x v="0"/>
    <s v="Low Impact"/>
    <x v="76"/>
    <x v="1070"/>
    <n v="160"/>
    <n v="89"/>
    <n v="0.37"/>
    <n v="81"/>
    <n v="15.37"/>
    <n v="7.69"/>
    <n v="198"/>
    <m/>
    <m/>
    <m/>
  </r>
  <r>
    <s v="2021-03-20 09:01 (-07)"/>
    <x v="341"/>
    <x v="890"/>
    <x v="2"/>
    <s v="On Demand"/>
    <x v="4"/>
    <x v="4"/>
    <x v="0"/>
    <s v="Music"/>
    <x v="340"/>
    <x v="1071"/>
    <n v="386"/>
    <n v="107"/>
    <n v="0.41"/>
    <n v="78"/>
    <n v="16.53"/>
    <n v="16.53"/>
    <n v="477"/>
    <m/>
    <m/>
    <m/>
  </r>
  <r>
    <s v="2021-03-20 10:04 (-07)"/>
    <x v="341"/>
    <x v="891"/>
    <x v="2"/>
    <s v="On Demand"/>
    <x v="4"/>
    <x v="3"/>
    <x v="0"/>
    <s v="Cool Down"/>
    <x v="10"/>
    <x v="1072"/>
    <n v="23"/>
    <n v="75"/>
    <n v="0.38"/>
    <n v="69"/>
    <n v="14.06"/>
    <n v="1.1599999999999999"/>
    <n v="28"/>
    <m/>
    <m/>
    <m/>
  </r>
  <r>
    <s v="2021-03-20 10:17 (-07)"/>
    <x v="341"/>
    <x v="892"/>
    <x v="2"/>
    <s v="On Demand"/>
    <x v="17"/>
    <x v="1"/>
    <x v="1"/>
    <s v="Arms &amp; Light Weights"/>
    <x v="28"/>
    <x v="1073"/>
    <m/>
    <m/>
    <m/>
    <m/>
    <m/>
    <m/>
    <n v="46"/>
    <m/>
    <m/>
    <m/>
  </r>
  <r>
    <s v="2021-03-20 10:36 (PST)"/>
    <x v="341"/>
    <x v="342"/>
    <x v="2"/>
    <s v="On Demand"/>
    <x v="1"/>
    <x v="1"/>
    <x v="1"/>
    <s v="Core"/>
    <x v="341"/>
    <x v="1074"/>
    <m/>
    <m/>
    <m/>
    <m/>
    <m/>
    <m/>
    <n v="46"/>
    <m/>
    <m/>
    <m/>
  </r>
  <r>
    <s v="2021-03-20 10:48 (PST)"/>
    <x v="341"/>
    <x v="9"/>
    <x v="2"/>
    <s v="On Demand"/>
    <x v="13"/>
    <x v="1"/>
    <x v="4"/>
    <s v="Focus Flow"/>
    <x v="118"/>
    <x v="1075"/>
    <m/>
    <m/>
    <m/>
    <m/>
    <m/>
    <m/>
    <n v="35"/>
    <m/>
    <m/>
    <m/>
  </r>
  <r>
    <s v="2021-03-27 01:37 (PST)"/>
    <x v="342"/>
    <x v="893"/>
    <x v="2"/>
    <s v="On Demand"/>
    <x v="19"/>
    <x v="1"/>
    <x v="5"/>
    <s v="Emotions"/>
    <x v="210"/>
    <x v="1076"/>
    <m/>
    <m/>
    <m/>
    <m/>
    <m/>
    <m/>
    <m/>
    <m/>
    <m/>
    <m/>
  </r>
  <r>
    <s v="2021-03-27 21:58 (PST)"/>
    <x v="342"/>
    <x v="584"/>
    <x v="2"/>
    <s v="On Demand"/>
    <x v="19"/>
    <x v="5"/>
    <x v="5"/>
    <s v="Relaxation"/>
    <x v="84"/>
    <x v="1077"/>
    <m/>
    <m/>
    <m/>
    <m/>
    <m/>
    <m/>
    <m/>
    <m/>
    <m/>
    <m/>
  </r>
  <r>
    <s v="2021-04-03 00:01 (PST)"/>
    <x v="343"/>
    <x v="894"/>
    <x v="2"/>
    <s v="On Demand"/>
    <x v="16"/>
    <x v="5"/>
    <x v="5"/>
    <s v="Mindfulness"/>
    <x v="38"/>
    <x v="64"/>
    <m/>
    <m/>
    <m/>
    <m/>
    <m/>
    <m/>
    <m/>
    <m/>
    <m/>
    <m/>
  </r>
  <r>
    <s v="2021-04-03 21:45 (PST)"/>
    <x v="343"/>
    <x v="537"/>
    <x v="2"/>
    <s v="On Demand"/>
    <x v="19"/>
    <x v="5"/>
    <x v="5"/>
    <s v="Emotions"/>
    <x v="342"/>
    <x v="1078"/>
    <m/>
    <m/>
    <m/>
    <m/>
    <m/>
    <m/>
    <m/>
    <m/>
    <m/>
    <m/>
  </r>
  <r>
    <s v="2021-04-10 09:30 (-07)"/>
    <x v="344"/>
    <x v="895"/>
    <x v="2"/>
    <s v="On Demand"/>
    <x v="6"/>
    <x v="3"/>
    <x v="0"/>
    <s v="Warm Up"/>
    <x v="22"/>
    <x v="1079"/>
    <n v="15"/>
    <n v="52"/>
    <n v="0.25"/>
    <n v="94"/>
    <n v="11.92"/>
    <n v="0.99"/>
    <n v="19"/>
    <m/>
    <m/>
    <m/>
  </r>
  <r>
    <s v="2021-04-10 09:36 (-07)"/>
    <x v="344"/>
    <x v="896"/>
    <x v="2"/>
    <s v="On Demand"/>
    <x v="6"/>
    <x v="0"/>
    <x v="0"/>
    <s v="Power Zone"/>
    <x v="85"/>
    <x v="1080"/>
    <n v="259"/>
    <n v="96"/>
    <n v="0.36"/>
    <n v="86"/>
    <n v="15.78"/>
    <n v="11.84"/>
    <n v="320"/>
    <m/>
    <m/>
    <m/>
  </r>
  <r>
    <s v="2021-04-10 10:25 (-07)"/>
    <x v="344"/>
    <x v="897"/>
    <x v="2"/>
    <s v="On Demand"/>
    <x v="6"/>
    <x v="4"/>
    <x v="0"/>
    <s v="Power Zone"/>
    <x v="7"/>
    <x v="1081"/>
    <n v="328"/>
    <n v="91"/>
    <n v="0.35"/>
    <n v="87"/>
    <n v="15.48"/>
    <n v="15.48"/>
    <n v="406"/>
    <m/>
    <m/>
    <m/>
  </r>
  <r>
    <s v="2021-04-10 11:28 (-07)"/>
    <x v="344"/>
    <x v="898"/>
    <x v="2"/>
    <s v="On Demand"/>
    <x v="4"/>
    <x v="1"/>
    <x v="0"/>
    <s v="Low Impact"/>
    <x v="343"/>
    <x v="1082"/>
    <n v="35"/>
    <n v="58"/>
    <n v="0.28999999999999998"/>
    <n v="84"/>
    <n v="12.67"/>
    <n v="2.11"/>
    <n v="43"/>
    <m/>
    <m/>
    <m/>
  </r>
  <r>
    <s v="2021-04-10 11:55 (PST)"/>
    <x v="344"/>
    <x v="899"/>
    <x v="2"/>
    <s v="On Demand"/>
    <x v="7"/>
    <x v="1"/>
    <x v="4"/>
    <s v="Focus Flow"/>
    <x v="118"/>
    <x v="1083"/>
    <m/>
    <m/>
    <m/>
    <m/>
    <m/>
    <m/>
    <n v="33"/>
    <m/>
    <m/>
    <m/>
  </r>
  <r>
    <s v="2021-04-10 22:31 (PST)"/>
    <x v="344"/>
    <x v="243"/>
    <x v="2"/>
    <s v="On Demand"/>
    <x v="16"/>
    <x v="5"/>
    <x v="5"/>
    <s v="Relaxation"/>
    <x v="84"/>
    <x v="1084"/>
    <m/>
    <m/>
    <m/>
    <m/>
    <m/>
    <m/>
    <m/>
    <m/>
    <m/>
    <m/>
  </r>
  <r>
    <s v="2021-04-17 21:53 (PST)"/>
    <x v="345"/>
    <x v="900"/>
    <x v="2"/>
    <s v="On Demand"/>
    <x v="19"/>
    <x v="2"/>
    <x v="5"/>
    <s v="Relaxation"/>
    <x v="344"/>
    <x v="1085"/>
    <m/>
    <m/>
    <m/>
    <m/>
    <m/>
    <m/>
    <m/>
    <m/>
    <m/>
    <m/>
  </r>
  <r>
    <s v="2021-04-24 10:43 (-07)"/>
    <x v="346"/>
    <x v="901"/>
    <x v="2"/>
    <s v="On Demand"/>
    <x v="6"/>
    <x v="2"/>
    <x v="0"/>
    <s v="Power Zone"/>
    <x v="5"/>
    <x v="1086"/>
    <n v="147"/>
    <n v="81"/>
    <n v="0.33"/>
    <n v="88"/>
    <n v="14.75"/>
    <n v="7.38"/>
    <n v="181"/>
    <m/>
    <m/>
    <m/>
  </r>
  <r>
    <s v="2021-04-24 11:14 (-07)"/>
    <x v="346"/>
    <x v="902"/>
    <x v="2"/>
    <s v="On Demand"/>
    <x v="9"/>
    <x v="4"/>
    <x v="0"/>
    <s v="Climb"/>
    <x v="339"/>
    <x v="1087"/>
    <n v="398"/>
    <n v="111"/>
    <n v="0.45"/>
    <n v="70"/>
    <n v="16.68"/>
    <n v="16.68"/>
    <n v="492"/>
    <m/>
    <m/>
    <m/>
  </r>
  <r>
    <s v="2021-04-24 12:15 (-07)"/>
    <x v="346"/>
    <x v="903"/>
    <x v="2"/>
    <s v="On Demand"/>
    <x v="7"/>
    <x v="1"/>
    <x v="0"/>
    <s v="Cool Down"/>
    <x v="17"/>
    <x v="1088"/>
    <n v="43"/>
    <n v="72"/>
    <n v="0.35"/>
    <n v="76"/>
    <n v="14.03"/>
    <n v="2.34"/>
    <n v="53"/>
    <m/>
    <m/>
    <m/>
  </r>
  <r>
    <s v="2021-04-24 12:26 (-07)"/>
    <x v="346"/>
    <x v="904"/>
    <x v="2"/>
    <s v="On Demand"/>
    <x v="7"/>
    <x v="3"/>
    <x v="2"/>
    <s v="Pre &amp; Post-Ride Stretch"/>
    <x v="8"/>
    <x v="454"/>
    <m/>
    <m/>
    <m/>
    <m/>
    <m/>
    <m/>
    <n v="12"/>
    <m/>
    <m/>
    <m/>
  </r>
  <r>
    <s v="2021-05-01 07:43 (-07)"/>
    <x v="347"/>
    <x v="88"/>
    <x v="2"/>
    <s v="On Demand"/>
    <x v="6"/>
    <x v="2"/>
    <x v="0"/>
    <s v="Power Zone"/>
    <x v="5"/>
    <x v="1089"/>
    <n v="155"/>
    <n v="86"/>
    <n v="0.35"/>
    <n v="84"/>
    <n v="15.11"/>
    <n v="7.56"/>
    <n v="191"/>
    <m/>
    <m/>
    <m/>
  </r>
  <r>
    <s v="2021-05-01 08:15 (-07)"/>
    <x v="347"/>
    <x v="905"/>
    <x v="2"/>
    <s v="On Demand"/>
    <x v="11"/>
    <x v="0"/>
    <x v="1"/>
    <s v="Full Body"/>
    <x v="345"/>
    <x v="1090"/>
    <m/>
    <m/>
    <m/>
    <m/>
    <m/>
    <m/>
    <n v="208"/>
    <m/>
    <m/>
    <m/>
  </r>
  <r>
    <s v="2021-05-01 09:02 (-07)"/>
    <x v="347"/>
    <x v="906"/>
    <x v="2"/>
    <s v="On Demand"/>
    <x v="4"/>
    <x v="1"/>
    <x v="2"/>
    <s v="Full Body Stretch"/>
    <x v="4"/>
    <x v="1091"/>
    <m/>
    <m/>
    <m/>
    <m/>
    <m/>
    <m/>
    <n v="23"/>
    <m/>
    <m/>
    <m/>
  </r>
  <r>
    <s v="2021-05-01 22:48 (PST)"/>
    <x v="347"/>
    <x v="462"/>
    <x v="2"/>
    <s v="On Demand"/>
    <x v="13"/>
    <x v="1"/>
    <x v="5"/>
    <s v="Emotions"/>
    <x v="46"/>
    <x v="1092"/>
    <m/>
    <m/>
    <m/>
    <m/>
    <m/>
    <m/>
    <m/>
    <m/>
    <m/>
    <m/>
  </r>
  <r>
    <s v="2021-05-08 08:12 (PST)"/>
    <x v="348"/>
    <x v="684"/>
    <x v="2"/>
    <s v="On Demand"/>
    <x v="19"/>
    <x v="5"/>
    <x v="4"/>
    <s v="Flow"/>
    <x v="30"/>
    <x v="1093"/>
    <m/>
    <m/>
    <m/>
    <m/>
    <m/>
    <m/>
    <n v="66"/>
    <n v="72"/>
    <m/>
    <m/>
  </r>
  <r>
    <s v="2021-05-08 22:45 (PST)"/>
    <x v="348"/>
    <x v="676"/>
    <x v="2"/>
    <s v="On Demand"/>
    <x v="25"/>
    <x v="5"/>
    <x v="5"/>
    <s v="Emotions"/>
    <x v="53"/>
    <x v="1094"/>
    <m/>
    <m/>
    <m/>
    <m/>
    <m/>
    <m/>
    <m/>
    <m/>
    <m/>
    <m/>
  </r>
  <r>
    <s v="2021-05-15 05:27 (PST)"/>
    <x v="349"/>
    <x v="907"/>
    <x v="2"/>
    <s v="On Demand"/>
    <x v="17"/>
    <x v="3"/>
    <x v="5"/>
    <s v="Fitness Focus"/>
    <x v="346"/>
    <x v="1095"/>
    <m/>
    <m/>
    <m/>
    <m/>
    <m/>
    <m/>
    <m/>
    <m/>
    <m/>
    <m/>
  </r>
  <r>
    <s v="2021-05-15 06:11 (-07)"/>
    <x v="349"/>
    <x v="908"/>
    <x v="2"/>
    <s v="On Demand"/>
    <x v="7"/>
    <x v="3"/>
    <x v="0"/>
    <s v="Warm Up"/>
    <x v="22"/>
    <x v="481"/>
    <n v="23"/>
    <n v="77"/>
    <n v="0.3"/>
    <n v="97"/>
    <n v="14.39"/>
    <n v="1.2"/>
    <n v="29"/>
    <m/>
    <m/>
    <m/>
  </r>
  <r>
    <s v="2021-05-15 22:21 (PST)"/>
    <x v="349"/>
    <x v="740"/>
    <x v="2"/>
    <s v="On Demand"/>
    <x v="19"/>
    <x v="5"/>
    <x v="5"/>
    <s v="Emotions"/>
    <x v="347"/>
    <x v="1096"/>
    <m/>
    <m/>
    <m/>
    <m/>
    <m/>
    <m/>
    <m/>
    <m/>
    <m/>
    <m/>
  </r>
  <r>
    <s v="2021-05-22 10:17 (PST)"/>
    <x v="350"/>
    <x v="909"/>
    <x v="2"/>
    <s v="On Demand"/>
    <x v="7"/>
    <x v="0"/>
    <x v="4"/>
    <s v="Flow"/>
    <x v="14"/>
    <x v="1097"/>
    <m/>
    <m/>
    <m/>
    <m/>
    <m/>
    <m/>
    <n v="147"/>
    <m/>
    <m/>
    <m/>
  </r>
  <r>
    <s v="2021-05-22 22:50 (PST)"/>
    <x v="350"/>
    <x v="762"/>
    <x v="2"/>
    <s v="On Demand"/>
    <x v="16"/>
    <x v="5"/>
    <x v="5"/>
    <s v="Sleep"/>
    <x v="29"/>
    <x v="48"/>
    <m/>
    <m/>
    <m/>
    <m/>
    <m/>
    <m/>
    <m/>
    <m/>
    <m/>
    <m/>
  </r>
  <r>
    <s v="2021-05-29 20:19 (PST)"/>
    <x v="351"/>
    <x v="910"/>
    <x v="2"/>
    <s v="On Demand"/>
    <x v="16"/>
    <x v="1"/>
    <x v="5"/>
    <s v="Sleep"/>
    <x v="39"/>
    <x v="1098"/>
    <m/>
    <m/>
    <m/>
    <m/>
    <m/>
    <m/>
    <m/>
    <m/>
    <m/>
    <m/>
  </r>
  <r>
    <s v="2021-05-29 22:27 (PST)"/>
    <x v="351"/>
    <x v="448"/>
    <x v="2"/>
    <s v="On Demand"/>
    <x v="23"/>
    <x v="5"/>
    <x v="5"/>
    <s v="Emotions"/>
    <x v="203"/>
    <x v="1099"/>
    <m/>
    <m/>
    <m/>
    <m/>
    <m/>
    <m/>
    <m/>
    <m/>
    <m/>
    <m/>
  </r>
  <r>
    <s v="2021-06-05 15:55 (PST)"/>
    <x v="352"/>
    <x v="911"/>
    <x v="2"/>
    <s v="On Demand"/>
    <x v="25"/>
    <x v="3"/>
    <x v="5"/>
    <s v="Emotions"/>
    <x v="127"/>
    <x v="1100"/>
    <m/>
    <m/>
    <m/>
    <m/>
    <m/>
    <m/>
    <m/>
    <n v="66.28"/>
    <m/>
    <m/>
  </r>
  <r>
    <s v="2021-06-12 12:23 (-07)"/>
    <x v="353"/>
    <x v="215"/>
    <x v="2"/>
    <s v="On Demand"/>
    <x v="5"/>
    <x v="2"/>
    <x v="0"/>
    <s v="Power Zone"/>
    <x v="5"/>
    <x v="1101"/>
    <n v="172"/>
    <n v="95"/>
    <n v="0.35"/>
    <n v="88"/>
    <n v="15.76"/>
    <n v="7.88"/>
    <n v="212"/>
    <m/>
    <m/>
    <m/>
  </r>
  <r>
    <s v="2021-06-12 12:56 (-07)"/>
    <x v="353"/>
    <x v="806"/>
    <x v="2"/>
    <s v="On Demand"/>
    <x v="11"/>
    <x v="5"/>
    <x v="1"/>
    <s v="Lower Body"/>
    <x v="228"/>
    <x v="1102"/>
    <m/>
    <m/>
    <m/>
    <m/>
    <m/>
    <m/>
    <n v="92"/>
    <m/>
    <m/>
    <m/>
  </r>
  <r>
    <s v="2021-06-12 13:17 (-07)"/>
    <x v="353"/>
    <x v="912"/>
    <x v="2"/>
    <s v="On Demand"/>
    <x v="11"/>
    <x v="1"/>
    <x v="1"/>
    <s v="Core"/>
    <x v="1"/>
    <x v="1103"/>
    <m/>
    <m/>
    <m/>
    <m/>
    <m/>
    <m/>
    <n v="46"/>
    <m/>
    <m/>
    <m/>
  </r>
  <r>
    <s v="2021-06-19 20:06 (PST)"/>
    <x v="354"/>
    <x v="913"/>
    <x v="2"/>
    <s v="On Demand"/>
    <x v="19"/>
    <x v="2"/>
    <x v="4"/>
    <s v="Focus Flow"/>
    <x v="86"/>
    <x v="1104"/>
    <m/>
    <m/>
    <m/>
    <m/>
    <m/>
    <m/>
    <n v="89"/>
    <m/>
    <m/>
    <m/>
  </r>
  <r>
    <s v="2021-06-19 21:12 (PST)"/>
    <x v="354"/>
    <x v="914"/>
    <x v="2"/>
    <s v="On Demand"/>
    <x v="25"/>
    <x v="5"/>
    <x v="5"/>
    <s v="Sleep"/>
    <x v="29"/>
    <x v="1105"/>
    <m/>
    <m/>
    <m/>
    <m/>
    <m/>
    <m/>
    <m/>
    <m/>
    <m/>
    <m/>
  </r>
  <r>
    <s v="2021-06-19 21:12 (PST)"/>
    <x v="354"/>
    <x v="914"/>
    <x v="2"/>
    <s v="On Demand"/>
    <x v="25"/>
    <x v="5"/>
    <x v="5"/>
    <s v="Sleep"/>
    <x v="29"/>
    <x v="1105"/>
    <m/>
    <m/>
    <m/>
    <m/>
    <m/>
    <m/>
    <m/>
    <m/>
    <m/>
    <m/>
  </r>
  <r>
    <s v="2021-06-26 11:52 (-07)"/>
    <x v="355"/>
    <x v="915"/>
    <x v="2"/>
    <s v="On Demand"/>
    <x v="6"/>
    <x v="2"/>
    <x v="0"/>
    <s v="Power Zone"/>
    <x v="5"/>
    <x v="1106"/>
    <n v="173"/>
    <n v="96"/>
    <n v="0.36"/>
    <n v="87"/>
    <n v="15.8"/>
    <n v="7.9"/>
    <n v="213"/>
    <m/>
    <m/>
    <m/>
  </r>
  <r>
    <s v="2021-06-26 12:23 (-07)"/>
    <x v="355"/>
    <x v="215"/>
    <x v="2"/>
    <s v="On Demand"/>
    <x v="5"/>
    <x v="1"/>
    <x v="1"/>
    <s v="Arms &amp; Light Weights"/>
    <x v="348"/>
    <x v="1107"/>
    <m/>
    <m/>
    <m/>
    <m/>
    <m/>
    <m/>
    <n v="46"/>
    <m/>
    <m/>
    <m/>
  </r>
  <r>
    <s v="2021-06-26 12:35 (-07)"/>
    <x v="355"/>
    <x v="323"/>
    <x v="2"/>
    <s v="On Demand"/>
    <x v="4"/>
    <x v="7"/>
    <x v="1"/>
    <s v="Lower Body"/>
    <x v="349"/>
    <x v="485"/>
    <m/>
    <m/>
    <m/>
    <m/>
    <m/>
    <m/>
    <n v="69"/>
    <m/>
    <m/>
    <m/>
  </r>
  <r>
    <s v="2021-06-26 12:50 (-07)"/>
    <x v="355"/>
    <x v="916"/>
    <x v="2"/>
    <s v="On Demand"/>
    <x v="22"/>
    <x v="3"/>
    <x v="2"/>
    <s v="Pre &amp; Post-Ride Stretch"/>
    <x v="8"/>
    <x v="1108"/>
    <m/>
    <m/>
    <m/>
    <m/>
    <m/>
    <m/>
    <n v="11"/>
    <m/>
    <m/>
    <m/>
  </r>
  <r>
    <s v="2021-06-26 13:59 (PST)"/>
    <x v="355"/>
    <x v="917"/>
    <x v="2"/>
    <s v="On Demand"/>
    <x v="37"/>
    <x v="1"/>
    <x v="1"/>
    <s v="Core"/>
    <x v="1"/>
    <x v="1109"/>
    <m/>
    <m/>
    <m/>
    <m/>
    <m/>
    <m/>
    <n v="46"/>
    <m/>
    <m/>
    <m/>
  </r>
  <r>
    <s v="2021-06-26 14:10 (PST)"/>
    <x v="355"/>
    <x v="362"/>
    <x v="2"/>
    <s v="On Demand"/>
    <x v="13"/>
    <x v="0"/>
    <x v="4"/>
    <s v="Focus Flow"/>
    <x v="350"/>
    <x v="1110"/>
    <m/>
    <m/>
    <m/>
    <m/>
    <m/>
    <m/>
    <n v="143"/>
    <m/>
    <m/>
    <m/>
  </r>
  <r>
    <s v="2021-06-26 23:35 (PST)"/>
    <x v="355"/>
    <x v="918"/>
    <x v="2"/>
    <s v="On Demand"/>
    <x v="25"/>
    <x v="1"/>
    <x v="5"/>
    <s v="Relaxation"/>
    <x v="71"/>
    <x v="1111"/>
    <m/>
    <m/>
    <m/>
    <m/>
    <m/>
    <m/>
    <m/>
    <m/>
    <m/>
    <m/>
  </r>
  <r>
    <s v="2021-07-03 05:50 (-07)"/>
    <x v="356"/>
    <x v="919"/>
    <x v="2"/>
    <s v="On Demand"/>
    <x v="7"/>
    <x v="0"/>
    <x v="0"/>
    <s v="Power Zone"/>
    <x v="85"/>
    <x v="1112"/>
    <n v="268"/>
    <n v="99"/>
    <n v="0.37"/>
    <n v="82"/>
    <n v="15.83"/>
    <n v="11.88"/>
    <n v="331"/>
    <m/>
    <m/>
    <m/>
  </r>
  <r>
    <s v="2021-07-03 06:35 (-07)"/>
    <x v="356"/>
    <x v="478"/>
    <x v="2"/>
    <s v="On Demand"/>
    <x v="0"/>
    <x v="3"/>
    <x v="0"/>
    <s v="Cool Down"/>
    <x v="351"/>
    <x v="1113"/>
    <n v="25"/>
    <n v="84"/>
    <n v="0.4"/>
    <n v="68"/>
    <n v="14.7"/>
    <n v="1.23"/>
    <n v="31"/>
    <m/>
    <m/>
    <m/>
  </r>
  <r>
    <s v="2021-07-03 06:42 (-07)"/>
    <x v="356"/>
    <x v="87"/>
    <x v="2"/>
    <s v="On Demand"/>
    <x v="7"/>
    <x v="3"/>
    <x v="2"/>
    <s v="Pre &amp; Post-Ride Stretch"/>
    <x v="8"/>
    <x v="499"/>
    <m/>
    <m/>
    <m/>
    <m/>
    <m/>
    <m/>
    <n v="11"/>
    <m/>
    <m/>
    <m/>
  </r>
  <r>
    <s v="2021-07-03 06:49 (-07)"/>
    <x v="356"/>
    <x v="433"/>
    <x v="2"/>
    <s v="On Demand"/>
    <x v="11"/>
    <x v="3"/>
    <x v="1"/>
    <s v="Core"/>
    <x v="6"/>
    <x v="1114"/>
    <m/>
    <m/>
    <m/>
    <m/>
    <m/>
    <m/>
    <n v="23"/>
    <m/>
    <m/>
    <m/>
  </r>
  <r>
    <s v="2021-07-10 23:45 (PST)"/>
    <x v="357"/>
    <x v="212"/>
    <x v="2"/>
    <s v="On Demand"/>
    <x v="19"/>
    <x v="1"/>
    <x v="5"/>
    <s v="Relaxation"/>
    <x v="71"/>
    <x v="1115"/>
    <m/>
    <m/>
    <m/>
    <m/>
    <m/>
    <m/>
    <m/>
    <m/>
    <m/>
    <m/>
  </r>
  <r>
    <s v="2021-07-24 21:13 (PST)"/>
    <x v="358"/>
    <x v="338"/>
    <x v="2"/>
    <s v="On Demand"/>
    <x v="16"/>
    <x v="1"/>
    <x v="4"/>
    <s v="Focus Flow"/>
    <x v="352"/>
    <x v="1116"/>
    <m/>
    <m/>
    <m/>
    <m/>
    <m/>
    <m/>
    <n v="35"/>
    <n v="93.4"/>
    <m/>
    <m/>
  </r>
  <r>
    <s v="2021-07-24 21:38 (PST)"/>
    <x v="358"/>
    <x v="920"/>
    <x v="2"/>
    <s v="On Demand"/>
    <x v="13"/>
    <x v="5"/>
    <x v="5"/>
    <s v="Sleep"/>
    <x v="29"/>
    <x v="491"/>
    <m/>
    <m/>
    <m/>
    <m/>
    <m/>
    <m/>
    <m/>
    <m/>
    <m/>
    <m/>
  </r>
  <r>
    <s v="2021-07-31 08:12 (-07)"/>
    <x v="359"/>
    <x v="921"/>
    <x v="2"/>
    <s v="On Demand"/>
    <x v="6"/>
    <x v="8"/>
    <x v="0"/>
    <s v="Power Zone"/>
    <x v="25"/>
    <x v="1117"/>
    <n v="550"/>
    <n v="102"/>
    <n v="0.38"/>
    <n v="83"/>
    <n v="16.28"/>
    <n v="24.42"/>
    <n v="679"/>
    <m/>
    <m/>
    <m/>
  </r>
  <r>
    <s v="2021-07-31 09:43 (-07)"/>
    <x v="359"/>
    <x v="922"/>
    <x v="2"/>
    <s v="On Demand"/>
    <x v="20"/>
    <x v="1"/>
    <x v="1"/>
    <s v="Core"/>
    <x v="1"/>
    <x v="1118"/>
    <m/>
    <m/>
    <m/>
    <m/>
    <m/>
    <m/>
    <n v="46"/>
    <m/>
    <m/>
    <m/>
  </r>
  <r>
    <s v="2021-07-31 21:53 (PST)"/>
    <x v="359"/>
    <x v="900"/>
    <x v="2"/>
    <s v="On Demand"/>
    <x v="25"/>
    <x v="5"/>
    <x v="5"/>
    <s v="Emotions"/>
    <x v="347"/>
    <x v="1119"/>
    <m/>
    <m/>
    <m/>
    <m/>
    <m/>
    <m/>
    <m/>
    <m/>
    <m/>
    <m/>
  </r>
  <r>
    <s v="2021-08-07 08:38 (PST)"/>
    <x v="360"/>
    <x v="923"/>
    <x v="2"/>
    <s v="On Demand"/>
    <x v="28"/>
    <x v="5"/>
    <x v="4"/>
    <s v="Focus Flow"/>
    <x v="353"/>
    <x v="1120"/>
    <m/>
    <m/>
    <m/>
    <m/>
    <m/>
    <m/>
    <n v="60"/>
    <m/>
    <m/>
    <m/>
  </r>
  <r>
    <s v="2021-08-07 22:30 (PST)"/>
    <x v="360"/>
    <x v="57"/>
    <x v="2"/>
    <s v="On Demand"/>
    <x v="23"/>
    <x v="3"/>
    <x v="5"/>
    <s v="Relaxation"/>
    <x v="89"/>
    <x v="1121"/>
    <m/>
    <m/>
    <m/>
    <m/>
    <m/>
    <m/>
    <m/>
    <m/>
    <m/>
    <m/>
  </r>
  <r>
    <s v="2021-08-14 14:16 (PST)"/>
    <x v="361"/>
    <x v="924"/>
    <x v="2"/>
    <s v="On Demand"/>
    <x v="16"/>
    <x v="6"/>
    <x v="4"/>
    <s v="Flow"/>
    <x v="354"/>
    <x v="1122"/>
    <m/>
    <m/>
    <m/>
    <m/>
    <m/>
    <m/>
    <n v="253"/>
    <m/>
    <m/>
    <m/>
  </r>
  <r>
    <s v="2021-08-21 10:51 (-07)"/>
    <x v="362"/>
    <x v="348"/>
    <x v="2"/>
    <s v="On Demand"/>
    <x v="6"/>
    <x v="4"/>
    <x v="0"/>
    <s v="Power Zone"/>
    <x v="23"/>
    <x v="1123"/>
    <n v="371"/>
    <n v="103"/>
    <n v="0.36"/>
    <n v="88"/>
    <n v="16.22"/>
    <n v="16.22"/>
    <n v="457"/>
    <m/>
    <m/>
    <m/>
  </r>
  <r>
    <s v="2021-08-21 11:51 (-07)"/>
    <x v="362"/>
    <x v="925"/>
    <x v="2"/>
    <s v="On Demand"/>
    <x v="6"/>
    <x v="3"/>
    <x v="0"/>
    <s v="Cool Down"/>
    <x v="10"/>
    <x v="111"/>
    <n v="16"/>
    <n v="54"/>
    <n v="0.26"/>
    <n v="91"/>
    <n v="12.35"/>
    <n v="1.03"/>
    <n v="20"/>
    <m/>
    <m/>
    <m/>
  </r>
  <r>
    <s v="2021-08-21 11:57 (-07)"/>
    <x v="362"/>
    <x v="926"/>
    <x v="2"/>
    <s v="On Demand"/>
    <x v="24"/>
    <x v="1"/>
    <x v="1"/>
    <s v="Core"/>
    <x v="1"/>
    <x v="1124"/>
    <m/>
    <m/>
    <m/>
    <m/>
    <m/>
    <m/>
    <n v="46"/>
    <m/>
    <m/>
    <m/>
  </r>
  <r>
    <s v="2021-08-21 12:10 (-07)"/>
    <x v="362"/>
    <x v="927"/>
    <x v="2"/>
    <s v="On Demand"/>
    <x v="29"/>
    <x v="3"/>
    <x v="2"/>
    <s v="Pre &amp; Post-Ride Stretch"/>
    <x v="8"/>
    <x v="1125"/>
    <m/>
    <m/>
    <m/>
    <m/>
    <m/>
    <m/>
    <n v="11"/>
    <m/>
    <m/>
    <m/>
  </r>
  <r>
    <s v="2021-08-28 18:24 (PST)"/>
    <x v="363"/>
    <x v="928"/>
    <x v="2"/>
    <s v="On Demand"/>
    <x v="23"/>
    <x v="2"/>
    <x v="4"/>
    <s v="Focus Flow"/>
    <x v="90"/>
    <x v="1126"/>
    <m/>
    <m/>
    <m/>
    <m/>
    <m/>
    <m/>
    <n v="114"/>
    <n v="103.39"/>
    <m/>
    <m/>
  </r>
  <r>
    <s v="2021-08-28 18:57 (PST)"/>
    <x v="363"/>
    <x v="929"/>
    <x v="2"/>
    <s v="On Demand"/>
    <x v="26"/>
    <x v="1"/>
    <x v="1"/>
    <s v="Core"/>
    <x v="1"/>
    <x v="1127"/>
    <m/>
    <m/>
    <m/>
    <m/>
    <m/>
    <m/>
    <n v="49"/>
    <n v="108.54"/>
    <m/>
    <m/>
  </r>
  <r>
    <s v="2021-08-28 21:28 (PST)"/>
    <x v="363"/>
    <x v="315"/>
    <x v="2"/>
    <s v="On Demand"/>
    <x v="16"/>
    <x v="5"/>
    <x v="5"/>
    <s v="Sleep"/>
    <x v="29"/>
    <x v="48"/>
    <m/>
    <m/>
    <m/>
    <m/>
    <m/>
    <m/>
    <m/>
    <m/>
    <m/>
    <m/>
  </r>
  <r>
    <s v="2021-09-04 14:53 (-07)"/>
    <x v="364"/>
    <x v="930"/>
    <x v="2"/>
    <s v="On Demand"/>
    <x v="7"/>
    <x v="0"/>
    <x v="0"/>
    <s v="Power Zone"/>
    <x v="85"/>
    <x v="100"/>
    <n v="281"/>
    <n v="104"/>
    <n v="0.37"/>
    <n v="83"/>
    <n v="16.21"/>
    <n v="12.16"/>
    <n v="347"/>
    <m/>
    <m/>
    <m/>
  </r>
  <r>
    <s v="2021-09-04 15:38 (-07)"/>
    <x v="364"/>
    <x v="767"/>
    <x v="2"/>
    <s v="On Demand"/>
    <x v="7"/>
    <x v="1"/>
    <x v="0"/>
    <s v="Cool Down"/>
    <x v="17"/>
    <x v="1088"/>
    <n v="53"/>
    <n v="89"/>
    <n v="0.35"/>
    <n v="86"/>
    <n v="15.3"/>
    <n v="2.5499999999999998"/>
    <n v="66"/>
    <m/>
    <m/>
    <m/>
  </r>
  <r>
    <s v="2021-09-04 15:50 (-07)"/>
    <x v="364"/>
    <x v="931"/>
    <x v="2"/>
    <s v="On Demand"/>
    <x v="7"/>
    <x v="3"/>
    <x v="2"/>
    <s v="Pre &amp; Post-Ride Stretch"/>
    <x v="8"/>
    <x v="499"/>
    <m/>
    <m/>
    <m/>
    <m/>
    <m/>
    <m/>
    <n v="11"/>
    <m/>
    <m/>
    <m/>
  </r>
  <r>
    <s v="2021-09-04 21:58 (PST)"/>
    <x v="364"/>
    <x v="584"/>
    <x v="2"/>
    <s v="On Demand"/>
    <x v="23"/>
    <x v="1"/>
    <x v="5"/>
    <s v="Emotions"/>
    <x v="210"/>
    <x v="1128"/>
    <m/>
    <m/>
    <m/>
    <m/>
    <m/>
    <m/>
    <m/>
    <m/>
    <m/>
    <m/>
  </r>
  <r>
    <s v="2021-09-11 10:35 (-07)"/>
    <x v="365"/>
    <x v="932"/>
    <x v="2"/>
    <s v="On Demand"/>
    <x v="9"/>
    <x v="0"/>
    <x v="0"/>
    <s v="Power Zone"/>
    <x v="85"/>
    <x v="100"/>
    <n v="271"/>
    <n v="100"/>
    <n v="0.37"/>
    <n v="83"/>
    <n v="15.98"/>
    <n v="11.99"/>
    <n v="334"/>
    <m/>
    <m/>
    <m/>
  </r>
  <r>
    <s v="2021-09-11 11:22 (-07)"/>
    <x v="365"/>
    <x v="933"/>
    <x v="2"/>
    <s v="On Demand"/>
    <x v="29"/>
    <x v="1"/>
    <x v="0"/>
    <s v="Low Impact"/>
    <x v="192"/>
    <x v="1129"/>
    <n v="33"/>
    <n v="55"/>
    <n v="0.3"/>
    <n v="79"/>
    <n v="12.45"/>
    <n v="2.08"/>
    <n v="41"/>
    <m/>
    <m/>
    <m/>
  </r>
  <r>
    <s v="2021-09-11 11:37 (-07)"/>
    <x v="365"/>
    <x v="934"/>
    <x v="2"/>
    <s v="On Demand"/>
    <x v="37"/>
    <x v="2"/>
    <x v="1"/>
    <s v="Full Body"/>
    <x v="125"/>
    <x v="1130"/>
    <m/>
    <m/>
    <m/>
    <m/>
    <m/>
    <m/>
    <n v="138"/>
    <m/>
    <m/>
    <m/>
  </r>
  <r>
    <s v="2021-09-11 12:10 (-07)"/>
    <x v="365"/>
    <x v="927"/>
    <x v="2"/>
    <s v="On Demand"/>
    <x v="21"/>
    <x v="1"/>
    <x v="1"/>
    <s v="Core"/>
    <x v="1"/>
    <x v="1131"/>
    <m/>
    <m/>
    <m/>
    <m/>
    <m/>
    <m/>
    <n v="46"/>
    <m/>
    <m/>
    <m/>
  </r>
  <r>
    <s v="2021-09-11 21:14 (PST)"/>
    <x v="365"/>
    <x v="874"/>
    <x v="2"/>
    <s v="On Demand"/>
    <x v="23"/>
    <x v="3"/>
    <x v="5"/>
    <s v="Sleep"/>
    <x v="58"/>
    <x v="1132"/>
    <m/>
    <m/>
    <m/>
    <m/>
    <m/>
    <m/>
    <m/>
    <m/>
    <m/>
    <m/>
  </r>
  <r>
    <s v="2021-09-18 22:15 (PST)"/>
    <x v="366"/>
    <x v="593"/>
    <x v="2"/>
    <s v="On Demand"/>
    <x v="13"/>
    <x v="1"/>
    <x v="5"/>
    <s v="Sleep"/>
    <x v="355"/>
    <x v="1133"/>
    <m/>
    <m/>
    <m/>
    <m/>
    <m/>
    <m/>
    <m/>
    <m/>
    <m/>
    <m/>
  </r>
  <r>
    <s v="2021-09-25 10:31 (-07)"/>
    <x v="367"/>
    <x v="935"/>
    <x v="2"/>
    <s v="On Demand"/>
    <x v="6"/>
    <x v="1"/>
    <x v="0"/>
    <s v="Power Zone"/>
    <x v="356"/>
    <x v="100"/>
    <n v="58"/>
    <n v="96"/>
    <n v="0.33"/>
    <n v="94"/>
    <n v="15.64"/>
    <n v="2.61"/>
    <n v="71"/>
    <m/>
    <m/>
    <m/>
  </r>
  <r>
    <s v="2021-09-25 10:43 (-07)"/>
    <x v="367"/>
    <x v="901"/>
    <x v="2"/>
    <s v="On Demand"/>
    <x v="6"/>
    <x v="5"/>
    <x v="0"/>
    <s v="Power Zone"/>
    <x v="88"/>
    <x v="100"/>
    <n v="174"/>
    <n v="145"/>
    <n v="0.43"/>
    <n v="84"/>
    <n v="18.86"/>
    <n v="6.29"/>
    <n v="215"/>
    <m/>
    <m/>
    <m/>
  </r>
  <r>
    <s v="2021-09-25 11:06 (-07)"/>
    <x v="367"/>
    <x v="936"/>
    <x v="2"/>
    <s v="On Demand"/>
    <x v="12"/>
    <x v="5"/>
    <x v="0"/>
    <s v="Low Impact"/>
    <x v="67"/>
    <x v="1134"/>
    <n v="85"/>
    <n v="71"/>
    <n v="0.33"/>
    <n v="82"/>
    <n v="14"/>
    <n v="4.67"/>
    <n v="105"/>
    <m/>
    <m/>
    <m/>
  </r>
  <r>
    <s v="2021-09-25 11:36 (-07)"/>
    <x v="367"/>
    <x v="937"/>
    <x v="2"/>
    <s v="On Demand"/>
    <x v="6"/>
    <x v="3"/>
    <x v="2"/>
    <s v="Pre &amp; Post-Ride Stretch"/>
    <x v="8"/>
    <x v="111"/>
    <m/>
    <m/>
    <m/>
    <m/>
    <m/>
    <m/>
    <n v="11"/>
    <m/>
    <m/>
    <m/>
  </r>
  <r>
    <s v="2021-10-02 15:36 (-07)"/>
    <x v="368"/>
    <x v="938"/>
    <x v="2"/>
    <s v="On Demand"/>
    <x v="11"/>
    <x v="0"/>
    <x v="3"/>
    <s v="Body Focus"/>
    <x v="181"/>
    <x v="1135"/>
    <n v="173"/>
    <m/>
    <m/>
    <m/>
    <n v="17.09"/>
    <n v="7.03"/>
    <n v="263"/>
    <m/>
    <m/>
    <m/>
  </r>
  <r>
    <s v="2021-10-02 16:26 (-07)"/>
    <x v="368"/>
    <x v="795"/>
    <x v="2"/>
    <s v="On Demand"/>
    <x v="6"/>
    <x v="2"/>
    <x v="0"/>
    <s v="Power Zone"/>
    <x v="196"/>
    <x v="1136"/>
    <n v="148"/>
    <n v="82"/>
    <n v="0.33"/>
    <n v="87"/>
    <n v="14.87"/>
    <n v="7.44"/>
    <n v="183"/>
    <m/>
    <m/>
    <m/>
  </r>
  <r>
    <s v="2021-10-02 16:59 (-07)"/>
    <x v="368"/>
    <x v="627"/>
    <x v="2"/>
    <s v="On Demand"/>
    <x v="9"/>
    <x v="3"/>
    <x v="2"/>
    <s v="Pre &amp; Post-Ride Stretch"/>
    <x v="8"/>
    <x v="105"/>
    <m/>
    <m/>
    <m/>
    <m/>
    <m/>
    <m/>
    <n v="12"/>
    <m/>
    <m/>
    <m/>
  </r>
  <r>
    <s v="2021-10-02 17:07 (-07)"/>
    <x v="368"/>
    <x v="939"/>
    <x v="2"/>
    <s v="On Demand"/>
    <x v="7"/>
    <x v="1"/>
    <x v="4"/>
    <s v="Flow"/>
    <x v="178"/>
    <x v="1137"/>
    <m/>
    <m/>
    <m/>
    <m/>
    <m/>
    <m/>
    <n v="34"/>
    <m/>
    <m/>
    <m/>
  </r>
  <r>
    <s v="2021-10-02 23:51 (PST)"/>
    <x v="368"/>
    <x v="116"/>
    <x v="2"/>
    <s v="On Demand"/>
    <x v="25"/>
    <x v="5"/>
    <x v="5"/>
    <s v="Relaxation"/>
    <x v="35"/>
    <x v="1138"/>
    <m/>
    <m/>
    <m/>
    <m/>
    <m/>
    <m/>
    <m/>
    <m/>
    <m/>
    <m/>
  </r>
  <r>
    <s v="2021-10-09 10:55 (-07)"/>
    <x v="369"/>
    <x v="940"/>
    <x v="2"/>
    <s v="On Demand"/>
    <x v="6"/>
    <x v="4"/>
    <x v="0"/>
    <s v="Power Zone"/>
    <x v="7"/>
    <x v="1139"/>
    <n v="379"/>
    <n v="105"/>
    <n v="0.38"/>
    <n v="83"/>
    <n v="16.5"/>
    <n v="16.5"/>
    <n v="467"/>
    <m/>
    <m/>
    <m/>
  </r>
  <r>
    <s v="2021-10-09 11:55 (-07)"/>
    <x v="369"/>
    <x v="661"/>
    <x v="2"/>
    <s v="On Demand"/>
    <x v="6"/>
    <x v="3"/>
    <x v="0"/>
    <s v="Cool Down"/>
    <x v="10"/>
    <x v="111"/>
    <n v="18"/>
    <n v="61"/>
    <n v="0.28999999999999998"/>
    <n v="87"/>
    <n v="13.12"/>
    <n v="1.0900000000000001"/>
    <n v="22"/>
    <m/>
    <m/>
    <m/>
  </r>
  <r>
    <s v="2021-10-09 12:01 (-07)"/>
    <x v="369"/>
    <x v="941"/>
    <x v="2"/>
    <s v="On Demand"/>
    <x v="5"/>
    <x v="1"/>
    <x v="1"/>
    <s v="Core"/>
    <x v="1"/>
    <x v="1140"/>
    <m/>
    <m/>
    <m/>
    <m/>
    <m/>
    <m/>
    <n v="46"/>
    <m/>
    <m/>
    <m/>
  </r>
  <r>
    <s v="2021-10-09 12:12 (-07)"/>
    <x v="369"/>
    <x v="214"/>
    <x v="2"/>
    <s v="On Demand"/>
    <x v="9"/>
    <x v="3"/>
    <x v="2"/>
    <s v="Pre &amp; Post-Ride Stretch"/>
    <x v="8"/>
    <x v="105"/>
    <m/>
    <m/>
    <m/>
    <m/>
    <m/>
    <m/>
    <n v="11"/>
    <m/>
    <m/>
    <m/>
  </r>
  <r>
    <s v="2021-10-16 19:38 (PST)"/>
    <x v="370"/>
    <x v="942"/>
    <x v="2"/>
    <s v="On Demand"/>
    <x v="8"/>
    <x v="7"/>
    <x v="2"/>
    <s v="Lower Body Stretch"/>
    <x v="357"/>
    <x v="65"/>
    <m/>
    <m/>
    <m/>
    <m/>
    <m/>
    <m/>
    <n v="34"/>
    <m/>
    <m/>
    <m/>
  </r>
  <r>
    <s v="2021-10-16 19:56 (PST)"/>
    <x v="370"/>
    <x v="943"/>
    <x v="2"/>
    <s v="On Demand"/>
    <x v="8"/>
    <x v="7"/>
    <x v="2"/>
    <s v="Foam Rolling"/>
    <x v="358"/>
    <x v="151"/>
    <m/>
    <m/>
    <m/>
    <m/>
    <m/>
    <m/>
    <n v="65"/>
    <m/>
    <m/>
    <m/>
  </r>
  <r>
    <s v="2021-10-16 21:57 (PST)"/>
    <x v="370"/>
    <x v="824"/>
    <x v="2"/>
    <s v="On Demand"/>
    <x v="19"/>
    <x v="1"/>
    <x v="5"/>
    <s v="Mindfulness"/>
    <x v="51"/>
    <x v="1141"/>
    <m/>
    <m/>
    <m/>
    <m/>
    <m/>
    <m/>
    <m/>
    <m/>
    <m/>
    <m/>
  </r>
  <r>
    <s v="2021-10-30 18:27 (PST)"/>
    <x v="371"/>
    <x v="259"/>
    <x v="2"/>
    <s v="On Demand"/>
    <x v="7"/>
    <x v="2"/>
    <x v="4"/>
    <s v="Slow Flow"/>
    <x v="50"/>
    <x v="1142"/>
    <m/>
    <m/>
    <m/>
    <m/>
    <m/>
    <m/>
    <n v="101"/>
    <m/>
    <m/>
    <m/>
  </r>
  <r>
    <s v="2021-10-30 23:59 (PST)"/>
    <x v="371"/>
    <x v="264"/>
    <x v="2"/>
    <s v="On Demand"/>
    <x v="19"/>
    <x v="1"/>
    <x v="5"/>
    <s v="Sleep"/>
    <x v="39"/>
    <x v="1143"/>
    <m/>
    <m/>
    <m/>
    <m/>
    <m/>
    <m/>
    <m/>
    <m/>
    <m/>
    <m/>
  </r>
  <r>
    <s v="2021-11-06 11:55 (PST)"/>
    <x v="372"/>
    <x v="899"/>
    <x v="2"/>
    <s v="On Demand"/>
    <x v="1"/>
    <x v="1"/>
    <x v="1"/>
    <s v="Arms &amp; Light Weights"/>
    <x v="28"/>
    <x v="1144"/>
    <m/>
    <m/>
    <m/>
    <m/>
    <m/>
    <m/>
    <n v="46"/>
    <m/>
    <m/>
    <m/>
  </r>
  <r>
    <s v="2021-11-06 12:06 (PST)"/>
    <x v="372"/>
    <x v="944"/>
    <x v="2"/>
    <s v="On Demand"/>
    <x v="24"/>
    <x v="1"/>
    <x v="1"/>
    <s v="Core"/>
    <x v="1"/>
    <x v="1145"/>
    <m/>
    <m/>
    <m/>
    <m/>
    <m/>
    <m/>
    <n v="46"/>
    <m/>
    <m/>
    <m/>
  </r>
  <r>
    <s v="2021-11-06 12:18 (PST)"/>
    <x v="372"/>
    <x v="191"/>
    <x v="2"/>
    <s v="On Demand"/>
    <x v="16"/>
    <x v="0"/>
    <x v="4"/>
    <s v="Slow Flow"/>
    <x v="33"/>
    <x v="1146"/>
    <m/>
    <m/>
    <m/>
    <m/>
    <m/>
    <m/>
    <n v="136"/>
    <m/>
    <m/>
    <m/>
  </r>
  <r>
    <s v="2021-11-06 23:41 (PST)"/>
    <x v="372"/>
    <x v="251"/>
    <x v="2"/>
    <s v="On Demand"/>
    <x v="25"/>
    <x v="1"/>
    <x v="5"/>
    <s v="Relaxation"/>
    <x v="71"/>
    <x v="1147"/>
    <m/>
    <m/>
    <m/>
    <m/>
    <m/>
    <m/>
    <m/>
    <m/>
    <m/>
    <m/>
  </r>
  <r>
    <s v="2021-11-13 17:36 (-08)"/>
    <x v="373"/>
    <x v="564"/>
    <x v="2"/>
    <s v="On Demand"/>
    <x v="6"/>
    <x v="3"/>
    <x v="0"/>
    <s v="Warm Up"/>
    <x v="22"/>
    <x v="1148"/>
    <n v="20"/>
    <n v="68"/>
    <n v="0.28999999999999998"/>
    <n v="91"/>
    <n v="13.65"/>
    <n v="1.1299999999999999"/>
    <n v="25"/>
    <m/>
    <m/>
    <m/>
  </r>
  <r>
    <s v="2021-11-13 17:42 (-08)"/>
    <x v="373"/>
    <x v="945"/>
    <x v="2"/>
    <s v="On Demand"/>
    <x v="6"/>
    <x v="4"/>
    <x v="0"/>
    <s v="Power Zone"/>
    <x v="7"/>
    <x v="1149"/>
    <n v="358"/>
    <n v="100"/>
    <n v="0.38"/>
    <n v="82"/>
    <n v="16.07"/>
    <n v="16.07"/>
    <n v="442"/>
    <m/>
    <m/>
    <m/>
  </r>
  <r>
    <s v="2021-11-13 18:42 (-08)"/>
    <x v="373"/>
    <x v="946"/>
    <x v="2"/>
    <s v="On Demand"/>
    <x v="6"/>
    <x v="3"/>
    <x v="0"/>
    <s v="Cool Down"/>
    <x v="10"/>
    <x v="137"/>
    <n v="14"/>
    <n v="45"/>
    <n v="0.25"/>
    <n v="85"/>
    <n v="11.4"/>
    <n v="0.95"/>
    <n v="17"/>
    <m/>
    <m/>
    <m/>
  </r>
  <r>
    <s v="2021-11-13 18:54 (-08)"/>
    <x v="373"/>
    <x v="947"/>
    <x v="2"/>
    <s v="On Demand"/>
    <x v="16"/>
    <x v="1"/>
    <x v="4"/>
    <s v="Focus Flow"/>
    <x v="118"/>
    <x v="1150"/>
    <m/>
    <m/>
    <m/>
    <m/>
    <m/>
    <m/>
    <n v="34"/>
    <m/>
    <m/>
    <m/>
  </r>
  <r>
    <s v="2021-11-13 22:09 (PST)"/>
    <x v="373"/>
    <x v="468"/>
    <x v="2"/>
    <s v="On Demand"/>
    <x v="16"/>
    <x v="1"/>
    <x v="5"/>
    <s v="Theme"/>
    <x v="68"/>
    <x v="1151"/>
    <m/>
    <m/>
    <m/>
    <m/>
    <m/>
    <m/>
    <m/>
    <m/>
    <m/>
    <m/>
  </r>
  <r>
    <s v="2021-11-20 13:01 (-08)"/>
    <x v="374"/>
    <x v="948"/>
    <x v="2"/>
    <s v="On Demand"/>
    <x v="6"/>
    <x v="4"/>
    <x v="0"/>
    <s v="Power Zone"/>
    <x v="7"/>
    <x v="1152"/>
    <n v="361"/>
    <n v="100"/>
    <n v="0.36"/>
    <n v="87"/>
    <n v="16.14"/>
    <n v="16.14"/>
    <n v="445"/>
    <m/>
    <m/>
    <m/>
  </r>
  <r>
    <s v="2021-11-20 14:01 (-08)"/>
    <x v="374"/>
    <x v="949"/>
    <x v="2"/>
    <s v="On Demand"/>
    <x v="6"/>
    <x v="3"/>
    <x v="0"/>
    <s v="Cool Down"/>
    <x v="10"/>
    <x v="137"/>
    <n v="16"/>
    <n v="53"/>
    <n v="0.27"/>
    <n v="86"/>
    <n v="12.3"/>
    <n v="1.03"/>
    <n v="20"/>
    <m/>
    <m/>
    <m/>
  </r>
  <r>
    <s v="2021-11-20 14:09 (-08)"/>
    <x v="374"/>
    <x v="950"/>
    <x v="2"/>
    <s v="On Demand"/>
    <x v="1"/>
    <x v="1"/>
    <x v="1"/>
    <s v="Core"/>
    <x v="1"/>
    <x v="1153"/>
    <m/>
    <m/>
    <m/>
    <m/>
    <m/>
    <m/>
    <n v="46"/>
    <m/>
    <m/>
    <m/>
  </r>
  <r>
    <s v="2021-11-20 14:20 (-08)"/>
    <x v="374"/>
    <x v="951"/>
    <x v="2"/>
    <s v="On Demand"/>
    <x v="1"/>
    <x v="3"/>
    <x v="2"/>
    <s v="Pre &amp; Post-Ride Stretch"/>
    <x v="8"/>
    <x v="1154"/>
    <m/>
    <m/>
    <m/>
    <m/>
    <m/>
    <m/>
    <n v="11"/>
    <m/>
    <m/>
    <m/>
  </r>
  <r>
    <s v="2021-12-04 08:36 (PST)"/>
    <x v="375"/>
    <x v="952"/>
    <x v="2"/>
    <s v="On Demand"/>
    <x v="7"/>
    <x v="2"/>
    <x v="4"/>
    <s v="Slow Flow"/>
    <x v="359"/>
    <x v="1155"/>
    <m/>
    <m/>
    <m/>
    <m/>
    <m/>
    <m/>
    <n v="96"/>
    <m/>
    <m/>
    <m/>
  </r>
  <r>
    <s v="2021-12-04 11:43 (PST)"/>
    <x v="375"/>
    <x v="953"/>
    <x v="2"/>
    <s v="On Demand"/>
    <x v="16"/>
    <x v="1"/>
    <x v="5"/>
    <s v="Theme"/>
    <x v="68"/>
    <x v="1156"/>
    <m/>
    <m/>
    <m/>
    <m/>
    <m/>
    <m/>
    <m/>
    <m/>
    <m/>
    <m/>
  </r>
  <r>
    <s v="2021-12-11 23:13 (PST)"/>
    <x v="376"/>
    <x v="268"/>
    <x v="2"/>
    <s v="On Demand"/>
    <x v="23"/>
    <x v="7"/>
    <x v="5"/>
    <s v="Relaxation"/>
    <x v="106"/>
    <x v="1157"/>
    <m/>
    <m/>
    <m/>
    <m/>
    <m/>
    <m/>
    <m/>
    <m/>
    <m/>
    <m/>
  </r>
  <r>
    <s v="2021-12-18 14:31 (-08)"/>
    <x v="377"/>
    <x v="954"/>
    <x v="2"/>
    <s v="On Demand"/>
    <x v="6"/>
    <x v="0"/>
    <x v="0"/>
    <s v="Power Zone"/>
    <x v="27"/>
    <x v="1158"/>
    <n v="280"/>
    <n v="104"/>
    <n v="0.38"/>
    <n v="85"/>
    <n v="16.36"/>
    <n v="12.26"/>
    <n v="345"/>
    <m/>
    <m/>
    <m/>
  </r>
  <r>
    <s v="2021-12-18 15:17 (-08)"/>
    <x v="377"/>
    <x v="835"/>
    <x v="2"/>
    <s v="On Demand"/>
    <x v="6"/>
    <x v="5"/>
    <x v="0"/>
    <s v="Low Impact"/>
    <x v="360"/>
    <x v="1159"/>
    <n v="98"/>
    <n v="81"/>
    <n v="0.32"/>
    <n v="92"/>
    <n v="14.83"/>
    <n v="4.9400000000000004"/>
    <n v="120"/>
    <m/>
    <m/>
    <m/>
  </r>
  <r>
    <s v="2021-12-18 16:38 (PST)"/>
    <x v="377"/>
    <x v="955"/>
    <x v="2"/>
    <s v="On Demand"/>
    <x v="7"/>
    <x v="2"/>
    <x v="4"/>
    <s v="Flow"/>
    <x v="124"/>
    <x v="1160"/>
    <m/>
    <m/>
    <m/>
    <m/>
    <m/>
    <m/>
    <n v="99"/>
    <m/>
    <m/>
    <m/>
  </r>
  <r>
    <s v="2021-12-18 22:41 (PST)"/>
    <x v="377"/>
    <x v="230"/>
    <x v="2"/>
    <s v="On Demand"/>
    <x v="13"/>
    <x v="3"/>
    <x v="5"/>
    <s v="Relaxation"/>
    <x v="89"/>
    <x v="1161"/>
    <m/>
    <m/>
    <m/>
    <m/>
    <m/>
    <m/>
    <m/>
    <m/>
    <m/>
    <m/>
  </r>
  <r>
    <s v="2021-12-25 08:27 (PST)"/>
    <x v="378"/>
    <x v="956"/>
    <x v="2"/>
    <s v="On Demand"/>
    <x v="16"/>
    <x v="2"/>
    <x v="4"/>
    <s v="Flow"/>
    <x v="262"/>
    <x v="1162"/>
    <m/>
    <m/>
    <m/>
    <m/>
    <m/>
    <m/>
    <n v="101"/>
    <m/>
    <m/>
    <m/>
  </r>
  <r>
    <s v="2021-12-25 08:59 (PST)"/>
    <x v="378"/>
    <x v="957"/>
    <x v="2"/>
    <s v="On Demand"/>
    <x v="20"/>
    <x v="1"/>
    <x v="1"/>
    <s v="Core"/>
    <x v="1"/>
    <x v="1163"/>
    <m/>
    <m/>
    <m/>
    <m/>
    <m/>
    <m/>
    <n v="46"/>
    <m/>
    <m/>
    <m/>
  </r>
  <r>
    <s v="2021-12-25 22:08 (PST)"/>
    <x v="378"/>
    <x v="435"/>
    <x v="2"/>
    <s v="On Demand"/>
    <x v="25"/>
    <x v="1"/>
    <x v="5"/>
    <s v="Relaxation"/>
    <x v="34"/>
    <x v="1164"/>
    <m/>
    <m/>
    <m/>
    <m/>
    <m/>
    <m/>
    <m/>
    <m/>
    <m/>
    <m/>
  </r>
  <r>
    <s v="2022-01-01 00:53 (PST)"/>
    <x v="379"/>
    <x v="958"/>
    <x v="2"/>
    <s v="On Demand"/>
    <x v="19"/>
    <x v="3"/>
    <x v="5"/>
    <s v="Sleep"/>
    <x v="58"/>
    <x v="1165"/>
    <m/>
    <m/>
    <m/>
    <m/>
    <m/>
    <m/>
    <m/>
    <m/>
    <m/>
    <m/>
  </r>
  <r>
    <s v="2022-01-01 12:17 (PST)"/>
    <x v="379"/>
    <x v="959"/>
    <x v="2"/>
    <s v="On Demand"/>
    <x v="16"/>
    <x v="4"/>
    <x v="4"/>
    <s v="Flow"/>
    <x v="24"/>
    <x v="1166"/>
    <m/>
    <m/>
    <m/>
    <m/>
    <m/>
    <m/>
    <n v="194"/>
    <m/>
    <m/>
    <m/>
  </r>
  <r>
    <s v="2022-01-01 22:39 (PST)"/>
    <x v="379"/>
    <x v="426"/>
    <x v="2"/>
    <s v="On Demand"/>
    <x v="23"/>
    <x v="1"/>
    <x v="5"/>
    <s v="Breath"/>
    <x v="361"/>
    <x v="1167"/>
    <m/>
    <m/>
    <m/>
    <m/>
    <m/>
    <m/>
    <m/>
    <m/>
    <m/>
    <m/>
  </r>
  <r>
    <s v="2022-01-08 16:42 (PST)"/>
    <x v="380"/>
    <x v="960"/>
    <x v="2"/>
    <s v="On Demand"/>
    <x v="16"/>
    <x v="4"/>
    <x v="4"/>
    <s v="Flow"/>
    <x v="24"/>
    <x v="1168"/>
    <m/>
    <m/>
    <m/>
    <m/>
    <m/>
    <m/>
    <n v="201"/>
    <m/>
    <m/>
    <m/>
  </r>
  <r>
    <s v="2022-01-08 22:51 (PST)"/>
    <x v="380"/>
    <x v="313"/>
    <x v="2"/>
    <s v="On Demand"/>
    <x v="28"/>
    <x v="5"/>
    <x v="5"/>
    <s v="Emotions"/>
    <x v="362"/>
    <x v="1169"/>
    <m/>
    <m/>
    <m/>
    <m/>
    <m/>
    <m/>
    <m/>
    <m/>
    <m/>
    <m/>
  </r>
  <r>
    <s v="2022-01-15 09:06 (-08)"/>
    <x v="381"/>
    <x v="961"/>
    <x v="2"/>
    <s v="On Demand"/>
    <x v="1"/>
    <x v="5"/>
    <x v="1"/>
    <s v="Core"/>
    <x v="115"/>
    <x v="570"/>
    <m/>
    <m/>
    <m/>
    <m/>
    <m/>
    <m/>
    <n v="92"/>
    <m/>
    <m/>
    <m/>
  </r>
  <r>
    <s v="2022-01-15 09:30 (-08)"/>
    <x v="381"/>
    <x v="962"/>
    <x v="2"/>
    <s v="On Demand"/>
    <x v="6"/>
    <x v="4"/>
    <x v="0"/>
    <s v="Power Zone"/>
    <x v="7"/>
    <x v="1170"/>
    <n v="362"/>
    <n v="100"/>
    <n v="0.37"/>
    <n v="85"/>
    <n v="16.18"/>
    <n v="16.18"/>
    <n v="446"/>
    <m/>
    <m/>
    <m/>
  </r>
  <r>
    <s v="2022-01-15 10:30 (-08)"/>
    <x v="381"/>
    <x v="963"/>
    <x v="2"/>
    <s v="On Demand"/>
    <x v="6"/>
    <x v="3"/>
    <x v="2"/>
    <s v="Pre &amp; Post-Ride Stretch"/>
    <x v="8"/>
    <x v="156"/>
    <m/>
    <m/>
    <m/>
    <m/>
    <m/>
    <m/>
    <n v="11"/>
    <m/>
    <m/>
    <m/>
  </r>
  <r>
    <s v="2022-01-15 22:17 (PST)"/>
    <x v="381"/>
    <x v="841"/>
    <x v="2"/>
    <s v="On Demand"/>
    <x v="19"/>
    <x v="7"/>
    <x v="5"/>
    <s v="Sleep"/>
    <x v="65"/>
    <x v="1171"/>
    <m/>
    <m/>
    <m/>
    <m/>
    <m/>
    <m/>
    <m/>
    <m/>
    <m/>
    <m/>
  </r>
  <r>
    <s v="2022-01-22 22:53 (PST)"/>
    <x v="382"/>
    <x v="964"/>
    <x v="2"/>
    <s v="On Demand"/>
    <x v="16"/>
    <x v="5"/>
    <x v="5"/>
    <s v="Relaxation"/>
    <x v="84"/>
    <x v="1172"/>
    <m/>
    <m/>
    <m/>
    <m/>
    <m/>
    <m/>
    <m/>
    <m/>
    <m/>
    <m/>
  </r>
  <r>
    <s v="2022-01-29 16:27 (-08)"/>
    <x v="383"/>
    <x v="965"/>
    <x v="2"/>
    <s v="On Demand"/>
    <x v="6"/>
    <x v="6"/>
    <x v="0"/>
    <s v="Power Zone"/>
    <x v="20"/>
    <x v="1173"/>
    <n v="476"/>
    <n v="106"/>
    <n v="0.38"/>
    <n v="85"/>
    <n v="16.54"/>
    <n v="20.68"/>
    <n v="587"/>
    <m/>
    <m/>
    <m/>
  </r>
  <r>
    <s v="2022-01-29 17:42 (-08)"/>
    <x v="383"/>
    <x v="945"/>
    <x v="2"/>
    <s v="On Demand"/>
    <x v="8"/>
    <x v="3"/>
    <x v="0"/>
    <s v="Cool Down"/>
    <x v="10"/>
    <x v="1174"/>
    <n v="25"/>
    <n v="85"/>
    <n v="0.36"/>
    <n v="79"/>
    <n v="15"/>
    <n v="1.25"/>
    <n v="31"/>
    <m/>
    <m/>
    <m/>
  </r>
  <r>
    <s v="2022-01-29 17:50 (-08)"/>
    <x v="383"/>
    <x v="558"/>
    <x v="2"/>
    <s v="On Demand"/>
    <x v="1"/>
    <x v="1"/>
    <x v="1"/>
    <s v="Core"/>
    <x v="1"/>
    <x v="165"/>
    <m/>
    <m/>
    <m/>
    <m/>
    <m/>
    <m/>
    <n v="46"/>
    <m/>
    <m/>
    <m/>
  </r>
  <r>
    <s v="2022-01-29 18:00 (-08)"/>
    <x v="383"/>
    <x v="966"/>
    <x v="2"/>
    <s v="On Demand"/>
    <x v="39"/>
    <x v="3"/>
    <x v="2"/>
    <s v="Pre &amp; Post-Ride Stretch"/>
    <x v="8"/>
    <x v="1175"/>
    <m/>
    <m/>
    <m/>
    <m/>
    <m/>
    <m/>
    <n v="11"/>
    <m/>
    <m/>
    <m/>
  </r>
  <r>
    <s v="2022-01-29 23:21 (PST)"/>
    <x v="383"/>
    <x v="211"/>
    <x v="2"/>
    <s v="On Demand"/>
    <x v="19"/>
    <x v="5"/>
    <x v="5"/>
    <s v="Emotions"/>
    <x v="363"/>
    <x v="1176"/>
    <m/>
    <m/>
    <m/>
    <m/>
    <m/>
    <m/>
    <m/>
    <m/>
    <m/>
    <m/>
  </r>
  <r>
    <s v="2022-02-05 17:13 (-08)"/>
    <x v="384"/>
    <x v="967"/>
    <x v="2"/>
    <s v="On Demand"/>
    <x v="6"/>
    <x v="6"/>
    <x v="0"/>
    <s v="Power Zone"/>
    <x v="20"/>
    <x v="1177"/>
    <n v="479"/>
    <n v="106"/>
    <n v="0.37"/>
    <n v="87"/>
    <n v="16.579999999999998"/>
    <n v="20.72"/>
    <n v="590"/>
    <m/>
    <m/>
    <m/>
  </r>
  <r>
    <s v="2022-02-05 18:29 (-08)"/>
    <x v="384"/>
    <x v="184"/>
    <x v="2"/>
    <s v="On Demand"/>
    <x v="0"/>
    <x v="3"/>
    <x v="0"/>
    <s v="Cool Down"/>
    <x v="10"/>
    <x v="1178"/>
    <n v="18"/>
    <n v="60"/>
    <n v="0.3"/>
    <n v="82"/>
    <n v="12.98"/>
    <n v="1.08"/>
    <n v="22"/>
    <m/>
    <m/>
    <m/>
  </r>
  <r>
    <s v="2022-02-05 18:36 (-08)"/>
    <x v="384"/>
    <x v="586"/>
    <x v="2"/>
    <s v="On Demand"/>
    <x v="17"/>
    <x v="3"/>
    <x v="2"/>
    <s v="Pre &amp; Post-Ride Stretch"/>
    <x v="8"/>
    <x v="163"/>
    <m/>
    <m/>
    <m/>
    <m/>
    <m/>
    <m/>
    <n v="11"/>
    <m/>
    <m/>
    <m/>
  </r>
  <r>
    <s v="2022-02-05 21:05 (PST)"/>
    <x v="384"/>
    <x v="968"/>
    <x v="2"/>
    <s v="On Demand"/>
    <x v="23"/>
    <x v="1"/>
    <x v="4"/>
    <s v="Focus Flow"/>
    <x v="133"/>
    <x v="1179"/>
    <m/>
    <m/>
    <m/>
    <m/>
    <m/>
    <m/>
    <n v="33"/>
    <m/>
    <m/>
    <m/>
  </r>
  <r>
    <s v="2022-02-05 21:17 (PST)"/>
    <x v="384"/>
    <x v="969"/>
    <x v="2"/>
    <s v="On Demand"/>
    <x v="13"/>
    <x v="1"/>
    <x v="4"/>
    <s v="Focus Flow"/>
    <x v="118"/>
    <x v="1180"/>
    <m/>
    <m/>
    <m/>
    <m/>
    <m/>
    <m/>
    <n v="31"/>
    <m/>
    <m/>
    <m/>
  </r>
  <r>
    <s v="2022-02-05 22:12 (PST)"/>
    <x v="384"/>
    <x v="233"/>
    <x v="2"/>
    <s v="On Demand"/>
    <x v="16"/>
    <x v="7"/>
    <x v="5"/>
    <s v="Sleep"/>
    <x v="65"/>
    <x v="1181"/>
    <m/>
    <m/>
    <m/>
    <m/>
    <m/>
    <m/>
    <m/>
    <m/>
    <m/>
    <m/>
  </r>
  <r>
    <s v="2022-02-12 09:13 (PST)"/>
    <x v="385"/>
    <x v="970"/>
    <x v="2"/>
    <s v="On Demand"/>
    <x v="16"/>
    <x v="4"/>
    <x v="4"/>
    <s v="Flow"/>
    <x v="24"/>
    <x v="1182"/>
    <m/>
    <m/>
    <m/>
    <m/>
    <m/>
    <m/>
    <n v="203"/>
    <m/>
    <m/>
    <m/>
  </r>
  <r>
    <s v="2022-02-12 23:27 (PST)"/>
    <x v="385"/>
    <x v="144"/>
    <x v="2"/>
    <s v="On Demand"/>
    <x v="13"/>
    <x v="5"/>
    <x v="5"/>
    <s v="Sleep"/>
    <x v="29"/>
    <x v="1183"/>
    <m/>
    <m/>
    <m/>
    <m/>
    <m/>
    <m/>
    <m/>
    <m/>
    <m/>
    <m/>
  </r>
  <r>
    <s v="2022-02-19 11:19 (PST)"/>
    <x v="386"/>
    <x v="598"/>
    <x v="2"/>
    <s v="On Demand"/>
    <x v="7"/>
    <x v="2"/>
    <x v="4"/>
    <s v="Flow"/>
    <x v="69"/>
    <x v="1184"/>
    <m/>
    <m/>
    <m/>
    <m/>
    <m/>
    <m/>
    <n v="97"/>
    <m/>
    <m/>
    <m/>
  </r>
  <r>
    <s v="2022-02-19 21:56 (PST)"/>
    <x v="386"/>
    <x v="588"/>
    <x v="2"/>
    <s v="On Demand"/>
    <x v="19"/>
    <x v="5"/>
    <x v="5"/>
    <s v="Sleep"/>
    <x v="29"/>
    <x v="1185"/>
    <m/>
    <m/>
    <m/>
    <m/>
    <m/>
    <m/>
    <m/>
    <m/>
    <m/>
    <m/>
  </r>
  <r>
    <s v="2022-02-26 08:51 (PST)"/>
    <x v="387"/>
    <x v="971"/>
    <x v="2"/>
    <s v="On Demand"/>
    <x v="15"/>
    <x v="2"/>
    <x v="6"/>
    <s v="Hiking"/>
    <x v="238"/>
    <x v="1186"/>
    <n v="0"/>
    <m/>
    <m/>
    <m/>
    <n v="3.55"/>
    <n v="1.49"/>
    <n v="110"/>
    <m/>
    <m/>
    <m/>
  </r>
  <r>
    <s v="2022-02-26 09:22 (PST)"/>
    <x v="387"/>
    <x v="972"/>
    <x v="2"/>
    <s v="On Demand"/>
    <x v="52"/>
    <x v="1"/>
    <x v="6"/>
    <s v="Cool Down"/>
    <x v="269"/>
    <x v="1187"/>
    <n v="0"/>
    <m/>
    <m/>
    <m/>
    <n v="2.88"/>
    <n v="0.46"/>
    <n v="62"/>
    <n v="122.03"/>
    <m/>
    <m/>
  </r>
  <r>
    <s v="2022-02-26 09:36 (PST)"/>
    <x v="387"/>
    <x v="973"/>
    <x v="2"/>
    <s v="On Demand"/>
    <x v="21"/>
    <x v="1"/>
    <x v="1"/>
    <s v="Upper Body"/>
    <x v="117"/>
    <x v="1188"/>
    <m/>
    <m/>
    <m/>
    <m/>
    <m/>
    <m/>
    <n v="67"/>
    <n v="127.97"/>
    <m/>
    <m/>
  </r>
  <r>
    <s v="2022-02-26 09:47 (PST)"/>
    <x v="387"/>
    <x v="857"/>
    <x v="2"/>
    <s v="On Demand"/>
    <x v="24"/>
    <x v="3"/>
    <x v="1"/>
    <s v="Core"/>
    <x v="6"/>
    <x v="1189"/>
    <m/>
    <m/>
    <m/>
    <m/>
    <m/>
    <m/>
    <n v="24"/>
    <n v="108.76"/>
    <m/>
    <m/>
  </r>
  <r>
    <s v="2022-02-26 09:53 (PST)"/>
    <x v="387"/>
    <x v="974"/>
    <x v="2"/>
    <s v="On Demand"/>
    <x v="3"/>
    <x v="3"/>
    <x v="2"/>
    <s v="Post-Run Stretch"/>
    <x v="364"/>
    <x v="1190"/>
    <m/>
    <m/>
    <m/>
    <m/>
    <m/>
    <m/>
    <n v="22"/>
    <n v="107.41"/>
    <m/>
    <m/>
  </r>
  <r>
    <s v="2022-03-05 23:08 (PST)"/>
    <x v="388"/>
    <x v="163"/>
    <x v="2"/>
    <s v="On Demand"/>
    <x v="13"/>
    <x v="1"/>
    <x v="5"/>
    <s v="Emotions"/>
    <x v="109"/>
    <x v="1191"/>
    <m/>
    <m/>
    <m/>
    <m/>
    <m/>
    <m/>
    <m/>
    <m/>
    <m/>
    <m/>
  </r>
  <r>
    <s v="2022-03-12 09:19 (PST)"/>
    <x v="389"/>
    <x v="975"/>
    <x v="2"/>
    <s v="On Demand"/>
    <x v="13"/>
    <x v="5"/>
    <x v="4"/>
    <s v="Focus Flow"/>
    <x v="40"/>
    <x v="1192"/>
    <m/>
    <m/>
    <m/>
    <m/>
    <m/>
    <m/>
    <n v="61"/>
    <m/>
    <m/>
    <m/>
  </r>
  <r>
    <s v="2022-03-12 09:42 (PST)"/>
    <x v="389"/>
    <x v="976"/>
    <x v="2"/>
    <s v="On Demand"/>
    <x v="13"/>
    <x v="5"/>
    <x v="4"/>
    <s v="Focus Flow"/>
    <x v="61"/>
    <x v="1193"/>
    <m/>
    <m/>
    <m/>
    <m/>
    <m/>
    <m/>
    <n v="57"/>
    <m/>
    <m/>
    <m/>
  </r>
  <r>
    <s v="2022-03-12 10:12 (PST)"/>
    <x v="389"/>
    <x v="977"/>
    <x v="2"/>
    <s v="On Demand"/>
    <x v="13"/>
    <x v="1"/>
    <x v="4"/>
    <s v="Focus Flow"/>
    <x v="365"/>
    <x v="1194"/>
    <m/>
    <m/>
    <m/>
    <m/>
    <m/>
    <m/>
    <n v="32"/>
    <m/>
    <m/>
    <m/>
  </r>
  <r>
    <s v="2022-03-12 10:54 (-08)"/>
    <x v="389"/>
    <x v="978"/>
    <x v="2"/>
    <s v="On Demand"/>
    <x v="1"/>
    <x v="5"/>
    <x v="0"/>
    <s v="Low Impact"/>
    <x v="360"/>
    <x v="1195"/>
    <n v="84"/>
    <n v="70"/>
    <n v="0.33"/>
    <n v="81"/>
    <n v="13.92"/>
    <n v="4.6399999999999997"/>
    <n v="131"/>
    <n v="123.69"/>
    <m/>
    <m/>
  </r>
  <r>
    <s v="2022-03-12 11:17 (-08)"/>
    <x v="389"/>
    <x v="979"/>
    <x v="2"/>
    <s v="On Demand"/>
    <x v="9"/>
    <x v="5"/>
    <x v="0"/>
    <s v="Low Impact"/>
    <x v="360"/>
    <x v="1196"/>
    <n v="82"/>
    <n v="69"/>
    <n v="0.31"/>
    <n v="85"/>
    <n v="13.8"/>
    <n v="4.5999999999999996"/>
    <n v="114"/>
    <n v="117.66"/>
    <m/>
    <m/>
  </r>
  <r>
    <s v="2022-03-12 22:33 (PST)"/>
    <x v="389"/>
    <x v="232"/>
    <x v="2"/>
    <s v="On Demand"/>
    <x v="30"/>
    <x v="1"/>
    <x v="5"/>
    <s v="Emotions"/>
    <x v="46"/>
    <x v="186"/>
    <m/>
    <m/>
    <m/>
    <m/>
    <m/>
    <m/>
    <m/>
    <m/>
    <m/>
    <m/>
  </r>
  <r>
    <s v="2022-03-19 11:46 (-07)"/>
    <x v="390"/>
    <x v="980"/>
    <x v="2"/>
    <s v="On Demand"/>
    <x v="5"/>
    <x v="3"/>
    <x v="0"/>
    <s v="Warm Up"/>
    <x v="22"/>
    <x v="1197"/>
    <n v="26"/>
    <n v="86"/>
    <n v="0.33"/>
    <n v="91"/>
    <n v="15.11"/>
    <n v="1.26"/>
    <n v="37"/>
    <n v="133.81"/>
    <m/>
    <m/>
  </r>
  <r>
    <s v="2022-03-19 11:53 (-07)"/>
    <x v="390"/>
    <x v="803"/>
    <x v="2"/>
    <s v="On Demand"/>
    <x v="6"/>
    <x v="4"/>
    <x v="0"/>
    <s v="Power Zone"/>
    <x v="7"/>
    <x v="1198"/>
    <n v="372"/>
    <n v="103"/>
    <n v="0.37"/>
    <n v="87"/>
    <n v="16.350000000000001"/>
    <n v="16.350000000000001"/>
    <n v="611"/>
    <n v="155.47999999999999"/>
    <m/>
    <m/>
  </r>
  <r>
    <s v="2022-03-19 12:54 (-07)"/>
    <x v="390"/>
    <x v="981"/>
    <x v="2"/>
    <s v="On Demand"/>
    <x v="12"/>
    <x v="1"/>
    <x v="0"/>
    <s v="Cool Down"/>
    <x v="366"/>
    <x v="1199"/>
    <n v="28"/>
    <n v="47"/>
    <n v="0.28000000000000003"/>
    <n v="78"/>
    <n v="11.58"/>
    <n v="1.93"/>
    <n v="60"/>
    <n v="119.04"/>
    <m/>
    <m/>
  </r>
  <r>
    <s v="2022-03-19 13:10 (-07)"/>
    <x v="390"/>
    <x v="982"/>
    <x v="2"/>
    <s v="On Demand"/>
    <x v="6"/>
    <x v="1"/>
    <x v="1"/>
    <s v="Arms &amp; Light Weights"/>
    <x v="28"/>
    <x v="1200"/>
    <m/>
    <m/>
    <m/>
    <m/>
    <m/>
    <m/>
    <n v="49"/>
    <n v="109.8"/>
    <m/>
    <m/>
  </r>
  <r>
    <s v="2022-03-19 13:22 (-07)"/>
    <x v="390"/>
    <x v="983"/>
    <x v="2"/>
    <s v="On Demand"/>
    <x v="29"/>
    <x v="3"/>
    <x v="2"/>
    <s v="Pre &amp; Post-Ride Stretch"/>
    <x v="8"/>
    <x v="1201"/>
    <m/>
    <m/>
    <m/>
    <m/>
    <m/>
    <m/>
    <n v="16"/>
    <n v="72.69"/>
    <m/>
    <m/>
  </r>
  <r>
    <s v="2022-03-19 23:59 (PST)"/>
    <x v="390"/>
    <x v="264"/>
    <x v="2"/>
    <s v="On Demand"/>
    <x v="28"/>
    <x v="1"/>
    <x v="5"/>
    <s v="Relaxation"/>
    <x v="34"/>
    <x v="1202"/>
    <m/>
    <m/>
    <m/>
    <m/>
    <m/>
    <m/>
    <m/>
    <m/>
    <m/>
    <m/>
  </r>
  <r>
    <s v="2022-03-26 20:47 (PST)"/>
    <x v="391"/>
    <x v="984"/>
    <x v="2"/>
    <s v="On Demand"/>
    <x v="16"/>
    <x v="5"/>
    <x v="4"/>
    <s v="Restoration"/>
    <x v="338"/>
    <x v="1203"/>
    <m/>
    <m/>
    <m/>
    <m/>
    <m/>
    <m/>
    <n v="34"/>
    <m/>
    <m/>
    <m/>
  </r>
  <r>
    <s v="2022-03-26 21:59 (PST)"/>
    <x v="391"/>
    <x v="96"/>
    <x v="2"/>
    <s v="On Demand"/>
    <x v="19"/>
    <x v="7"/>
    <x v="5"/>
    <s v="Relaxation"/>
    <x v="94"/>
    <x v="199"/>
    <m/>
    <m/>
    <m/>
    <m/>
    <m/>
    <m/>
    <m/>
    <m/>
    <m/>
    <m/>
  </r>
  <r>
    <s v="2022-04-02 09:36 (PST)"/>
    <x v="392"/>
    <x v="973"/>
    <x v="2"/>
    <s v="On Demand"/>
    <x v="21"/>
    <x v="4"/>
    <x v="6"/>
    <s v="Power Walk"/>
    <x v="367"/>
    <x v="1204"/>
    <n v="0"/>
    <m/>
    <m/>
    <m/>
    <n v="0"/>
    <n v="0"/>
    <n v="215"/>
    <m/>
    <m/>
    <m/>
  </r>
  <r>
    <s v="2022-04-02 20:47 (PST)"/>
    <x v="392"/>
    <x v="984"/>
    <x v="2"/>
    <s v="On Demand"/>
    <x v="25"/>
    <x v="1"/>
    <x v="4"/>
    <s v="Focus Flow"/>
    <x v="118"/>
    <x v="1205"/>
    <m/>
    <m/>
    <m/>
    <m/>
    <m/>
    <m/>
    <n v="37"/>
    <m/>
    <m/>
    <m/>
  </r>
  <r>
    <s v="2022-04-09 08:27 (PST)"/>
    <x v="393"/>
    <x v="956"/>
    <x v="2"/>
    <s v="On Demand"/>
    <x v="16"/>
    <x v="1"/>
    <x v="5"/>
    <s v="Mindfulness"/>
    <x v="92"/>
    <x v="1206"/>
    <m/>
    <m/>
    <m/>
    <m/>
    <m/>
    <m/>
    <m/>
    <m/>
    <m/>
    <m/>
  </r>
  <r>
    <s v="2022-04-09 23:11 (PST)"/>
    <x v="393"/>
    <x v="985"/>
    <x v="2"/>
    <s v="On Demand"/>
    <x v="13"/>
    <x v="1"/>
    <x v="5"/>
    <s v="Relaxation"/>
    <x v="34"/>
    <x v="1207"/>
    <m/>
    <m/>
    <m/>
    <m/>
    <m/>
    <m/>
    <m/>
    <m/>
    <m/>
    <m/>
  </r>
  <r>
    <s v="2022-04-16 01:07 (PST)"/>
    <x v="394"/>
    <x v="986"/>
    <x v="2"/>
    <s v="On Demand"/>
    <x v="16"/>
    <x v="5"/>
    <x v="5"/>
    <s v="Relaxation"/>
    <x v="84"/>
    <x v="1208"/>
    <m/>
    <m/>
    <m/>
    <m/>
    <m/>
    <m/>
    <m/>
    <m/>
    <m/>
    <m/>
  </r>
  <r>
    <s v="2022-04-16 09:29 (-07)"/>
    <x v="394"/>
    <x v="987"/>
    <x v="2"/>
    <s v="On Demand"/>
    <x v="6"/>
    <x v="4"/>
    <x v="0"/>
    <s v="Power Zone"/>
    <x v="23"/>
    <x v="1209"/>
    <n v="203"/>
    <n v="99"/>
    <n v="0.35"/>
    <n v="88"/>
    <n v="15.63"/>
    <n v="8.91"/>
    <n v="369"/>
    <n v="160.55000000000001"/>
    <m/>
    <m/>
  </r>
  <r>
    <s v="2022-04-16 10:35 (PST)"/>
    <x v="394"/>
    <x v="853"/>
    <x v="2"/>
    <s v="On Demand"/>
    <x v="23"/>
    <x v="5"/>
    <x v="4"/>
    <s v="Flow"/>
    <x v="368"/>
    <x v="1210"/>
    <m/>
    <m/>
    <m/>
    <m/>
    <m/>
    <m/>
    <m/>
    <m/>
    <m/>
    <m/>
  </r>
  <r>
    <s v="2022-04-23 08:55 (-07)"/>
    <x v="395"/>
    <x v="988"/>
    <x v="2"/>
    <s v="On Demand"/>
    <x v="14"/>
    <x v="4"/>
    <x v="0"/>
    <s v="Power Zone"/>
    <x v="16"/>
    <x v="1211"/>
    <n v="346"/>
    <n v="96"/>
    <n v="0.34"/>
    <n v="84"/>
    <n v="14.98"/>
    <n v="14.98"/>
    <n v="645"/>
    <n v="160.72999999999999"/>
    <m/>
    <m/>
  </r>
  <r>
    <s v="2022-04-23 10:03 (-07)"/>
    <x v="395"/>
    <x v="989"/>
    <x v="2"/>
    <s v="On Demand"/>
    <x v="7"/>
    <x v="1"/>
    <x v="0"/>
    <s v="Low Impact"/>
    <x v="192"/>
    <x v="1212"/>
    <n v="25"/>
    <n v="42"/>
    <n v="0.26"/>
    <n v="79"/>
    <n v="11"/>
    <n v="1.83"/>
    <n v="67"/>
    <n v="126.22"/>
    <m/>
    <m/>
  </r>
  <r>
    <s v="2022-04-23 10:17 (-07)"/>
    <x v="395"/>
    <x v="892"/>
    <x v="2"/>
    <s v="On Demand"/>
    <x v="33"/>
    <x v="1"/>
    <x v="1"/>
    <s v="Core"/>
    <x v="1"/>
    <x v="1213"/>
    <m/>
    <m/>
    <m/>
    <m/>
    <m/>
    <m/>
    <n v="51"/>
    <n v="112.42"/>
    <m/>
    <m/>
  </r>
  <r>
    <s v="2022-04-23 10:29 (-07)"/>
    <x v="395"/>
    <x v="990"/>
    <x v="2"/>
    <s v="On Demand"/>
    <x v="20"/>
    <x v="3"/>
    <x v="2"/>
    <s v="Full Body Stretch"/>
    <x v="213"/>
    <x v="1214"/>
    <m/>
    <m/>
    <m/>
    <m/>
    <m/>
    <m/>
    <n v="19"/>
    <n v="98.96"/>
    <m/>
    <m/>
  </r>
  <r>
    <s v="2022-04-23 22:36 (PST)"/>
    <x v="395"/>
    <x v="102"/>
    <x v="2"/>
    <s v="On Demand"/>
    <x v="28"/>
    <x v="1"/>
    <x v="5"/>
    <s v="Theme"/>
    <x v="100"/>
    <x v="1215"/>
    <m/>
    <m/>
    <m/>
    <m/>
    <m/>
    <m/>
    <m/>
    <m/>
    <m/>
    <m/>
  </r>
  <r>
    <s v="2022-04-30 12:25 (-07)"/>
    <x v="396"/>
    <x v="991"/>
    <x v="2"/>
    <s v="On Demand"/>
    <x v="6"/>
    <x v="8"/>
    <x v="0"/>
    <s v="Power Zone"/>
    <x v="25"/>
    <x v="1216"/>
    <n v="561"/>
    <n v="104"/>
    <n v="0.37"/>
    <n v="86"/>
    <n v="16.37"/>
    <n v="24.56"/>
    <n v="855"/>
    <n v="151.85"/>
    <m/>
    <m/>
  </r>
  <r>
    <s v="2022-04-30 13:57 (-07)"/>
    <x v="396"/>
    <x v="992"/>
    <x v="2"/>
    <s v="On Demand"/>
    <x v="34"/>
    <x v="3"/>
    <x v="0"/>
    <s v="Scenic Ride"/>
    <x v="369"/>
    <x v="231"/>
    <n v="15"/>
    <n v="51"/>
    <n v="0.28999999999999998"/>
    <n v="79"/>
    <n v="12.12"/>
    <n v="1.01"/>
    <n v="28"/>
    <n v="118.35"/>
    <m/>
    <m/>
  </r>
  <r>
    <s v="2022-04-30 14:05 (-07)"/>
    <x v="396"/>
    <x v="993"/>
    <x v="2"/>
    <s v="On Demand"/>
    <x v="21"/>
    <x v="1"/>
    <x v="2"/>
    <s v="Lower Body Stretch"/>
    <x v="370"/>
    <x v="1214"/>
    <m/>
    <m/>
    <m/>
    <m/>
    <m/>
    <m/>
    <n v="30"/>
    <n v="96.27"/>
    <m/>
    <m/>
  </r>
  <r>
    <s v="2022-04-30 22:49 (PST)"/>
    <x v="396"/>
    <x v="72"/>
    <x v="2"/>
    <s v="On Demand"/>
    <x v="19"/>
    <x v="1"/>
    <x v="5"/>
    <s v="Sleep"/>
    <x v="39"/>
    <x v="1217"/>
    <m/>
    <m/>
    <m/>
    <m/>
    <m/>
    <m/>
    <m/>
    <m/>
    <m/>
    <m/>
  </r>
  <r>
    <s v="2022-05-07 11:25 (-07)"/>
    <x v="397"/>
    <x v="994"/>
    <x v="2"/>
    <s v="On Demand"/>
    <x v="6"/>
    <x v="3"/>
    <x v="0"/>
    <s v="Warm Up"/>
    <x v="22"/>
    <x v="252"/>
    <n v="26"/>
    <n v="85"/>
    <n v="0.3"/>
    <n v="101"/>
    <n v="15.05"/>
    <n v="1.25"/>
    <n v="32"/>
    <m/>
    <m/>
    <m/>
  </r>
  <r>
    <s v="2022-05-07 11:31 (-07)"/>
    <x v="397"/>
    <x v="995"/>
    <x v="2"/>
    <s v="On Demand"/>
    <x v="6"/>
    <x v="7"/>
    <x v="0"/>
    <s v="Power Zone"/>
    <x v="87"/>
    <x v="1218"/>
    <n v="85"/>
    <n v="94"/>
    <n v="0.34"/>
    <n v="93"/>
    <n v="15.58"/>
    <n v="3.9"/>
    <n v="148"/>
    <n v="152.77000000000001"/>
    <m/>
    <m/>
  </r>
  <r>
    <s v="2022-05-07 11:49 (-07)"/>
    <x v="397"/>
    <x v="996"/>
    <x v="2"/>
    <s v="On Demand"/>
    <x v="6"/>
    <x v="5"/>
    <x v="0"/>
    <s v="Power Zone"/>
    <x v="88"/>
    <x v="1219"/>
    <n v="181"/>
    <n v="150"/>
    <n v="0.47"/>
    <n v="78"/>
    <n v="19.100000000000001"/>
    <n v="6.37"/>
    <n v="246"/>
    <n v="173.92"/>
    <m/>
    <m/>
  </r>
  <r>
    <s v="2022-05-07 12:13 (-07)"/>
    <x v="397"/>
    <x v="997"/>
    <x v="2"/>
    <s v="On Demand"/>
    <x v="6"/>
    <x v="3"/>
    <x v="0"/>
    <s v="Cool Down"/>
    <x v="10"/>
    <x v="252"/>
    <n v="12"/>
    <n v="39"/>
    <n v="0.25"/>
    <n v="77"/>
    <n v="10.63"/>
    <n v="0.89"/>
    <n v="42"/>
    <n v="30.86"/>
    <m/>
    <m/>
  </r>
  <r>
    <s v="2022-05-07 12:22 (-07)"/>
    <x v="397"/>
    <x v="774"/>
    <x v="2"/>
    <s v="On Demand"/>
    <x v="34"/>
    <x v="16"/>
    <x v="0"/>
    <s v="Scenic Ride"/>
    <x v="371"/>
    <x v="231"/>
    <n v="50"/>
    <n v="57"/>
    <n v="0.28999999999999998"/>
    <n v="82"/>
    <n v="12.7"/>
    <n v="3.11"/>
    <n v="113"/>
    <n v="135.16999999999999"/>
    <m/>
    <m/>
  </r>
  <r>
    <s v="2022-05-07 12:41 (-07)"/>
    <x v="397"/>
    <x v="662"/>
    <x v="2"/>
    <s v="On Demand"/>
    <x v="4"/>
    <x v="1"/>
    <x v="1"/>
    <s v="Core"/>
    <x v="108"/>
    <x v="1220"/>
    <m/>
    <m/>
    <m/>
    <m/>
    <m/>
    <m/>
    <n v="48"/>
    <n v="108.06"/>
    <m/>
    <m/>
  </r>
  <r>
    <s v="2022-05-07 12:53 (-07)"/>
    <x v="397"/>
    <x v="998"/>
    <x v="2"/>
    <s v="On Demand"/>
    <x v="16"/>
    <x v="5"/>
    <x v="4"/>
    <s v="Focus Flow"/>
    <x v="194"/>
    <x v="1221"/>
    <m/>
    <m/>
    <m/>
    <m/>
    <m/>
    <m/>
    <n v="67"/>
    <m/>
    <m/>
    <m/>
  </r>
  <r>
    <s v="2022-05-07 23:49 (PST)"/>
    <x v="397"/>
    <x v="183"/>
    <x v="2"/>
    <s v="On Demand"/>
    <x v="19"/>
    <x v="1"/>
    <x v="5"/>
    <s v="Relaxation"/>
    <x v="34"/>
    <x v="1222"/>
    <m/>
    <m/>
    <m/>
    <m/>
    <m/>
    <m/>
    <m/>
    <m/>
    <m/>
    <m/>
  </r>
  <r>
    <s v="2022-05-14 05:59 (PST)"/>
    <x v="398"/>
    <x v="999"/>
    <x v="2"/>
    <s v="On Demand"/>
    <x v="17"/>
    <x v="1"/>
    <x v="5"/>
    <s v="Fitness Focus"/>
    <x v="372"/>
    <x v="1223"/>
    <m/>
    <m/>
    <m/>
    <m/>
    <m/>
    <m/>
    <m/>
    <m/>
    <m/>
    <m/>
  </r>
  <r>
    <s v="2022-05-14 22:00 (PST)"/>
    <x v="398"/>
    <x v="365"/>
    <x v="2"/>
    <s v="On Demand"/>
    <x v="19"/>
    <x v="7"/>
    <x v="5"/>
    <s v="Sleep"/>
    <x v="65"/>
    <x v="1224"/>
    <m/>
    <m/>
    <m/>
    <m/>
    <m/>
    <m/>
    <m/>
    <m/>
    <m/>
    <m/>
  </r>
  <r>
    <s v="2022-05-21 00:01 (PST)"/>
    <x v="399"/>
    <x v="894"/>
    <x v="2"/>
    <s v="On Demand"/>
    <x v="16"/>
    <x v="3"/>
    <x v="5"/>
    <s v="Emotions"/>
    <x v="373"/>
    <x v="1225"/>
    <m/>
    <m/>
    <m/>
    <m/>
    <m/>
    <m/>
    <m/>
    <m/>
    <m/>
    <m/>
  </r>
  <r>
    <s v="2022-05-21 09:02 (PST)"/>
    <x v="399"/>
    <x v="1000"/>
    <x v="2"/>
    <s v="On Demand"/>
    <x v="31"/>
    <x v="1"/>
    <x v="1"/>
    <s v="Core"/>
    <x v="1"/>
    <x v="1226"/>
    <m/>
    <m/>
    <m/>
    <m/>
    <m/>
    <m/>
    <n v="55"/>
    <n v="114.27"/>
    <m/>
    <m/>
  </r>
  <r>
    <s v="2022-05-21 09:13 (PST)"/>
    <x v="399"/>
    <x v="970"/>
    <x v="2"/>
    <s v="On Demand"/>
    <x v="0"/>
    <x v="1"/>
    <x v="1"/>
    <s v="Barre"/>
    <x v="374"/>
    <x v="1227"/>
    <m/>
    <m/>
    <m/>
    <m/>
    <m/>
    <m/>
    <n v="65"/>
    <n v="123.7"/>
    <m/>
    <m/>
  </r>
  <r>
    <s v="2022-05-21 09:26 (PST)"/>
    <x v="399"/>
    <x v="1001"/>
    <x v="2"/>
    <s v="On Demand"/>
    <x v="16"/>
    <x v="6"/>
    <x v="4"/>
    <s v="Flow"/>
    <x v="354"/>
    <x v="1228"/>
    <m/>
    <m/>
    <m/>
    <m/>
    <m/>
    <m/>
    <n v="216"/>
    <m/>
    <m/>
    <m/>
  </r>
  <r>
    <s v="2022-05-28 10:00 (-07)"/>
    <x v="400"/>
    <x v="1002"/>
    <x v="2"/>
    <s v="On Demand"/>
    <x v="6"/>
    <x v="8"/>
    <x v="0"/>
    <s v="Power Zone"/>
    <x v="25"/>
    <x v="1229"/>
    <n v="554"/>
    <n v="103"/>
    <n v="0.37"/>
    <n v="86"/>
    <n v="16.32"/>
    <n v="24.48"/>
    <n v="784"/>
    <n v="141.88"/>
    <m/>
    <m/>
  </r>
  <r>
    <s v="2022-05-28 11:33 (-07)"/>
    <x v="400"/>
    <x v="1003"/>
    <x v="2"/>
    <s v="On Demand"/>
    <x v="6"/>
    <x v="3"/>
    <x v="2"/>
    <s v="Pre &amp; Post-Ride Stretch"/>
    <x v="8"/>
    <x v="737"/>
    <m/>
    <m/>
    <m/>
    <m/>
    <m/>
    <m/>
    <n v="24"/>
    <n v="111.2"/>
    <m/>
    <m/>
  </r>
  <r>
    <s v="2022-05-28 23:01 (PST)"/>
    <x v="400"/>
    <x v="295"/>
    <x v="2"/>
    <s v="On Demand"/>
    <x v="28"/>
    <x v="5"/>
    <x v="5"/>
    <s v="Sleep"/>
    <x v="29"/>
    <x v="232"/>
    <m/>
    <m/>
    <m/>
    <m/>
    <m/>
    <m/>
    <m/>
    <m/>
    <m/>
    <m/>
  </r>
  <r>
    <s v="2022-06-04 07:16 (PST)"/>
    <x v="401"/>
    <x v="107"/>
    <x v="2"/>
    <s v="On Demand"/>
    <x v="19"/>
    <x v="3"/>
    <x v="5"/>
    <s v="Fitness Focus"/>
    <x v="375"/>
    <x v="1230"/>
    <m/>
    <m/>
    <m/>
    <m/>
    <m/>
    <m/>
    <m/>
    <m/>
    <m/>
    <m/>
  </r>
  <r>
    <s v="2022-06-04 22:13 (PST)"/>
    <x v="401"/>
    <x v="235"/>
    <x v="2"/>
    <s v="On Demand"/>
    <x v="23"/>
    <x v="3"/>
    <x v="5"/>
    <s v="Emotions"/>
    <x v="376"/>
    <x v="1231"/>
    <m/>
    <m/>
    <m/>
    <m/>
    <m/>
    <m/>
    <m/>
    <m/>
    <m/>
    <m/>
  </r>
  <r>
    <s v="2022-06-11 22:44 (PST)"/>
    <x v="402"/>
    <x v="373"/>
    <x v="2"/>
    <s v="On Demand"/>
    <x v="16"/>
    <x v="5"/>
    <x v="5"/>
    <s v="Emotions"/>
    <x v="347"/>
    <x v="1232"/>
    <m/>
    <m/>
    <m/>
    <m/>
    <m/>
    <m/>
    <m/>
    <m/>
    <m/>
    <m/>
  </r>
  <r>
    <s v="2022-06-18 09:14 (PST)"/>
    <x v="403"/>
    <x v="1004"/>
    <x v="2"/>
    <s v="On Demand"/>
    <x v="7"/>
    <x v="0"/>
    <x v="4"/>
    <s v="Slow Flow"/>
    <x v="33"/>
    <x v="1233"/>
    <m/>
    <m/>
    <m/>
    <m/>
    <m/>
    <m/>
    <n v="138"/>
    <m/>
    <m/>
    <m/>
  </r>
  <r>
    <s v="2022-06-18 21:32 (PST)"/>
    <x v="403"/>
    <x v="1005"/>
    <x v="2"/>
    <s v="On Demand"/>
    <x v="13"/>
    <x v="1"/>
    <x v="5"/>
    <s v="Sleep"/>
    <x v="39"/>
    <x v="1234"/>
    <m/>
    <m/>
    <m/>
    <m/>
    <m/>
    <m/>
    <m/>
    <m/>
    <m/>
    <m/>
  </r>
  <r>
    <s v="2022-06-25 20:23 (PST)"/>
    <x v="404"/>
    <x v="1006"/>
    <x v="2"/>
    <s v="On Demand"/>
    <x v="23"/>
    <x v="5"/>
    <x v="4"/>
    <s v="Focus Flow"/>
    <x v="225"/>
    <x v="1235"/>
    <m/>
    <m/>
    <m/>
    <m/>
    <m/>
    <m/>
    <n v="82"/>
    <n v="101.59"/>
    <m/>
    <m/>
  </r>
  <r>
    <s v="2022-07-02 23:12 (PST)"/>
    <x v="405"/>
    <x v="1007"/>
    <x v="2"/>
    <s v="On Demand"/>
    <x v="13"/>
    <x v="1"/>
    <x v="5"/>
    <s v="Mindfulness"/>
    <x v="51"/>
    <x v="1236"/>
    <m/>
    <m/>
    <m/>
    <m/>
    <m/>
    <m/>
    <m/>
    <m/>
    <m/>
    <m/>
  </r>
  <r>
    <s v="2022-07-09 15:25 (-07)"/>
    <x v="406"/>
    <x v="1008"/>
    <x v="2"/>
    <s v="On Demand"/>
    <x v="7"/>
    <x v="0"/>
    <x v="0"/>
    <s v="Power Zone"/>
    <x v="85"/>
    <x v="1237"/>
    <n v="281"/>
    <n v="104"/>
    <n v="0.37"/>
    <n v="86"/>
    <n v="16.16"/>
    <n v="12.12"/>
    <n v="422"/>
    <n v="149.91"/>
    <m/>
    <m/>
  </r>
  <r>
    <s v="2022-07-09 16:12 (-07)"/>
    <x v="406"/>
    <x v="1009"/>
    <x v="2"/>
    <s v="On Demand"/>
    <x v="7"/>
    <x v="7"/>
    <x v="0"/>
    <s v="Low Impact"/>
    <x v="249"/>
    <x v="1238"/>
    <n v="81"/>
    <n v="90"/>
    <n v="0.36"/>
    <n v="82"/>
    <n v="15.4"/>
    <n v="3.86"/>
    <n v="122"/>
    <n v="136.94"/>
    <m/>
    <m/>
  </r>
  <r>
    <s v="2022-07-09 16:31 (-07)"/>
    <x v="406"/>
    <x v="796"/>
    <x v="2"/>
    <s v="On Demand"/>
    <x v="35"/>
    <x v="1"/>
    <x v="1"/>
    <s v="Core"/>
    <x v="1"/>
    <x v="1239"/>
    <m/>
    <m/>
    <m/>
    <m/>
    <m/>
    <m/>
    <n v="52"/>
    <n v="110.63"/>
    <m/>
    <m/>
  </r>
  <r>
    <s v="2022-07-09 16:43 (-07)"/>
    <x v="406"/>
    <x v="750"/>
    <x v="2"/>
    <s v="On Demand"/>
    <x v="23"/>
    <x v="1"/>
    <x v="4"/>
    <s v="Focus Flow"/>
    <x v="377"/>
    <x v="1240"/>
    <m/>
    <m/>
    <m/>
    <m/>
    <m/>
    <m/>
    <n v="35"/>
    <m/>
    <m/>
    <m/>
  </r>
  <r>
    <s v="2022-07-16 22:16 (PST)"/>
    <x v="407"/>
    <x v="51"/>
    <x v="2"/>
    <s v="On Demand"/>
    <x v="23"/>
    <x v="1"/>
    <x v="5"/>
    <s v="Mindfulness"/>
    <x v="51"/>
    <x v="1241"/>
    <m/>
    <m/>
    <m/>
    <m/>
    <m/>
    <m/>
    <m/>
    <m/>
    <m/>
    <m/>
  </r>
  <r>
    <s v="2022-07-23 09:54 (-07)"/>
    <x v="408"/>
    <x v="1010"/>
    <x v="2"/>
    <s v="On Demand"/>
    <x v="6"/>
    <x v="7"/>
    <x v="0"/>
    <s v="Power Zone"/>
    <x v="87"/>
    <x v="1218"/>
    <n v="85"/>
    <n v="95"/>
    <n v="0.34"/>
    <n v="91"/>
    <n v="15.56"/>
    <n v="3.89"/>
    <n v="120"/>
    <n v="136.08000000000001"/>
    <m/>
    <m/>
  </r>
  <r>
    <s v="2022-07-23 10:11 (-07)"/>
    <x v="408"/>
    <x v="1011"/>
    <x v="2"/>
    <s v="On Demand"/>
    <x v="6"/>
    <x v="5"/>
    <x v="0"/>
    <s v="Power Zone"/>
    <x v="88"/>
    <x v="1219"/>
    <n v="202"/>
    <n v="168"/>
    <n v="0.47"/>
    <n v="82"/>
    <n v="19.96"/>
    <n v="6.66"/>
    <n v="246"/>
    <n v="172.7"/>
    <m/>
    <m/>
  </r>
  <r>
    <s v="2022-07-23 10:35 (-07)"/>
    <x v="408"/>
    <x v="932"/>
    <x v="2"/>
    <s v="On Demand"/>
    <x v="34"/>
    <x v="1"/>
    <x v="0"/>
    <s v="Scenic Ride"/>
    <x v="378"/>
    <x v="231"/>
    <n v="26"/>
    <n v="44"/>
    <n v="0.28000000000000003"/>
    <n v="72"/>
    <n v="11.13"/>
    <n v="1.85"/>
    <n v="69"/>
    <n v="127.03"/>
    <m/>
    <m/>
  </r>
  <r>
    <s v="2022-07-23 10:58 (PST)"/>
    <x v="408"/>
    <x v="870"/>
    <x v="2"/>
    <s v="On Demand"/>
    <x v="23"/>
    <x v="2"/>
    <x v="4"/>
    <s v="Slow Flow"/>
    <x v="50"/>
    <x v="1242"/>
    <m/>
    <m/>
    <m/>
    <m/>
    <m/>
    <m/>
    <n v="96"/>
    <m/>
    <m/>
    <m/>
  </r>
  <r>
    <s v="2022-07-30 22:33 (PST)"/>
    <x v="409"/>
    <x v="232"/>
    <x v="2"/>
    <s v="On Demand"/>
    <x v="19"/>
    <x v="1"/>
    <x v="5"/>
    <s v="Emotions"/>
    <x v="109"/>
    <x v="1243"/>
    <m/>
    <m/>
    <m/>
    <m/>
    <m/>
    <m/>
    <m/>
    <m/>
    <m/>
    <m/>
  </r>
  <r>
    <s v="2022-08-06 22:15 (PST)"/>
    <x v="410"/>
    <x v="593"/>
    <x v="2"/>
    <s v="On Demand"/>
    <x v="13"/>
    <x v="3"/>
    <x v="5"/>
    <s v="Emotions"/>
    <x v="140"/>
    <x v="1244"/>
    <m/>
    <m/>
    <m/>
    <m/>
    <m/>
    <m/>
    <m/>
    <m/>
    <m/>
    <m/>
  </r>
  <r>
    <s v="2022-08-20 22:56 (PST)"/>
    <x v="411"/>
    <x v="820"/>
    <x v="2"/>
    <s v="On Demand"/>
    <x v="16"/>
    <x v="1"/>
    <x v="5"/>
    <s v="Sleep"/>
    <x v="39"/>
    <x v="1245"/>
    <m/>
    <m/>
    <m/>
    <m/>
    <m/>
    <m/>
    <m/>
    <m/>
    <m/>
    <m/>
  </r>
  <r>
    <s v="2022-08-27 12:23 (PST)"/>
    <x v="412"/>
    <x v="1012"/>
    <x v="2"/>
    <s v="On Demand"/>
    <x v="7"/>
    <x v="2"/>
    <x v="4"/>
    <s v="Slow Flow"/>
    <x v="379"/>
    <x v="764"/>
    <m/>
    <m/>
    <m/>
    <m/>
    <m/>
    <m/>
    <n v="95"/>
    <m/>
    <m/>
    <m/>
  </r>
  <r>
    <s v="2022-08-27 12:55 (PST)"/>
    <x v="412"/>
    <x v="1013"/>
    <x v="2"/>
    <s v="On Demand"/>
    <x v="1"/>
    <x v="3"/>
    <x v="1"/>
    <s v="Core"/>
    <x v="6"/>
    <x v="1246"/>
    <m/>
    <m/>
    <m/>
    <m/>
    <m/>
    <m/>
    <n v="21"/>
    <m/>
    <m/>
    <m/>
  </r>
  <r>
    <s v="2022-08-27 13:06 (PST)"/>
    <x v="412"/>
    <x v="1014"/>
    <x v="2"/>
    <s v="On Demand"/>
    <x v="8"/>
    <x v="7"/>
    <x v="2"/>
    <s v="Foam Rolling"/>
    <x v="358"/>
    <x v="151"/>
    <m/>
    <m/>
    <m/>
    <m/>
    <m/>
    <m/>
    <n v="64"/>
    <m/>
    <m/>
    <m/>
  </r>
  <r>
    <s v="2022-09-03 17:08 (PST)"/>
    <x v="413"/>
    <x v="1015"/>
    <x v="2"/>
    <s v="On Demand"/>
    <x v="8"/>
    <x v="1"/>
    <x v="2"/>
    <s v="Foam Rolling"/>
    <x v="380"/>
    <x v="151"/>
    <m/>
    <m/>
    <m/>
    <m/>
    <m/>
    <m/>
    <n v="43"/>
    <n v="103.08"/>
    <m/>
    <m/>
  </r>
  <r>
    <s v="2022-09-03 17:19 (PST)"/>
    <x v="413"/>
    <x v="1016"/>
    <x v="2"/>
    <s v="On Demand"/>
    <x v="8"/>
    <x v="1"/>
    <x v="2"/>
    <s v="Foam Rolling"/>
    <x v="381"/>
    <x v="1247"/>
    <m/>
    <m/>
    <m/>
    <m/>
    <m/>
    <m/>
    <n v="45"/>
    <n v="105.45"/>
    <m/>
    <m/>
  </r>
  <r>
    <s v="2022-09-03 17:30 (PST)"/>
    <x v="413"/>
    <x v="1017"/>
    <x v="2"/>
    <s v="On Demand"/>
    <x v="23"/>
    <x v="2"/>
    <x v="4"/>
    <s v="Focus Flow"/>
    <x v="382"/>
    <x v="1246"/>
    <m/>
    <m/>
    <m/>
    <m/>
    <m/>
    <m/>
    <n v="101"/>
    <n v="94.53"/>
    <m/>
    <m/>
  </r>
  <r>
    <s v="2022-09-17 19:54 (PST)"/>
    <x v="414"/>
    <x v="1018"/>
    <x v="2"/>
    <s v="On Demand"/>
    <x v="28"/>
    <x v="1"/>
    <x v="5"/>
    <s v="Emotions"/>
    <x v="210"/>
    <x v="1248"/>
    <m/>
    <m/>
    <m/>
    <m/>
    <m/>
    <m/>
    <m/>
    <m/>
    <m/>
    <m/>
  </r>
  <r>
    <s v="2022-09-17 20:07 (PST)"/>
    <x v="414"/>
    <x v="1019"/>
    <x v="2"/>
    <s v="On Demand"/>
    <x v="28"/>
    <x v="1"/>
    <x v="5"/>
    <s v="Emotions"/>
    <x v="210"/>
    <x v="1248"/>
    <m/>
    <m/>
    <m/>
    <m/>
    <m/>
    <m/>
    <m/>
    <m/>
    <m/>
    <m/>
  </r>
  <r>
    <s v="2022-10-01 22:20 (PST)"/>
    <x v="415"/>
    <x v="766"/>
    <x v="2"/>
    <s v="On Demand"/>
    <x v="16"/>
    <x v="1"/>
    <x v="5"/>
    <s v="Relaxation"/>
    <x v="34"/>
    <x v="1249"/>
    <m/>
    <m/>
    <m/>
    <m/>
    <m/>
    <m/>
    <m/>
    <m/>
    <m/>
    <m/>
  </r>
  <r>
    <s v="2022-10-15 10:53 (-07)"/>
    <x v="416"/>
    <x v="1020"/>
    <x v="2"/>
    <s v="On Demand"/>
    <x v="6"/>
    <x v="4"/>
    <x v="0"/>
    <s v="Power Zone"/>
    <x v="7"/>
    <x v="1250"/>
    <n v="421"/>
    <n v="117"/>
    <n v="0.39"/>
    <n v="86"/>
    <n v="17.18"/>
    <n v="17.18"/>
    <n v="610"/>
    <n v="154.62"/>
    <m/>
    <m/>
  </r>
  <r>
    <s v="2022-10-15 11:55 (-07)"/>
    <x v="416"/>
    <x v="661"/>
    <x v="2"/>
    <s v="On Demand"/>
    <x v="34"/>
    <x v="3"/>
    <x v="0"/>
    <s v="Scenic Ride"/>
    <x v="383"/>
    <x v="231"/>
    <n v="18"/>
    <n v="61"/>
    <n v="0.31"/>
    <n v="80"/>
    <n v="13.06"/>
    <n v="1.0900000000000001"/>
    <n v="29"/>
    <n v="94.14"/>
    <m/>
    <m/>
  </r>
  <r>
    <s v="2022-10-15 12:07 (-07)"/>
    <x v="416"/>
    <x v="1021"/>
    <x v="2"/>
    <s v="On Demand"/>
    <x v="12"/>
    <x v="1"/>
    <x v="1"/>
    <s v="Arms &amp; Light Weights"/>
    <x v="28"/>
    <x v="1251"/>
    <m/>
    <m/>
    <m/>
    <m/>
    <m/>
    <m/>
    <n v="49"/>
    <n v="109.61"/>
    <m/>
    <m/>
  </r>
  <r>
    <s v="2022-10-15 12:18 (-07)"/>
    <x v="416"/>
    <x v="1022"/>
    <x v="2"/>
    <s v="On Demand"/>
    <x v="1"/>
    <x v="3"/>
    <x v="1"/>
    <s v="Core"/>
    <x v="6"/>
    <x v="1252"/>
    <m/>
    <m/>
    <m/>
    <m/>
    <m/>
    <m/>
    <n v="17"/>
    <n v="96.99"/>
    <m/>
    <m/>
  </r>
  <r>
    <s v="2022-10-15 12:29 (-07)"/>
    <x v="416"/>
    <x v="1023"/>
    <x v="2"/>
    <s v="On Demand"/>
    <x v="13"/>
    <x v="1"/>
    <x v="4"/>
    <s v="Focus Flow"/>
    <x v="118"/>
    <x v="1253"/>
    <m/>
    <m/>
    <m/>
    <m/>
    <m/>
    <m/>
    <n v="29"/>
    <n v="88.66"/>
    <m/>
    <m/>
  </r>
  <r>
    <s v="2022-10-22 22:21 (PST)"/>
    <x v="417"/>
    <x v="740"/>
    <x v="2"/>
    <s v="On Demand"/>
    <x v="16"/>
    <x v="7"/>
    <x v="5"/>
    <s v="Sleep"/>
    <x v="65"/>
    <x v="797"/>
    <m/>
    <m/>
    <m/>
    <m/>
    <m/>
    <m/>
    <m/>
    <m/>
    <m/>
    <m/>
  </r>
  <r>
    <s v="2022-10-29 21:38 (GMT)"/>
    <x v="418"/>
    <x v="1024"/>
    <x v="2"/>
    <s v="On Demand"/>
    <x v="19"/>
    <x v="2"/>
    <x v="5"/>
    <s v="Sleep"/>
    <x v="31"/>
    <x v="1254"/>
    <m/>
    <m/>
    <m/>
    <m/>
    <m/>
    <m/>
    <m/>
    <m/>
    <m/>
    <m/>
  </r>
  <r>
    <s v="2022-11-12 09:08 (EST)"/>
    <x v="419"/>
    <x v="1025"/>
    <x v="2"/>
    <s v="On Demand"/>
    <x v="16"/>
    <x v="2"/>
    <x v="4"/>
    <s v="Slow Flow"/>
    <x v="50"/>
    <x v="1255"/>
    <m/>
    <m/>
    <m/>
    <m/>
    <m/>
    <m/>
    <n v="87"/>
    <n v="84.45"/>
    <m/>
    <m/>
  </r>
  <r>
    <s v="2022-11-19 11:16 (PST)"/>
    <x v="420"/>
    <x v="1026"/>
    <x v="2"/>
    <s v="On Demand"/>
    <x v="7"/>
    <x v="2"/>
    <x v="4"/>
    <s v="Focus Flow"/>
    <x v="86"/>
    <x v="1256"/>
    <m/>
    <m/>
    <m/>
    <m/>
    <m/>
    <m/>
    <n v="88"/>
    <m/>
    <m/>
    <m/>
  </r>
  <r>
    <s v="2022-11-19 21:14 (PST)"/>
    <x v="420"/>
    <x v="874"/>
    <x v="2"/>
    <s v="On Demand"/>
    <x v="19"/>
    <x v="1"/>
    <x v="5"/>
    <s v="Relaxation"/>
    <x v="71"/>
    <x v="1257"/>
    <m/>
    <m/>
    <m/>
    <m/>
    <m/>
    <m/>
    <m/>
    <m/>
    <m/>
    <m/>
  </r>
  <r>
    <s v="2022-11-19 21:39 (PST)"/>
    <x v="420"/>
    <x v="602"/>
    <x v="2"/>
    <s v="On Demand"/>
    <x v="16"/>
    <x v="1"/>
    <x v="5"/>
    <s v="Theme"/>
    <x v="68"/>
    <x v="1258"/>
    <m/>
    <m/>
    <m/>
    <m/>
    <m/>
    <m/>
    <m/>
    <m/>
    <m/>
    <m/>
  </r>
  <r>
    <s v="2022-12-03 14:56 (-08)"/>
    <x v="421"/>
    <x v="1027"/>
    <x v="2"/>
    <s v="On Demand"/>
    <x v="6"/>
    <x v="0"/>
    <x v="0"/>
    <s v="Power Zone"/>
    <x v="85"/>
    <x v="1259"/>
    <n v="274"/>
    <n v="102"/>
    <n v="0.34"/>
    <n v="90"/>
    <n v="15.61"/>
    <n v="11.71"/>
    <n v="502"/>
    <n v="163.38999999999999"/>
    <m/>
    <m/>
  </r>
  <r>
    <s v="2022-12-03 15:41 (-08)"/>
    <x v="421"/>
    <x v="311"/>
    <x v="2"/>
    <s v="On Demand"/>
    <x v="39"/>
    <x v="3"/>
    <x v="0"/>
    <s v="Cool Down"/>
    <x v="10"/>
    <x v="1260"/>
    <n v="13"/>
    <n v="42"/>
    <n v="0.25"/>
    <n v="84"/>
    <n v="11.03"/>
    <n v="0.92"/>
    <n v="38"/>
    <n v="128.53"/>
    <m/>
    <m/>
  </r>
  <r>
    <s v="2022-12-03 15:54 (-08)"/>
    <x v="421"/>
    <x v="1028"/>
    <x v="2"/>
    <s v="On Demand"/>
    <x v="12"/>
    <x v="5"/>
    <x v="1"/>
    <s v="Upper Body"/>
    <x v="247"/>
    <x v="1261"/>
    <m/>
    <m/>
    <m/>
    <m/>
    <m/>
    <m/>
    <n v="91"/>
    <m/>
    <m/>
    <m/>
  </r>
  <r>
    <s v="2022-12-03 16:55 (PST)"/>
    <x v="421"/>
    <x v="1029"/>
    <x v="2"/>
    <s v="On Demand"/>
    <x v="7"/>
    <x v="2"/>
    <x v="4"/>
    <s v="Flow"/>
    <x v="41"/>
    <x v="1262"/>
    <m/>
    <m/>
    <m/>
    <m/>
    <m/>
    <m/>
    <n v="89"/>
    <m/>
    <m/>
    <m/>
  </r>
  <r>
    <s v="2022-12-03 23:39 (PST)"/>
    <x v="421"/>
    <x v="1030"/>
    <x v="2"/>
    <s v="On Demand"/>
    <x v="16"/>
    <x v="1"/>
    <x v="5"/>
    <s v="Theme"/>
    <x v="68"/>
    <x v="1263"/>
    <m/>
    <m/>
    <m/>
    <m/>
    <m/>
    <m/>
    <m/>
    <m/>
    <m/>
    <m/>
  </r>
  <r>
    <s v="2022-12-10 08:07 (PST)"/>
    <x v="422"/>
    <x v="450"/>
    <x v="2"/>
    <s v="On Demand"/>
    <x v="16"/>
    <x v="3"/>
    <x v="5"/>
    <s v="Emotions"/>
    <x v="384"/>
    <x v="1264"/>
    <m/>
    <m/>
    <m/>
    <m/>
    <m/>
    <m/>
    <m/>
    <m/>
    <m/>
    <m/>
  </r>
  <r>
    <s v="2022-12-10 08:23 (PST)"/>
    <x v="422"/>
    <x v="209"/>
    <x v="2"/>
    <s v="On Demand"/>
    <x v="23"/>
    <x v="1"/>
    <x v="5"/>
    <s v="Emotions"/>
    <x v="60"/>
    <x v="1265"/>
    <m/>
    <m/>
    <m/>
    <m/>
    <m/>
    <m/>
    <m/>
    <m/>
    <m/>
    <m/>
  </r>
  <r>
    <s v="2022-12-10 23:43 (EST)"/>
    <x v="422"/>
    <x v="1031"/>
    <x v="2"/>
    <s v="On Demand"/>
    <x v="25"/>
    <x v="1"/>
    <x v="5"/>
    <s v="Relaxation"/>
    <x v="34"/>
    <x v="1266"/>
    <m/>
    <m/>
    <m/>
    <m/>
    <m/>
    <m/>
    <m/>
    <m/>
    <m/>
    <m/>
  </r>
  <r>
    <s v="2022-12-17 04:00 (EST)"/>
    <x v="423"/>
    <x v="1032"/>
    <x v="2"/>
    <s v="On Demand"/>
    <x v="28"/>
    <x v="1"/>
    <x v="5"/>
    <s v="Emotions"/>
    <x v="15"/>
    <x v="1267"/>
    <m/>
    <m/>
    <m/>
    <m/>
    <m/>
    <m/>
    <m/>
    <m/>
    <m/>
    <m/>
  </r>
  <r>
    <s v="2022-12-17 13:45 (EST)"/>
    <x v="423"/>
    <x v="1033"/>
    <x v="2"/>
    <m/>
    <x v="34"/>
    <x v="17"/>
    <x v="0"/>
    <m/>
    <x v="385"/>
    <x v="231"/>
    <n v="0"/>
    <n v="0"/>
    <n v="0"/>
    <n v="0"/>
    <n v="14.8"/>
    <n v="18.78"/>
    <n v="453"/>
    <m/>
    <m/>
    <m/>
  </r>
  <r>
    <s v="2022-12-17 15:26 (EST)"/>
    <x v="423"/>
    <x v="1034"/>
    <x v="2"/>
    <m/>
    <x v="34"/>
    <x v="18"/>
    <x v="0"/>
    <m/>
    <x v="386"/>
    <x v="231"/>
    <n v="0"/>
    <n v="0"/>
    <n v="0"/>
    <n v="0"/>
    <n v="12.43"/>
    <n v="6.52"/>
    <n v="192"/>
    <m/>
    <m/>
    <m/>
  </r>
  <r>
    <s v="2022-12-17 16:12 (EST)"/>
    <x v="423"/>
    <x v="1035"/>
    <x v="2"/>
    <s v="On Demand"/>
    <x v="35"/>
    <x v="3"/>
    <x v="1"/>
    <s v="Core"/>
    <x v="6"/>
    <x v="1268"/>
    <m/>
    <m/>
    <m/>
    <m/>
    <m/>
    <m/>
    <n v="26"/>
    <n v="112.81"/>
    <m/>
    <m/>
  </r>
  <r>
    <s v="2022-12-17 16:18 (EST)"/>
    <x v="423"/>
    <x v="1036"/>
    <x v="2"/>
    <s v="On Demand"/>
    <x v="32"/>
    <x v="1"/>
    <x v="4"/>
    <s v="Focus Flow"/>
    <x v="281"/>
    <x v="1269"/>
    <m/>
    <m/>
    <m/>
    <m/>
    <m/>
    <m/>
    <n v="47"/>
    <n v="108"/>
    <m/>
    <m/>
  </r>
  <r>
    <s v="2022-12-17 23:29 (EST)"/>
    <x v="423"/>
    <x v="1037"/>
    <x v="2"/>
    <s v="On Demand"/>
    <x v="25"/>
    <x v="1"/>
    <x v="5"/>
    <s v="Emotions"/>
    <x v="210"/>
    <x v="1270"/>
    <m/>
    <m/>
    <m/>
    <m/>
    <m/>
    <m/>
    <m/>
    <m/>
    <m/>
    <m/>
  </r>
  <r>
    <s v="2022-12-24 11:15 (-08)"/>
    <x v="424"/>
    <x v="1038"/>
    <x v="2"/>
    <s v="On Demand"/>
    <x v="37"/>
    <x v="0"/>
    <x v="9"/>
    <s v="Body Focus"/>
    <x v="271"/>
    <x v="832"/>
    <n v="133"/>
    <m/>
    <m/>
    <m/>
    <n v="2.9"/>
    <n v="3.03"/>
    <n v="434"/>
    <n v="154.41999999999999"/>
    <m/>
    <m/>
  </r>
  <r>
    <s v="2022-12-24 12:04 (-08)"/>
    <x v="424"/>
    <x v="1039"/>
    <x v="2"/>
    <s v="On Demand"/>
    <x v="38"/>
    <x v="1"/>
    <x v="7"/>
    <s v="Form &amp; Drills"/>
    <x v="387"/>
    <x v="832"/>
    <n v="21"/>
    <m/>
    <m/>
    <m/>
    <n v="2.65"/>
    <n v="0.67"/>
    <n v="68"/>
    <n v="128.87"/>
    <m/>
    <m/>
  </r>
  <r>
    <s v="2022-12-24 12:45 (PST)"/>
    <x v="424"/>
    <x v="210"/>
    <x v="2"/>
    <s v="On Demand"/>
    <x v="16"/>
    <x v="0"/>
    <x v="4"/>
    <s v="Flow"/>
    <x v="14"/>
    <x v="1271"/>
    <m/>
    <m/>
    <m/>
    <m/>
    <m/>
    <m/>
    <n v="134"/>
    <m/>
    <m/>
    <m/>
  </r>
  <r>
    <s v="2022-12-24 22:13 (PST)"/>
    <x v="424"/>
    <x v="235"/>
    <x v="2"/>
    <s v="On Demand"/>
    <x v="16"/>
    <x v="1"/>
    <x v="5"/>
    <s v="Theme"/>
    <x v="388"/>
    <x v="1272"/>
    <m/>
    <m/>
    <m/>
    <m/>
    <m/>
    <m/>
    <m/>
    <m/>
    <m/>
    <m/>
  </r>
  <r>
    <s v="2023-01-07 21:55 (PST)"/>
    <x v="425"/>
    <x v="60"/>
    <x v="2"/>
    <s v="On Demand"/>
    <x v="16"/>
    <x v="5"/>
    <x v="4"/>
    <s v="Focus Flow"/>
    <x v="40"/>
    <x v="1273"/>
    <m/>
    <m/>
    <m/>
    <m/>
    <m/>
    <m/>
    <n v="64"/>
    <m/>
    <m/>
    <m/>
  </r>
  <r>
    <s v="2023-01-07 22:43 (PST)"/>
    <x v="425"/>
    <x v="477"/>
    <x v="2"/>
    <s v="On Demand"/>
    <x v="25"/>
    <x v="1"/>
    <x v="5"/>
    <s v="Relaxation"/>
    <x v="34"/>
    <x v="1274"/>
    <m/>
    <m/>
    <m/>
    <m/>
    <m/>
    <m/>
    <m/>
    <m/>
    <m/>
    <m/>
  </r>
  <r>
    <s v="2023-01-14 12:49 (-08)"/>
    <x v="426"/>
    <x v="739"/>
    <x v="2"/>
    <s v="On Demand"/>
    <x v="4"/>
    <x v="2"/>
    <x v="0"/>
    <s v="Power Zone"/>
    <x v="196"/>
    <x v="1275"/>
    <n v="177"/>
    <n v="98"/>
    <n v="0.36"/>
    <n v="85"/>
    <n v="15.97"/>
    <n v="7.98"/>
    <n v="292"/>
    <n v="150.18"/>
    <m/>
    <m/>
  </r>
  <r>
    <s v="2023-01-14 13:20 (-08)"/>
    <x v="426"/>
    <x v="1040"/>
    <x v="2"/>
    <s v="On Demand"/>
    <x v="6"/>
    <x v="1"/>
    <x v="0"/>
    <s v="Low Impact"/>
    <x v="149"/>
    <x v="330"/>
    <n v="44"/>
    <n v="74"/>
    <n v="0.3"/>
    <n v="93"/>
    <n v="14.21"/>
    <n v="2.37"/>
    <n v="85"/>
    <n v="139.5"/>
    <m/>
    <m/>
  </r>
  <r>
    <s v="2023-01-14 13:32 (-08)"/>
    <x v="426"/>
    <x v="1041"/>
    <x v="2"/>
    <s v="On Demand"/>
    <x v="36"/>
    <x v="1"/>
    <x v="1"/>
    <s v="Arms &amp; Light Weights"/>
    <x v="28"/>
    <x v="1276"/>
    <m/>
    <m/>
    <m/>
    <m/>
    <m/>
    <m/>
    <n v="52"/>
    <n v="111.55"/>
    <m/>
    <m/>
  </r>
  <r>
    <s v="2023-01-14 16:34 (PST)"/>
    <x v="426"/>
    <x v="99"/>
    <x v="2"/>
    <s v="On Demand"/>
    <x v="13"/>
    <x v="2"/>
    <x v="4"/>
    <s v="Focus Flow"/>
    <x v="209"/>
    <x v="1277"/>
    <m/>
    <m/>
    <m/>
    <m/>
    <m/>
    <m/>
    <n v="92"/>
    <m/>
    <m/>
    <m/>
  </r>
  <r>
    <s v="2023-01-21 02:06 (PST)"/>
    <x v="427"/>
    <x v="1042"/>
    <x v="2"/>
    <s v="On Demand"/>
    <x v="19"/>
    <x v="1"/>
    <x v="5"/>
    <s v="Emotions"/>
    <x v="210"/>
    <x v="1278"/>
    <m/>
    <m/>
    <m/>
    <m/>
    <m/>
    <m/>
    <m/>
    <m/>
    <m/>
    <m/>
  </r>
  <r>
    <s v="2023-01-21 16:15 (-08)"/>
    <x v="427"/>
    <x v="1043"/>
    <x v="2"/>
    <s v="On Demand"/>
    <x v="7"/>
    <x v="4"/>
    <x v="0"/>
    <s v="Power Zone"/>
    <x v="7"/>
    <x v="1279"/>
    <n v="358"/>
    <n v="99"/>
    <n v="0.36"/>
    <n v="87"/>
    <n v="16.09"/>
    <n v="16.09"/>
    <n v="634"/>
    <n v="157.38999999999999"/>
    <m/>
    <m/>
  </r>
  <r>
    <s v="2023-01-21 17:16 (-08)"/>
    <x v="427"/>
    <x v="159"/>
    <x v="2"/>
    <s v="On Demand"/>
    <x v="7"/>
    <x v="1"/>
    <x v="0"/>
    <s v="Low Impact"/>
    <x v="149"/>
    <x v="1280"/>
    <n v="34"/>
    <n v="57"/>
    <n v="0.27"/>
    <n v="87"/>
    <n v="12.48"/>
    <n v="2.08"/>
    <n v="78"/>
    <n v="133.41"/>
    <m/>
    <m/>
  </r>
  <r>
    <s v="2023-01-21 22:23 (PST)"/>
    <x v="427"/>
    <x v="1044"/>
    <x v="2"/>
    <s v="On Demand"/>
    <x v="16"/>
    <x v="1"/>
    <x v="5"/>
    <s v="Mindfulness"/>
    <x v="51"/>
    <x v="1281"/>
    <m/>
    <m/>
    <m/>
    <m/>
    <m/>
    <m/>
    <m/>
    <m/>
    <m/>
    <m/>
  </r>
  <r>
    <s v="2023-01-28 23:10 (EST)"/>
    <x v="428"/>
    <x v="1045"/>
    <x v="2"/>
    <s v="On Demand"/>
    <x v="28"/>
    <x v="1"/>
    <x v="5"/>
    <s v="Emotions"/>
    <x v="210"/>
    <x v="1282"/>
    <m/>
    <m/>
    <m/>
    <m/>
    <m/>
    <m/>
    <m/>
    <m/>
    <m/>
    <m/>
  </r>
  <r>
    <s v="2023-02-04 00:01 (EST)"/>
    <x v="429"/>
    <x v="1046"/>
    <x v="2"/>
    <s v="On Demand"/>
    <x v="16"/>
    <x v="1"/>
    <x v="5"/>
    <s v="Emotions"/>
    <x v="294"/>
    <x v="1283"/>
    <m/>
    <m/>
    <m/>
    <m/>
    <m/>
    <m/>
    <m/>
    <m/>
    <m/>
    <m/>
  </r>
  <r>
    <s v="2023-02-11 01:10 (PST)"/>
    <x v="430"/>
    <x v="1047"/>
    <x v="2"/>
    <s v="On Demand"/>
    <x v="16"/>
    <x v="5"/>
    <x v="5"/>
    <s v="Sleep"/>
    <x v="29"/>
    <x v="1284"/>
    <m/>
    <m/>
    <m/>
    <m/>
    <m/>
    <m/>
    <m/>
    <m/>
    <m/>
    <m/>
  </r>
  <r>
    <s v="2023-02-11 22:43 (PST)"/>
    <x v="430"/>
    <x v="477"/>
    <x v="2"/>
    <s v="On Demand"/>
    <x v="13"/>
    <x v="1"/>
    <x v="5"/>
    <s v="Sleep"/>
    <x v="39"/>
    <x v="1285"/>
    <m/>
    <m/>
    <m/>
    <m/>
    <m/>
    <m/>
    <m/>
    <m/>
    <m/>
    <m/>
  </r>
  <r>
    <s v="2023-02-18 21:09 (PST)"/>
    <x v="431"/>
    <x v="1048"/>
    <x v="2"/>
    <s v="On Demand"/>
    <x v="19"/>
    <x v="1"/>
    <x v="5"/>
    <s v="Mindfulness"/>
    <x v="51"/>
    <x v="1286"/>
    <m/>
    <m/>
    <m/>
    <m/>
    <m/>
    <m/>
    <m/>
    <m/>
    <m/>
    <m/>
  </r>
  <r>
    <s v="2023-02-25 08:00 (-08)"/>
    <x v="432"/>
    <x v="1049"/>
    <x v="2"/>
    <s v="Live"/>
    <x v="15"/>
    <x v="2"/>
    <x v="0"/>
    <s v="Low Impact"/>
    <x v="76"/>
    <x v="1287"/>
    <n v="161"/>
    <n v="90"/>
    <n v="0.37"/>
    <n v="81"/>
    <n v="15.37"/>
    <n v="7.69"/>
    <n v="302"/>
    <n v="154.29"/>
    <m/>
    <m/>
  </r>
  <r>
    <s v="2023-02-25 08:31 (-08)"/>
    <x v="432"/>
    <x v="1050"/>
    <x v="2"/>
    <s v="On Demand"/>
    <x v="7"/>
    <x v="0"/>
    <x v="0"/>
    <s v="Power Zone"/>
    <x v="27"/>
    <x v="1288"/>
    <n v="267"/>
    <n v="99"/>
    <n v="0.36"/>
    <n v="84"/>
    <n v="16.03"/>
    <n v="12.02"/>
    <n v="474"/>
    <n v="157.19999999999999"/>
    <m/>
    <m/>
  </r>
  <r>
    <s v="2023-02-25 09:18 (-08)"/>
    <x v="432"/>
    <x v="1051"/>
    <x v="2"/>
    <s v="On Demand"/>
    <x v="4"/>
    <x v="3"/>
    <x v="0"/>
    <s v="Cool Down"/>
    <x v="10"/>
    <x v="1289"/>
    <n v="15"/>
    <n v="49"/>
    <n v="0.28000000000000003"/>
    <n v="77"/>
    <n v="11.85"/>
    <n v="0.99"/>
    <n v="35"/>
    <n v="128.38999999999999"/>
    <m/>
    <m/>
  </r>
  <r>
    <s v="2023-02-25 09:53 (PST)"/>
    <x v="432"/>
    <x v="974"/>
    <x v="2"/>
    <s v="On Demand"/>
    <x v="24"/>
    <x v="1"/>
    <x v="1"/>
    <s v="Core"/>
    <x v="1"/>
    <x v="1290"/>
    <m/>
    <m/>
    <m/>
    <m/>
    <m/>
    <m/>
    <n v="44"/>
    <m/>
    <m/>
    <m/>
  </r>
  <r>
    <s v="2023-02-25 10:05 (PST)"/>
    <x v="432"/>
    <x v="370"/>
    <x v="2"/>
    <s v="On Demand"/>
    <x v="13"/>
    <x v="1"/>
    <x v="4"/>
    <s v="Focus Flow"/>
    <x v="133"/>
    <x v="1291"/>
    <m/>
    <m/>
    <m/>
    <m/>
    <m/>
    <m/>
    <n v="33"/>
    <m/>
    <m/>
    <m/>
  </r>
  <r>
    <s v="2023-03-04 15:49 (-08)"/>
    <x v="433"/>
    <x v="179"/>
    <x v="2"/>
    <s v="On Demand"/>
    <x v="31"/>
    <x v="1"/>
    <x v="1"/>
    <s v="Core"/>
    <x v="389"/>
    <x v="330"/>
    <m/>
    <m/>
    <m/>
    <m/>
    <m/>
    <m/>
    <n v="41"/>
    <n v="98.53"/>
    <m/>
    <m/>
  </r>
  <r>
    <s v="2023-03-04 16:01 (-08)"/>
    <x v="433"/>
    <x v="842"/>
    <x v="2"/>
    <s v="On Demand"/>
    <x v="6"/>
    <x v="2"/>
    <x v="7"/>
    <s v="Endurance"/>
    <x v="152"/>
    <x v="1292"/>
    <n v="115"/>
    <m/>
    <m/>
    <m/>
    <n v="2.72"/>
    <n v="3.04"/>
    <n v="272"/>
    <n v="145.5"/>
    <m/>
    <m/>
  </r>
  <r>
    <s v="2023-03-04 16:46 (PST)"/>
    <x v="433"/>
    <x v="100"/>
    <x v="2"/>
    <s v="On Demand"/>
    <x v="7"/>
    <x v="0"/>
    <x v="4"/>
    <s v="Flow"/>
    <x v="14"/>
    <x v="1293"/>
    <m/>
    <m/>
    <m/>
    <m/>
    <m/>
    <m/>
    <n v="142"/>
    <m/>
    <m/>
    <m/>
  </r>
  <r>
    <s v="2023-03-04 23:04 (PST)"/>
    <x v="433"/>
    <x v="79"/>
    <x v="2"/>
    <s v="On Demand"/>
    <x v="19"/>
    <x v="7"/>
    <x v="5"/>
    <s v="Emotions"/>
    <x v="390"/>
    <x v="1294"/>
    <m/>
    <m/>
    <m/>
    <m/>
    <m/>
    <m/>
    <m/>
    <m/>
    <m/>
    <m/>
  </r>
  <r>
    <s v="2023-03-25 12:02 (-04)"/>
    <x v="434"/>
    <x v="1052"/>
    <x v="2"/>
    <s v="On Demand"/>
    <x v="5"/>
    <x v="2"/>
    <x v="0"/>
    <s v="Climb"/>
    <x v="391"/>
    <x v="1295"/>
    <n v="137"/>
    <n v="76"/>
    <n v="0.34"/>
    <n v="79"/>
    <n v="14.22"/>
    <n v="7.11"/>
    <n v="296"/>
    <n v="148.94999999999999"/>
    <m/>
    <m/>
  </r>
  <r>
    <s v="2023-03-25 12:35 (-04)"/>
    <x v="434"/>
    <x v="1053"/>
    <x v="2"/>
    <s v="On Demand"/>
    <x v="7"/>
    <x v="7"/>
    <x v="0"/>
    <s v="Low Impact"/>
    <x v="249"/>
    <x v="1296"/>
    <n v="56"/>
    <n v="63"/>
    <n v="0.31"/>
    <n v="82"/>
    <n v="13.21"/>
    <n v="3.3"/>
    <n v="71"/>
    <m/>
    <m/>
    <m/>
  </r>
  <r>
    <s v="2023-03-25 12:55 (-04)"/>
    <x v="434"/>
    <x v="1054"/>
    <x v="2"/>
    <s v="On Demand"/>
    <x v="7"/>
    <x v="2"/>
    <x v="4"/>
    <s v="Flow"/>
    <x v="280"/>
    <x v="1297"/>
    <m/>
    <m/>
    <m/>
    <m/>
    <m/>
    <m/>
    <n v="78"/>
    <m/>
    <m/>
    <m/>
  </r>
  <r>
    <s v="2023-03-25 16:34 (EST)"/>
    <x v="434"/>
    <x v="1055"/>
    <x v="2"/>
    <s v="On Demand"/>
    <x v="16"/>
    <x v="3"/>
    <x v="5"/>
    <s v="Emotions"/>
    <x v="140"/>
    <x v="1298"/>
    <m/>
    <m/>
    <m/>
    <m/>
    <m/>
    <m/>
    <m/>
    <n v="72.430000000000007"/>
    <m/>
    <m/>
  </r>
  <r>
    <s v="2023-04-01 11:17 (-07)"/>
    <x v="435"/>
    <x v="1056"/>
    <x v="2"/>
    <s v="On Demand"/>
    <x v="12"/>
    <x v="1"/>
    <x v="1"/>
    <s v="Core"/>
    <x v="1"/>
    <x v="1299"/>
    <m/>
    <m/>
    <m/>
    <m/>
    <m/>
    <m/>
    <n v="52"/>
    <n v="113.21"/>
    <m/>
    <m/>
  </r>
  <r>
    <s v="2023-04-01 11:29 (-07)"/>
    <x v="435"/>
    <x v="1057"/>
    <x v="2"/>
    <s v="On Demand"/>
    <x v="6"/>
    <x v="4"/>
    <x v="0"/>
    <s v="Power Zone"/>
    <x v="7"/>
    <x v="1300"/>
    <n v="396"/>
    <n v="110"/>
    <n v="0.38"/>
    <n v="85"/>
    <n v="16.75"/>
    <n v="16.739999999999998"/>
    <n v="530"/>
    <n v="96.18"/>
    <m/>
    <m/>
  </r>
  <r>
    <s v="2023-04-01 12:32 (-07)"/>
    <x v="435"/>
    <x v="1058"/>
    <x v="2"/>
    <s v="On Demand"/>
    <x v="8"/>
    <x v="3"/>
    <x v="0"/>
    <s v="Cool Down"/>
    <x v="10"/>
    <x v="1301"/>
    <n v="22"/>
    <n v="74"/>
    <n v="0.34"/>
    <n v="77"/>
    <n v="14.17"/>
    <n v="1.18"/>
    <n v="32"/>
    <n v="122.22"/>
    <m/>
    <m/>
  </r>
  <r>
    <s v="2023-04-01 12:37 (-07)"/>
    <x v="435"/>
    <x v="1059"/>
    <x v="2"/>
    <s v="On Demand"/>
    <x v="10"/>
    <x v="3"/>
    <x v="2"/>
    <s v="Pre &amp; Post-Ride Stretch"/>
    <x v="8"/>
    <x v="1302"/>
    <m/>
    <m/>
    <m/>
    <m/>
    <m/>
    <m/>
    <n v="19"/>
    <n v="102.67"/>
    <m/>
    <m/>
  </r>
  <r>
    <s v="2023-04-08 15:39 (PST)"/>
    <x v="436"/>
    <x v="736"/>
    <x v="2"/>
    <s v="On Demand"/>
    <x v="13"/>
    <x v="2"/>
    <x v="4"/>
    <s v="Flow"/>
    <x v="41"/>
    <x v="1303"/>
    <m/>
    <m/>
    <m/>
    <m/>
    <m/>
    <m/>
    <n v="95"/>
    <m/>
    <m/>
    <m/>
  </r>
  <r>
    <s v="2023-04-15 12:07 (-07)"/>
    <x v="437"/>
    <x v="1021"/>
    <x v="2"/>
    <s v="On Demand"/>
    <x v="7"/>
    <x v="0"/>
    <x v="0"/>
    <s v="Power Zone"/>
    <x v="137"/>
    <x v="1304"/>
    <n v="294"/>
    <n v="109"/>
    <n v="0.38"/>
    <n v="85"/>
    <n v="16.690000000000001"/>
    <n v="12.52"/>
    <n v="483"/>
    <n v="158.9"/>
    <m/>
    <m/>
  </r>
  <r>
    <s v="2023-04-15 12:53 (-07)"/>
    <x v="437"/>
    <x v="998"/>
    <x v="2"/>
    <s v="On Demand"/>
    <x v="6"/>
    <x v="3"/>
    <x v="0"/>
    <s v="Cool Down"/>
    <x v="10"/>
    <x v="1305"/>
    <n v="17"/>
    <n v="57"/>
    <n v="0.27"/>
    <n v="90"/>
    <n v="12.66"/>
    <n v="1.05"/>
    <n v="38"/>
    <n v="123.9"/>
    <m/>
    <m/>
  </r>
  <r>
    <s v="2023-04-15 13:00 (-07)"/>
    <x v="437"/>
    <x v="1060"/>
    <x v="2"/>
    <s v="On Demand"/>
    <x v="12"/>
    <x v="1"/>
    <x v="1"/>
    <s v="Arms &amp; Light Weights"/>
    <x v="28"/>
    <x v="1306"/>
    <m/>
    <m/>
    <m/>
    <m/>
    <m/>
    <m/>
    <n v="62"/>
    <n v="119.48"/>
    <m/>
    <m/>
  </r>
  <r>
    <s v="2023-04-15 13:12 (-07)"/>
    <x v="437"/>
    <x v="1061"/>
    <x v="2"/>
    <s v="On Demand"/>
    <x v="37"/>
    <x v="1"/>
    <x v="1"/>
    <s v="Core"/>
    <x v="1"/>
    <x v="1307"/>
    <m/>
    <m/>
    <m/>
    <m/>
    <m/>
    <m/>
    <n v="51"/>
    <n v="109.66"/>
    <m/>
    <m/>
  </r>
  <r>
    <s v="2023-04-22 22:53 (PST)"/>
    <x v="438"/>
    <x v="964"/>
    <x v="2"/>
    <s v="On Demand"/>
    <x v="28"/>
    <x v="7"/>
    <x v="5"/>
    <s v="Theme"/>
    <x v="392"/>
    <x v="1308"/>
    <m/>
    <m/>
    <m/>
    <m/>
    <m/>
    <m/>
    <m/>
    <m/>
    <m/>
    <m/>
  </r>
  <r>
    <s v="2023-04-29 09:28 (PST)"/>
    <x v="439"/>
    <x v="1062"/>
    <x v="2"/>
    <s v="On Demand"/>
    <x v="13"/>
    <x v="2"/>
    <x v="4"/>
    <s v="Slow Flow"/>
    <x v="50"/>
    <x v="1309"/>
    <m/>
    <m/>
    <m/>
    <m/>
    <m/>
    <m/>
    <n v="95"/>
    <m/>
    <m/>
    <m/>
  </r>
  <r>
    <s v="2023-04-29 23:20 (PST)"/>
    <x v="439"/>
    <x v="1063"/>
    <x v="2"/>
    <s v="On Demand"/>
    <x v="28"/>
    <x v="7"/>
    <x v="5"/>
    <s v="Sleep"/>
    <x v="65"/>
    <x v="1310"/>
    <m/>
    <m/>
    <m/>
    <m/>
    <m/>
    <m/>
    <m/>
    <m/>
    <m/>
    <m/>
  </r>
  <r>
    <s v="2023-05-06 18:07 (-07)"/>
    <x v="440"/>
    <x v="249"/>
    <x v="2"/>
    <s v="On Demand"/>
    <x v="4"/>
    <x v="0"/>
    <x v="0"/>
    <s v="Power Zone"/>
    <x v="102"/>
    <x v="1311"/>
    <n v="306"/>
    <n v="113"/>
    <n v="0.38"/>
    <n v="86"/>
    <n v="16.95"/>
    <n v="12.71"/>
    <n v="484"/>
    <n v="159.02000000000001"/>
    <m/>
    <m/>
  </r>
  <r>
    <s v="2023-05-06 18:52 (-07)"/>
    <x v="440"/>
    <x v="103"/>
    <x v="2"/>
    <s v="On Demand"/>
    <x v="6"/>
    <x v="2"/>
    <x v="0"/>
    <s v="Power Zone"/>
    <x v="5"/>
    <x v="1312"/>
    <n v="201"/>
    <n v="112"/>
    <n v="0.39"/>
    <n v="82"/>
    <n v="16.93"/>
    <n v="8.4600000000000009"/>
    <n v="286"/>
    <n v="148.54"/>
    <m/>
    <m/>
  </r>
  <r>
    <s v="2023-05-06 22:20 (PST)"/>
    <x v="440"/>
    <x v="766"/>
    <x v="2"/>
    <s v="On Demand"/>
    <x v="19"/>
    <x v="7"/>
    <x v="5"/>
    <s v="Emotions"/>
    <x v="393"/>
    <x v="1313"/>
    <m/>
    <m/>
    <m/>
    <m/>
    <m/>
    <m/>
    <m/>
    <m/>
    <m/>
    <m/>
  </r>
  <r>
    <s v="2023-05-13 17:39 (-07)"/>
    <x v="441"/>
    <x v="616"/>
    <x v="2"/>
    <s v="On Demand"/>
    <x v="5"/>
    <x v="1"/>
    <x v="1"/>
    <s v="Core"/>
    <x v="394"/>
    <x v="1314"/>
    <m/>
    <m/>
    <m/>
    <m/>
    <m/>
    <m/>
    <n v="47"/>
    <n v="106"/>
    <m/>
    <m/>
  </r>
  <r>
    <s v="2023-05-13 17:53 (-07)"/>
    <x v="441"/>
    <x v="1064"/>
    <x v="2"/>
    <s v="On Demand"/>
    <x v="6"/>
    <x v="0"/>
    <x v="0"/>
    <s v="Power Zone"/>
    <x v="85"/>
    <x v="1315"/>
    <n v="278"/>
    <n v="103"/>
    <n v="0.34"/>
    <n v="89"/>
    <n v="15.62"/>
    <n v="11.72"/>
    <n v="375"/>
    <n v="137.91"/>
    <m/>
    <m/>
  </r>
  <r>
    <s v="2023-05-13 18:43 (-07)"/>
    <x v="441"/>
    <x v="681"/>
    <x v="2"/>
    <s v="On Demand"/>
    <x v="15"/>
    <x v="3"/>
    <x v="2"/>
    <s v="Pre &amp; Post-Ride Stretch"/>
    <x v="8"/>
    <x v="1316"/>
    <m/>
    <m/>
    <m/>
    <m/>
    <m/>
    <m/>
    <n v="22"/>
    <n v="104.38"/>
    <m/>
    <m/>
  </r>
  <r>
    <s v="2023-05-13 22:55 (PST)"/>
    <x v="441"/>
    <x v="1065"/>
    <x v="2"/>
    <s v="On Demand"/>
    <x v="16"/>
    <x v="1"/>
    <x v="5"/>
    <s v="Mindfulness"/>
    <x v="51"/>
    <x v="1317"/>
    <m/>
    <m/>
    <m/>
    <m/>
    <m/>
    <m/>
    <m/>
    <m/>
    <m/>
    <m/>
  </r>
  <r>
    <s v="2023-05-20 07:49 (PST)"/>
    <x v="442"/>
    <x v="95"/>
    <x v="2"/>
    <s v="On Demand"/>
    <x v="7"/>
    <x v="1"/>
    <x v="4"/>
    <s v="Focus Flow"/>
    <x v="118"/>
    <x v="1318"/>
    <m/>
    <m/>
    <m/>
    <m/>
    <m/>
    <m/>
    <n v="31"/>
    <n v="90.77"/>
    <m/>
    <m/>
  </r>
  <r>
    <s v="2023-05-27 14:33 (-07)"/>
    <x v="443"/>
    <x v="1066"/>
    <x v="2"/>
    <s v="On Demand"/>
    <x v="24"/>
    <x v="1"/>
    <x v="1"/>
    <s v="Core"/>
    <x v="108"/>
    <x v="1319"/>
    <m/>
    <m/>
    <m/>
    <m/>
    <m/>
    <m/>
    <n v="36"/>
    <n v="95.09"/>
    <m/>
    <m/>
  </r>
  <r>
    <s v="2023-05-27 14:47 (-07)"/>
    <x v="443"/>
    <x v="1067"/>
    <x v="2"/>
    <s v="On Demand"/>
    <x v="24"/>
    <x v="5"/>
    <x v="1"/>
    <s v="Upper Body"/>
    <x v="285"/>
    <x v="1320"/>
    <m/>
    <m/>
    <m/>
    <m/>
    <m/>
    <m/>
    <n v="111"/>
    <n v="111.77"/>
    <m/>
    <m/>
  </r>
  <r>
    <s v="2023-05-27 15:12 (-07)"/>
    <x v="443"/>
    <x v="1068"/>
    <x v="2"/>
    <s v="On Demand"/>
    <x v="6"/>
    <x v="2"/>
    <x v="7"/>
    <s v="Endurance"/>
    <x v="152"/>
    <x v="1321"/>
    <n v="94"/>
    <m/>
    <m/>
    <m/>
    <n v="2.54"/>
    <n v="2.84"/>
    <n v="244"/>
    <n v="137.13999999999999"/>
    <m/>
    <m/>
  </r>
  <r>
    <s v="2023-06-03 22:14 (PST)"/>
    <x v="444"/>
    <x v="361"/>
    <x v="2"/>
    <s v="On Demand"/>
    <x v="16"/>
    <x v="2"/>
    <x v="5"/>
    <s v="Sleep"/>
    <x v="31"/>
    <x v="1322"/>
    <m/>
    <m/>
    <m/>
    <m/>
    <m/>
    <m/>
    <m/>
    <m/>
    <m/>
    <m/>
  </r>
  <r>
    <s v="2023-06-10 11:57 (MST)"/>
    <x v="445"/>
    <x v="1069"/>
    <x v="2"/>
    <m/>
    <x v="34"/>
    <x v="18"/>
    <x v="6"/>
    <m/>
    <x v="395"/>
    <x v="231"/>
    <n v="0"/>
    <m/>
    <m/>
    <m/>
    <n v="3.13"/>
    <n v="1.71"/>
    <n v="126"/>
    <m/>
    <m/>
    <m/>
  </r>
  <r>
    <s v="2023-06-10 21:20 (MST)"/>
    <x v="445"/>
    <x v="1070"/>
    <x v="2"/>
    <s v="On Demand"/>
    <x v="23"/>
    <x v="1"/>
    <x v="4"/>
    <s v="Focus Flow"/>
    <x v="396"/>
    <x v="1323"/>
    <m/>
    <m/>
    <m/>
    <m/>
    <m/>
    <m/>
    <n v="31"/>
    <n v="88.93"/>
    <m/>
    <m/>
  </r>
  <r>
    <s v="2023-06-24 09:00 (PST)"/>
    <x v="446"/>
    <x v="1071"/>
    <x v="2"/>
    <m/>
    <x v="34"/>
    <x v="19"/>
    <x v="6"/>
    <m/>
    <x v="397"/>
    <x v="231"/>
    <n v="0"/>
    <m/>
    <m/>
    <m/>
    <n v="2.78"/>
    <n v="0.49"/>
    <n v="51"/>
    <n v="104.14"/>
    <m/>
    <m/>
  </r>
  <r>
    <s v="2023-07-01 18:46 (-07)"/>
    <x v="447"/>
    <x v="1072"/>
    <x v="2"/>
    <s v="On Demand"/>
    <x v="6"/>
    <x v="0"/>
    <x v="0"/>
    <s v="Power Zone"/>
    <x v="27"/>
    <x v="1324"/>
    <n v="306"/>
    <n v="113"/>
    <n v="0.39"/>
    <n v="83"/>
    <n v="16.93"/>
    <n v="12.7"/>
    <n v="438"/>
    <n v="149.58000000000001"/>
    <m/>
    <m/>
  </r>
  <r>
    <s v="2023-07-01 19:34 (PST)"/>
    <x v="447"/>
    <x v="1073"/>
    <x v="2"/>
    <s v="On Demand"/>
    <x v="1"/>
    <x v="1"/>
    <x v="1"/>
    <s v="Core"/>
    <x v="398"/>
    <x v="1325"/>
    <m/>
    <m/>
    <m/>
    <m/>
    <m/>
    <m/>
    <n v="59"/>
    <n v="115.91"/>
    <m/>
    <m/>
  </r>
  <r>
    <s v="2023-07-01 21:59 (PST)"/>
    <x v="447"/>
    <x v="96"/>
    <x v="2"/>
    <s v="On Demand"/>
    <x v="28"/>
    <x v="1"/>
    <x v="5"/>
    <s v="Breath"/>
    <x v="154"/>
    <x v="1326"/>
    <m/>
    <m/>
    <m/>
    <m/>
    <m/>
    <m/>
    <m/>
    <m/>
    <m/>
    <m/>
  </r>
  <r>
    <s v="2023-07-08 14:16 (PST)"/>
    <x v="448"/>
    <x v="924"/>
    <x v="2"/>
    <s v="On Demand"/>
    <x v="23"/>
    <x v="2"/>
    <x v="4"/>
    <s v="Flow"/>
    <x v="41"/>
    <x v="1327"/>
    <m/>
    <m/>
    <m/>
    <m/>
    <m/>
    <m/>
    <n v="111"/>
    <n v="91.78"/>
    <m/>
    <m/>
  </r>
  <r>
    <s v="2023-07-08 17:07 (-07)"/>
    <x v="448"/>
    <x v="939"/>
    <x v="2"/>
    <s v="On Demand"/>
    <x v="37"/>
    <x v="1"/>
    <x v="1"/>
    <s v="Core"/>
    <x v="1"/>
    <x v="1328"/>
    <m/>
    <m/>
    <m/>
    <m/>
    <m/>
    <m/>
    <n v="54"/>
    <n v="111.46"/>
    <m/>
    <m/>
  </r>
  <r>
    <s v="2023-07-08 17:19 (-07)"/>
    <x v="448"/>
    <x v="440"/>
    <x v="2"/>
    <s v="On Demand"/>
    <x v="7"/>
    <x v="0"/>
    <x v="0"/>
    <s v="Power Zone"/>
    <x v="85"/>
    <x v="1329"/>
    <n v="317"/>
    <n v="117"/>
    <n v="0.39"/>
    <n v="84"/>
    <n v="17.13"/>
    <n v="12.85"/>
    <n v="463"/>
    <n v="154.37"/>
    <m/>
    <m/>
  </r>
  <r>
    <s v="2023-07-08 18:04 (-07)"/>
    <x v="448"/>
    <x v="258"/>
    <x v="2"/>
    <s v="On Demand"/>
    <x v="6"/>
    <x v="3"/>
    <x v="0"/>
    <s v="Cool Down"/>
    <x v="10"/>
    <x v="1330"/>
    <n v="18"/>
    <n v="58"/>
    <n v="0.27"/>
    <n v="92"/>
    <n v="12.83"/>
    <n v="1.07"/>
    <n v="36"/>
    <n v="129.21"/>
    <m/>
    <m/>
  </r>
  <r>
    <s v="2023-07-15 13:43 (PST)"/>
    <x v="449"/>
    <x v="1074"/>
    <x v="2"/>
    <s v="On Demand"/>
    <x v="28"/>
    <x v="1"/>
    <x v="5"/>
    <s v="Relaxation"/>
    <x v="71"/>
    <x v="1331"/>
    <m/>
    <m/>
    <m/>
    <m/>
    <m/>
    <m/>
    <m/>
    <n v="83.52"/>
    <m/>
    <m/>
  </r>
  <r>
    <s v="2023-07-15 13:54 (PST)"/>
    <x v="449"/>
    <x v="1075"/>
    <x v="2"/>
    <s v="On Demand"/>
    <x v="13"/>
    <x v="1"/>
    <x v="5"/>
    <s v="Relaxation"/>
    <x v="34"/>
    <x v="1332"/>
    <m/>
    <m/>
    <m/>
    <m/>
    <m/>
    <m/>
    <m/>
    <m/>
    <m/>
    <m/>
  </r>
  <r>
    <s v="2023-07-15 14:06 (PST)"/>
    <x v="449"/>
    <x v="1076"/>
    <x v="2"/>
    <s v="On Demand"/>
    <x v="25"/>
    <x v="1"/>
    <x v="5"/>
    <s v="Relaxation"/>
    <x v="71"/>
    <x v="1333"/>
    <m/>
    <m/>
    <m/>
    <m/>
    <m/>
    <m/>
    <m/>
    <m/>
    <m/>
    <m/>
  </r>
  <r>
    <s v="2023-07-29 01:48 (PST)"/>
    <x v="450"/>
    <x v="1077"/>
    <x v="2"/>
    <s v="On Demand"/>
    <x v="19"/>
    <x v="2"/>
    <x v="5"/>
    <s v="Sleep"/>
    <x v="31"/>
    <x v="929"/>
    <m/>
    <m/>
    <m/>
    <m/>
    <m/>
    <m/>
    <m/>
    <m/>
    <m/>
    <m/>
  </r>
  <r>
    <s v="2023-07-29 20:48 (PST)"/>
    <x v="450"/>
    <x v="1078"/>
    <x v="2"/>
    <s v="On Demand"/>
    <x v="19"/>
    <x v="1"/>
    <x v="5"/>
    <s v="Emotions"/>
    <x v="15"/>
    <x v="1334"/>
    <m/>
    <m/>
    <m/>
    <m/>
    <m/>
    <m/>
    <m/>
    <m/>
    <m/>
    <m/>
  </r>
  <r>
    <s v="2023-07-29 23:41 (PST)"/>
    <x v="450"/>
    <x v="251"/>
    <x v="2"/>
    <s v="On Demand"/>
    <x v="25"/>
    <x v="1"/>
    <x v="5"/>
    <s v="Relaxation"/>
    <x v="34"/>
    <x v="1335"/>
    <m/>
    <m/>
    <m/>
    <m/>
    <m/>
    <m/>
    <m/>
    <m/>
    <m/>
    <m/>
  </r>
  <r>
    <s v="2023-08-05 21:56 (PST)"/>
    <x v="451"/>
    <x v="588"/>
    <x v="2"/>
    <s v="On Demand"/>
    <x v="19"/>
    <x v="2"/>
    <x v="5"/>
    <s v="Sleep"/>
    <x v="31"/>
    <x v="929"/>
    <m/>
    <m/>
    <m/>
    <m/>
    <m/>
    <m/>
    <m/>
    <m/>
    <m/>
    <m/>
  </r>
  <r>
    <s v="2023-08-12 00:57 (EST)"/>
    <x v="452"/>
    <x v="1079"/>
    <x v="2"/>
    <s v="On Demand"/>
    <x v="13"/>
    <x v="1"/>
    <x v="5"/>
    <s v="Mindfulness"/>
    <x v="51"/>
    <x v="1336"/>
    <m/>
    <m/>
    <m/>
    <m/>
    <m/>
    <m/>
    <m/>
    <m/>
    <m/>
    <m/>
  </r>
  <r>
    <s v="2023-08-12 10:05 (EST)"/>
    <x v="452"/>
    <x v="1080"/>
    <x v="2"/>
    <s v="On Demand"/>
    <x v="11"/>
    <x v="2"/>
    <x v="6"/>
    <s v="Hiking"/>
    <x v="238"/>
    <x v="1337"/>
    <n v="0"/>
    <m/>
    <m/>
    <m/>
    <n v="3.12"/>
    <n v="1.43"/>
    <n v="239"/>
    <n v="133.24"/>
    <m/>
    <m/>
  </r>
  <r>
    <s v="2023-08-12 10:36 (EST)"/>
    <x v="452"/>
    <x v="1081"/>
    <x v="2"/>
    <s v="On Demand"/>
    <x v="21"/>
    <x v="1"/>
    <x v="6"/>
    <s v="Power Walk"/>
    <x v="399"/>
    <x v="1338"/>
    <n v="0"/>
    <m/>
    <m/>
    <m/>
    <n v="3.31"/>
    <n v="0.51"/>
    <n v="81"/>
    <n v="134.44"/>
    <m/>
    <m/>
  </r>
  <r>
    <s v="2023-08-12 10:47 (EST)"/>
    <x v="452"/>
    <x v="1082"/>
    <x v="2"/>
    <s v="On Demand"/>
    <x v="15"/>
    <x v="3"/>
    <x v="6"/>
    <s v="Cool Down"/>
    <x v="400"/>
    <x v="1339"/>
    <n v="0"/>
    <m/>
    <m/>
    <m/>
    <n v="3.29"/>
    <n v="0.26"/>
    <n v="37"/>
    <n v="128.56"/>
    <m/>
    <m/>
  </r>
  <r>
    <s v="2023-08-12 10:54 (EST)"/>
    <x v="452"/>
    <x v="1083"/>
    <x v="2"/>
    <s v="On Demand"/>
    <x v="1"/>
    <x v="3"/>
    <x v="1"/>
    <s v="Core"/>
    <x v="6"/>
    <x v="1340"/>
    <m/>
    <m/>
    <m/>
    <m/>
    <m/>
    <m/>
    <n v="23"/>
    <n v="102.13"/>
    <m/>
    <m/>
  </r>
  <r>
    <s v="2023-08-19 22:21 (PST)"/>
    <x v="453"/>
    <x v="740"/>
    <x v="2"/>
    <s v="On Demand"/>
    <x v="28"/>
    <x v="7"/>
    <x v="5"/>
    <s v="Emotions"/>
    <x v="401"/>
    <x v="1341"/>
    <m/>
    <m/>
    <m/>
    <m/>
    <m/>
    <m/>
    <m/>
    <m/>
    <m/>
    <m/>
  </r>
  <r>
    <s v="2023-08-26 23:11 (PST)"/>
    <x v="454"/>
    <x v="985"/>
    <x v="2"/>
    <s v="On Demand"/>
    <x v="13"/>
    <x v="2"/>
    <x v="5"/>
    <s v="Sleep"/>
    <x v="31"/>
    <x v="1342"/>
    <m/>
    <m/>
    <m/>
    <m/>
    <m/>
    <m/>
    <m/>
    <m/>
    <m/>
    <m/>
  </r>
  <r>
    <s v="2023-09-02 10:40 (-07)"/>
    <x v="455"/>
    <x v="1084"/>
    <x v="2"/>
    <s v="On Demand"/>
    <x v="26"/>
    <x v="5"/>
    <x v="1"/>
    <s v="Full Body"/>
    <x v="402"/>
    <x v="1343"/>
    <m/>
    <m/>
    <m/>
    <m/>
    <m/>
    <m/>
    <n v="125"/>
    <n v="119.16"/>
    <m/>
    <m/>
  </r>
  <r>
    <s v="2023-09-02 11:01 (-07)"/>
    <x v="455"/>
    <x v="1085"/>
    <x v="2"/>
    <s v="On Demand"/>
    <x v="1"/>
    <x v="1"/>
    <x v="1"/>
    <s v="Core"/>
    <x v="1"/>
    <x v="1344"/>
    <m/>
    <m/>
    <m/>
    <m/>
    <m/>
    <m/>
    <n v="42"/>
    <n v="101.58"/>
    <m/>
    <m/>
  </r>
  <r>
    <s v="2023-09-02 11:16 (-07)"/>
    <x v="455"/>
    <x v="1086"/>
    <x v="2"/>
    <s v="On Demand"/>
    <x v="38"/>
    <x v="2"/>
    <x v="7"/>
    <s v="Endurance"/>
    <x v="152"/>
    <x v="1345"/>
    <n v="110"/>
    <m/>
    <m/>
    <m/>
    <n v="2.69"/>
    <n v="3.01"/>
    <n v="236"/>
    <n v="133.55000000000001"/>
    <m/>
    <m/>
  </r>
  <r>
    <s v="2023-09-02 11:48 (-07)"/>
    <x v="455"/>
    <x v="1087"/>
    <x v="2"/>
    <s v="On Demand"/>
    <x v="6"/>
    <x v="1"/>
    <x v="7"/>
    <s v="Form &amp; Drills"/>
    <x v="403"/>
    <x v="1346"/>
    <n v="4"/>
    <m/>
    <m/>
    <m/>
    <n v="2.12"/>
    <n v="0.15"/>
    <n v="46"/>
    <n v="105.44"/>
    <m/>
    <m/>
  </r>
  <r>
    <s v="2023-09-02 12:08 (PST)"/>
    <x v="455"/>
    <x v="379"/>
    <x v="2"/>
    <s v="On Demand"/>
    <x v="13"/>
    <x v="2"/>
    <x v="4"/>
    <s v="Slow Flow"/>
    <x v="50"/>
    <x v="1347"/>
    <m/>
    <m/>
    <m/>
    <m/>
    <m/>
    <m/>
    <n v="86"/>
    <m/>
    <m/>
    <m/>
  </r>
  <r>
    <s v="2023-09-02 22:43 (PST)"/>
    <x v="455"/>
    <x v="477"/>
    <x v="2"/>
    <s v="On Demand"/>
    <x v="13"/>
    <x v="1"/>
    <x v="5"/>
    <s v="Sleep"/>
    <x v="39"/>
    <x v="1348"/>
    <m/>
    <m/>
    <m/>
    <m/>
    <m/>
    <m/>
    <m/>
    <m/>
    <m/>
    <m/>
  </r>
  <r>
    <s v="2023-09-09 09:56 (PST)"/>
    <x v="456"/>
    <x v="1088"/>
    <x v="2"/>
    <s v="On Demand"/>
    <x v="43"/>
    <x v="2"/>
    <x v="6"/>
    <s v="Music Walk"/>
    <x v="404"/>
    <x v="1349"/>
    <n v="0"/>
    <m/>
    <m/>
    <m/>
    <n v="3.02"/>
    <n v="1.44"/>
    <n v="196"/>
    <n v="123.47"/>
    <m/>
    <m/>
  </r>
  <r>
    <s v="2023-09-09 10:27 (PST)"/>
    <x v="456"/>
    <x v="869"/>
    <x v="2"/>
    <m/>
    <x v="34"/>
    <x v="20"/>
    <x v="6"/>
    <m/>
    <x v="405"/>
    <x v="231"/>
    <n v="0"/>
    <m/>
    <m/>
    <m/>
    <n v="3.12"/>
    <n v="0.6"/>
    <n v="47"/>
    <m/>
    <m/>
    <m/>
  </r>
  <r>
    <s v="2023-09-09 16:56 (PST)"/>
    <x v="456"/>
    <x v="372"/>
    <x v="2"/>
    <s v="On Demand"/>
    <x v="28"/>
    <x v="2"/>
    <x v="4"/>
    <s v="Focus Flow"/>
    <x v="86"/>
    <x v="1350"/>
    <m/>
    <m/>
    <m/>
    <m/>
    <m/>
    <m/>
    <n v="92"/>
    <m/>
    <m/>
    <m/>
  </r>
  <r>
    <s v="2023-09-09 20:54 (PST)"/>
    <x v="456"/>
    <x v="1089"/>
    <x v="2"/>
    <s v="On Demand"/>
    <x v="19"/>
    <x v="7"/>
    <x v="5"/>
    <s v="Emotions"/>
    <x v="207"/>
    <x v="1351"/>
    <m/>
    <m/>
    <m/>
    <m/>
    <m/>
    <m/>
    <m/>
    <m/>
    <m/>
    <m/>
  </r>
  <r>
    <s v="2023-09-16 12:51 (MST)"/>
    <x v="457"/>
    <x v="1090"/>
    <x v="2"/>
    <s v="On Demand"/>
    <x v="25"/>
    <x v="1"/>
    <x v="5"/>
    <s v="Fitness Focus"/>
    <x v="164"/>
    <x v="1352"/>
    <m/>
    <m/>
    <m/>
    <m/>
    <m/>
    <m/>
    <m/>
    <m/>
    <m/>
    <m/>
  </r>
  <r>
    <s v="2023-09-16 23:13 (MST)"/>
    <x v="457"/>
    <x v="1091"/>
    <x v="2"/>
    <s v="On Demand"/>
    <x v="13"/>
    <x v="7"/>
    <x v="5"/>
    <s v="Relaxation"/>
    <x v="106"/>
    <x v="1353"/>
    <m/>
    <m/>
    <m/>
    <m/>
    <m/>
    <m/>
    <m/>
    <m/>
    <m/>
    <m/>
  </r>
  <r>
    <s v="2023-09-23 18:48 (PST)"/>
    <x v="458"/>
    <x v="1092"/>
    <x v="2"/>
    <s v="On Demand"/>
    <x v="19"/>
    <x v="1"/>
    <x v="5"/>
    <s v="Relaxation"/>
    <x v="34"/>
    <x v="1354"/>
    <m/>
    <m/>
    <m/>
    <m/>
    <m/>
    <m/>
    <m/>
    <m/>
    <m/>
    <m/>
  </r>
  <r>
    <s v="2023-09-30 23:57 (PST)"/>
    <x v="459"/>
    <x v="668"/>
    <x v="2"/>
    <s v="On Demand"/>
    <x v="19"/>
    <x v="1"/>
    <x v="5"/>
    <s v="Emotions"/>
    <x v="46"/>
    <x v="1355"/>
    <m/>
    <m/>
    <m/>
    <m/>
    <m/>
    <m/>
    <m/>
    <m/>
    <m/>
    <m/>
  </r>
  <r>
    <s v="2023-10-14 21:51 (PST)"/>
    <x v="460"/>
    <x v="1093"/>
    <x v="2"/>
    <s v="On Demand"/>
    <x v="28"/>
    <x v="5"/>
    <x v="5"/>
    <s v="Sleep"/>
    <x v="29"/>
    <x v="1356"/>
    <m/>
    <m/>
    <m/>
    <m/>
    <m/>
    <m/>
    <m/>
    <m/>
    <m/>
    <m/>
  </r>
  <r>
    <s v="2023-10-21 10:55 (-07)"/>
    <x v="461"/>
    <x v="940"/>
    <x v="2"/>
    <s v="On Demand"/>
    <x v="7"/>
    <x v="0"/>
    <x v="0"/>
    <s v="Power Zone"/>
    <x v="27"/>
    <x v="1357"/>
    <n v="284"/>
    <n v="105"/>
    <n v="0.37"/>
    <n v="84"/>
    <n v="16.420000000000002"/>
    <n v="12.32"/>
    <n v="480"/>
    <n v="157.81"/>
    <m/>
    <m/>
  </r>
  <r>
    <s v="2023-10-21 11:41 (-07)"/>
    <x v="461"/>
    <x v="1094"/>
    <x v="2"/>
    <s v="On Demand"/>
    <x v="22"/>
    <x v="3"/>
    <x v="0"/>
    <s v="Cool Down"/>
    <x v="10"/>
    <x v="1358"/>
    <n v="16"/>
    <n v="53"/>
    <n v="0.28999999999999998"/>
    <n v="77"/>
    <n v="12.27"/>
    <n v="1.02"/>
    <n v="39"/>
    <n v="129.52000000000001"/>
    <m/>
    <m/>
  </r>
  <r>
    <s v="2023-10-21 11:48 (-07)"/>
    <x v="461"/>
    <x v="1087"/>
    <x v="2"/>
    <s v="On Demand"/>
    <x v="1"/>
    <x v="1"/>
    <x v="1"/>
    <s v="Arms &amp; Light Weights"/>
    <x v="28"/>
    <x v="1359"/>
    <m/>
    <m/>
    <m/>
    <m/>
    <m/>
    <m/>
    <n v="67"/>
    <n v="122.47"/>
    <m/>
    <m/>
  </r>
  <r>
    <s v="2023-10-21 12:01 (-07)"/>
    <x v="461"/>
    <x v="941"/>
    <x v="2"/>
    <s v="On Demand"/>
    <x v="24"/>
    <x v="1"/>
    <x v="1"/>
    <s v="Core"/>
    <x v="108"/>
    <x v="1360"/>
    <m/>
    <m/>
    <m/>
    <m/>
    <m/>
    <m/>
    <n v="53"/>
    <n v="110.78"/>
    <m/>
    <m/>
  </r>
  <r>
    <s v="2023-10-21 12:14 (-07)"/>
    <x v="461"/>
    <x v="1095"/>
    <x v="2"/>
    <s v="On Demand"/>
    <x v="17"/>
    <x v="3"/>
    <x v="2"/>
    <s v="Pre &amp; Post-Ride Stretch"/>
    <x v="8"/>
    <x v="1361"/>
    <m/>
    <m/>
    <m/>
    <m/>
    <m/>
    <m/>
    <n v="20"/>
    <n v="100.78"/>
    <m/>
    <m/>
  </r>
  <r>
    <s v="2023-10-28 23:29 (PST)"/>
    <x v="462"/>
    <x v="326"/>
    <x v="2"/>
    <s v="On Demand"/>
    <x v="19"/>
    <x v="7"/>
    <x v="5"/>
    <s v="Emotions"/>
    <x v="401"/>
    <x v="1362"/>
    <m/>
    <m/>
    <m/>
    <m/>
    <m/>
    <m/>
    <m/>
    <m/>
    <m/>
    <m/>
  </r>
  <r>
    <s v="2023-11-04 11:38 (-07)"/>
    <x v="463"/>
    <x v="78"/>
    <x v="2"/>
    <s v="On Demand"/>
    <x v="31"/>
    <x v="1"/>
    <x v="1"/>
    <s v="Core"/>
    <x v="1"/>
    <x v="1363"/>
    <m/>
    <m/>
    <m/>
    <m/>
    <m/>
    <m/>
    <n v="44"/>
    <n v="101.92"/>
    <m/>
    <m/>
  </r>
  <r>
    <s v="2023-11-04 11:50 (-07)"/>
    <x v="463"/>
    <x v="1096"/>
    <x v="2"/>
    <s v="On Demand"/>
    <x v="6"/>
    <x v="0"/>
    <x v="0"/>
    <s v="Power Zone"/>
    <x v="27"/>
    <x v="1364"/>
    <n v="302"/>
    <n v="112"/>
    <n v="0.39"/>
    <n v="83"/>
    <n v="16.850000000000001"/>
    <n v="12.64"/>
    <n v="495"/>
    <n v="160.63"/>
    <m/>
    <m/>
  </r>
  <r>
    <s v="2023-11-04 12:37 (-07)"/>
    <x v="463"/>
    <x v="1059"/>
    <x v="2"/>
    <s v="On Demand"/>
    <x v="17"/>
    <x v="1"/>
    <x v="0"/>
    <s v="Low Impact"/>
    <x v="149"/>
    <x v="1365"/>
    <n v="34"/>
    <n v="56"/>
    <n v="0.3"/>
    <n v="79"/>
    <n v="12.62"/>
    <n v="2.11"/>
    <n v="82"/>
    <n v="136.07"/>
    <m/>
    <m/>
  </r>
  <r>
    <s v="2023-11-04 12:48 (-07)"/>
    <x v="463"/>
    <x v="1097"/>
    <x v="2"/>
    <s v="On Demand"/>
    <x v="17"/>
    <x v="1"/>
    <x v="1"/>
    <s v="Arms &amp; Light Weights"/>
    <x v="28"/>
    <x v="1366"/>
    <m/>
    <m/>
    <m/>
    <m/>
    <m/>
    <m/>
    <n v="55"/>
    <n v="113.87"/>
    <m/>
    <m/>
  </r>
  <r>
    <s v="2023-11-04 12:58 (-07)"/>
    <x v="463"/>
    <x v="1098"/>
    <x v="2"/>
    <s v="On Demand"/>
    <x v="22"/>
    <x v="3"/>
    <x v="2"/>
    <s v="Pre &amp; Post-Ride Stretch"/>
    <x v="8"/>
    <x v="1367"/>
    <m/>
    <m/>
    <m/>
    <m/>
    <m/>
    <m/>
    <n v="23"/>
    <n v="105.98"/>
    <m/>
    <m/>
  </r>
  <r>
    <s v="2023-11-11 10:14 (-08)"/>
    <x v="464"/>
    <x v="1099"/>
    <x v="2"/>
    <s v="On Demand"/>
    <x v="5"/>
    <x v="1"/>
    <x v="1"/>
    <s v="Core"/>
    <x v="1"/>
    <x v="1368"/>
    <m/>
    <m/>
    <m/>
    <m/>
    <m/>
    <m/>
    <n v="37"/>
    <n v="94.63"/>
    <m/>
    <m/>
  </r>
  <r>
    <s v="2023-11-11 10:26 (-08)"/>
    <x v="464"/>
    <x v="1100"/>
    <x v="2"/>
    <s v="On Demand"/>
    <x v="4"/>
    <x v="0"/>
    <x v="0"/>
    <s v="Power Zone"/>
    <x v="148"/>
    <x v="1369"/>
    <n v="284"/>
    <n v="105"/>
    <n v="0.37"/>
    <n v="84"/>
    <n v="16.399999999999999"/>
    <n v="12.3"/>
    <n v="468"/>
    <n v="155.53"/>
    <m/>
    <m/>
  </r>
  <r>
    <s v="2023-11-11 11:12 (-08)"/>
    <x v="464"/>
    <x v="1101"/>
    <x v="2"/>
    <s v="On Demand"/>
    <x v="4"/>
    <x v="3"/>
    <x v="0"/>
    <s v="Cool Down"/>
    <x v="10"/>
    <x v="1370"/>
    <n v="16"/>
    <n v="53"/>
    <n v="0.28000000000000003"/>
    <n v="80"/>
    <n v="12.18"/>
    <n v="1.01"/>
    <n v="40"/>
    <n v="134.94999999999999"/>
    <m/>
    <m/>
  </r>
  <r>
    <s v="2023-11-11 11:18 (-08)"/>
    <x v="464"/>
    <x v="1102"/>
    <x v="2"/>
    <s v="On Demand"/>
    <x v="29"/>
    <x v="1"/>
    <x v="1"/>
    <s v="Arms &amp; Light Weights"/>
    <x v="28"/>
    <x v="1371"/>
    <m/>
    <m/>
    <m/>
    <m/>
    <m/>
    <m/>
    <n v="72"/>
    <n v="125.61"/>
    <m/>
    <m/>
  </r>
  <r>
    <s v="2023-11-11 11:28 (-08)"/>
    <x v="464"/>
    <x v="1103"/>
    <x v="2"/>
    <s v="On Demand"/>
    <x v="7"/>
    <x v="3"/>
    <x v="2"/>
    <s v="Pre &amp; Post-Ride Stretch"/>
    <x v="8"/>
    <x v="1372"/>
    <m/>
    <m/>
    <m/>
    <m/>
    <m/>
    <m/>
    <n v="27"/>
    <n v="111.73"/>
    <m/>
    <m/>
  </r>
  <r>
    <s v="2023-11-18 02:40 (PST)"/>
    <x v="465"/>
    <x v="1104"/>
    <x v="2"/>
    <s v="On Demand"/>
    <x v="16"/>
    <x v="1"/>
    <x v="5"/>
    <s v="Theme"/>
    <x v="68"/>
    <x v="1373"/>
    <m/>
    <m/>
    <m/>
    <m/>
    <m/>
    <m/>
    <m/>
    <m/>
    <m/>
    <m/>
  </r>
  <r>
    <s v="2023-11-18 15:04 (-08)"/>
    <x v="465"/>
    <x v="1105"/>
    <x v="2"/>
    <s v="On Demand"/>
    <x v="6"/>
    <x v="0"/>
    <x v="0"/>
    <s v="Power Zone"/>
    <x v="85"/>
    <x v="1374"/>
    <n v="253"/>
    <n v="94"/>
    <n v="0.34"/>
    <n v="86"/>
    <n v="15.18"/>
    <n v="11.39"/>
    <n v="496"/>
    <n v="159.97"/>
    <m/>
    <m/>
  </r>
  <r>
    <s v="2023-11-18 15:50 (-08)"/>
    <x v="465"/>
    <x v="1106"/>
    <x v="2"/>
    <s v="On Demand"/>
    <x v="8"/>
    <x v="3"/>
    <x v="0"/>
    <s v="Cool Down"/>
    <x v="10"/>
    <x v="1375"/>
    <n v="23"/>
    <n v="76"/>
    <n v="0.34"/>
    <n v="81"/>
    <n v="14.29"/>
    <n v="1.19"/>
    <n v="29"/>
    <m/>
    <m/>
    <m/>
  </r>
  <r>
    <s v="2023-11-18 15:57 (-08)"/>
    <x v="465"/>
    <x v="1107"/>
    <x v="2"/>
    <s v="On Demand"/>
    <x v="39"/>
    <x v="3"/>
    <x v="2"/>
    <s v="Pre &amp; Post-Ride Stretch"/>
    <x v="8"/>
    <x v="1376"/>
    <m/>
    <m/>
    <m/>
    <m/>
    <m/>
    <m/>
    <n v="32"/>
    <n v="121.71"/>
    <m/>
    <m/>
  </r>
  <r>
    <s v="2023-11-18 23:16 (PST)"/>
    <x v="465"/>
    <x v="176"/>
    <x v="2"/>
    <s v="On Demand"/>
    <x v="19"/>
    <x v="1"/>
    <x v="5"/>
    <s v="Mindfulness"/>
    <x v="92"/>
    <x v="1377"/>
    <m/>
    <m/>
    <m/>
    <m/>
    <m/>
    <m/>
    <m/>
    <m/>
    <m/>
    <m/>
  </r>
  <r>
    <s v="2023-12-02 21:28 (PST)"/>
    <x v="466"/>
    <x v="315"/>
    <x v="2"/>
    <s v="On Demand"/>
    <x v="28"/>
    <x v="1"/>
    <x v="5"/>
    <s v="Emotions"/>
    <x v="109"/>
    <x v="1378"/>
    <m/>
    <m/>
    <m/>
    <m/>
    <m/>
    <m/>
    <m/>
    <m/>
    <m/>
    <m/>
  </r>
  <r>
    <s v="2023-12-09 11:06 (-08)"/>
    <x v="467"/>
    <x v="1108"/>
    <x v="2"/>
    <s v="On Demand"/>
    <x v="1"/>
    <x v="1"/>
    <x v="1"/>
    <s v="Core"/>
    <x v="1"/>
    <x v="1379"/>
    <m/>
    <m/>
    <m/>
    <m/>
    <m/>
    <m/>
    <n v="56"/>
    <n v="115.53"/>
    <m/>
    <m/>
  </r>
  <r>
    <s v="2023-12-09 11:20 (-08)"/>
    <x v="467"/>
    <x v="1109"/>
    <x v="2"/>
    <s v="On Demand"/>
    <x v="17"/>
    <x v="3"/>
    <x v="0"/>
    <s v="Warm Up"/>
    <x v="22"/>
    <x v="1380"/>
    <n v="20"/>
    <n v="66"/>
    <n v="0.31"/>
    <n v="83"/>
    <n v="13.53"/>
    <n v="1.1299999999999999"/>
    <n v="39"/>
    <n v="136.63999999999999"/>
    <m/>
    <m/>
  </r>
  <r>
    <s v="2023-12-09 11:26 (-08)"/>
    <x v="467"/>
    <x v="1110"/>
    <x v="2"/>
    <s v="On Demand"/>
    <x v="12"/>
    <x v="2"/>
    <x v="0"/>
    <s v="Power Zone"/>
    <x v="5"/>
    <x v="1381"/>
    <n v="173"/>
    <n v="96"/>
    <n v="0.36"/>
    <n v="84"/>
    <n v="15.81"/>
    <n v="7.9"/>
    <n v="352"/>
    <n v="166.17"/>
    <m/>
    <m/>
  </r>
  <r>
    <s v="2023-12-09 12:07 (-08)"/>
    <x v="467"/>
    <x v="1111"/>
    <x v="2"/>
    <s v="On Demand"/>
    <x v="17"/>
    <x v="1"/>
    <x v="1"/>
    <s v="Arms &amp; Light Weights"/>
    <x v="28"/>
    <x v="1382"/>
    <m/>
    <m/>
    <m/>
    <m/>
    <m/>
    <m/>
    <n v="48"/>
    <m/>
    <m/>
    <m/>
  </r>
  <r>
    <s v="2023-12-09 12:18 (-08)"/>
    <x v="467"/>
    <x v="1112"/>
    <x v="2"/>
    <s v="On Demand"/>
    <x v="9"/>
    <x v="3"/>
    <x v="2"/>
    <s v="Pre &amp; Post-Ride Stretch"/>
    <x v="8"/>
    <x v="1383"/>
    <m/>
    <m/>
    <m/>
    <m/>
    <m/>
    <m/>
    <n v="24"/>
    <n v="113.69"/>
    <m/>
    <m/>
  </r>
  <r>
    <s v="2023-12-16 22:45 (PST)"/>
    <x v="468"/>
    <x v="676"/>
    <x v="2"/>
    <s v="On Demand"/>
    <x v="13"/>
    <x v="1"/>
    <x v="5"/>
    <s v="Sleep"/>
    <x v="39"/>
    <x v="1384"/>
    <m/>
    <m/>
    <m/>
    <m/>
    <m/>
    <m/>
    <m/>
    <m/>
    <m/>
    <m/>
  </r>
  <r>
    <s v="2023-12-30 16:11 (-08)"/>
    <x v="469"/>
    <x v="1113"/>
    <x v="2"/>
    <s v="On Demand"/>
    <x v="37"/>
    <x v="2"/>
    <x v="1"/>
    <s v="Lower Body"/>
    <x v="318"/>
    <x v="1017"/>
    <m/>
    <m/>
    <m/>
    <m/>
    <m/>
    <m/>
    <n v="239"/>
    <n v="133.46"/>
    <m/>
    <m/>
  </r>
  <r>
    <s v="2023-12-30 16:44 (-08)"/>
    <x v="469"/>
    <x v="147"/>
    <x v="2"/>
    <s v="On Demand"/>
    <x v="27"/>
    <x v="1"/>
    <x v="1"/>
    <s v="Core"/>
    <x v="1"/>
    <x v="1385"/>
    <m/>
    <m/>
    <m/>
    <m/>
    <m/>
    <m/>
    <n v="50"/>
    <n v="106.97"/>
    <m/>
    <m/>
  </r>
  <r>
    <s v="2023-12-30 16:58 (-08)"/>
    <x v="469"/>
    <x v="599"/>
    <x v="2"/>
    <s v="On Demand"/>
    <x v="6"/>
    <x v="0"/>
    <x v="0"/>
    <s v="Power Zone"/>
    <x v="27"/>
    <x v="1386"/>
    <n v="285"/>
    <n v="106"/>
    <n v="0.38"/>
    <n v="82"/>
    <n v="16.489999999999998"/>
    <n v="12.37"/>
    <n v="478"/>
    <n v="156.49"/>
    <m/>
    <m/>
  </r>
  <r>
    <s v="2023-12-30 17:44 (-08)"/>
    <x v="469"/>
    <x v="1114"/>
    <x v="2"/>
    <s v="On Demand"/>
    <x v="42"/>
    <x v="3"/>
    <x v="2"/>
    <s v="Pre &amp; Post-Ride Stretch"/>
    <x v="8"/>
    <x v="1387"/>
    <m/>
    <m/>
    <m/>
    <m/>
    <m/>
    <m/>
    <n v="28"/>
    <n v="113.03"/>
    <m/>
    <m/>
  </r>
  <r>
    <s v="2023-12-30 22:53 (PST)"/>
    <x v="469"/>
    <x v="964"/>
    <x v="2"/>
    <s v="On Demand"/>
    <x v="25"/>
    <x v="5"/>
    <x v="5"/>
    <s v="Theme"/>
    <x v="406"/>
    <x v="1388"/>
    <m/>
    <m/>
    <m/>
    <m/>
    <m/>
    <m/>
    <m/>
    <m/>
    <m/>
    <m/>
  </r>
  <r>
    <s v="2024-01-06 23:27 (PST)"/>
    <x v="470"/>
    <x v="144"/>
    <x v="2"/>
    <s v="On Demand"/>
    <x v="28"/>
    <x v="5"/>
    <x v="5"/>
    <s v="Theme"/>
    <x v="407"/>
    <x v="1388"/>
    <m/>
    <m/>
    <m/>
    <m/>
    <m/>
    <m/>
    <m/>
    <m/>
    <m/>
    <m/>
  </r>
  <r>
    <s v="2024-01-13 14:29 (-08)"/>
    <x v="471"/>
    <x v="1115"/>
    <x v="2"/>
    <s v="On Demand"/>
    <x v="9"/>
    <x v="4"/>
    <x v="0"/>
    <s v="Power Zone"/>
    <x v="7"/>
    <x v="1389"/>
    <n v="364"/>
    <n v="101"/>
    <n v="0.37"/>
    <n v="83"/>
    <n v="16.22"/>
    <n v="16.21"/>
    <n v="581"/>
    <n v="148.62"/>
    <m/>
    <m/>
  </r>
  <r>
    <s v="2024-01-13 21:18 (PST)"/>
    <x v="471"/>
    <x v="1116"/>
    <x v="2"/>
    <s v="On Demand"/>
    <x v="16"/>
    <x v="7"/>
    <x v="5"/>
    <s v="Mindfulness"/>
    <x v="163"/>
    <x v="1390"/>
    <m/>
    <m/>
    <m/>
    <m/>
    <m/>
    <m/>
    <m/>
    <m/>
    <m/>
    <m/>
  </r>
  <r>
    <s v="2020-02-09 19:55 (PST)"/>
    <x v="472"/>
    <x v="1117"/>
    <x v="3"/>
    <s v="On Demand"/>
    <x v="1"/>
    <x v="3"/>
    <x v="1"/>
    <s v="Core"/>
    <x v="6"/>
    <x v="396"/>
    <m/>
    <m/>
    <m/>
    <m/>
    <m/>
    <m/>
    <n v="28"/>
    <m/>
    <m/>
    <m/>
  </r>
  <r>
    <s v="2020-02-09 20:02 (PST)"/>
    <x v="472"/>
    <x v="879"/>
    <x v="3"/>
    <s v="On Demand"/>
    <x v="7"/>
    <x v="0"/>
    <x v="4"/>
    <s v="Flow"/>
    <x v="14"/>
    <x v="1391"/>
    <m/>
    <m/>
    <m/>
    <m/>
    <m/>
    <m/>
    <n v="58"/>
    <m/>
    <m/>
    <m/>
  </r>
  <r>
    <s v="2020-03-15 20:34 (PST)"/>
    <x v="473"/>
    <x v="798"/>
    <x v="3"/>
    <s v="On Demand"/>
    <x v="7"/>
    <x v="0"/>
    <x v="4"/>
    <s v="Flow"/>
    <x v="14"/>
    <x v="1392"/>
    <m/>
    <m/>
    <m/>
    <m/>
    <m/>
    <m/>
    <n v="171"/>
    <m/>
    <m/>
    <m/>
  </r>
  <r>
    <s v="2020-04-05 11:30 (PST)"/>
    <x v="474"/>
    <x v="1118"/>
    <x v="3"/>
    <s v="On Demand"/>
    <x v="7"/>
    <x v="4"/>
    <x v="4"/>
    <s v="Flow"/>
    <x v="24"/>
    <x v="1393"/>
    <m/>
    <m/>
    <m/>
    <m/>
    <m/>
    <m/>
    <n v="238"/>
    <m/>
    <m/>
    <m/>
  </r>
  <r>
    <s v="2020-05-03 16:49 (PST)"/>
    <x v="475"/>
    <x v="1119"/>
    <x v="3"/>
    <s v="On Demand"/>
    <x v="7"/>
    <x v="2"/>
    <x v="4"/>
    <s v="Theme"/>
    <x v="56"/>
    <x v="1394"/>
    <m/>
    <m/>
    <m/>
    <m/>
    <m/>
    <m/>
    <n v="2"/>
    <m/>
    <m/>
    <m/>
  </r>
  <r>
    <s v="2020-05-03 16:50 (PST)"/>
    <x v="475"/>
    <x v="1120"/>
    <x v="3"/>
    <s v="On Demand"/>
    <x v="7"/>
    <x v="2"/>
    <x v="4"/>
    <s v="Theme"/>
    <x v="56"/>
    <x v="1394"/>
    <m/>
    <m/>
    <m/>
    <m/>
    <m/>
    <m/>
    <m/>
    <m/>
    <m/>
    <m/>
  </r>
  <r>
    <s v="2020-05-03 16:53 (PST)"/>
    <x v="475"/>
    <x v="1121"/>
    <x v="3"/>
    <s v="On Demand"/>
    <x v="16"/>
    <x v="2"/>
    <x v="4"/>
    <s v="Flow"/>
    <x v="408"/>
    <x v="1395"/>
    <m/>
    <m/>
    <m/>
    <m/>
    <m/>
    <m/>
    <n v="125"/>
    <m/>
    <m/>
    <m/>
  </r>
  <r>
    <s v="2020-11-01 15:40 (PST)"/>
    <x v="476"/>
    <x v="1122"/>
    <x v="3"/>
    <s v="On Demand"/>
    <x v="12"/>
    <x v="0"/>
    <x v="0"/>
    <s v="Intervals"/>
    <x v="0"/>
    <x v="1396"/>
    <n v="189"/>
    <n v="70"/>
    <n v="0.34"/>
    <n v="79"/>
    <n v="13.55"/>
    <n v="10.16"/>
    <n v="259"/>
    <m/>
    <m/>
    <m/>
  </r>
  <r>
    <s v="2020-11-01 16:27 (PST)"/>
    <x v="476"/>
    <x v="1123"/>
    <x v="3"/>
    <s v="On Demand"/>
    <x v="12"/>
    <x v="3"/>
    <x v="0"/>
    <s v="Cool Down"/>
    <x v="10"/>
    <x v="1397"/>
    <n v="12"/>
    <n v="42"/>
    <n v="0.24"/>
    <n v="87"/>
    <n v="10.91"/>
    <n v="0.91"/>
    <n v="17"/>
    <m/>
    <m/>
    <m/>
  </r>
  <r>
    <s v="2020-11-01 16:41 (PST)"/>
    <x v="476"/>
    <x v="1124"/>
    <x v="3"/>
    <s v="On Demand"/>
    <x v="37"/>
    <x v="1"/>
    <x v="2"/>
    <s v="Full Body Stretch"/>
    <x v="4"/>
    <x v="1398"/>
    <m/>
    <m/>
    <m/>
    <m/>
    <m/>
    <m/>
    <n v="26"/>
    <m/>
    <m/>
    <m/>
  </r>
  <r>
    <s v="2020-11-08 09:22 (PST)"/>
    <x v="477"/>
    <x v="972"/>
    <x v="3"/>
    <s v="On Demand"/>
    <x v="16"/>
    <x v="2"/>
    <x v="4"/>
    <s v="Theme"/>
    <x v="63"/>
    <x v="1399"/>
    <m/>
    <m/>
    <m/>
    <m/>
    <m/>
    <m/>
    <n v="90"/>
    <m/>
    <m/>
    <m/>
  </r>
  <r>
    <s v="2020-11-15 13:11 (PST)"/>
    <x v="478"/>
    <x v="1125"/>
    <x v="3"/>
    <s v="On Demand"/>
    <x v="6"/>
    <x v="2"/>
    <x v="0"/>
    <s v="Power Zone"/>
    <x v="5"/>
    <x v="1400"/>
    <n v="138"/>
    <n v="77"/>
    <n v="0.33"/>
    <n v="87"/>
    <n v="14.44"/>
    <n v="7.21"/>
    <n v="189"/>
    <m/>
    <m/>
    <m/>
  </r>
  <r>
    <s v="2020-11-15 13:42 (PST)"/>
    <x v="478"/>
    <x v="1126"/>
    <x v="3"/>
    <s v="On Demand"/>
    <x v="6"/>
    <x v="3"/>
    <x v="0"/>
    <s v="Cool Down"/>
    <x v="10"/>
    <x v="28"/>
    <n v="17"/>
    <n v="58"/>
    <n v="0.27"/>
    <n v="94"/>
    <n v="12.79"/>
    <n v="1.06"/>
    <n v="24"/>
    <m/>
    <m/>
    <m/>
  </r>
  <r>
    <s v="2020-11-15 14:07 (PST)"/>
    <x v="478"/>
    <x v="1127"/>
    <x v="3"/>
    <s v="On Demand"/>
    <x v="25"/>
    <x v="2"/>
    <x v="4"/>
    <s v="Flow"/>
    <x v="409"/>
    <x v="1401"/>
    <m/>
    <m/>
    <m/>
    <m/>
    <m/>
    <m/>
    <n v="104"/>
    <m/>
    <m/>
    <m/>
  </r>
  <r>
    <s v="2020-11-15 14:43 (PST)"/>
    <x v="478"/>
    <x v="1128"/>
    <x v="3"/>
    <s v="On Demand"/>
    <x v="25"/>
    <x v="1"/>
    <x v="5"/>
    <s v="Theme"/>
    <x v="410"/>
    <x v="1402"/>
    <m/>
    <m/>
    <m/>
    <m/>
    <m/>
    <m/>
    <m/>
    <m/>
    <m/>
    <m/>
  </r>
  <r>
    <s v="2020-11-22 09:39 (PST)"/>
    <x v="479"/>
    <x v="1129"/>
    <x v="3"/>
    <s v="On Demand"/>
    <x v="12"/>
    <x v="0"/>
    <x v="0"/>
    <s v="Intervals"/>
    <x v="0"/>
    <x v="1403"/>
    <n v="191"/>
    <n v="71"/>
    <n v="0.39"/>
    <n v="62"/>
    <n v="12.23"/>
    <n v="9.17"/>
    <n v="261"/>
    <m/>
    <m/>
    <m/>
  </r>
  <r>
    <s v="2020-11-22 10:25 (PST)"/>
    <x v="479"/>
    <x v="1130"/>
    <x v="3"/>
    <s v="On Demand"/>
    <x v="12"/>
    <x v="3"/>
    <x v="0"/>
    <s v="Cool Down"/>
    <x v="10"/>
    <x v="1397"/>
    <n v="15"/>
    <n v="50"/>
    <n v="0.25"/>
    <n v="92"/>
    <n v="11.9"/>
    <n v="0.99"/>
    <n v="20"/>
    <m/>
    <m/>
    <m/>
  </r>
  <r>
    <s v="2020-12-06 12:14 (PST)"/>
    <x v="480"/>
    <x v="1131"/>
    <x v="3"/>
    <s v="On Demand"/>
    <x v="12"/>
    <x v="2"/>
    <x v="3"/>
    <s v="Music"/>
    <x v="411"/>
    <x v="1404"/>
    <n v="72"/>
    <m/>
    <m/>
    <m/>
    <n v="14.92"/>
    <n v="3.27"/>
    <n v="175"/>
    <m/>
    <m/>
    <m/>
  </r>
  <r>
    <s v="2020-12-06 12:47 (PST)"/>
    <x v="480"/>
    <x v="145"/>
    <x v="3"/>
    <s v="On Demand"/>
    <x v="1"/>
    <x v="7"/>
    <x v="0"/>
    <s v="Low Impact"/>
    <x v="249"/>
    <x v="1405"/>
    <n v="76"/>
    <n v="85"/>
    <n v="0.37"/>
    <n v="80"/>
    <n v="15.05"/>
    <n v="3.76"/>
    <n v="104"/>
    <m/>
    <m/>
    <m/>
  </r>
  <r>
    <s v="2020-12-13 14:47 (PST)"/>
    <x v="481"/>
    <x v="1132"/>
    <x v="3"/>
    <s v="On Demand"/>
    <x v="6"/>
    <x v="4"/>
    <x v="0"/>
    <s v="Power Zone"/>
    <x v="23"/>
    <x v="1406"/>
    <n v="316"/>
    <n v="88"/>
    <n v="0.35"/>
    <n v="83"/>
    <n v="15.2"/>
    <n v="15.19"/>
    <n v="390"/>
    <m/>
    <m/>
    <m/>
  </r>
  <r>
    <s v="2020-12-13 16:16 (PST)"/>
    <x v="481"/>
    <x v="1133"/>
    <x v="3"/>
    <s v="On Demand"/>
    <x v="7"/>
    <x v="2"/>
    <x v="4"/>
    <s v="Slow Flow"/>
    <x v="50"/>
    <x v="1407"/>
    <m/>
    <m/>
    <m/>
    <m/>
    <m/>
    <m/>
    <n v="99"/>
    <m/>
    <m/>
    <m/>
  </r>
  <r>
    <s v="2020-12-20 12:37 (PST)"/>
    <x v="482"/>
    <x v="1134"/>
    <x v="3"/>
    <s v="On Demand"/>
    <x v="7"/>
    <x v="2"/>
    <x v="0"/>
    <s v="Power Zone"/>
    <x v="412"/>
    <x v="1408"/>
    <n v="153"/>
    <n v="85"/>
    <n v="0.35"/>
    <n v="83"/>
    <n v="14.94"/>
    <n v="7.47"/>
    <n v="189"/>
    <m/>
    <m/>
    <m/>
  </r>
  <r>
    <s v="2020-12-20 13:10 (PST)"/>
    <x v="482"/>
    <x v="1135"/>
    <x v="3"/>
    <s v="On Demand"/>
    <x v="7"/>
    <x v="1"/>
    <x v="1"/>
    <s v="Arms &amp; Light Weights"/>
    <x v="18"/>
    <x v="1409"/>
    <m/>
    <m/>
    <m/>
    <m/>
    <m/>
    <m/>
    <n v="46"/>
    <m/>
    <m/>
    <m/>
  </r>
  <r>
    <s v="2020-12-20 13:25 (PST)"/>
    <x v="482"/>
    <x v="1136"/>
    <x v="3"/>
    <s v="On Demand"/>
    <x v="1"/>
    <x v="1"/>
    <x v="1"/>
    <s v="Pilates"/>
    <x v="413"/>
    <x v="417"/>
    <m/>
    <m/>
    <m/>
    <m/>
    <m/>
    <m/>
    <n v="46"/>
    <m/>
    <m/>
    <m/>
  </r>
  <r>
    <s v="2020-12-27 17:19 (PST)"/>
    <x v="483"/>
    <x v="1016"/>
    <x v="3"/>
    <s v="On Demand"/>
    <x v="6"/>
    <x v="0"/>
    <x v="0"/>
    <s v="Power Zone"/>
    <x v="85"/>
    <x v="1410"/>
    <n v="253"/>
    <n v="94"/>
    <n v="0.33"/>
    <n v="91"/>
    <n v="15.41"/>
    <n v="11.55"/>
    <n v="313"/>
    <m/>
    <m/>
    <m/>
  </r>
  <r>
    <s v="2020-12-27 18:05 (PST)"/>
    <x v="483"/>
    <x v="219"/>
    <x v="3"/>
    <s v="On Demand"/>
    <x v="6"/>
    <x v="3"/>
    <x v="0"/>
    <s v="Cool Down"/>
    <x v="10"/>
    <x v="28"/>
    <n v="16"/>
    <n v="54"/>
    <n v="0.26"/>
    <n v="90"/>
    <n v="12.21"/>
    <n v="1.01"/>
    <n v="20"/>
    <m/>
    <m/>
    <m/>
  </r>
  <r>
    <s v="2020-12-27 18:12 (PST)"/>
    <x v="483"/>
    <x v="1137"/>
    <x v="3"/>
    <s v="On Demand"/>
    <x v="6"/>
    <x v="3"/>
    <x v="2"/>
    <s v="Pre &amp; Post-Ride Stretch"/>
    <x v="8"/>
    <x v="8"/>
    <m/>
    <m/>
    <m/>
    <m/>
    <m/>
    <m/>
    <n v="12"/>
    <m/>
    <m/>
    <m/>
  </r>
  <r>
    <s v="2020-12-27 18:21 (PST)"/>
    <x v="483"/>
    <x v="1138"/>
    <x v="3"/>
    <s v="On Demand"/>
    <x v="7"/>
    <x v="1"/>
    <x v="4"/>
    <s v="Flow"/>
    <x v="178"/>
    <x v="1411"/>
    <m/>
    <m/>
    <m/>
    <m/>
    <m/>
    <m/>
    <n v="32"/>
    <m/>
    <m/>
    <m/>
  </r>
  <r>
    <s v="2020-12-27 18:33 (PST)"/>
    <x v="483"/>
    <x v="1139"/>
    <x v="3"/>
    <s v="On Demand"/>
    <x v="13"/>
    <x v="1"/>
    <x v="5"/>
    <s v="Relaxation"/>
    <x v="34"/>
    <x v="1412"/>
    <m/>
    <m/>
    <m/>
    <m/>
    <m/>
    <m/>
    <m/>
    <m/>
    <m/>
    <m/>
  </r>
  <r>
    <s v="2021-01-03 15:52 (PST)"/>
    <x v="484"/>
    <x v="1140"/>
    <x v="3"/>
    <s v="On Demand"/>
    <x v="1"/>
    <x v="0"/>
    <x v="0"/>
    <s v="Intervals"/>
    <x v="0"/>
    <x v="1413"/>
    <n v="178"/>
    <n v="66"/>
    <n v="0.36"/>
    <n v="55"/>
    <n v="10.82"/>
    <n v="8.11"/>
    <n v="220"/>
    <m/>
    <m/>
    <m/>
  </r>
  <r>
    <s v="2021-01-03 16:42 (PST)"/>
    <x v="484"/>
    <x v="960"/>
    <x v="3"/>
    <s v="On Demand"/>
    <x v="1"/>
    <x v="1"/>
    <x v="1"/>
    <s v="Core"/>
    <x v="1"/>
    <x v="21"/>
    <m/>
    <m/>
    <m/>
    <m/>
    <m/>
    <m/>
    <n v="46"/>
    <m/>
    <m/>
    <m/>
  </r>
  <r>
    <s v="2021-01-03 18:18 (PST)"/>
    <x v="484"/>
    <x v="1141"/>
    <x v="3"/>
    <s v="On Demand"/>
    <x v="7"/>
    <x v="0"/>
    <x v="4"/>
    <s v="Flow"/>
    <x v="414"/>
    <x v="1414"/>
    <m/>
    <m/>
    <m/>
    <m/>
    <m/>
    <m/>
    <n v="146"/>
    <m/>
    <m/>
    <m/>
  </r>
  <r>
    <s v="2021-01-03 19:06 (PST)"/>
    <x v="484"/>
    <x v="797"/>
    <x v="3"/>
    <s v="On Demand"/>
    <x v="23"/>
    <x v="3"/>
    <x v="5"/>
    <s v="Emotions"/>
    <x v="376"/>
    <x v="1415"/>
    <m/>
    <m/>
    <m/>
    <m/>
    <m/>
    <m/>
    <m/>
    <m/>
    <m/>
    <m/>
  </r>
  <r>
    <s v="2021-01-10 17:29 (PST)"/>
    <x v="485"/>
    <x v="1142"/>
    <x v="3"/>
    <s v="On Demand"/>
    <x v="22"/>
    <x v="5"/>
    <x v="0"/>
    <s v="Low Impact"/>
    <x v="67"/>
    <x v="1416"/>
    <n v="109"/>
    <n v="91"/>
    <n v="0.36"/>
    <n v="83"/>
    <n v="15.35"/>
    <n v="5.12"/>
    <n v="135"/>
    <m/>
    <m/>
    <m/>
  </r>
  <r>
    <s v="2021-01-10 17:53 (PST)"/>
    <x v="485"/>
    <x v="1143"/>
    <x v="3"/>
    <s v="On Demand"/>
    <x v="16"/>
    <x v="1"/>
    <x v="4"/>
    <s v="Focus Flow"/>
    <x v="396"/>
    <x v="1417"/>
    <m/>
    <m/>
    <m/>
    <m/>
    <m/>
    <m/>
    <n v="32"/>
    <m/>
    <m/>
    <m/>
  </r>
  <r>
    <s v="2021-01-10 18:05 (PST)"/>
    <x v="485"/>
    <x v="219"/>
    <x v="3"/>
    <s v="On Demand"/>
    <x v="11"/>
    <x v="3"/>
    <x v="1"/>
    <s v="Core"/>
    <x v="6"/>
    <x v="1418"/>
    <m/>
    <m/>
    <m/>
    <m/>
    <m/>
    <m/>
    <n v="23"/>
    <m/>
    <m/>
    <m/>
  </r>
  <r>
    <s v="2021-01-17 12:04 (PST)"/>
    <x v="486"/>
    <x v="1144"/>
    <x v="3"/>
    <s v="On Demand"/>
    <x v="6"/>
    <x v="2"/>
    <x v="0"/>
    <s v="Power Zone"/>
    <x v="5"/>
    <x v="414"/>
    <n v="159"/>
    <n v="88"/>
    <n v="0.34"/>
    <n v="90"/>
    <n v="15.33"/>
    <n v="7.66"/>
    <n v="197"/>
    <m/>
    <m/>
    <m/>
  </r>
  <r>
    <s v="2021-01-17 12:40 (PST)"/>
    <x v="486"/>
    <x v="1145"/>
    <x v="3"/>
    <s v="On Demand"/>
    <x v="11"/>
    <x v="5"/>
    <x v="1"/>
    <s v="Lower Body"/>
    <x v="228"/>
    <x v="1419"/>
    <m/>
    <m/>
    <m/>
    <m/>
    <m/>
    <m/>
    <n v="92"/>
    <m/>
    <m/>
    <m/>
  </r>
  <r>
    <s v="2021-01-17 13:02 (PST)"/>
    <x v="486"/>
    <x v="1146"/>
    <x v="3"/>
    <s v="On Demand"/>
    <x v="1"/>
    <x v="1"/>
    <x v="1"/>
    <s v="Core"/>
    <x v="415"/>
    <x v="1053"/>
    <m/>
    <m/>
    <m/>
    <m/>
    <m/>
    <m/>
    <n v="46"/>
    <m/>
    <m/>
    <m/>
  </r>
  <r>
    <s v="2021-01-24 10:15 (PST)"/>
    <x v="487"/>
    <x v="1147"/>
    <x v="3"/>
    <s v="On Demand"/>
    <x v="16"/>
    <x v="0"/>
    <x v="4"/>
    <s v="Flow"/>
    <x v="14"/>
    <x v="1420"/>
    <m/>
    <m/>
    <m/>
    <m/>
    <m/>
    <m/>
    <n v="154"/>
    <m/>
    <m/>
    <m/>
  </r>
  <r>
    <s v="2021-01-24 18:43 (-08)"/>
    <x v="487"/>
    <x v="587"/>
    <x v="3"/>
    <s v="On Demand"/>
    <x v="5"/>
    <x v="0"/>
    <x v="0"/>
    <s v="Power Zone"/>
    <x v="27"/>
    <x v="1421"/>
    <n v="232"/>
    <n v="86"/>
    <n v="0.34"/>
    <n v="87"/>
    <n v="15.11"/>
    <n v="11.33"/>
    <n v="288"/>
    <m/>
    <m/>
    <m/>
  </r>
  <r>
    <s v="2021-01-24 19:29 (-08)"/>
    <x v="487"/>
    <x v="1148"/>
    <x v="3"/>
    <s v="On Demand"/>
    <x v="5"/>
    <x v="1"/>
    <x v="1"/>
    <s v="Arms &amp; Light Weights"/>
    <x v="18"/>
    <x v="1422"/>
    <m/>
    <m/>
    <m/>
    <m/>
    <m/>
    <m/>
    <n v="46"/>
    <m/>
    <m/>
    <m/>
  </r>
  <r>
    <s v="2021-01-31 18:56 (-08)"/>
    <x v="488"/>
    <x v="1149"/>
    <x v="3"/>
    <s v="On Demand"/>
    <x v="9"/>
    <x v="0"/>
    <x v="0"/>
    <s v="Power Zone"/>
    <x v="27"/>
    <x v="1423"/>
    <n v="232"/>
    <n v="86"/>
    <n v="0.33"/>
    <n v="89"/>
    <n v="15.14"/>
    <n v="11.36"/>
    <n v="286"/>
    <m/>
    <m/>
    <m/>
  </r>
  <r>
    <s v="2021-01-31 19:44 (-08)"/>
    <x v="488"/>
    <x v="1150"/>
    <x v="3"/>
    <s v="On Demand"/>
    <x v="9"/>
    <x v="3"/>
    <x v="0"/>
    <s v="Cool Down"/>
    <x v="10"/>
    <x v="1424"/>
    <n v="19"/>
    <n v="62"/>
    <n v="0.3"/>
    <n v="86"/>
    <n v="13.17"/>
    <n v="1.1000000000000001"/>
    <n v="23"/>
    <m/>
    <m/>
    <m/>
  </r>
  <r>
    <s v="2021-01-31 19:50 (-08)"/>
    <x v="488"/>
    <x v="1151"/>
    <x v="3"/>
    <s v="On Demand"/>
    <x v="12"/>
    <x v="1"/>
    <x v="1"/>
    <s v="Arms &amp; Light Weights"/>
    <x v="18"/>
    <x v="1425"/>
    <m/>
    <m/>
    <m/>
    <m/>
    <m/>
    <m/>
    <n v="46"/>
    <m/>
    <m/>
    <m/>
  </r>
  <r>
    <s v="2021-01-31 21:24 (PST)"/>
    <x v="488"/>
    <x v="1152"/>
    <x v="3"/>
    <s v="On Demand"/>
    <x v="16"/>
    <x v="1"/>
    <x v="4"/>
    <s v="Focus Flow"/>
    <x v="416"/>
    <x v="1426"/>
    <m/>
    <m/>
    <m/>
    <m/>
    <m/>
    <m/>
    <n v="37"/>
    <m/>
    <m/>
    <m/>
  </r>
  <r>
    <s v="2021-01-31 21:36 (PST)"/>
    <x v="488"/>
    <x v="1153"/>
    <x v="3"/>
    <s v="On Demand"/>
    <x v="16"/>
    <x v="1"/>
    <x v="4"/>
    <s v="Focus Flow"/>
    <x v="133"/>
    <x v="1427"/>
    <m/>
    <m/>
    <m/>
    <m/>
    <m/>
    <m/>
    <n v="35"/>
    <m/>
    <m/>
    <m/>
  </r>
  <r>
    <s v="2021-02-07 20:47 (PST)"/>
    <x v="489"/>
    <x v="984"/>
    <x v="3"/>
    <s v="On Demand"/>
    <x v="7"/>
    <x v="1"/>
    <x v="4"/>
    <s v="Restoration"/>
    <x v="417"/>
    <x v="1428"/>
    <m/>
    <m/>
    <m/>
    <m/>
    <m/>
    <m/>
    <n v="18"/>
    <m/>
    <m/>
    <m/>
  </r>
  <r>
    <s v="2021-02-07 21:01 (PST)"/>
    <x v="489"/>
    <x v="1154"/>
    <x v="3"/>
    <s v="On Demand"/>
    <x v="7"/>
    <x v="1"/>
    <x v="4"/>
    <s v="Focus Flow"/>
    <x v="174"/>
    <x v="1429"/>
    <m/>
    <m/>
    <m/>
    <m/>
    <m/>
    <m/>
    <n v="37"/>
    <m/>
    <m/>
    <m/>
  </r>
  <r>
    <s v="2021-02-21 07:49 (PST)"/>
    <x v="490"/>
    <x v="95"/>
    <x v="3"/>
    <s v="On Demand"/>
    <x v="7"/>
    <x v="1"/>
    <x v="4"/>
    <s v="Focus Flow"/>
    <x v="118"/>
    <x v="1083"/>
    <m/>
    <m/>
    <m/>
    <m/>
    <m/>
    <m/>
    <n v="29"/>
    <n v="88.77"/>
    <m/>
    <m/>
  </r>
  <r>
    <s v="2021-02-21 08:01 (PST)"/>
    <x v="490"/>
    <x v="252"/>
    <x v="3"/>
    <s v="On Demand"/>
    <x v="7"/>
    <x v="5"/>
    <x v="4"/>
    <s v="Focus Flow"/>
    <x v="194"/>
    <x v="1430"/>
    <m/>
    <m/>
    <m/>
    <m/>
    <m/>
    <m/>
    <n v="64"/>
    <n v="74.89"/>
    <m/>
    <m/>
  </r>
  <r>
    <s v="2021-02-21 08:26 (PST)"/>
    <x v="490"/>
    <x v="1155"/>
    <x v="3"/>
    <s v="On Demand"/>
    <x v="21"/>
    <x v="3"/>
    <x v="2"/>
    <s v="Lower Body Stretch"/>
    <x v="188"/>
    <x v="1431"/>
    <m/>
    <m/>
    <m/>
    <m/>
    <m/>
    <m/>
    <n v="11"/>
    <n v="78.92"/>
    <m/>
    <m/>
  </r>
  <r>
    <s v="2021-02-28 21:46 (PST)"/>
    <x v="491"/>
    <x v="432"/>
    <x v="3"/>
    <s v="On Demand"/>
    <x v="16"/>
    <x v="1"/>
    <x v="5"/>
    <s v="Fitness Focus"/>
    <x v="372"/>
    <x v="1432"/>
    <m/>
    <m/>
    <m/>
    <m/>
    <m/>
    <m/>
    <m/>
    <m/>
    <m/>
    <m/>
  </r>
  <r>
    <s v="2021-03-07 19:32 (PST)"/>
    <x v="492"/>
    <x v="1156"/>
    <x v="3"/>
    <s v="On Demand"/>
    <x v="1"/>
    <x v="7"/>
    <x v="1"/>
    <s v="Core"/>
    <x v="418"/>
    <x v="1433"/>
    <m/>
    <m/>
    <m/>
    <m/>
    <m/>
    <m/>
    <n v="37"/>
    <n v="102.36"/>
    <m/>
    <m/>
  </r>
  <r>
    <s v="2021-03-07 22:16 (PST)"/>
    <x v="492"/>
    <x v="51"/>
    <x v="3"/>
    <s v="On Demand"/>
    <x v="23"/>
    <x v="1"/>
    <x v="5"/>
    <s v="Relaxation"/>
    <x v="34"/>
    <x v="1434"/>
    <m/>
    <m/>
    <m/>
    <m/>
    <m/>
    <m/>
    <m/>
    <m/>
    <m/>
    <m/>
  </r>
  <r>
    <s v="2021-03-14 19:20 (-07)"/>
    <x v="493"/>
    <x v="1157"/>
    <x v="3"/>
    <s v="On Demand"/>
    <x v="5"/>
    <x v="3"/>
    <x v="0"/>
    <s v="Warm Up"/>
    <x v="22"/>
    <x v="1435"/>
    <n v="19"/>
    <n v="64"/>
    <n v="0.28000000000000003"/>
    <n v="91"/>
    <n v="13.13"/>
    <n v="1.0900000000000001"/>
    <n v="24"/>
    <m/>
    <m/>
    <m/>
  </r>
  <r>
    <s v="2021-03-14 19:26 (-07)"/>
    <x v="493"/>
    <x v="1158"/>
    <x v="3"/>
    <s v="On Demand"/>
    <x v="1"/>
    <x v="2"/>
    <x v="0"/>
    <s v="Low Impact"/>
    <x v="76"/>
    <x v="1436"/>
    <n v="145"/>
    <n v="81"/>
    <n v="0.36"/>
    <n v="78"/>
    <n v="14.78"/>
    <n v="7.39"/>
    <n v="180"/>
    <m/>
    <m/>
    <m/>
  </r>
  <r>
    <s v="2021-03-14 19:56 (-07)"/>
    <x v="493"/>
    <x v="1159"/>
    <x v="3"/>
    <s v="On Demand"/>
    <x v="5"/>
    <x v="3"/>
    <x v="0"/>
    <s v="Cool Down"/>
    <x v="10"/>
    <x v="1435"/>
    <n v="24"/>
    <n v="81"/>
    <n v="0.34"/>
    <n v="80"/>
    <n v="14.36"/>
    <n v="1.19"/>
    <n v="30"/>
    <m/>
    <m/>
    <m/>
  </r>
  <r>
    <s v="2021-03-14 20:08 (PST)"/>
    <x v="493"/>
    <x v="1160"/>
    <x v="3"/>
    <s v="On Demand"/>
    <x v="7"/>
    <x v="0"/>
    <x v="4"/>
    <s v="Flow"/>
    <x v="14"/>
    <x v="1437"/>
    <m/>
    <m/>
    <m/>
    <m/>
    <m/>
    <m/>
    <n v="145"/>
    <m/>
    <m/>
    <m/>
  </r>
  <r>
    <s v="2021-03-14 22:54 (PST)"/>
    <x v="493"/>
    <x v="74"/>
    <x v="3"/>
    <s v="On Demand"/>
    <x v="13"/>
    <x v="1"/>
    <x v="5"/>
    <s v="Sleep"/>
    <x v="39"/>
    <x v="1438"/>
    <m/>
    <m/>
    <m/>
    <m/>
    <m/>
    <m/>
    <m/>
    <m/>
    <m/>
    <m/>
  </r>
  <r>
    <s v="2021-03-21 12:17 (PST)"/>
    <x v="494"/>
    <x v="959"/>
    <x v="3"/>
    <s v="On Demand"/>
    <x v="19"/>
    <x v="5"/>
    <x v="5"/>
    <s v="Relaxation"/>
    <x v="84"/>
    <x v="1439"/>
    <m/>
    <m/>
    <m/>
    <m/>
    <m/>
    <m/>
    <m/>
    <n v="62.03"/>
    <m/>
    <m/>
  </r>
  <r>
    <s v="2021-03-21 15:34 (-07)"/>
    <x v="494"/>
    <x v="749"/>
    <x v="3"/>
    <s v="On Demand"/>
    <x v="5"/>
    <x v="0"/>
    <x v="0"/>
    <s v="Power Zone"/>
    <x v="85"/>
    <x v="1440"/>
    <n v="250"/>
    <n v="96"/>
    <n v="0.34"/>
    <n v="90"/>
    <n v="15.56"/>
    <n v="11.27"/>
    <n v="309"/>
    <m/>
    <m/>
    <m/>
  </r>
  <r>
    <s v="2021-03-21 16:20 (-07)"/>
    <x v="494"/>
    <x v="1161"/>
    <x v="3"/>
    <s v="On Demand"/>
    <x v="0"/>
    <x v="1"/>
    <x v="1"/>
    <s v="Arms &amp; Light Weights"/>
    <x v="28"/>
    <x v="1441"/>
    <m/>
    <m/>
    <m/>
    <m/>
    <m/>
    <m/>
    <n v="46"/>
    <m/>
    <m/>
    <m/>
  </r>
  <r>
    <s v="2021-03-21 16:32 (-07)"/>
    <x v="494"/>
    <x v="455"/>
    <x v="3"/>
    <s v="On Demand"/>
    <x v="4"/>
    <x v="1"/>
    <x v="1"/>
    <s v="Upper Body"/>
    <x v="313"/>
    <x v="1082"/>
    <m/>
    <m/>
    <m/>
    <m/>
    <m/>
    <m/>
    <n v="46"/>
    <m/>
    <m/>
    <m/>
  </r>
  <r>
    <s v="2021-03-21 16:47 (PST)"/>
    <x v="494"/>
    <x v="1162"/>
    <x v="3"/>
    <s v="On Demand"/>
    <x v="4"/>
    <x v="1"/>
    <x v="1"/>
    <s v="Core"/>
    <x v="1"/>
    <x v="1442"/>
    <m/>
    <m/>
    <m/>
    <m/>
    <m/>
    <m/>
    <n v="42"/>
    <n v="103.44"/>
    <m/>
    <m/>
  </r>
  <r>
    <s v="2021-03-21 16:58 (PST)"/>
    <x v="494"/>
    <x v="863"/>
    <x v="3"/>
    <s v="On Demand"/>
    <x v="7"/>
    <x v="0"/>
    <x v="4"/>
    <s v="Flow"/>
    <x v="14"/>
    <x v="1443"/>
    <m/>
    <m/>
    <m/>
    <m/>
    <m/>
    <m/>
    <n v="61"/>
    <n v="99.31"/>
    <m/>
    <m/>
  </r>
  <r>
    <s v="2021-03-21 21:55 (PST)"/>
    <x v="494"/>
    <x v="60"/>
    <x v="3"/>
    <s v="On Demand"/>
    <x v="19"/>
    <x v="1"/>
    <x v="5"/>
    <s v="Sleep"/>
    <x v="39"/>
    <x v="1444"/>
    <m/>
    <m/>
    <m/>
    <m/>
    <m/>
    <m/>
    <m/>
    <m/>
    <m/>
    <m/>
  </r>
  <r>
    <s v="2021-03-28 10:58 (-07)"/>
    <x v="495"/>
    <x v="1163"/>
    <x v="3"/>
    <s v="On Demand"/>
    <x v="4"/>
    <x v="1"/>
    <x v="0"/>
    <s v="Low Impact"/>
    <x v="343"/>
    <x v="1082"/>
    <n v="46"/>
    <n v="77"/>
    <n v="0.32"/>
    <n v="88"/>
    <n v="14.45"/>
    <n v="2.41"/>
    <n v="57"/>
    <m/>
    <m/>
    <m/>
  </r>
  <r>
    <s v="2021-03-28 11:08 (-07)"/>
    <x v="495"/>
    <x v="1164"/>
    <x v="3"/>
    <s v="On Demand"/>
    <x v="6"/>
    <x v="8"/>
    <x v="0"/>
    <s v="Power Zone"/>
    <x v="25"/>
    <x v="787"/>
    <n v="500"/>
    <n v="93"/>
    <n v="0.36"/>
    <n v="83"/>
    <n v="15.66"/>
    <n v="23.5"/>
    <n v="619"/>
    <m/>
    <m/>
    <m/>
  </r>
  <r>
    <s v="2021-03-28 12:39 (-07)"/>
    <x v="495"/>
    <x v="1165"/>
    <x v="3"/>
    <s v="On Demand"/>
    <x v="17"/>
    <x v="1"/>
    <x v="0"/>
    <s v="Cool Down"/>
    <x v="17"/>
    <x v="1445"/>
    <n v="42"/>
    <n v="69"/>
    <n v="0.37"/>
    <n v="70"/>
    <n v="13.8"/>
    <n v="2.31"/>
    <n v="52"/>
    <m/>
    <m/>
    <m/>
  </r>
  <r>
    <s v="2021-03-28 12:49 (-07)"/>
    <x v="495"/>
    <x v="324"/>
    <x v="3"/>
    <s v="On Demand"/>
    <x v="17"/>
    <x v="3"/>
    <x v="2"/>
    <s v="Pre &amp; Post-Ride Stretch"/>
    <x v="8"/>
    <x v="1446"/>
    <m/>
    <m/>
    <m/>
    <m/>
    <m/>
    <m/>
    <n v="12"/>
    <m/>
    <m/>
    <m/>
  </r>
  <r>
    <s v="2021-03-28 22:09 (PST)"/>
    <x v="495"/>
    <x v="468"/>
    <x v="3"/>
    <s v="On Demand"/>
    <x v="23"/>
    <x v="1"/>
    <x v="5"/>
    <s v="Sleep"/>
    <x v="39"/>
    <x v="1447"/>
    <m/>
    <m/>
    <m/>
    <m/>
    <m/>
    <m/>
    <m/>
    <m/>
    <m/>
    <m/>
  </r>
  <r>
    <s v="2021-04-04 20:45 (PST)"/>
    <x v="496"/>
    <x v="1166"/>
    <x v="3"/>
    <s v="On Demand"/>
    <x v="7"/>
    <x v="0"/>
    <x v="4"/>
    <s v="Flow"/>
    <x v="14"/>
    <x v="1448"/>
    <m/>
    <m/>
    <m/>
    <m/>
    <m/>
    <m/>
    <n v="145"/>
    <m/>
    <m/>
    <m/>
  </r>
  <r>
    <s v="2021-04-04 22:39 (PST)"/>
    <x v="496"/>
    <x v="426"/>
    <x v="3"/>
    <s v="On Demand"/>
    <x v="19"/>
    <x v="5"/>
    <x v="5"/>
    <s v="Emotions"/>
    <x v="64"/>
    <x v="1449"/>
    <m/>
    <m/>
    <m/>
    <m/>
    <m/>
    <m/>
    <m/>
    <m/>
    <m/>
    <m/>
  </r>
  <r>
    <s v="2021-04-11 22:13 (PST)"/>
    <x v="497"/>
    <x v="235"/>
    <x v="3"/>
    <s v="On Demand"/>
    <x v="16"/>
    <x v="2"/>
    <x v="5"/>
    <s v="Relaxation"/>
    <x v="419"/>
    <x v="1450"/>
    <m/>
    <m/>
    <m/>
    <m/>
    <m/>
    <m/>
    <m/>
    <m/>
    <m/>
    <m/>
  </r>
  <r>
    <s v="2021-04-18 17:37 (PST)"/>
    <x v="498"/>
    <x v="154"/>
    <x v="3"/>
    <s v="On Demand"/>
    <x v="7"/>
    <x v="4"/>
    <x v="4"/>
    <s v="Flow"/>
    <x v="24"/>
    <x v="1451"/>
    <m/>
    <m/>
    <m/>
    <m/>
    <m/>
    <m/>
    <n v="230"/>
    <n v="99.13"/>
    <m/>
    <m/>
  </r>
  <r>
    <s v="2021-04-18 22:13 (PST)"/>
    <x v="498"/>
    <x v="235"/>
    <x v="3"/>
    <s v="On Demand"/>
    <x v="16"/>
    <x v="2"/>
    <x v="5"/>
    <s v="Sleep"/>
    <x v="31"/>
    <x v="461"/>
    <m/>
    <m/>
    <m/>
    <m/>
    <m/>
    <m/>
    <m/>
    <m/>
    <m/>
    <m/>
  </r>
  <r>
    <s v="2021-04-25 21:55 (PST)"/>
    <x v="499"/>
    <x v="60"/>
    <x v="3"/>
    <s v="On Demand"/>
    <x v="19"/>
    <x v="5"/>
    <x v="5"/>
    <s v="Emotions"/>
    <x v="347"/>
    <x v="1096"/>
    <m/>
    <m/>
    <m/>
    <m/>
    <m/>
    <m/>
    <m/>
    <m/>
    <m/>
    <m/>
  </r>
  <r>
    <s v="2021-05-02 19:12 (PST)"/>
    <x v="500"/>
    <x v="1167"/>
    <x v="3"/>
    <s v="On Demand"/>
    <x v="16"/>
    <x v="2"/>
    <x v="4"/>
    <s v="Theme"/>
    <x v="63"/>
    <x v="1452"/>
    <m/>
    <m/>
    <m/>
    <m/>
    <m/>
    <m/>
    <n v="82"/>
    <m/>
    <m/>
    <m/>
  </r>
  <r>
    <s v="2021-05-02 19:58 (-07)"/>
    <x v="500"/>
    <x v="1168"/>
    <x v="3"/>
    <s v="On Demand"/>
    <x v="9"/>
    <x v="0"/>
    <x v="0"/>
    <s v="Low Impact"/>
    <x v="420"/>
    <x v="1453"/>
    <n v="240"/>
    <n v="89"/>
    <n v="0.38"/>
    <n v="77"/>
    <n v="15.31"/>
    <n v="11.49"/>
    <n v="297"/>
    <m/>
    <m/>
    <m/>
  </r>
  <r>
    <s v="2021-05-02 20:44 (-07)"/>
    <x v="500"/>
    <x v="1169"/>
    <x v="3"/>
    <s v="On Demand"/>
    <x v="15"/>
    <x v="3"/>
    <x v="2"/>
    <s v="Pre &amp; Post-Ride Stretch"/>
    <x v="8"/>
    <x v="1454"/>
    <m/>
    <m/>
    <m/>
    <m/>
    <m/>
    <m/>
    <n v="12"/>
    <m/>
    <m/>
    <m/>
  </r>
  <r>
    <s v="2021-05-02 22:31 (PST)"/>
    <x v="500"/>
    <x v="243"/>
    <x v="3"/>
    <s v="On Demand"/>
    <x v="19"/>
    <x v="7"/>
    <x v="5"/>
    <s v="Sleep"/>
    <x v="65"/>
    <x v="1455"/>
    <m/>
    <m/>
    <m/>
    <m/>
    <m/>
    <m/>
    <m/>
    <m/>
    <m/>
    <m/>
  </r>
  <r>
    <s v="2021-05-09 18:37 (PST)"/>
    <x v="501"/>
    <x v="1170"/>
    <x v="3"/>
    <s v="On Demand"/>
    <x v="16"/>
    <x v="6"/>
    <x v="4"/>
    <s v="Flow"/>
    <x v="354"/>
    <x v="1456"/>
    <m/>
    <m/>
    <m/>
    <m/>
    <m/>
    <m/>
    <n v="279"/>
    <n v="98.6"/>
    <m/>
    <m/>
  </r>
  <r>
    <s v="2021-05-09 22:08 (PST)"/>
    <x v="501"/>
    <x v="435"/>
    <x v="3"/>
    <s v="On Demand"/>
    <x v="16"/>
    <x v="2"/>
    <x v="5"/>
    <s v="Sleep"/>
    <x v="31"/>
    <x v="461"/>
    <m/>
    <m/>
    <m/>
    <m/>
    <m/>
    <m/>
    <m/>
    <m/>
    <m/>
    <m/>
  </r>
  <r>
    <s v="2021-05-16 12:30 (-07)"/>
    <x v="502"/>
    <x v="1171"/>
    <x v="3"/>
    <s v="On Demand"/>
    <x v="5"/>
    <x v="2"/>
    <x v="0"/>
    <s v="Power Zone"/>
    <x v="5"/>
    <x v="1457"/>
    <n v="138"/>
    <n v="77"/>
    <n v="0.31"/>
    <n v="91"/>
    <n v="14.33"/>
    <n v="7.17"/>
    <n v="171"/>
    <m/>
    <m/>
    <m/>
  </r>
  <r>
    <s v="2021-05-16 13:02 (-07)"/>
    <x v="502"/>
    <x v="1172"/>
    <x v="3"/>
    <s v="On Demand"/>
    <x v="5"/>
    <x v="3"/>
    <x v="2"/>
    <s v="Pre &amp; Post-Ride Stretch"/>
    <x v="8"/>
    <x v="1458"/>
    <m/>
    <m/>
    <m/>
    <m/>
    <m/>
    <m/>
    <n v="12"/>
    <m/>
    <m/>
    <m/>
  </r>
  <r>
    <s v="2021-05-16 13:51 (PST)"/>
    <x v="502"/>
    <x v="1173"/>
    <x v="3"/>
    <s v="On Demand"/>
    <x v="25"/>
    <x v="1"/>
    <x v="4"/>
    <s v="Focus Flow"/>
    <x v="421"/>
    <x v="1459"/>
    <m/>
    <m/>
    <m/>
    <m/>
    <m/>
    <m/>
    <n v="37"/>
    <m/>
    <m/>
    <m/>
  </r>
  <r>
    <s v="2021-05-16 14:19 (PST)"/>
    <x v="502"/>
    <x v="1174"/>
    <x v="3"/>
    <s v="On Demand"/>
    <x v="16"/>
    <x v="2"/>
    <x v="4"/>
    <s v="Focus Flow"/>
    <x v="86"/>
    <x v="1460"/>
    <m/>
    <m/>
    <m/>
    <m/>
    <m/>
    <m/>
    <n v="100"/>
    <m/>
    <m/>
    <m/>
  </r>
  <r>
    <s v="2021-05-16 15:01 (PST)"/>
    <x v="502"/>
    <x v="1175"/>
    <x v="3"/>
    <s v="On Demand"/>
    <x v="6"/>
    <x v="1"/>
    <x v="2"/>
    <s v="Foam Rolling"/>
    <x v="79"/>
    <x v="1461"/>
    <m/>
    <m/>
    <m/>
    <m/>
    <m/>
    <m/>
    <n v="23"/>
    <m/>
    <m/>
    <m/>
  </r>
  <r>
    <s v="2021-05-16 23:45 (PST)"/>
    <x v="502"/>
    <x v="212"/>
    <x v="3"/>
    <s v="On Demand"/>
    <x v="25"/>
    <x v="7"/>
    <x v="5"/>
    <s v="Sleep"/>
    <x v="65"/>
    <x v="1462"/>
    <m/>
    <m/>
    <m/>
    <m/>
    <m/>
    <m/>
    <m/>
    <m/>
    <m/>
    <m/>
  </r>
  <r>
    <s v="2021-05-23 00:42 (PST)"/>
    <x v="503"/>
    <x v="1176"/>
    <x v="3"/>
    <s v="On Demand"/>
    <x v="16"/>
    <x v="5"/>
    <x v="5"/>
    <s v="Sleep"/>
    <x v="29"/>
    <x v="48"/>
    <m/>
    <m/>
    <m/>
    <m/>
    <m/>
    <m/>
    <m/>
    <m/>
    <m/>
    <m/>
  </r>
  <r>
    <s v="2021-05-23 08:53 (-07)"/>
    <x v="503"/>
    <x v="1177"/>
    <x v="3"/>
    <s v="On Demand"/>
    <x v="6"/>
    <x v="4"/>
    <x v="0"/>
    <s v="Power Zone"/>
    <x v="23"/>
    <x v="244"/>
    <n v="347"/>
    <n v="96"/>
    <n v="0.36"/>
    <n v="87"/>
    <n v="15.87"/>
    <n v="15.87"/>
    <n v="427"/>
    <m/>
    <m/>
    <m/>
  </r>
  <r>
    <s v="2021-05-23 20:12 (PST)"/>
    <x v="503"/>
    <x v="1178"/>
    <x v="3"/>
    <s v="On Demand"/>
    <x v="7"/>
    <x v="2"/>
    <x v="4"/>
    <s v="Theme"/>
    <x v="56"/>
    <x v="1463"/>
    <m/>
    <m/>
    <m/>
    <m/>
    <m/>
    <m/>
    <n v="96"/>
    <m/>
    <m/>
    <m/>
  </r>
  <r>
    <s v="2021-05-23 20:43 (PST)"/>
    <x v="503"/>
    <x v="1179"/>
    <x v="3"/>
    <s v="On Demand"/>
    <x v="16"/>
    <x v="2"/>
    <x v="4"/>
    <s v="Restoration"/>
    <x v="422"/>
    <x v="1464"/>
    <m/>
    <m/>
    <m/>
    <m/>
    <m/>
    <m/>
    <n v="54"/>
    <m/>
    <m/>
    <m/>
  </r>
  <r>
    <s v="2021-05-23 22:09 (PST)"/>
    <x v="503"/>
    <x v="468"/>
    <x v="3"/>
    <s v="On Demand"/>
    <x v="23"/>
    <x v="5"/>
    <x v="5"/>
    <s v="Emotions"/>
    <x v="203"/>
    <x v="1099"/>
    <m/>
    <m/>
    <m/>
    <m/>
    <m/>
    <m/>
    <m/>
    <m/>
    <m/>
    <m/>
  </r>
  <r>
    <s v="2021-05-30 06:41 (-07)"/>
    <x v="504"/>
    <x v="1180"/>
    <x v="3"/>
    <s v="On Demand"/>
    <x v="5"/>
    <x v="2"/>
    <x v="0"/>
    <s v="Power Zone"/>
    <x v="5"/>
    <x v="1465"/>
    <n v="160"/>
    <n v="89"/>
    <n v="0.35"/>
    <n v="83"/>
    <n v="15.28"/>
    <n v="7.64"/>
    <n v="198"/>
    <m/>
    <m/>
    <m/>
  </r>
  <r>
    <s v="2021-05-30 07:14 (-07)"/>
    <x v="504"/>
    <x v="1181"/>
    <x v="3"/>
    <s v="On Demand"/>
    <x v="26"/>
    <x v="1"/>
    <x v="1"/>
    <s v="Core"/>
    <x v="1"/>
    <x v="1466"/>
    <m/>
    <m/>
    <m/>
    <m/>
    <m/>
    <m/>
    <n v="48"/>
    <m/>
    <m/>
    <m/>
  </r>
  <r>
    <s v="2021-05-30 07:26 (-07)"/>
    <x v="504"/>
    <x v="1182"/>
    <x v="3"/>
    <s v="On Demand"/>
    <x v="4"/>
    <x v="7"/>
    <x v="1"/>
    <s v="Upper Body"/>
    <x v="119"/>
    <x v="1467"/>
    <m/>
    <m/>
    <m/>
    <m/>
    <m/>
    <m/>
    <n v="69"/>
    <m/>
    <m/>
    <m/>
  </r>
  <r>
    <s v="2021-05-30 22:20 (PST)"/>
    <x v="504"/>
    <x v="766"/>
    <x v="3"/>
    <s v="On Demand"/>
    <x v="16"/>
    <x v="1"/>
    <x v="5"/>
    <s v="Emotions"/>
    <x v="60"/>
    <x v="1468"/>
    <m/>
    <m/>
    <m/>
    <m/>
    <m/>
    <m/>
    <m/>
    <m/>
    <m/>
    <m/>
  </r>
  <r>
    <s v="2021-06-06 17:22 (-07)"/>
    <x v="505"/>
    <x v="1183"/>
    <x v="3"/>
    <s v="On Demand"/>
    <x v="6"/>
    <x v="8"/>
    <x v="0"/>
    <s v="Power Zone"/>
    <x v="25"/>
    <x v="1469"/>
    <n v="496"/>
    <n v="92"/>
    <n v="0.37"/>
    <n v="83"/>
    <n v="15.59"/>
    <n v="23.39"/>
    <n v="612"/>
    <m/>
    <m/>
    <m/>
  </r>
  <r>
    <s v="2021-06-06 18:53 (-07)"/>
    <x v="505"/>
    <x v="682"/>
    <x v="3"/>
    <s v="On Demand"/>
    <x v="6"/>
    <x v="3"/>
    <x v="2"/>
    <s v="Pre &amp; Post-Ride Stretch"/>
    <x v="8"/>
    <x v="61"/>
    <m/>
    <m/>
    <m/>
    <m/>
    <m/>
    <m/>
    <n v="12"/>
    <m/>
    <m/>
    <m/>
  </r>
  <r>
    <s v="2021-06-06 18:59 (-07)"/>
    <x v="505"/>
    <x v="1184"/>
    <x v="3"/>
    <s v="On Demand"/>
    <x v="4"/>
    <x v="1"/>
    <x v="1"/>
    <s v="Core"/>
    <x v="1"/>
    <x v="1470"/>
    <m/>
    <m/>
    <m/>
    <m/>
    <m/>
    <m/>
    <n v="46"/>
    <m/>
    <m/>
    <m/>
  </r>
  <r>
    <s v="2021-06-06 21:55 (PST)"/>
    <x v="505"/>
    <x v="60"/>
    <x v="3"/>
    <s v="On Demand"/>
    <x v="19"/>
    <x v="3"/>
    <x v="5"/>
    <s v="Emotions"/>
    <x v="127"/>
    <x v="1471"/>
    <m/>
    <m/>
    <m/>
    <m/>
    <m/>
    <m/>
    <m/>
    <m/>
    <m/>
    <m/>
  </r>
  <r>
    <s v="2021-06-13 00:07 (PST)"/>
    <x v="506"/>
    <x v="802"/>
    <x v="3"/>
    <s v="On Demand"/>
    <x v="17"/>
    <x v="3"/>
    <x v="5"/>
    <s v="Sleep"/>
    <x v="58"/>
    <x v="1472"/>
    <m/>
    <m/>
    <m/>
    <m/>
    <m/>
    <m/>
    <m/>
    <m/>
    <m/>
    <m/>
  </r>
  <r>
    <s v="2021-06-13 17:23 (-07)"/>
    <x v="506"/>
    <x v="789"/>
    <x v="3"/>
    <s v="On Demand"/>
    <x v="6"/>
    <x v="2"/>
    <x v="0"/>
    <s v="Power Zone"/>
    <x v="423"/>
    <x v="1473"/>
    <n v="161"/>
    <n v="90"/>
    <n v="0.35"/>
    <n v="84"/>
    <n v="15.22"/>
    <n v="7.61"/>
    <n v="199"/>
    <m/>
    <m/>
    <m/>
  </r>
  <r>
    <s v="2021-06-13 17:54 (-07)"/>
    <x v="506"/>
    <x v="674"/>
    <x v="3"/>
    <s v="On Demand"/>
    <x v="12"/>
    <x v="1"/>
    <x v="1"/>
    <s v="Arms &amp; Light Weights"/>
    <x v="28"/>
    <x v="1474"/>
    <m/>
    <m/>
    <m/>
    <m/>
    <m/>
    <m/>
    <n v="46"/>
    <m/>
    <m/>
    <m/>
  </r>
  <r>
    <s v="2021-06-13 18:05 (-07)"/>
    <x v="506"/>
    <x v="1185"/>
    <x v="3"/>
    <s v="On Demand"/>
    <x v="53"/>
    <x v="3"/>
    <x v="1"/>
    <s v="Core"/>
    <x v="6"/>
    <x v="1475"/>
    <m/>
    <m/>
    <m/>
    <m/>
    <m/>
    <m/>
    <n v="23"/>
    <m/>
    <m/>
    <m/>
  </r>
  <r>
    <s v="2021-06-13 18:20 (PST)"/>
    <x v="506"/>
    <x v="1186"/>
    <x v="3"/>
    <s v="On Demand"/>
    <x v="16"/>
    <x v="4"/>
    <x v="4"/>
    <s v="Flow"/>
    <x v="24"/>
    <x v="1476"/>
    <m/>
    <m/>
    <m/>
    <m/>
    <m/>
    <m/>
    <n v="194"/>
    <m/>
    <m/>
    <m/>
  </r>
  <r>
    <s v="2021-06-13 21:50 (PST)"/>
    <x v="506"/>
    <x v="634"/>
    <x v="3"/>
    <s v="On Demand"/>
    <x v="19"/>
    <x v="1"/>
    <x v="5"/>
    <s v="Emotions"/>
    <x v="147"/>
    <x v="1477"/>
    <m/>
    <m/>
    <m/>
    <m/>
    <m/>
    <m/>
    <m/>
    <m/>
    <m/>
    <m/>
  </r>
  <r>
    <s v="2021-06-20 22:16 (PST)"/>
    <x v="507"/>
    <x v="51"/>
    <x v="3"/>
    <s v="On Demand"/>
    <x v="25"/>
    <x v="5"/>
    <x v="5"/>
    <s v="Relaxation"/>
    <x v="84"/>
    <x v="1478"/>
    <m/>
    <m/>
    <m/>
    <m/>
    <m/>
    <m/>
    <m/>
    <m/>
    <m/>
    <m/>
  </r>
  <r>
    <s v="2021-06-27 07:40 (-07)"/>
    <x v="508"/>
    <x v="1187"/>
    <x v="3"/>
    <s v="On Demand"/>
    <x v="6"/>
    <x v="0"/>
    <x v="0"/>
    <s v="Power Zone"/>
    <x v="85"/>
    <x v="1479"/>
    <n v="288"/>
    <n v="107"/>
    <n v="0.38"/>
    <n v="84"/>
    <n v="16.43"/>
    <n v="12.32"/>
    <n v="356"/>
    <m/>
    <m/>
    <m/>
  </r>
  <r>
    <s v="2021-06-27 08:26 (-07)"/>
    <x v="508"/>
    <x v="1188"/>
    <x v="3"/>
    <s v="On Demand"/>
    <x v="6"/>
    <x v="7"/>
    <x v="0"/>
    <s v="Low Impact"/>
    <x v="249"/>
    <x v="1480"/>
    <n v="61"/>
    <n v="67"/>
    <n v="0.33"/>
    <n v="77"/>
    <n v="13.54"/>
    <n v="3.38"/>
    <n v="75"/>
    <m/>
    <m/>
    <m/>
  </r>
  <r>
    <s v="2021-06-27 08:42 (-07)"/>
    <x v="508"/>
    <x v="1189"/>
    <x v="3"/>
    <s v="On Demand"/>
    <x v="6"/>
    <x v="3"/>
    <x v="2"/>
    <s v="Pre &amp; Post-Ride Stretch"/>
    <x v="8"/>
    <x v="61"/>
    <m/>
    <m/>
    <m/>
    <m/>
    <m/>
    <m/>
    <n v="11"/>
    <m/>
    <m/>
    <m/>
  </r>
  <r>
    <s v="2021-06-27 22:36 (PST)"/>
    <x v="508"/>
    <x v="102"/>
    <x v="3"/>
    <s v="On Demand"/>
    <x v="13"/>
    <x v="3"/>
    <x v="5"/>
    <s v="Relaxation"/>
    <x v="89"/>
    <x v="1481"/>
    <m/>
    <m/>
    <m/>
    <m/>
    <m/>
    <m/>
    <m/>
    <m/>
    <m/>
    <m/>
  </r>
  <r>
    <s v="2021-07-11 00:54 (PST)"/>
    <x v="509"/>
    <x v="1190"/>
    <x v="3"/>
    <s v="On Demand"/>
    <x v="13"/>
    <x v="1"/>
    <x v="5"/>
    <s v="Relaxation"/>
    <x v="34"/>
    <x v="1482"/>
    <m/>
    <m/>
    <m/>
    <m/>
    <m/>
    <m/>
    <m/>
    <m/>
    <m/>
    <m/>
  </r>
  <r>
    <s v="2021-07-11 01:06 (PST)"/>
    <x v="509"/>
    <x v="1191"/>
    <x v="3"/>
    <s v="On Demand"/>
    <x v="16"/>
    <x v="3"/>
    <x v="5"/>
    <s v="Emotions"/>
    <x v="373"/>
    <x v="1483"/>
    <m/>
    <m/>
    <m/>
    <m/>
    <m/>
    <m/>
    <m/>
    <m/>
    <m/>
    <m/>
  </r>
  <r>
    <s v="2021-07-11 07:54 (-07)"/>
    <x v="509"/>
    <x v="1192"/>
    <x v="3"/>
    <s v="On Demand"/>
    <x v="7"/>
    <x v="2"/>
    <x v="0"/>
    <s v="Power Zone"/>
    <x v="424"/>
    <x v="1484"/>
    <n v="172"/>
    <n v="96"/>
    <n v="0.37"/>
    <n v="81"/>
    <n v="15.55"/>
    <n v="7.78"/>
    <n v="212"/>
    <m/>
    <m/>
    <m/>
  </r>
  <r>
    <s v="2021-07-11 08:27 (-07)"/>
    <x v="509"/>
    <x v="1193"/>
    <x v="3"/>
    <s v="On Demand"/>
    <x v="37"/>
    <x v="5"/>
    <x v="1"/>
    <s v="Lower Body"/>
    <x v="228"/>
    <x v="1485"/>
    <m/>
    <m/>
    <m/>
    <m/>
    <m/>
    <m/>
    <n v="92"/>
    <m/>
    <m/>
    <m/>
  </r>
  <r>
    <s v="2021-07-11 08:48 (-07)"/>
    <x v="509"/>
    <x v="1194"/>
    <x v="3"/>
    <s v="On Demand"/>
    <x v="37"/>
    <x v="1"/>
    <x v="1"/>
    <s v="Core"/>
    <x v="1"/>
    <x v="1486"/>
    <m/>
    <m/>
    <m/>
    <m/>
    <m/>
    <m/>
    <n v="46"/>
    <m/>
    <m/>
    <m/>
  </r>
  <r>
    <s v="2021-07-11 09:00 (-07)"/>
    <x v="509"/>
    <x v="1195"/>
    <x v="3"/>
    <s v="On Demand"/>
    <x v="4"/>
    <x v="1"/>
    <x v="2"/>
    <s v="Full Body Stretch"/>
    <x v="425"/>
    <x v="73"/>
    <m/>
    <m/>
    <m/>
    <m/>
    <m/>
    <m/>
    <n v="23"/>
    <m/>
    <m/>
    <m/>
  </r>
  <r>
    <s v="2021-07-11 21:44 (PST)"/>
    <x v="509"/>
    <x v="566"/>
    <x v="3"/>
    <s v="On Demand"/>
    <x v="25"/>
    <x v="5"/>
    <x v="5"/>
    <s v="Relaxation"/>
    <x v="35"/>
    <x v="1487"/>
    <m/>
    <m/>
    <m/>
    <m/>
    <m/>
    <m/>
    <m/>
    <m/>
    <m/>
    <m/>
  </r>
  <r>
    <s v="2021-07-25 16:56 (-07)"/>
    <x v="510"/>
    <x v="256"/>
    <x v="3"/>
    <s v="On Demand"/>
    <x v="6"/>
    <x v="2"/>
    <x v="0"/>
    <s v="Power Zone"/>
    <x v="426"/>
    <x v="1488"/>
    <n v="170"/>
    <n v="95"/>
    <n v="0.35"/>
    <n v="87"/>
    <n v="15.7"/>
    <n v="7.85"/>
    <n v="210"/>
    <m/>
    <m/>
    <m/>
  </r>
  <r>
    <s v="2021-07-25 17:31 (-07)"/>
    <x v="510"/>
    <x v="442"/>
    <x v="3"/>
    <s v="On Demand"/>
    <x v="7"/>
    <x v="2"/>
    <x v="0"/>
    <s v="Power Zone"/>
    <x v="131"/>
    <x v="1489"/>
    <n v="169"/>
    <n v="94"/>
    <n v="0.36"/>
    <n v="85"/>
    <n v="15.65"/>
    <n v="7.83"/>
    <n v="208"/>
    <m/>
    <m/>
    <m/>
  </r>
  <r>
    <s v="2021-07-25 18:03 (-07)"/>
    <x v="510"/>
    <x v="1196"/>
    <x v="3"/>
    <s v="On Demand"/>
    <x v="22"/>
    <x v="1"/>
    <x v="1"/>
    <s v="Arms &amp; Light Weights"/>
    <x v="28"/>
    <x v="1490"/>
    <m/>
    <m/>
    <m/>
    <m/>
    <m/>
    <m/>
    <n v="46"/>
    <m/>
    <m/>
    <m/>
  </r>
  <r>
    <s v="2021-07-25 18:14 (-07)"/>
    <x v="510"/>
    <x v="648"/>
    <x v="3"/>
    <s v="On Demand"/>
    <x v="45"/>
    <x v="3"/>
    <x v="2"/>
    <s v="Pre &amp; Post-Ride Stretch"/>
    <x v="8"/>
    <x v="1491"/>
    <m/>
    <m/>
    <m/>
    <m/>
    <m/>
    <m/>
    <n v="12"/>
    <m/>
    <m/>
    <m/>
  </r>
  <r>
    <s v="2021-07-25 21:52 (PST)"/>
    <x v="510"/>
    <x v="398"/>
    <x v="3"/>
    <s v="On Demand"/>
    <x v="13"/>
    <x v="3"/>
    <x v="5"/>
    <s v="Sleep"/>
    <x v="58"/>
    <x v="830"/>
    <m/>
    <m/>
    <m/>
    <m/>
    <m/>
    <m/>
    <m/>
    <m/>
    <m/>
    <m/>
  </r>
  <r>
    <s v="2021-08-01 19:50 (-07)"/>
    <x v="511"/>
    <x v="1197"/>
    <x v="3"/>
    <s v="On Demand"/>
    <x v="15"/>
    <x v="5"/>
    <x v="0"/>
    <s v="Low Impact"/>
    <x v="360"/>
    <x v="1492"/>
    <n v="110"/>
    <n v="91"/>
    <n v="0.34"/>
    <n v="89"/>
    <n v="15.5"/>
    <n v="5.17"/>
    <n v="135"/>
    <m/>
    <m/>
    <m/>
  </r>
  <r>
    <s v="2021-08-01 20:53 (PST)"/>
    <x v="511"/>
    <x v="1198"/>
    <x v="3"/>
    <s v="On Demand"/>
    <x v="16"/>
    <x v="0"/>
    <x v="4"/>
    <s v="Theme"/>
    <x v="427"/>
    <x v="1493"/>
    <m/>
    <m/>
    <m/>
    <m/>
    <m/>
    <m/>
    <n v="116"/>
    <m/>
    <m/>
    <m/>
  </r>
  <r>
    <s v="2021-08-01 21:55 (PST)"/>
    <x v="511"/>
    <x v="60"/>
    <x v="3"/>
    <s v="On Demand"/>
    <x v="23"/>
    <x v="1"/>
    <x v="5"/>
    <s v="Relaxation"/>
    <x v="34"/>
    <x v="1494"/>
    <m/>
    <m/>
    <m/>
    <m/>
    <m/>
    <m/>
    <m/>
    <m/>
    <m/>
    <m/>
  </r>
  <r>
    <s v="2021-08-01 22:34 (PST)"/>
    <x v="511"/>
    <x v="596"/>
    <x v="3"/>
    <s v="On Demand"/>
    <x v="23"/>
    <x v="7"/>
    <x v="5"/>
    <s v="Sleep"/>
    <x v="65"/>
    <x v="1495"/>
    <m/>
    <m/>
    <m/>
    <m/>
    <m/>
    <m/>
    <m/>
    <m/>
    <m/>
    <m/>
  </r>
  <r>
    <s v="2021-08-08 10:15 (PST)"/>
    <x v="512"/>
    <x v="1147"/>
    <x v="3"/>
    <s v="On Demand"/>
    <x v="16"/>
    <x v="5"/>
    <x v="4"/>
    <s v="Focus Flow"/>
    <x v="40"/>
    <x v="1496"/>
    <m/>
    <m/>
    <m/>
    <m/>
    <m/>
    <m/>
    <n v="68"/>
    <m/>
    <m/>
    <m/>
  </r>
  <r>
    <s v="2021-08-08 21:44 (PST)"/>
    <x v="512"/>
    <x v="566"/>
    <x v="3"/>
    <s v="On Demand"/>
    <x v="25"/>
    <x v="1"/>
    <x v="5"/>
    <s v="Relaxation"/>
    <x v="71"/>
    <x v="1497"/>
    <m/>
    <m/>
    <m/>
    <m/>
    <m/>
    <m/>
    <m/>
    <m/>
    <m/>
    <m/>
  </r>
  <r>
    <s v="2021-08-15 09:36 (-07)"/>
    <x v="513"/>
    <x v="896"/>
    <x v="3"/>
    <s v="On Demand"/>
    <x v="6"/>
    <x v="0"/>
    <x v="0"/>
    <s v="Power Zone"/>
    <x v="27"/>
    <x v="1498"/>
    <n v="262"/>
    <n v="97"/>
    <n v="0.37"/>
    <n v="85"/>
    <n v="15.91"/>
    <n v="11.94"/>
    <n v="324"/>
    <m/>
    <m/>
    <m/>
  </r>
  <r>
    <s v="2021-08-15 10:22 (-07)"/>
    <x v="513"/>
    <x v="1199"/>
    <x v="3"/>
    <s v="On Demand"/>
    <x v="6"/>
    <x v="7"/>
    <x v="0"/>
    <s v="Low Impact"/>
    <x v="249"/>
    <x v="1499"/>
    <n v="72"/>
    <n v="80"/>
    <n v="0.33"/>
    <n v="88"/>
    <n v="14.74"/>
    <n v="3.69"/>
    <n v="89"/>
    <m/>
    <m/>
    <m/>
  </r>
  <r>
    <s v="2021-08-15 10:41 (-07)"/>
    <x v="513"/>
    <x v="463"/>
    <x v="3"/>
    <s v="On Demand"/>
    <x v="37"/>
    <x v="1"/>
    <x v="1"/>
    <s v="Core"/>
    <x v="1"/>
    <x v="1500"/>
    <m/>
    <m/>
    <m/>
    <m/>
    <m/>
    <m/>
    <n v="46"/>
    <m/>
    <m/>
    <m/>
  </r>
  <r>
    <s v="2021-08-15 22:15 (PST)"/>
    <x v="513"/>
    <x v="593"/>
    <x v="3"/>
    <s v="On Demand"/>
    <x v="16"/>
    <x v="5"/>
    <x v="5"/>
    <s v="Relaxation"/>
    <x v="35"/>
    <x v="1501"/>
    <m/>
    <m/>
    <m/>
    <m/>
    <m/>
    <m/>
    <m/>
    <m/>
    <m/>
    <m/>
  </r>
  <r>
    <s v="2021-08-22 14:52 (PST)"/>
    <x v="514"/>
    <x v="44"/>
    <x v="3"/>
    <s v="On Demand"/>
    <x v="19"/>
    <x v="1"/>
    <x v="5"/>
    <s v="Emotions"/>
    <x v="46"/>
    <x v="1502"/>
    <m/>
    <m/>
    <m/>
    <m/>
    <m/>
    <m/>
    <m/>
    <m/>
    <m/>
    <m/>
  </r>
  <r>
    <s v="2021-08-22 21:46 (PST)"/>
    <x v="514"/>
    <x v="432"/>
    <x v="3"/>
    <s v="On Demand"/>
    <x v="16"/>
    <x v="7"/>
    <x v="5"/>
    <s v="Breath"/>
    <x v="428"/>
    <x v="1503"/>
    <m/>
    <m/>
    <m/>
    <m/>
    <m/>
    <m/>
    <m/>
    <m/>
    <m/>
    <m/>
  </r>
  <r>
    <s v="2021-08-29 05:22 (PST)"/>
    <x v="515"/>
    <x v="1200"/>
    <x v="3"/>
    <s v="On Demand"/>
    <x v="13"/>
    <x v="5"/>
    <x v="4"/>
    <s v="Focus Flow"/>
    <x v="40"/>
    <x v="1504"/>
    <m/>
    <m/>
    <m/>
    <m/>
    <m/>
    <m/>
    <n v="59"/>
    <m/>
    <m/>
    <m/>
  </r>
  <r>
    <s v="2021-08-29 17:29 (-07)"/>
    <x v="515"/>
    <x v="768"/>
    <x v="3"/>
    <s v="On Demand"/>
    <x v="6"/>
    <x v="2"/>
    <x v="0"/>
    <s v="Power Zone"/>
    <x v="5"/>
    <x v="1505"/>
    <n v="142"/>
    <n v="79"/>
    <n v="0.32"/>
    <n v="89"/>
    <n v="14.54"/>
    <n v="7.27"/>
    <n v="175"/>
    <m/>
    <m/>
    <m/>
  </r>
  <r>
    <s v="2021-08-29 18:08 (PST)"/>
    <x v="515"/>
    <x v="417"/>
    <x v="3"/>
    <s v="On Demand"/>
    <x v="23"/>
    <x v="1"/>
    <x v="4"/>
    <s v="Focus Flow"/>
    <x v="118"/>
    <x v="1506"/>
    <m/>
    <m/>
    <m/>
    <m/>
    <m/>
    <m/>
    <n v="36"/>
    <m/>
    <m/>
    <m/>
  </r>
  <r>
    <s v="2021-08-29 18:20 (PST)"/>
    <x v="515"/>
    <x v="1186"/>
    <x v="3"/>
    <s v="On Demand"/>
    <x v="23"/>
    <x v="5"/>
    <x v="4"/>
    <s v="Focus Flow"/>
    <x v="61"/>
    <x v="1507"/>
    <m/>
    <m/>
    <m/>
    <m/>
    <m/>
    <m/>
    <n v="64"/>
    <m/>
    <m/>
    <m/>
  </r>
  <r>
    <s v="2021-08-29 21:58 (PST)"/>
    <x v="515"/>
    <x v="584"/>
    <x v="3"/>
    <s v="On Demand"/>
    <x v="19"/>
    <x v="1"/>
    <x v="5"/>
    <s v="Mindfulness"/>
    <x v="51"/>
    <x v="1508"/>
    <m/>
    <m/>
    <m/>
    <m/>
    <m/>
    <m/>
    <m/>
    <m/>
    <m/>
    <m/>
  </r>
  <r>
    <s v="2021-09-05 09:31 (-07)"/>
    <x v="516"/>
    <x v="1201"/>
    <x v="3"/>
    <s v="On Demand"/>
    <x v="4"/>
    <x v="0"/>
    <x v="0"/>
    <s v="Power Zone"/>
    <x v="27"/>
    <x v="1509"/>
    <n v="270"/>
    <n v="100"/>
    <n v="0.37"/>
    <n v="85"/>
    <n v="16.14"/>
    <n v="12.11"/>
    <n v="333"/>
    <m/>
    <m/>
    <m/>
  </r>
  <r>
    <s v="2021-09-05 10:16 (-07)"/>
    <x v="516"/>
    <x v="351"/>
    <x v="3"/>
    <s v="On Demand"/>
    <x v="4"/>
    <x v="1"/>
    <x v="0"/>
    <s v="Cool Down"/>
    <x v="17"/>
    <x v="83"/>
    <n v="50"/>
    <n v="83"/>
    <n v="0.36"/>
    <n v="79"/>
    <n v="14.92"/>
    <n v="2.4900000000000002"/>
    <n v="61"/>
    <m/>
    <m/>
    <m/>
  </r>
  <r>
    <s v="2021-09-05 10:29 (-07)"/>
    <x v="516"/>
    <x v="990"/>
    <x v="3"/>
    <s v="On Demand"/>
    <x v="1"/>
    <x v="1"/>
    <x v="1"/>
    <s v="Arms &amp; Light Weights"/>
    <x v="28"/>
    <x v="1510"/>
    <m/>
    <m/>
    <m/>
    <m/>
    <m/>
    <m/>
    <n v="46"/>
    <m/>
    <m/>
    <m/>
  </r>
  <r>
    <s v="2021-09-05 10:49 (-07)"/>
    <x v="516"/>
    <x v="1202"/>
    <x v="3"/>
    <s v="On Demand"/>
    <x v="37"/>
    <x v="1"/>
    <x v="1"/>
    <s v="Core"/>
    <x v="1"/>
    <x v="1511"/>
    <m/>
    <m/>
    <m/>
    <m/>
    <m/>
    <m/>
    <n v="46"/>
    <m/>
    <m/>
    <m/>
  </r>
  <r>
    <s v="2021-09-05 11:01 (-07)"/>
    <x v="516"/>
    <x v="1085"/>
    <x v="3"/>
    <s v="On Demand"/>
    <x v="7"/>
    <x v="1"/>
    <x v="4"/>
    <s v="Flow"/>
    <x v="178"/>
    <x v="1512"/>
    <m/>
    <m/>
    <m/>
    <m/>
    <m/>
    <m/>
    <n v="35"/>
    <m/>
    <m/>
    <m/>
  </r>
  <r>
    <s v="2021-09-05 22:00 (PST)"/>
    <x v="516"/>
    <x v="365"/>
    <x v="3"/>
    <s v="On Demand"/>
    <x v="13"/>
    <x v="3"/>
    <x v="5"/>
    <s v="Emotions"/>
    <x v="429"/>
    <x v="1128"/>
    <m/>
    <m/>
    <m/>
    <m/>
    <m/>
    <m/>
    <m/>
    <m/>
    <m/>
    <m/>
  </r>
  <r>
    <s v="2021-09-12 21:59 (PST)"/>
    <x v="517"/>
    <x v="96"/>
    <x v="3"/>
    <s v="On Demand"/>
    <x v="16"/>
    <x v="3"/>
    <x v="5"/>
    <s v="Sleep"/>
    <x v="58"/>
    <x v="1513"/>
    <m/>
    <m/>
    <m/>
    <m/>
    <m/>
    <m/>
    <m/>
    <n v="80"/>
    <m/>
    <m/>
  </r>
  <r>
    <s v="2021-09-19 14:59 (-07)"/>
    <x v="518"/>
    <x v="1203"/>
    <x v="3"/>
    <s v="On Demand"/>
    <x v="15"/>
    <x v="7"/>
    <x v="0"/>
    <s v="Low Impact"/>
    <x v="249"/>
    <x v="1514"/>
    <n v="66"/>
    <n v="73"/>
    <n v="0.33"/>
    <n v="82"/>
    <n v="14.16"/>
    <n v="3.54"/>
    <n v="81"/>
    <m/>
    <m/>
    <m/>
  </r>
  <r>
    <s v="2021-09-19 16:40 (PST)"/>
    <x v="518"/>
    <x v="633"/>
    <x v="3"/>
    <s v="On Demand"/>
    <x v="7"/>
    <x v="0"/>
    <x v="4"/>
    <s v="Slow Flow"/>
    <x v="33"/>
    <x v="1515"/>
    <m/>
    <m/>
    <m/>
    <m/>
    <m/>
    <m/>
    <n v="148"/>
    <m/>
    <m/>
    <m/>
  </r>
  <r>
    <s v="2021-09-19 22:13 (PST)"/>
    <x v="518"/>
    <x v="235"/>
    <x v="3"/>
    <s v="On Demand"/>
    <x v="19"/>
    <x v="1"/>
    <x v="5"/>
    <s v="Sleep"/>
    <x v="39"/>
    <x v="1516"/>
    <m/>
    <m/>
    <m/>
    <m/>
    <m/>
    <m/>
    <m/>
    <m/>
    <m/>
    <m/>
  </r>
  <r>
    <s v="2021-09-26 22:16 (PST)"/>
    <x v="519"/>
    <x v="51"/>
    <x v="3"/>
    <s v="On Demand"/>
    <x v="19"/>
    <x v="5"/>
    <x v="5"/>
    <s v="Emotions"/>
    <x v="430"/>
    <x v="1517"/>
    <m/>
    <m/>
    <m/>
    <m/>
    <m/>
    <m/>
    <m/>
    <m/>
    <m/>
    <m/>
  </r>
  <r>
    <s v="2021-10-03 21:27 (PST)"/>
    <x v="520"/>
    <x v="1204"/>
    <x v="3"/>
    <s v="On Demand"/>
    <x v="25"/>
    <x v="5"/>
    <x v="5"/>
    <s v="Relaxation"/>
    <x v="112"/>
    <x v="1348"/>
    <m/>
    <m/>
    <m/>
    <m/>
    <m/>
    <m/>
    <m/>
    <m/>
    <m/>
    <m/>
  </r>
  <r>
    <s v="2021-10-10 11:04 (PST)"/>
    <x v="521"/>
    <x v="1205"/>
    <x v="3"/>
    <s v="On Demand"/>
    <x v="16"/>
    <x v="0"/>
    <x v="4"/>
    <s v="Flow"/>
    <x v="14"/>
    <x v="1518"/>
    <m/>
    <m/>
    <m/>
    <m/>
    <m/>
    <m/>
    <n v="154"/>
    <m/>
    <m/>
    <m/>
  </r>
  <r>
    <s v="2021-10-10 11:53 (PST)"/>
    <x v="521"/>
    <x v="1206"/>
    <x v="3"/>
    <s v="On Demand"/>
    <x v="8"/>
    <x v="1"/>
    <x v="2"/>
    <s v="Foam Rolling"/>
    <x v="381"/>
    <x v="1247"/>
    <m/>
    <m/>
    <m/>
    <m/>
    <m/>
    <m/>
    <n v="23"/>
    <m/>
    <m/>
    <m/>
  </r>
  <r>
    <s v="2021-10-10 12:04 (PST)"/>
    <x v="521"/>
    <x v="1144"/>
    <x v="3"/>
    <s v="On Demand"/>
    <x v="8"/>
    <x v="1"/>
    <x v="2"/>
    <s v="Foam Rolling"/>
    <x v="380"/>
    <x v="151"/>
    <m/>
    <m/>
    <m/>
    <m/>
    <m/>
    <m/>
    <n v="46"/>
    <m/>
    <m/>
    <m/>
  </r>
  <r>
    <s v="2021-10-10 12:16 (PST)"/>
    <x v="521"/>
    <x v="393"/>
    <x v="3"/>
    <s v="On Demand"/>
    <x v="8"/>
    <x v="1"/>
    <x v="2"/>
    <s v="Foam Rolling"/>
    <x v="431"/>
    <x v="151"/>
    <m/>
    <m/>
    <m/>
    <m/>
    <m/>
    <m/>
    <n v="46"/>
    <m/>
    <m/>
    <m/>
  </r>
  <r>
    <s v="2021-10-10 22:00 (PST)"/>
    <x v="521"/>
    <x v="365"/>
    <x v="3"/>
    <s v="On Demand"/>
    <x v="25"/>
    <x v="1"/>
    <x v="5"/>
    <s v="Theme"/>
    <x v="320"/>
    <x v="1519"/>
    <m/>
    <m/>
    <m/>
    <m/>
    <m/>
    <m/>
    <m/>
    <m/>
    <m/>
    <m/>
  </r>
  <r>
    <s v="2021-10-17 09:46 (PST)"/>
    <x v="522"/>
    <x v="1207"/>
    <x v="3"/>
    <s v="On Demand"/>
    <x v="7"/>
    <x v="2"/>
    <x v="4"/>
    <s v="Focus Flow"/>
    <x v="432"/>
    <x v="1520"/>
    <m/>
    <m/>
    <m/>
    <m/>
    <m/>
    <m/>
    <n v="94"/>
    <m/>
    <m/>
    <m/>
  </r>
  <r>
    <s v="2021-10-17 13:55 (-07)"/>
    <x v="522"/>
    <x v="1208"/>
    <x v="3"/>
    <s v="On Demand"/>
    <x v="6"/>
    <x v="6"/>
    <x v="0"/>
    <s v="Power Zone"/>
    <x v="20"/>
    <x v="509"/>
    <n v="466"/>
    <n v="104"/>
    <n v="0.38"/>
    <n v="83"/>
    <n v="16.39"/>
    <n v="20.49"/>
    <n v="575"/>
    <m/>
    <m/>
    <m/>
  </r>
  <r>
    <s v="2021-10-17 15:17 (-07)"/>
    <x v="522"/>
    <x v="1209"/>
    <x v="3"/>
    <s v="On Demand"/>
    <x v="6"/>
    <x v="3"/>
    <x v="2"/>
    <s v="Pre &amp; Post-Ride Stretch"/>
    <x v="8"/>
    <x v="111"/>
    <m/>
    <m/>
    <m/>
    <m/>
    <m/>
    <m/>
    <n v="11"/>
    <m/>
    <m/>
    <m/>
  </r>
  <r>
    <s v="2021-10-17 22:48 (PST)"/>
    <x v="522"/>
    <x v="462"/>
    <x v="3"/>
    <s v="On Demand"/>
    <x v="25"/>
    <x v="3"/>
    <x v="5"/>
    <s v="Sleep"/>
    <x v="58"/>
    <x v="1141"/>
    <m/>
    <m/>
    <m/>
    <m/>
    <m/>
    <m/>
    <m/>
    <m/>
    <m/>
    <m/>
  </r>
  <r>
    <s v="2021-10-24 00:38 (MST)"/>
    <x v="523"/>
    <x v="1210"/>
    <x v="3"/>
    <s v="On Demand"/>
    <x v="7"/>
    <x v="1"/>
    <x v="5"/>
    <s v="Breath"/>
    <x v="49"/>
    <x v="1521"/>
    <m/>
    <m/>
    <m/>
    <m/>
    <m/>
    <m/>
    <m/>
    <m/>
    <m/>
    <m/>
  </r>
  <r>
    <s v="2021-10-24 21:53 (PST)"/>
    <x v="523"/>
    <x v="900"/>
    <x v="3"/>
    <s v="On Demand"/>
    <x v="13"/>
    <x v="5"/>
    <x v="5"/>
    <s v="Breath"/>
    <x v="62"/>
    <x v="114"/>
    <m/>
    <m/>
    <m/>
    <m/>
    <m/>
    <m/>
    <m/>
    <m/>
    <m/>
    <m/>
  </r>
  <r>
    <s v="2021-10-31 10:58 (-07)"/>
    <x v="524"/>
    <x v="1163"/>
    <x v="3"/>
    <s v="On Demand"/>
    <x v="12"/>
    <x v="1"/>
    <x v="1"/>
    <s v="Arms &amp; Light Weights"/>
    <x v="28"/>
    <x v="1522"/>
    <m/>
    <m/>
    <m/>
    <m/>
    <m/>
    <m/>
    <n v="46"/>
    <m/>
    <m/>
    <m/>
  </r>
  <r>
    <s v="2021-10-31 11:09 (-07)"/>
    <x v="524"/>
    <x v="1211"/>
    <x v="3"/>
    <s v="On Demand"/>
    <x v="24"/>
    <x v="5"/>
    <x v="1"/>
    <s v="Core"/>
    <x v="115"/>
    <x v="1523"/>
    <m/>
    <m/>
    <m/>
    <m/>
    <m/>
    <m/>
    <n v="92"/>
    <m/>
    <m/>
    <m/>
  </r>
  <r>
    <s v="2021-10-31 22:24 (PST)"/>
    <x v="524"/>
    <x v="1212"/>
    <x v="3"/>
    <s v="On Demand"/>
    <x v="13"/>
    <x v="1"/>
    <x v="5"/>
    <s v="Theme"/>
    <x v="57"/>
    <x v="1524"/>
    <m/>
    <m/>
    <m/>
    <m/>
    <m/>
    <m/>
    <m/>
    <m/>
    <m/>
    <m/>
  </r>
  <r>
    <s v="2021-11-07 09:30 (PST)"/>
    <x v="525"/>
    <x v="1213"/>
    <x v="3"/>
    <s v="On Demand"/>
    <x v="7"/>
    <x v="2"/>
    <x v="4"/>
    <s v="Flow"/>
    <x v="433"/>
    <x v="1525"/>
    <m/>
    <m/>
    <m/>
    <m/>
    <m/>
    <m/>
    <n v="95"/>
    <m/>
    <m/>
    <m/>
  </r>
  <r>
    <s v="2021-11-07 10:08 (PST)"/>
    <x v="525"/>
    <x v="884"/>
    <x v="3"/>
    <s v="On Demand"/>
    <x v="24"/>
    <x v="1"/>
    <x v="1"/>
    <s v="Core"/>
    <x v="1"/>
    <x v="1526"/>
    <m/>
    <m/>
    <m/>
    <m/>
    <m/>
    <m/>
    <n v="46"/>
    <m/>
    <m/>
    <m/>
  </r>
  <r>
    <s v="2021-11-07 21:28 (PST)"/>
    <x v="525"/>
    <x v="315"/>
    <x v="3"/>
    <s v="On Demand"/>
    <x v="16"/>
    <x v="1"/>
    <x v="5"/>
    <s v="Relaxation"/>
    <x v="71"/>
    <x v="180"/>
    <m/>
    <m/>
    <m/>
    <m/>
    <m/>
    <m/>
    <m/>
    <m/>
    <m/>
    <m/>
  </r>
  <r>
    <s v="2021-11-14 08:03 (PST)"/>
    <x v="526"/>
    <x v="837"/>
    <x v="3"/>
    <s v="On Demand"/>
    <x v="16"/>
    <x v="5"/>
    <x v="4"/>
    <s v="Focus Flow"/>
    <x v="61"/>
    <x v="1527"/>
    <m/>
    <m/>
    <m/>
    <m/>
    <m/>
    <m/>
    <n v="65"/>
    <m/>
    <m/>
    <m/>
  </r>
  <r>
    <s v="2021-11-14 22:14 (PST)"/>
    <x v="526"/>
    <x v="361"/>
    <x v="3"/>
    <s v="On Demand"/>
    <x v="16"/>
    <x v="1"/>
    <x v="5"/>
    <s v="Breath"/>
    <x v="154"/>
    <x v="1528"/>
    <m/>
    <m/>
    <m/>
    <m/>
    <m/>
    <m/>
    <m/>
    <m/>
    <m/>
    <m/>
  </r>
  <r>
    <s v="2021-11-21 02:09 (PST)"/>
    <x v="527"/>
    <x v="771"/>
    <x v="3"/>
    <s v="On Demand"/>
    <x v="16"/>
    <x v="1"/>
    <x v="5"/>
    <s v="Theme"/>
    <x v="68"/>
    <x v="1529"/>
    <m/>
    <m/>
    <m/>
    <m/>
    <m/>
    <m/>
    <m/>
    <m/>
    <m/>
    <m/>
  </r>
  <r>
    <s v="2021-11-21 20:04 (-08)"/>
    <x v="527"/>
    <x v="1214"/>
    <x v="3"/>
    <s v="On Demand"/>
    <x v="6"/>
    <x v="2"/>
    <x v="0"/>
    <s v="Power Zone"/>
    <x v="434"/>
    <x v="1530"/>
    <n v="170"/>
    <n v="94"/>
    <n v="0.35"/>
    <n v="88"/>
    <n v="15.63"/>
    <n v="7.81"/>
    <n v="210"/>
    <m/>
    <m/>
    <m/>
  </r>
  <r>
    <s v="2021-11-21 20:37 (-08)"/>
    <x v="527"/>
    <x v="1215"/>
    <x v="3"/>
    <s v="On Demand"/>
    <x v="6"/>
    <x v="3"/>
    <x v="2"/>
    <s v="Pre &amp; Post-Ride Stretch"/>
    <x v="8"/>
    <x v="137"/>
    <m/>
    <m/>
    <m/>
    <m/>
    <m/>
    <m/>
    <n v="11"/>
    <m/>
    <m/>
    <m/>
  </r>
  <r>
    <s v="2021-11-21 20:43 (-08)"/>
    <x v="527"/>
    <x v="409"/>
    <x v="3"/>
    <s v="On Demand"/>
    <x v="1"/>
    <x v="1"/>
    <x v="1"/>
    <s v="Core"/>
    <x v="1"/>
    <x v="1531"/>
    <m/>
    <m/>
    <m/>
    <m/>
    <m/>
    <m/>
    <n v="46"/>
    <m/>
    <m/>
    <m/>
  </r>
  <r>
    <s v="2021-11-21 21:06 (PST)"/>
    <x v="527"/>
    <x v="1216"/>
    <x v="3"/>
    <s v="On Demand"/>
    <x v="23"/>
    <x v="7"/>
    <x v="4"/>
    <s v="Focus Flow"/>
    <x v="435"/>
    <x v="1532"/>
    <m/>
    <m/>
    <m/>
    <m/>
    <m/>
    <m/>
    <n v="49"/>
    <m/>
    <m/>
    <m/>
  </r>
  <r>
    <s v="2021-11-21 22:06 (PST)"/>
    <x v="527"/>
    <x v="355"/>
    <x v="3"/>
    <s v="On Demand"/>
    <x v="28"/>
    <x v="1"/>
    <x v="5"/>
    <s v="Emotions"/>
    <x v="147"/>
    <x v="133"/>
    <m/>
    <m/>
    <m/>
    <m/>
    <m/>
    <m/>
    <m/>
    <m/>
    <m/>
    <m/>
  </r>
  <r>
    <s v="2021-12-05 12:26 (-08)"/>
    <x v="528"/>
    <x v="131"/>
    <x v="3"/>
    <s v="On Demand"/>
    <x v="53"/>
    <x v="3"/>
    <x v="1"/>
    <s v="Warm Up"/>
    <x v="175"/>
    <x v="1533"/>
    <m/>
    <m/>
    <m/>
    <m/>
    <m/>
    <m/>
    <n v="23"/>
    <m/>
    <m/>
    <m/>
  </r>
  <r>
    <s v="2021-12-05 12:34 (-08)"/>
    <x v="528"/>
    <x v="1217"/>
    <x v="3"/>
    <s v="On Demand"/>
    <x v="22"/>
    <x v="1"/>
    <x v="0"/>
    <s v="Warm Up"/>
    <x v="436"/>
    <x v="1534"/>
    <n v="45"/>
    <n v="75"/>
    <n v="0.32"/>
    <n v="87"/>
    <n v="14.28"/>
    <n v="2.38"/>
    <n v="56"/>
    <m/>
    <m/>
    <m/>
  </r>
  <r>
    <s v="2021-12-05 12:47 (-08)"/>
    <x v="528"/>
    <x v="1218"/>
    <x v="3"/>
    <s v="On Demand"/>
    <x v="9"/>
    <x v="4"/>
    <x v="0"/>
    <s v="Climb"/>
    <x v="339"/>
    <x v="1535"/>
    <n v="361"/>
    <n v="100"/>
    <n v="0.41"/>
    <n v="74"/>
    <n v="16.04"/>
    <n v="16.05"/>
    <n v="445"/>
    <m/>
    <m/>
    <m/>
  </r>
  <r>
    <s v="2021-12-05 13:49 (-08)"/>
    <x v="528"/>
    <x v="850"/>
    <x v="3"/>
    <s v="On Demand"/>
    <x v="9"/>
    <x v="1"/>
    <x v="0"/>
    <s v="Cool Down"/>
    <x v="437"/>
    <x v="1536"/>
    <n v="33"/>
    <n v="55"/>
    <n v="0.3"/>
    <n v="79"/>
    <n v="12.54"/>
    <n v="2.09"/>
    <n v="41"/>
    <m/>
    <m/>
    <m/>
  </r>
  <r>
    <s v="2021-12-05 14:02 (-08)"/>
    <x v="528"/>
    <x v="1219"/>
    <x v="3"/>
    <s v="On Demand"/>
    <x v="1"/>
    <x v="1"/>
    <x v="1"/>
    <s v="Core"/>
    <x v="1"/>
    <x v="588"/>
    <m/>
    <m/>
    <m/>
    <m/>
    <m/>
    <m/>
    <n v="46"/>
    <m/>
    <m/>
    <m/>
  </r>
  <r>
    <s v="2021-12-05 14:27 (PST)"/>
    <x v="528"/>
    <x v="1220"/>
    <x v="3"/>
    <s v="On Demand"/>
    <x v="25"/>
    <x v="1"/>
    <x v="4"/>
    <s v="Focus Flow"/>
    <x v="118"/>
    <x v="1537"/>
    <m/>
    <m/>
    <m/>
    <m/>
    <m/>
    <m/>
    <n v="27"/>
    <m/>
    <m/>
    <m/>
  </r>
  <r>
    <s v="2021-12-05 21:49 (PST)"/>
    <x v="528"/>
    <x v="227"/>
    <x v="3"/>
    <s v="On Demand"/>
    <x v="13"/>
    <x v="5"/>
    <x v="5"/>
    <s v="Relaxation"/>
    <x v="84"/>
    <x v="1538"/>
    <m/>
    <m/>
    <m/>
    <m/>
    <m/>
    <m/>
    <m/>
    <m/>
    <m/>
    <m/>
  </r>
  <r>
    <s v="2021-12-12 09:23 (PST)"/>
    <x v="529"/>
    <x v="1221"/>
    <x v="3"/>
    <s v="On Demand"/>
    <x v="23"/>
    <x v="5"/>
    <x v="4"/>
    <s v="Flow"/>
    <x v="438"/>
    <x v="1539"/>
    <m/>
    <m/>
    <m/>
    <m/>
    <m/>
    <m/>
    <n v="67"/>
    <m/>
    <m/>
    <m/>
  </r>
  <r>
    <s v="2021-12-12 09:46 (PST)"/>
    <x v="529"/>
    <x v="1207"/>
    <x v="3"/>
    <s v="On Demand"/>
    <x v="1"/>
    <x v="1"/>
    <x v="1"/>
    <s v="Core"/>
    <x v="1"/>
    <x v="401"/>
    <m/>
    <m/>
    <m/>
    <m/>
    <m/>
    <m/>
    <n v="46"/>
    <m/>
    <m/>
    <m/>
  </r>
  <r>
    <s v="2021-12-12 10:20 (-08)"/>
    <x v="529"/>
    <x v="1222"/>
    <x v="3"/>
    <s v="On Demand"/>
    <x v="0"/>
    <x v="3"/>
    <x v="0"/>
    <s v="Warm Up"/>
    <x v="22"/>
    <x v="1540"/>
    <n v="23"/>
    <n v="77"/>
    <n v="0.34"/>
    <n v="80"/>
    <n v="13.96"/>
    <n v="1.1599999999999999"/>
    <n v="29"/>
    <m/>
    <m/>
    <m/>
  </r>
  <r>
    <s v="2021-12-12 10:26 (-08)"/>
    <x v="529"/>
    <x v="1100"/>
    <x v="3"/>
    <s v="On Demand"/>
    <x v="6"/>
    <x v="4"/>
    <x v="0"/>
    <s v="Power Zone"/>
    <x v="23"/>
    <x v="1541"/>
    <n v="403"/>
    <n v="112"/>
    <n v="0.39"/>
    <n v="85"/>
    <n v="16.829999999999998"/>
    <n v="16.84"/>
    <n v="496"/>
    <m/>
    <m/>
    <m/>
  </r>
  <r>
    <s v="2021-12-12 11:26 (-08)"/>
    <x v="529"/>
    <x v="1110"/>
    <x v="3"/>
    <s v="On Demand"/>
    <x v="6"/>
    <x v="3"/>
    <x v="0"/>
    <s v="Cool Down"/>
    <x v="10"/>
    <x v="137"/>
    <n v="16"/>
    <n v="55"/>
    <n v="0.28999999999999998"/>
    <n v="81"/>
    <n v="12.52"/>
    <n v="1.04"/>
    <n v="20"/>
    <m/>
    <m/>
    <m/>
  </r>
  <r>
    <s v="2021-12-12 11:31 (-08)"/>
    <x v="529"/>
    <x v="1223"/>
    <x v="3"/>
    <s v="On Demand"/>
    <x v="6"/>
    <x v="3"/>
    <x v="2"/>
    <s v="Pre &amp; Post-Ride Stretch"/>
    <x v="8"/>
    <x v="137"/>
    <m/>
    <m/>
    <m/>
    <m/>
    <m/>
    <m/>
    <n v="12"/>
    <m/>
    <m/>
    <m/>
  </r>
  <r>
    <s v="2021-12-12 22:00 (PST)"/>
    <x v="529"/>
    <x v="365"/>
    <x v="3"/>
    <s v="On Demand"/>
    <x v="19"/>
    <x v="7"/>
    <x v="5"/>
    <s v="Relaxation"/>
    <x v="94"/>
    <x v="1542"/>
    <m/>
    <m/>
    <m/>
    <m/>
    <m/>
    <m/>
    <m/>
    <m/>
    <m/>
    <m/>
  </r>
  <r>
    <s v="2021-12-19 09:58 (-08)"/>
    <x v="530"/>
    <x v="1224"/>
    <x v="3"/>
    <s v="On Demand"/>
    <x v="6"/>
    <x v="4"/>
    <x v="0"/>
    <s v="Power Zone"/>
    <x v="23"/>
    <x v="1543"/>
    <n v="363"/>
    <n v="101"/>
    <n v="0.36"/>
    <n v="86"/>
    <n v="15.8"/>
    <n v="15.79"/>
    <n v="447"/>
    <m/>
    <m/>
    <m/>
  </r>
  <r>
    <s v="2021-12-19 10:59 (-08)"/>
    <x v="530"/>
    <x v="1225"/>
    <x v="3"/>
    <s v="On Demand"/>
    <x v="6"/>
    <x v="3"/>
    <x v="0"/>
    <s v="Cool Down"/>
    <x v="10"/>
    <x v="137"/>
    <n v="14"/>
    <n v="46"/>
    <n v="0.26"/>
    <n v="84"/>
    <n v="11.44"/>
    <n v="0.95"/>
    <n v="17"/>
    <m/>
    <m/>
    <m/>
  </r>
  <r>
    <s v="2021-12-19 11:06 (-08)"/>
    <x v="530"/>
    <x v="1108"/>
    <x v="3"/>
    <s v="On Demand"/>
    <x v="37"/>
    <x v="3"/>
    <x v="1"/>
    <s v="Core"/>
    <x v="6"/>
    <x v="1544"/>
    <m/>
    <m/>
    <m/>
    <m/>
    <m/>
    <m/>
    <n v="23"/>
    <m/>
    <m/>
    <m/>
  </r>
  <r>
    <s v="2021-12-19 11:12 (-08)"/>
    <x v="530"/>
    <x v="1101"/>
    <x v="3"/>
    <s v="On Demand"/>
    <x v="10"/>
    <x v="3"/>
    <x v="2"/>
    <s v="Pre &amp; Post-Ride Stretch"/>
    <x v="8"/>
    <x v="1545"/>
    <m/>
    <m/>
    <m/>
    <m/>
    <m/>
    <m/>
    <n v="11"/>
    <m/>
    <m/>
    <m/>
  </r>
  <r>
    <s v="2021-12-19 22:16 (PST)"/>
    <x v="530"/>
    <x v="51"/>
    <x v="3"/>
    <s v="On Demand"/>
    <x v="25"/>
    <x v="1"/>
    <x v="5"/>
    <s v="Sleep"/>
    <x v="39"/>
    <x v="1546"/>
    <m/>
    <m/>
    <m/>
    <m/>
    <m/>
    <m/>
    <m/>
    <m/>
    <m/>
    <m/>
  </r>
  <r>
    <s v="2021-12-26 09:42 (-08)"/>
    <x v="531"/>
    <x v="1226"/>
    <x v="3"/>
    <s v="On Demand"/>
    <x v="7"/>
    <x v="0"/>
    <x v="0"/>
    <s v="Power Zone"/>
    <x v="85"/>
    <x v="1547"/>
    <n v="282"/>
    <n v="104"/>
    <n v="0.38"/>
    <n v="84"/>
    <n v="16.3"/>
    <n v="12.23"/>
    <n v="348"/>
    <m/>
    <m/>
    <m/>
  </r>
  <r>
    <s v="2021-12-26 10:28 (-08)"/>
    <x v="531"/>
    <x v="1227"/>
    <x v="3"/>
    <s v="On Demand"/>
    <x v="6"/>
    <x v="5"/>
    <x v="0"/>
    <s v="Low Impact"/>
    <x v="360"/>
    <x v="1548"/>
    <n v="78"/>
    <n v="65"/>
    <n v="0.28999999999999998"/>
    <n v="91"/>
    <n v="13.42"/>
    <n v="4.47"/>
    <n v="97"/>
    <m/>
    <m/>
    <m/>
  </r>
  <r>
    <s v="2021-12-26 10:49 (-08)"/>
    <x v="531"/>
    <x v="1228"/>
    <x v="3"/>
    <s v="On Demand"/>
    <x v="6"/>
    <x v="3"/>
    <x v="2"/>
    <s v="Pre &amp; Post-Ride Stretch"/>
    <x v="8"/>
    <x v="137"/>
    <m/>
    <m/>
    <m/>
    <m/>
    <m/>
    <m/>
    <n v="12"/>
    <m/>
    <m/>
    <m/>
  </r>
  <r>
    <s v="2021-12-26 21:29 (PST)"/>
    <x v="531"/>
    <x v="423"/>
    <x v="3"/>
    <s v="On Demand"/>
    <x v="16"/>
    <x v="3"/>
    <x v="5"/>
    <s v="Sleep"/>
    <x v="58"/>
    <x v="1549"/>
    <m/>
    <m/>
    <m/>
    <m/>
    <m/>
    <m/>
    <m/>
    <m/>
    <m/>
    <m/>
  </r>
  <r>
    <s v="2022-01-02 09:53 (PST)"/>
    <x v="532"/>
    <x v="974"/>
    <x v="3"/>
    <s v="On Demand"/>
    <x v="23"/>
    <x v="1"/>
    <x v="4"/>
    <s v="Focus Flow"/>
    <x v="133"/>
    <x v="1550"/>
    <m/>
    <m/>
    <m/>
    <m/>
    <m/>
    <m/>
    <n v="31"/>
    <m/>
    <m/>
    <m/>
  </r>
  <r>
    <s v="2022-01-02 10:09 (-08)"/>
    <x v="532"/>
    <x v="1229"/>
    <x v="3"/>
    <s v="On Demand"/>
    <x v="6"/>
    <x v="7"/>
    <x v="0"/>
    <s v="Power Zone"/>
    <x v="87"/>
    <x v="177"/>
    <n v="81"/>
    <n v="90"/>
    <n v="0.33"/>
    <n v="92"/>
    <n v="15.21"/>
    <n v="3.8"/>
    <n v="100"/>
    <m/>
    <m/>
    <m/>
  </r>
  <r>
    <s v="2022-01-02 10:28 (-08)"/>
    <x v="532"/>
    <x v="1227"/>
    <x v="3"/>
    <s v="On Demand"/>
    <x v="6"/>
    <x v="5"/>
    <x v="0"/>
    <s v="Power Zone"/>
    <x v="88"/>
    <x v="1551"/>
    <n v="173"/>
    <n v="143"/>
    <n v="0.43"/>
    <n v="85"/>
    <n v="18.690000000000001"/>
    <n v="6.21"/>
    <n v="213"/>
    <m/>
    <m/>
    <m/>
  </r>
  <r>
    <s v="2022-01-02 10:58 (-08)"/>
    <x v="532"/>
    <x v="1230"/>
    <x v="3"/>
    <s v="On Demand"/>
    <x v="4"/>
    <x v="7"/>
    <x v="0"/>
    <s v="Cool Down"/>
    <x v="439"/>
    <x v="1552"/>
    <n v="54"/>
    <n v="60"/>
    <n v="0.3"/>
    <n v="82"/>
    <n v="12.85"/>
    <n v="3.22"/>
    <n v="66"/>
    <m/>
    <m/>
    <m/>
  </r>
  <r>
    <s v="2022-01-02 11:23 (PST)"/>
    <x v="532"/>
    <x v="1231"/>
    <x v="3"/>
    <s v="On Demand"/>
    <x v="13"/>
    <x v="1"/>
    <x v="4"/>
    <s v="Focus Flow"/>
    <x v="440"/>
    <x v="1553"/>
    <m/>
    <m/>
    <m/>
    <m/>
    <m/>
    <m/>
    <n v="33"/>
    <m/>
    <m/>
    <m/>
  </r>
  <r>
    <s v="2022-01-02 11:34 (PST)"/>
    <x v="532"/>
    <x v="10"/>
    <x v="3"/>
    <s v="On Demand"/>
    <x v="19"/>
    <x v="5"/>
    <x v="4"/>
    <s v="Focus Flow"/>
    <x v="40"/>
    <x v="1554"/>
    <m/>
    <m/>
    <m/>
    <m/>
    <m/>
    <m/>
    <n v="59"/>
    <m/>
    <m/>
    <m/>
  </r>
  <r>
    <s v="2022-01-02 22:08 (PST)"/>
    <x v="532"/>
    <x v="435"/>
    <x v="3"/>
    <s v="On Demand"/>
    <x v="25"/>
    <x v="7"/>
    <x v="5"/>
    <s v="Emotions"/>
    <x v="219"/>
    <x v="1165"/>
    <m/>
    <m/>
    <m/>
    <m/>
    <m/>
    <m/>
    <m/>
    <m/>
    <m/>
    <m/>
  </r>
  <r>
    <s v="2022-01-09 18:42 (PST)"/>
    <x v="533"/>
    <x v="1232"/>
    <x v="3"/>
    <s v="On Demand"/>
    <x v="23"/>
    <x v="5"/>
    <x v="4"/>
    <s v="Focus Flow"/>
    <x v="61"/>
    <x v="1555"/>
    <m/>
    <m/>
    <m/>
    <m/>
    <m/>
    <m/>
    <n v="64"/>
    <m/>
    <m/>
    <m/>
  </r>
  <r>
    <s v="2022-01-09 19:03 (PST)"/>
    <x v="533"/>
    <x v="402"/>
    <x v="3"/>
    <s v="On Demand"/>
    <x v="28"/>
    <x v="7"/>
    <x v="4"/>
    <s v="Focus Flow"/>
    <x v="232"/>
    <x v="1556"/>
    <m/>
    <m/>
    <m/>
    <m/>
    <m/>
    <m/>
    <n v="51"/>
    <m/>
    <m/>
    <m/>
  </r>
  <r>
    <s v="2022-01-09 19:19 (PST)"/>
    <x v="533"/>
    <x v="876"/>
    <x v="3"/>
    <s v="On Demand"/>
    <x v="23"/>
    <x v="1"/>
    <x v="4"/>
    <s v="Focus Flow"/>
    <x v="118"/>
    <x v="1557"/>
    <m/>
    <m/>
    <m/>
    <m/>
    <m/>
    <m/>
    <n v="35"/>
    <m/>
    <m/>
    <m/>
  </r>
  <r>
    <s v="2022-01-09 19:31 (PST)"/>
    <x v="533"/>
    <x v="1233"/>
    <x v="3"/>
    <s v="On Demand"/>
    <x v="16"/>
    <x v="1"/>
    <x v="4"/>
    <s v="Focus Flow"/>
    <x v="118"/>
    <x v="1558"/>
    <m/>
    <m/>
    <m/>
    <m/>
    <m/>
    <m/>
    <n v="34"/>
    <m/>
    <m/>
    <m/>
  </r>
  <r>
    <s v="2022-01-09 19:43 (PST)"/>
    <x v="533"/>
    <x v="1234"/>
    <x v="3"/>
    <s v="On Demand"/>
    <x v="7"/>
    <x v="1"/>
    <x v="4"/>
    <s v="Restoration"/>
    <x v="417"/>
    <x v="1559"/>
    <m/>
    <m/>
    <m/>
    <m/>
    <m/>
    <m/>
    <n v="18"/>
    <m/>
    <m/>
    <m/>
  </r>
  <r>
    <s v="2022-01-09 21:39 (PST)"/>
    <x v="533"/>
    <x v="602"/>
    <x v="3"/>
    <s v="On Demand"/>
    <x v="25"/>
    <x v="1"/>
    <x v="5"/>
    <s v="Relaxation"/>
    <x v="34"/>
    <x v="1560"/>
    <m/>
    <m/>
    <m/>
    <m/>
    <m/>
    <m/>
    <m/>
    <m/>
    <m/>
    <m/>
  </r>
  <r>
    <s v="2022-01-16 10:25 (PST)"/>
    <x v="534"/>
    <x v="1130"/>
    <x v="3"/>
    <s v="On Demand"/>
    <x v="16"/>
    <x v="4"/>
    <x v="4"/>
    <s v="Flow"/>
    <x v="24"/>
    <x v="1561"/>
    <m/>
    <m/>
    <m/>
    <m/>
    <m/>
    <m/>
    <n v="200"/>
    <m/>
    <m/>
    <m/>
  </r>
  <r>
    <s v="2022-01-16 20:14 (PST)"/>
    <x v="534"/>
    <x v="1235"/>
    <x v="3"/>
    <s v="On Demand"/>
    <x v="13"/>
    <x v="5"/>
    <x v="4"/>
    <s v="Focus Flow"/>
    <x v="40"/>
    <x v="1562"/>
    <m/>
    <m/>
    <m/>
    <m/>
    <m/>
    <m/>
    <n v="58"/>
    <m/>
    <m/>
    <m/>
  </r>
  <r>
    <s v="2022-01-16 20:36 (PST)"/>
    <x v="534"/>
    <x v="358"/>
    <x v="3"/>
    <s v="On Demand"/>
    <x v="8"/>
    <x v="1"/>
    <x v="2"/>
    <s v="Foam Rolling"/>
    <x v="441"/>
    <x v="1563"/>
    <m/>
    <m/>
    <m/>
    <m/>
    <m/>
    <m/>
    <n v="23"/>
    <m/>
    <m/>
    <m/>
  </r>
  <r>
    <s v="2022-01-16 20:48 (PST)"/>
    <x v="534"/>
    <x v="1078"/>
    <x v="3"/>
    <s v="On Demand"/>
    <x v="8"/>
    <x v="1"/>
    <x v="2"/>
    <s v="Foam Rolling"/>
    <x v="442"/>
    <x v="1564"/>
    <m/>
    <m/>
    <m/>
    <m/>
    <m/>
    <m/>
    <n v="23"/>
    <m/>
    <m/>
    <m/>
  </r>
  <r>
    <s v="2022-01-16 22:21 (PST)"/>
    <x v="534"/>
    <x v="740"/>
    <x v="3"/>
    <s v="On Demand"/>
    <x v="16"/>
    <x v="5"/>
    <x v="5"/>
    <s v="Sleep"/>
    <x v="29"/>
    <x v="1565"/>
    <m/>
    <m/>
    <m/>
    <m/>
    <m/>
    <m/>
    <m/>
    <m/>
    <m/>
    <m/>
  </r>
  <r>
    <s v="2022-01-23 14:47 (PST)"/>
    <x v="535"/>
    <x v="1132"/>
    <x v="3"/>
    <s v="On Demand"/>
    <x v="16"/>
    <x v="1"/>
    <x v="5"/>
    <s v="Emotions"/>
    <x v="210"/>
    <x v="1566"/>
    <m/>
    <m/>
    <m/>
    <m/>
    <m/>
    <m/>
    <m/>
    <n v="67.209999999999994"/>
    <m/>
    <m/>
  </r>
  <r>
    <s v="2022-01-23 19:32 (PST)"/>
    <x v="535"/>
    <x v="1156"/>
    <x v="3"/>
    <s v="On Demand"/>
    <x v="7"/>
    <x v="0"/>
    <x v="4"/>
    <s v="Slow Flow"/>
    <x v="33"/>
    <x v="1567"/>
    <m/>
    <m/>
    <m/>
    <m/>
    <m/>
    <m/>
    <n v="142"/>
    <m/>
    <m/>
    <m/>
  </r>
  <r>
    <s v="2022-01-23 21:33 (PST)"/>
    <x v="535"/>
    <x v="1236"/>
    <x v="3"/>
    <s v="On Demand"/>
    <x v="13"/>
    <x v="5"/>
    <x v="5"/>
    <s v="Emotions"/>
    <x v="53"/>
    <x v="1568"/>
    <m/>
    <m/>
    <m/>
    <m/>
    <m/>
    <m/>
    <m/>
    <m/>
    <m/>
    <m/>
  </r>
  <r>
    <s v="2022-01-30 16:21 (-08)"/>
    <x v="536"/>
    <x v="146"/>
    <x v="3"/>
    <s v="On Demand"/>
    <x v="1"/>
    <x v="3"/>
    <x v="1"/>
    <s v="Core"/>
    <x v="6"/>
    <x v="165"/>
    <m/>
    <m/>
    <m/>
    <m/>
    <m/>
    <m/>
    <n v="23"/>
    <m/>
    <m/>
    <m/>
  </r>
  <r>
    <s v="2022-01-30 16:28 (-08)"/>
    <x v="536"/>
    <x v="312"/>
    <x v="3"/>
    <s v="On Demand"/>
    <x v="20"/>
    <x v="2"/>
    <x v="3"/>
    <s v="Body Focus"/>
    <x v="443"/>
    <x v="1569"/>
    <n v="104"/>
    <m/>
    <m/>
    <m/>
    <n v="15.39"/>
    <n v="4.54"/>
    <n v="160"/>
    <m/>
    <m/>
    <m/>
  </r>
  <r>
    <s v="2022-01-30 17:00 (-08)"/>
    <x v="536"/>
    <x v="538"/>
    <x v="3"/>
    <s v="On Demand"/>
    <x v="29"/>
    <x v="1"/>
    <x v="0"/>
    <s v="Low Impact"/>
    <x v="192"/>
    <x v="1570"/>
    <n v="50"/>
    <n v="83"/>
    <n v="0.33"/>
    <n v="87"/>
    <n v="14.94"/>
    <n v="2.4900000000000002"/>
    <n v="62"/>
    <m/>
    <m/>
    <m/>
  </r>
  <r>
    <s v="2022-01-30 17:22 (PST)"/>
    <x v="536"/>
    <x v="1237"/>
    <x v="3"/>
    <s v="On Demand"/>
    <x v="16"/>
    <x v="2"/>
    <x v="4"/>
    <s v="Focus Flow"/>
    <x v="86"/>
    <x v="1571"/>
    <m/>
    <m/>
    <m/>
    <m/>
    <m/>
    <m/>
    <n v="97"/>
    <m/>
    <m/>
    <m/>
  </r>
  <r>
    <s v="2022-01-30 18:10 (PST)"/>
    <x v="536"/>
    <x v="1238"/>
    <x v="3"/>
    <s v="On Demand"/>
    <x v="8"/>
    <x v="1"/>
    <x v="2"/>
    <s v="Foam Rolling"/>
    <x v="431"/>
    <x v="1572"/>
    <m/>
    <m/>
    <m/>
    <m/>
    <m/>
    <m/>
    <n v="23"/>
    <m/>
    <m/>
    <m/>
  </r>
  <r>
    <s v="2022-01-30 22:33 (PST)"/>
    <x v="536"/>
    <x v="232"/>
    <x v="3"/>
    <s v="On Demand"/>
    <x v="23"/>
    <x v="5"/>
    <x v="5"/>
    <s v="Sleep"/>
    <x v="29"/>
    <x v="1573"/>
    <m/>
    <m/>
    <m/>
    <m/>
    <m/>
    <m/>
    <m/>
    <m/>
    <m/>
    <m/>
  </r>
  <r>
    <s v="2022-02-06 04:30 (PST)"/>
    <x v="537"/>
    <x v="1239"/>
    <x v="3"/>
    <s v="On Demand"/>
    <x v="25"/>
    <x v="3"/>
    <x v="5"/>
    <s v="Sleep"/>
    <x v="58"/>
    <x v="1574"/>
    <m/>
    <m/>
    <m/>
    <m/>
    <m/>
    <m/>
    <m/>
    <m/>
    <m/>
    <m/>
  </r>
  <r>
    <s v="2022-02-06 18:00 (PST)"/>
    <x v="537"/>
    <x v="416"/>
    <x v="3"/>
    <s v="On Demand"/>
    <x v="16"/>
    <x v="4"/>
    <x v="4"/>
    <s v="Flow"/>
    <x v="24"/>
    <x v="1575"/>
    <m/>
    <m/>
    <m/>
    <m/>
    <m/>
    <m/>
    <n v="200"/>
    <m/>
    <m/>
    <m/>
  </r>
  <r>
    <s v="2022-02-06 22:13 (PST)"/>
    <x v="537"/>
    <x v="235"/>
    <x v="3"/>
    <s v="On Demand"/>
    <x v="13"/>
    <x v="5"/>
    <x v="5"/>
    <s v="Emotions"/>
    <x v="64"/>
    <x v="1576"/>
    <m/>
    <m/>
    <m/>
    <m/>
    <m/>
    <m/>
    <m/>
    <m/>
    <m/>
    <m/>
  </r>
  <r>
    <s v="2022-02-13 09:45 (PST)"/>
    <x v="538"/>
    <x v="852"/>
    <x v="3"/>
    <s v="On Demand"/>
    <x v="1"/>
    <x v="1"/>
    <x v="1"/>
    <s v="Core"/>
    <x v="1"/>
    <x v="622"/>
    <m/>
    <m/>
    <m/>
    <m/>
    <m/>
    <m/>
    <n v="45"/>
    <m/>
    <m/>
    <m/>
  </r>
  <r>
    <s v="2022-02-13 09:56 (PST)"/>
    <x v="538"/>
    <x v="1088"/>
    <x v="3"/>
    <s v="On Demand"/>
    <x v="13"/>
    <x v="1"/>
    <x v="4"/>
    <s v="Focus Flow"/>
    <x v="118"/>
    <x v="1577"/>
    <m/>
    <m/>
    <m/>
    <m/>
    <m/>
    <m/>
    <n v="33"/>
    <m/>
    <m/>
    <m/>
  </r>
  <r>
    <s v="2022-02-13 10:08 (PST)"/>
    <x v="538"/>
    <x v="884"/>
    <x v="3"/>
    <s v="On Demand"/>
    <x v="16"/>
    <x v="1"/>
    <x v="4"/>
    <s v="Focus Flow"/>
    <x v="133"/>
    <x v="1578"/>
    <m/>
    <m/>
    <m/>
    <m/>
    <m/>
    <m/>
    <n v="30"/>
    <m/>
    <m/>
    <m/>
  </r>
  <r>
    <s v="2022-02-13 17:38 (PST)"/>
    <x v="538"/>
    <x v="1240"/>
    <x v="3"/>
    <s v="On Demand"/>
    <x v="4"/>
    <x v="3"/>
    <x v="2"/>
    <s v="Lower Body Stretch"/>
    <x v="444"/>
    <x v="1579"/>
    <m/>
    <m/>
    <m/>
    <m/>
    <m/>
    <m/>
    <n v="11"/>
    <m/>
    <m/>
    <m/>
  </r>
  <r>
    <s v="2022-02-13 17:46 (PST)"/>
    <x v="538"/>
    <x v="1241"/>
    <x v="3"/>
    <s v="On Demand"/>
    <x v="8"/>
    <x v="1"/>
    <x v="2"/>
    <s v="Foam Rolling"/>
    <x v="214"/>
    <x v="583"/>
    <m/>
    <m/>
    <m/>
    <m/>
    <m/>
    <m/>
    <n v="23"/>
    <m/>
    <m/>
    <m/>
  </r>
  <r>
    <s v="2022-02-13 17:58 (PST)"/>
    <x v="538"/>
    <x v="1242"/>
    <x v="3"/>
    <s v="On Demand"/>
    <x v="8"/>
    <x v="1"/>
    <x v="2"/>
    <s v="Foam Rolling"/>
    <x v="442"/>
    <x v="1564"/>
    <m/>
    <m/>
    <m/>
    <m/>
    <m/>
    <m/>
    <n v="23"/>
    <m/>
    <m/>
    <m/>
  </r>
  <r>
    <s v="2022-02-13 18:10 (PST)"/>
    <x v="538"/>
    <x v="1238"/>
    <x v="3"/>
    <s v="On Demand"/>
    <x v="8"/>
    <x v="1"/>
    <x v="2"/>
    <s v="Foam Rolling"/>
    <x v="445"/>
    <x v="1580"/>
    <m/>
    <m/>
    <m/>
    <m/>
    <m/>
    <m/>
    <n v="23"/>
    <m/>
    <m/>
    <m/>
  </r>
  <r>
    <s v="2022-02-13 18:25 (PST)"/>
    <x v="538"/>
    <x v="1243"/>
    <x v="3"/>
    <s v="On Demand"/>
    <x v="8"/>
    <x v="1"/>
    <x v="2"/>
    <s v="Foam Rolling"/>
    <x v="441"/>
    <x v="1563"/>
    <m/>
    <m/>
    <m/>
    <m/>
    <m/>
    <m/>
    <n v="23"/>
    <m/>
    <m/>
    <m/>
  </r>
  <r>
    <s v="2022-02-13 21:59 (PST)"/>
    <x v="538"/>
    <x v="96"/>
    <x v="3"/>
    <s v="On Demand"/>
    <x v="23"/>
    <x v="7"/>
    <x v="5"/>
    <s v="Sleep"/>
    <x v="65"/>
    <x v="1581"/>
    <m/>
    <m/>
    <m/>
    <m/>
    <m/>
    <m/>
    <m/>
    <m/>
    <m/>
    <m/>
  </r>
  <r>
    <s v="2022-02-13 22:29 (PST)"/>
    <x v="538"/>
    <x v="639"/>
    <x v="3"/>
    <s v="On Demand"/>
    <x v="23"/>
    <x v="7"/>
    <x v="5"/>
    <s v="Sleep"/>
    <x v="65"/>
    <x v="1582"/>
    <m/>
    <m/>
    <m/>
    <m/>
    <m/>
    <m/>
    <m/>
    <m/>
    <m/>
    <m/>
  </r>
  <r>
    <s v="2022-02-13 23:19 (PST)"/>
    <x v="538"/>
    <x v="350"/>
    <x v="3"/>
    <s v="On Demand"/>
    <x v="13"/>
    <x v="7"/>
    <x v="5"/>
    <s v="Sleep"/>
    <x v="65"/>
    <x v="1583"/>
    <m/>
    <m/>
    <m/>
    <m/>
    <m/>
    <m/>
    <m/>
    <m/>
    <m/>
    <m/>
  </r>
  <r>
    <s v="2022-02-20 17:10 (PST)"/>
    <x v="539"/>
    <x v="1244"/>
    <x v="3"/>
    <s v="On Demand"/>
    <x v="13"/>
    <x v="2"/>
    <x v="4"/>
    <s v="Flow"/>
    <x v="41"/>
    <x v="1584"/>
    <m/>
    <m/>
    <m/>
    <m/>
    <m/>
    <m/>
    <n v="91"/>
    <m/>
    <m/>
    <m/>
  </r>
  <r>
    <s v="2022-02-20 17:43 (PST)"/>
    <x v="539"/>
    <x v="1245"/>
    <x v="3"/>
    <s v="On Demand"/>
    <x v="4"/>
    <x v="1"/>
    <x v="1"/>
    <s v="Core"/>
    <x v="1"/>
    <x v="1585"/>
    <m/>
    <m/>
    <m/>
    <m/>
    <m/>
    <m/>
    <n v="44"/>
    <m/>
    <m/>
    <m/>
  </r>
  <r>
    <s v="2022-02-20 18:13 (-08)"/>
    <x v="539"/>
    <x v="1246"/>
    <x v="3"/>
    <s v="On Demand"/>
    <x v="6"/>
    <x v="4"/>
    <x v="0"/>
    <s v="Power Zone"/>
    <x v="7"/>
    <x v="1586"/>
    <n v="374"/>
    <n v="104"/>
    <n v="0.37"/>
    <n v="87"/>
    <n v="16.399999999999999"/>
    <n v="16.399999999999999"/>
    <n v="461"/>
    <m/>
    <m/>
    <m/>
  </r>
  <r>
    <s v="2022-02-20 19:19 (-08)"/>
    <x v="539"/>
    <x v="1247"/>
    <x v="3"/>
    <s v="On Demand"/>
    <x v="23"/>
    <x v="1"/>
    <x v="4"/>
    <s v="Focus Flow"/>
    <x v="118"/>
    <x v="1587"/>
    <m/>
    <m/>
    <m/>
    <m/>
    <m/>
    <m/>
    <n v="35"/>
    <m/>
    <m/>
    <m/>
  </r>
  <r>
    <s v="2022-02-20 22:15 (PST)"/>
    <x v="539"/>
    <x v="593"/>
    <x v="3"/>
    <s v="On Demand"/>
    <x v="13"/>
    <x v="5"/>
    <x v="5"/>
    <s v="Relaxation"/>
    <x v="84"/>
    <x v="1588"/>
    <m/>
    <m/>
    <m/>
    <m/>
    <m/>
    <m/>
    <m/>
    <m/>
    <m/>
    <m/>
  </r>
  <r>
    <s v="2022-02-20 23:10 (PST)"/>
    <x v="539"/>
    <x v="1248"/>
    <x v="3"/>
    <s v="On Demand"/>
    <x v="23"/>
    <x v="5"/>
    <x v="5"/>
    <s v="Sleep"/>
    <x v="29"/>
    <x v="1589"/>
    <m/>
    <m/>
    <m/>
    <m/>
    <m/>
    <m/>
    <m/>
    <m/>
    <m/>
    <m/>
  </r>
  <r>
    <s v="2022-02-27 14:49 (-08)"/>
    <x v="540"/>
    <x v="1249"/>
    <x v="3"/>
    <s v="On Demand"/>
    <x v="6"/>
    <x v="4"/>
    <x v="0"/>
    <s v="Power Zone"/>
    <x v="7"/>
    <x v="1590"/>
    <n v="371"/>
    <n v="103"/>
    <n v="0.37"/>
    <n v="85"/>
    <n v="16.32"/>
    <n v="16.32"/>
    <n v="458"/>
    <m/>
    <m/>
    <m/>
  </r>
  <r>
    <s v="2022-02-27 15:50 (-08)"/>
    <x v="540"/>
    <x v="1106"/>
    <x v="3"/>
    <s v="On Demand"/>
    <x v="18"/>
    <x v="3"/>
    <x v="0"/>
    <s v="Cool Down"/>
    <x v="10"/>
    <x v="1591"/>
    <n v="20"/>
    <n v="68"/>
    <n v="0.32"/>
    <n v="81"/>
    <n v="13.74"/>
    <n v="1.1399999999999999"/>
    <n v="25"/>
    <m/>
    <m/>
    <m/>
  </r>
  <r>
    <s v="2022-02-27 15:56 (-08)"/>
    <x v="540"/>
    <x v="1250"/>
    <x v="3"/>
    <s v="On Demand"/>
    <x v="20"/>
    <x v="3"/>
    <x v="1"/>
    <s v="Core"/>
    <x v="6"/>
    <x v="1592"/>
    <m/>
    <m/>
    <m/>
    <m/>
    <m/>
    <m/>
    <n v="23"/>
    <m/>
    <m/>
    <m/>
  </r>
  <r>
    <s v="2022-02-27 16:03 (-08)"/>
    <x v="540"/>
    <x v="1251"/>
    <x v="3"/>
    <s v="On Demand"/>
    <x v="29"/>
    <x v="3"/>
    <x v="2"/>
    <s v="Pre &amp; Post-Ride Stretch"/>
    <x v="8"/>
    <x v="1593"/>
    <m/>
    <m/>
    <m/>
    <m/>
    <m/>
    <m/>
    <n v="11"/>
    <m/>
    <m/>
    <m/>
  </r>
  <r>
    <s v="2022-02-27 22:16 (PST)"/>
    <x v="540"/>
    <x v="51"/>
    <x v="3"/>
    <s v="On Demand"/>
    <x v="23"/>
    <x v="5"/>
    <x v="5"/>
    <s v="Sleep"/>
    <x v="29"/>
    <x v="1594"/>
    <m/>
    <m/>
    <m/>
    <m/>
    <m/>
    <m/>
    <m/>
    <m/>
    <m/>
    <m/>
  </r>
  <r>
    <s v="2022-03-06 09:15 (PST)"/>
    <x v="541"/>
    <x v="643"/>
    <x v="3"/>
    <s v="On Demand"/>
    <x v="7"/>
    <x v="0"/>
    <x v="4"/>
    <s v="Slow Flow"/>
    <x v="33"/>
    <x v="1595"/>
    <m/>
    <m/>
    <m/>
    <m/>
    <m/>
    <m/>
    <n v="147"/>
    <m/>
    <m/>
    <m/>
  </r>
  <r>
    <s v="2022-03-06 10:09 (PST)"/>
    <x v="541"/>
    <x v="1252"/>
    <x v="3"/>
    <s v="On Demand"/>
    <x v="13"/>
    <x v="1"/>
    <x v="5"/>
    <s v="Relaxation"/>
    <x v="34"/>
    <x v="1596"/>
    <m/>
    <m/>
    <m/>
    <m/>
    <m/>
    <m/>
    <m/>
    <m/>
    <m/>
    <m/>
  </r>
  <r>
    <s v="2022-03-06 16:17 (PST)"/>
    <x v="541"/>
    <x v="1253"/>
    <x v="3"/>
    <s v="On Demand"/>
    <x v="19"/>
    <x v="7"/>
    <x v="5"/>
    <s v="Emotions"/>
    <x v="204"/>
    <x v="1597"/>
    <m/>
    <m/>
    <m/>
    <m/>
    <m/>
    <m/>
    <m/>
    <n v="75.95"/>
    <m/>
    <m/>
  </r>
  <r>
    <s v="2022-03-06 18:01 (-08)"/>
    <x v="541"/>
    <x v="1254"/>
    <x v="3"/>
    <s v="On Demand"/>
    <x v="6"/>
    <x v="8"/>
    <x v="0"/>
    <s v="Power Zone"/>
    <x v="25"/>
    <x v="1598"/>
    <n v="571"/>
    <n v="106"/>
    <n v="0.38"/>
    <n v="84"/>
    <n v="16.510000000000002"/>
    <n v="24.77"/>
    <n v="703"/>
    <m/>
    <m/>
    <m/>
  </r>
  <r>
    <s v="2022-03-06 19:38 (-08)"/>
    <x v="541"/>
    <x v="142"/>
    <x v="3"/>
    <s v="On Demand"/>
    <x v="4"/>
    <x v="3"/>
    <x v="1"/>
    <s v="Core"/>
    <x v="6"/>
    <x v="1599"/>
    <m/>
    <m/>
    <m/>
    <m/>
    <m/>
    <m/>
    <n v="23"/>
    <m/>
    <m/>
    <m/>
  </r>
  <r>
    <s v="2022-03-13 11:29 (PST)"/>
    <x v="542"/>
    <x v="15"/>
    <x v="3"/>
    <s v="On Demand"/>
    <x v="13"/>
    <x v="2"/>
    <x v="4"/>
    <s v="Flow"/>
    <x v="41"/>
    <x v="1600"/>
    <m/>
    <m/>
    <m/>
    <m/>
    <m/>
    <m/>
    <n v="91"/>
    <m/>
    <m/>
    <m/>
  </r>
  <r>
    <s v="2022-03-13 16:33 (-07)"/>
    <x v="542"/>
    <x v="439"/>
    <x v="3"/>
    <s v="On Demand"/>
    <x v="24"/>
    <x v="3"/>
    <x v="1"/>
    <s v="Core"/>
    <x v="6"/>
    <x v="1601"/>
    <m/>
    <m/>
    <m/>
    <m/>
    <m/>
    <m/>
    <n v="23"/>
    <m/>
    <m/>
    <m/>
  </r>
  <r>
    <s v="2022-03-13 16:40 (-07)"/>
    <x v="542"/>
    <x v="1255"/>
    <x v="3"/>
    <s v="On Demand"/>
    <x v="6"/>
    <x v="4"/>
    <x v="0"/>
    <s v="Power Zone"/>
    <x v="7"/>
    <x v="489"/>
    <n v="379"/>
    <n v="105"/>
    <n v="0.37"/>
    <n v="86"/>
    <n v="16.47"/>
    <n v="16.47"/>
    <n v="575"/>
    <n v="148.88"/>
    <m/>
    <m/>
  </r>
  <r>
    <s v="2022-03-13 17:41 (-07)"/>
    <x v="542"/>
    <x v="457"/>
    <x v="3"/>
    <s v="On Demand"/>
    <x v="4"/>
    <x v="1"/>
    <x v="0"/>
    <s v="Low Impact"/>
    <x v="192"/>
    <x v="1602"/>
    <n v="38"/>
    <n v="64"/>
    <n v="0.31"/>
    <n v="82"/>
    <n v="13.34"/>
    <n v="2.2200000000000002"/>
    <n v="65"/>
    <n v="123.42"/>
    <m/>
    <m/>
  </r>
  <r>
    <s v="2022-03-13 17:53 (-07)"/>
    <x v="542"/>
    <x v="1064"/>
    <x v="3"/>
    <s v="On Demand"/>
    <x v="4"/>
    <x v="1"/>
    <x v="1"/>
    <s v="Arms &amp; Light Weights"/>
    <x v="28"/>
    <x v="1603"/>
    <m/>
    <m/>
    <m/>
    <m/>
    <m/>
    <m/>
    <n v="47"/>
    <n v="107.08"/>
    <m/>
    <m/>
  </r>
  <r>
    <s v="2022-03-13 22:03 (PST)"/>
    <x v="542"/>
    <x v="1256"/>
    <x v="3"/>
    <s v="On Demand"/>
    <x v="16"/>
    <x v="1"/>
    <x v="4"/>
    <s v="Focus Flow"/>
    <x v="133"/>
    <x v="1604"/>
    <m/>
    <m/>
    <m/>
    <m/>
    <m/>
    <m/>
    <n v="35"/>
    <m/>
    <m/>
    <m/>
  </r>
  <r>
    <s v="2022-03-13 22:30 (PST)"/>
    <x v="542"/>
    <x v="57"/>
    <x v="3"/>
    <s v="On Demand"/>
    <x v="13"/>
    <x v="1"/>
    <x v="5"/>
    <s v="Emotions"/>
    <x v="210"/>
    <x v="1605"/>
    <m/>
    <m/>
    <m/>
    <m/>
    <m/>
    <m/>
    <m/>
    <m/>
    <m/>
    <m/>
  </r>
  <r>
    <s v="2022-03-20 03:17 (PST)"/>
    <x v="543"/>
    <x v="1257"/>
    <x v="3"/>
    <s v="On Demand"/>
    <x v="19"/>
    <x v="7"/>
    <x v="5"/>
    <s v="Emotions"/>
    <x v="250"/>
    <x v="1606"/>
    <m/>
    <m/>
    <m/>
    <m/>
    <m/>
    <m/>
    <m/>
    <m/>
    <m/>
    <m/>
  </r>
  <r>
    <s v="2022-03-20 04:00 (PST)"/>
    <x v="543"/>
    <x v="1258"/>
    <x v="3"/>
    <s v="On Demand"/>
    <x v="16"/>
    <x v="3"/>
    <x v="5"/>
    <s v="Sleep"/>
    <x v="58"/>
    <x v="674"/>
    <m/>
    <m/>
    <m/>
    <m/>
    <m/>
    <m/>
    <m/>
    <m/>
    <m/>
    <m/>
  </r>
  <r>
    <s v="2022-03-20 19:10 (PST)"/>
    <x v="543"/>
    <x v="1259"/>
    <x v="3"/>
    <s v="On Demand"/>
    <x v="8"/>
    <x v="1"/>
    <x v="2"/>
    <s v="Foam Rolling"/>
    <x v="380"/>
    <x v="1607"/>
    <m/>
    <m/>
    <m/>
    <m/>
    <m/>
    <m/>
    <n v="23"/>
    <m/>
    <m/>
    <m/>
  </r>
  <r>
    <s v="2022-03-20 19:27 (PST)"/>
    <x v="543"/>
    <x v="1260"/>
    <x v="3"/>
    <s v="On Demand"/>
    <x v="7"/>
    <x v="0"/>
    <x v="4"/>
    <s v="Flow"/>
    <x v="414"/>
    <x v="1608"/>
    <m/>
    <m/>
    <m/>
    <m/>
    <m/>
    <m/>
    <n v="143"/>
    <m/>
    <m/>
    <m/>
  </r>
  <r>
    <s v="2022-03-20 20:20 (PST)"/>
    <x v="543"/>
    <x v="877"/>
    <x v="3"/>
    <s v="On Demand"/>
    <x v="28"/>
    <x v="3"/>
    <x v="4"/>
    <s v="Restoration"/>
    <x v="446"/>
    <x v="701"/>
    <m/>
    <m/>
    <m/>
    <m/>
    <m/>
    <m/>
    <n v="5"/>
    <m/>
    <m/>
    <m/>
  </r>
  <r>
    <s v="2022-03-20 22:20 (PST)"/>
    <x v="543"/>
    <x v="766"/>
    <x v="3"/>
    <s v="On Demand"/>
    <x v="19"/>
    <x v="1"/>
    <x v="5"/>
    <s v="Relaxation"/>
    <x v="34"/>
    <x v="1609"/>
    <m/>
    <m/>
    <m/>
    <m/>
    <m/>
    <m/>
    <m/>
    <m/>
    <m/>
    <m/>
  </r>
  <r>
    <s v="2022-03-27 19:53 (PST)"/>
    <x v="544"/>
    <x v="752"/>
    <x v="3"/>
    <s v="On Demand"/>
    <x v="7"/>
    <x v="0"/>
    <x v="4"/>
    <s v="Slow Flow"/>
    <x v="33"/>
    <x v="1610"/>
    <m/>
    <m/>
    <m/>
    <m/>
    <m/>
    <m/>
    <n v="142"/>
    <m/>
    <m/>
    <m/>
  </r>
  <r>
    <s v="2022-03-27 22:32 (PST)"/>
    <x v="544"/>
    <x v="454"/>
    <x v="3"/>
    <s v="On Demand"/>
    <x v="28"/>
    <x v="1"/>
    <x v="5"/>
    <s v="Emotions"/>
    <x v="15"/>
    <x v="1611"/>
    <m/>
    <m/>
    <m/>
    <m/>
    <m/>
    <m/>
    <m/>
    <m/>
    <m/>
    <m/>
  </r>
  <r>
    <s v="2022-04-03 13:04 (PST)"/>
    <x v="545"/>
    <x v="1261"/>
    <x v="3"/>
    <s v="On Demand"/>
    <x v="13"/>
    <x v="2"/>
    <x v="4"/>
    <s v="Flow"/>
    <x v="41"/>
    <x v="1612"/>
    <m/>
    <m/>
    <m/>
    <m/>
    <m/>
    <m/>
    <n v="7"/>
    <m/>
    <m/>
    <m/>
  </r>
  <r>
    <s v="2022-04-10 04:50 (PST)"/>
    <x v="546"/>
    <x v="1262"/>
    <x v="3"/>
    <s v="On Demand"/>
    <x v="19"/>
    <x v="1"/>
    <x v="5"/>
    <s v="Emotions"/>
    <x v="46"/>
    <x v="1613"/>
    <m/>
    <m/>
    <m/>
    <m/>
    <m/>
    <m/>
    <m/>
    <m/>
    <m/>
    <m/>
  </r>
  <r>
    <s v="2022-04-10 11:32 (PST)"/>
    <x v="546"/>
    <x v="1263"/>
    <x v="3"/>
    <s v="On Demand"/>
    <x v="13"/>
    <x v="2"/>
    <x v="4"/>
    <s v="Flow"/>
    <x v="41"/>
    <x v="1614"/>
    <m/>
    <m/>
    <m/>
    <m/>
    <m/>
    <m/>
    <n v="95"/>
    <m/>
    <m/>
    <m/>
  </r>
  <r>
    <s v="2022-04-10 12:47 (-07)"/>
    <x v="546"/>
    <x v="1264"/>
    <x v="3"/>
    <s v="On Demand"/>
    <x v="6"/>
    <x v="4"/>
    <x v="0"/>
    <s v="Power Zone"/>
    <x v="7"/>
    <x v="1615"/>
    <n v="377"/>
    <n v="105"/>
    <n v="0.37"/>
    <n v="86"/>
    <n v="16.440000000000001"/>
    <n v="16.440000000000001"/>
    <n v="632"/>
    <n v="158.43"/>
    <m/>
    <m/>
  </r>
  <r>
    <s v="2022-04-10 13:50 (-07)"/>
    <x v="546"/>
    <x v="1265"/>
    <x v="3"/>
    <s v="On Demand"/>
    <x v="1"/>
    <x v="1"/>
    <x v="0"/>
    <s v="Low Impact"/>
    <x v="192"/>
    <x v="1616"/>
    <n v="36"/>
    <n v="60"/>
    <n v="0.28999999999999998"/>
    <n v="84"/>
    <n v="12.97"/>
    <n v="2.16"/>
    <n v="56"/>
    <n v="126.25"/>
    <m/>
    <m/>
  </r>
  <r>
    <s v="2022-04-10 14:01 (-07)"/>
    <x v="546"/>
    <x v="1266"/>
    <x v="3"/>
    <s v="On Demand"/>
    <x v="20"/>
    <x v="1"/>
    <x v="1"/>
    <s v="Arms &amp; Light Weights"/>
    <x v="28"/>
    <x v="1617"/>
    <m/>
    <m/>
    <m/>
    <m/>
    <m/>
    <m/>
    <n v="50"/>
    <n v="110.34"/>
    <m/>
    <m/>
  </r>
  <r>
    <s v="2022-04-10 14:12 (-07)"/>
    <x v="546"/>
    <x v="1267"/>
    <x v="3"/>
    <s v="On Demand"/>
    <x v="37"/>
    <x v="3"/>
    <x v="1"/>
    <s v="Core"/>
    <x v="6"/>
    <x v="1618"/>
    <m/>
    <m/>
    <m/>
    <m/>
    <m/>
    <m/>
    <n v="23"/>
    <n v="106.77"/>
    <m/>
    <m/>
  </r>
  <r>
    <s v="2022-04-10 23:24 (PST)"/>
    <x v="546"/>
    <x v="1268"/>
    <x v="3"/>
    <s v="On Demand"/>
    <x v="23"/>
    <x v="3"/>
    <x v="5"/>
    <s v="Relaxation"/>
    <x v="89"/>
    <x v="1619"/>
    <m/>
    <m/>
    <m/>
    <m/>
    <m/>
    <m/>
    <m/>
    <m/>
    <m/>
    <m/>
  </r>
  <r>
    <s v="2022-04-17 06:09 (PST)"/>
    <x v="547"/>
    <x v="1269"/>
    <x v="3"/>
    <s v="On Demand"/>
    <x v="19"/>
    <x v="7"/>
    <x v="5"/>
    <s v="Relaxation"/>
    <x v="106"/>
    <x v="1620"/>
    <m/>
    <m/>
    <m/>
    <m/>
    <m/>
    <m/>
    <m/>
    <m/>
    <m/>
    <m/>
  </r>
  <r>
    <s v="2022-04-17 15:04 (PST)"/>
    <x v="547"/>
    <x v="1270"/>
    <x v="3"/>
    <s v="On Demand"/>
    <x v="32"/>
    <x v="2"/>
    <x v="4"/>
    <s v="Flow"/>
    <x v="41"/>
    <x v="1621"/>
    <m/>
    <m/>
    <m/>
    <m/>
    <m/>
    <m/>
    <n v="96"/>
    <m/>
    <m/>
    <m/>
  </r>
  <r>
    <s v="2022-04-17 15:37 (PST)"/>
    <x v="547"/>
    <x v="1271"/>
    <x v="3"/>
    <s v="On Demand"/>
    <x v="8"/>
    <x v="5"/>
    <x v="1"/>
    <s v="Barre"/>
    <x v="447"/>
    <x v="1622"/>
    <m/>
    <m/>
    <m/>
    <m/>
    <m/>
    <m/>
    <n v="90"/>
    <m/>
    <m/>
    <m/>
  </r>
  <r>
    <s v="2022-04-17 21:25 (PST)"/>
    <x v="547"/>
    <x v="339"/>
    <x v="3"/>
    <s v="On Demand"/>
    <x v="25"/>
    <x v="1"/>
    <x v="5"/>
    <s v="Relaxation"/>
    <x v="71"/>
    <x v="1623"/>
    <m/>
    <m/>
    <m/>
    <m/>
    <m/>
    <m/>
    <m/>
    <m/>
    <m/>
    <m/>
  </r>
  <r>
    <s v="2022-04-24 22:19 (PST)"/>
    <x v="548"/>
    <x v="814"/>
    <x v="3"/>
    <s v="On Demand"/>
    <x v="25"/>
    <x v="1"/>
    <x v="5"/>
    <s v="Relaxation"/>
    <x v="71"/>
    <x v="1624"/>
    <m/>
    <m/>
    <m/>
    <m/>
    <m/>
    <m/>
    <m/>
    <m/>
    <m/>
    <m/>
  </r>
  <r>
    <s v="2022-05-01 22:21 (PST)"/>
    <x v="549"/>
    <x v="740"/>
    <x v="3"/>
    <s v="On Demand"/>
    <x v="23"/>
    <x v="1"/>
    <x v="5"/>
    <s v="Relaxation"/>
    <x v="34"/>
    <x v="1625"/>
    <m/>
    <m/>
    <m/>
    <m/>
    <m/>
    <m/>
    <m/>
    <m/>
    <m/>
    <m/>
  </r>
  <r>
    <s v="2022-05-08 19:26 (-07)"/>
    <x v="550"/>
    <x v="1158"/>
    <x v="3"/>
    <s v="On Demand"/>
    <x v="6"/>
    <x v="0"/>
    <x v="0"/>
    <s v="Power Zone"/>
    <x v="102"/>
    <x v="1626"/>
    <n v="278"/>
    <n v="103"/>
    <n v="0.37"/>
    <n v="85"/>
    <n v="16.32"/>
    <n v="12.25"/>
    <n v="411"/>
    <n v="146.72"/>
    <m/>
    <m/>
  </r>
  <r>
    <s v="2022-05-08 20:16 (-07)"/>
    <x v="550"/>
    <x v="1272"/>
    <x v="3"/>
    <s v="On Demand"/>
    <x v="29"/>
    <x v="1"/>
    <x v="1"/>
    <s v="Arms &amp; Light Weights"/>
    <x v="28"/>
    <x v="1627"/>
    <m/>
    <m/>
    <m/>
    <m/>
    <m/>
    <m/>
    <n v="44"/>
    <n v="107.47"/>
    <m/>
    <m/>
  </r>
  <r>
    <s v="2022-05-08 20:39 (PST)"/>
    <x v="550"/>
    <x v="1273"/>
    <x v="3"/>
    <s v="On Demand"/>
    <x v="23"/>
    <x v="5"/>
    <x v="4"/>
    <s v="Focus Flow"/>
    <x v="105"/>
    <x v="1628"/>
    <m/>
    <m/>
    <m/>
    <m/>
    <m/>
    <m/>
    <n v="68"/>
    <m/>
    <m/>
    <m/>
  </r>
  <r>
    <s v="2022-05-08 22:40 (PST)"/>
    <x v="550"/>
    <x v="67"/>
    <x v="3"/>
    <s v="On Demand"/>
    <x v="19"/>
    <x v="2"/>
    <x v="5"/>
    <s v="Relaxation"/>
    <x v="419"/>
    <x v="1629"/>
    <m/>
    <m/>
    <m/>
    <m/>
    <m/>
    <m/>
    <m/>
    <m/>
    <m/>
    <m/>
  </r>
  <r>
    <s v="2022-05-15 10:15 (PST)"/>
    <x v="551"/>
    <x v="1147"/>
    <x v="3"/>
    <s v="On Demand"/>
    <x v="7"/>
    <x v="2"/>
    <x v="4"/>
    <s v="Flow"/>
    <x v="448"/>
    <x v="1630"/>
    <m/>
    <m/>
    <m/>
    <m/>
    <m/>
    <m/>
    <n v="102"/>
    <n v="92.4"/>
    <m/>
    <m/>
  </r>
  <r>
    <s v="2022-05-15 10:47 (PST)"/>
    <x v="551"/>
    <x v="860"/>
    <x v="3"/>
    <s v="On Demand"/>
    <x v="16"/>
    <x v="1"/>
    <x v="4"/>
    <s v="Focus Flow"/>
    <x v="133"/>
    <x v="1631"/>
    <m/>
    <m/>
    <m/>
    <m/>
    <m/>
    <m/>
    <n v="34"/>
    <m/>
    <m/>
    <m/>
  </r>
  <r>
    <s v="2022-05-22 03:46 (PST)"/>
    <x v="552"/>
    <x v="1274"/>
    <x v="3"/>
    <s v="On Demand"/>
    <x v="19"/>
    <x v="7"/>
    <x v="5"/>
    <s v="Sleep"/>
    <x v="65"/>
    <x v="1224"/>
    <m/>
    <m/>
    <m/>
    <m/>
    <m/>
    <m/>
    <m/>
    <m/>
    <m/>
    <m/>
  </r>
  <r>
    <s v="2022-05-22 04:03 (PST)"/>
    <x v="552"/>
    <x v="1275"/>
    <x v="3"/>
    <s v="On Demand"/>
    <x v="19"/>
    <x v="7"/>
    <x v="5"/>
    <s v="Sleep"/>
    <x v="65"/>
    <x v="1224"/>
    <m/>
    <m/>
    <m/>
    <m/>
    <m/>
    <m/>
    <m/>
    <m/>
    <m/>
    <m/>
  </r>
  <r>
    <s v="2022-05-22 22:16 (PST)"/>
    <x v="552"/>
    <x v="51"/>
    <x v="3"/>
    <s v="On Demand"/>
    <x v="13"/>
    <x v="7"/>
    <x v="5"/>
    <s v="Emotions"/>
    <x v="286"/>
    <x v="1632"/>
    <m/>
    <m/>
    <m/>
    <m/>
    <m/>
    <m/>
    <m/>
    <m/>
    <m/>
    <m/>
  </r>
  <r>
    <s v="2022-05-29 16:22 (PST)"/>
    <x v="553"/>
    <x v="1276"/>
    <x v="3"/>
    <s v="On Demand"/>
    <x v="26"/>
    <x v="1"/>
    <x v="1"/>
    <s v="Core"/>
    <x v="1"/>
    <x v="1633"/>
    <m/>
    <m/>
    <m/>
    <m/>
    <m/>
    <m/>
    <n v="44"/>
    <m/>
    <m/>
    <m/>
  </r>
  <r>
    <s v="2022-05-29 23:32 (PST)"/>
    <x v="553"/>
    <x v="1277"/>
    <x v="3"/>
    <s v="On Demand"/>
    <x v="23"/>
    <x v="1"/>
    <x v="5"/>
    <s v="Breath"/>
    <x v="154"/>
    <x v="1634"/>
    <m/>
    <m/>
    <m/>
    <m/>
    <m/>
    <m/>
    <m/>
    <m/>
    <m/>
    <m/>
  </r>
  <r>
    <s v="2022-06-05 22:15 (PST)"/>
    <x v="554"/>
    <x v="593"/>
    <x v="3"/>
    <s v="On Demand"/>
    <x v="13"/>
    <x v="1"/>
    <x v="5"/>
    <s v="Sleep"/>
    <x v="39"/>
    <x v="1635"/>
    <m/>
    <m/>
    <m/>
    <m/>
    <m/>
    <m/>
    <m/>
    <m/>
    <m/>
    <m/>
  </r>
  <r>
    <s v="2022-06-12 09:52 (PST)"/>
    <x v="555"/>
    <x v="1278"/>
    <x v="3"/>
    <s v="On Demand"/>
    <x v="7"/>
    <x v="2"/>
    <x v="4"/>
    <s v="Focus Flow"/>
    <x v="449"/>
    <x v="1636"/>
    <m/>
    <m/>
    <m/>
    <m/>
    <m/>
    <m/>
    <n v="86"/>
    <m/>
    <m/>
    <m/>
  </r>
  <r>
    <s v="2022-06-12 10:27 (PST)"/>
    <x v="555"/>
    <x v="869"/>
    <x v="3"/>
    <s v="On Demand"/>
    <x v="13"/>
    <x v="1"/>
    <x v="5"/>
    <s v="Emotions"/>
    <x v="15"/>
    <x v="1637"/>
    <m/>
    <m/>
    <m/>
    <m/>
    <m/>
    <m/>
    <m/>
    <m/>
    <m/>
    <m/>
  </r>
  <r>
    <s v="2022-06-12 15:53 (-07)"/>
    <x v="555"/>
    <x v="786"/>
    <x v="3"/>
    <s v="On Demand"/>
    <x v="1"/>
    <x v="1"/>
    <x v="1"/>
    <s v="Core"/>
    <x v="1"/>
    <x v="1638"/>
    <m/>
    <m/>
    <m/>
    <m/>
    <m/>
    <m/>
    <n v="46"/>
    <m/>
    <m/>
    <m/>
  </r>
  <r>
    <s v="2022-06-12 16:06 (-07)"/>
    <x v="555"/>
    <x v="345"/>
    <x v="3"/>
    <s v="On Demand"/>
    <x v="6"/>
    <x v="4"/>
    <x v="0"/>
    <s v="Power Zone"/>
    <x v="7"/>
    <x v="1639"/>
    <n v="371"/>
    <n v="103"/>
    <n v="0.38"/>
    <n v="84"/>
    <n v="16.32"/>
    <n v="16.32"/>
    <n v="556"/>
    <n v="146.97"/>
    <m/>
    <m/>
  </r>
  <r>
    <s v="2022-06-12 17:07 (-07)"/>
    <x v="555"/>
    <x v="939"/>
    <x v="3"/>
    <s v="On Demand"/>
    <x v="45"/>
    <x v="3"/>
    <x v="2"/>
    <s v="Pre &amp; Post-Ride Stretch"/>
    <x v="8"/>
    <x v="1640"/>
    <m/>
    <m/>
    <m/>
    <m/>
    <m/>
    <m/>
    <n v="11"/>
    <m/>
    <m/>
    <m/>
  </r>
  <r>
    <s v="2022-06-12 22:12 (PST)"/>
    <x v="555"/>
    <x v="233"/>
    <x v="3"/>
    <s v="On Demand"/>
    <x v="25"/>
    <x v="1"/>
    <x v="5"/>
    <s v="Emotions"/>
    <x v="109"/>
    <x v="1641"/>
    <m/>
    <m/>
    <m/>
    <m/>
    <m/>
    <m/>
    <m/>
    <m/>
    <m/>
    <m/>
  </r>
  <r>
    <s v="2022-06-19 01:37 (PST)"/>
    <x v="556"/>
    <x v="893"/>
    <x v="3"/>
    <s v="On Demand"/>
    <x v="23"/>
    <x v="1"/>
    <x v="5"/>
    <s v="Sleep"/>
    <x v="39"/>
    <x v="1642"/>
    <m/>
    <m/>
    <m/>
    <m/>
    <m/>
    <m/>
    <m/>
    <m/>
    <m/>
    <m/>
  </r>
  <r>
    <s v="2022-06-19 09:40 (-07)"/>
    <x v="556"/>
    <x v="1279"/>
    <x v="3"/>
    <s v="On Demand"/>
    <x v="21"/>
    <x v="1"/>
    <x v="1"/>
    <s v="Core"/>
    <x v="1"/>
    <x v="1643"/>
    <m/>
    <m/>
    <m/>
    <m/>
    <m/>
    <m/>
    <n v="35"/>
    <n v="91.4"/>
    <m/>
    <m/>
  </r>
  <r>
    <s v="2022-06-19 09:53 (-07)"/>
    <x v="556"/>
    <x v="1280"/>
    <x v="3"/>
    <s v="On Demand"/>
    <x v="6"/>
    <x v="4"/>
    <x v="0"/>
    <s v="Power Zone"/>
    <x v="7"/>
    <x v="714"/>
    <n v="367"/>
    <n v="101"/>
    <n v="0.37"/>
    <n v="84"/>
    <n v="16.2"/>
    <n v="16.260000000000002"/>
    <n v="579"/>
    <n v="149.04"/>
    <m/>
    <m/>
  </r>
  <r>
    <s v="2022-06-19 11:00 (-07)"/>
    <x v="556"/>
    <x v="1281"/>
    <x v="3"/>
    <s v="On Demand"/>
    <x v="13"/>
    <x v="1"/>
    <x v="4"/>
    <s v="Focus Flow"/>
    <x v="133"/>
    <x v="1644"/>
    <m/>
    <m/>
    <m/>
    <m/>
    <m/>
    <m/>
    <n v="35"/>
    <n v="93.03"/>
    <m/>
    <m/>
  </r>
  <r>
    <s v="2022-06-19 22:28 (PST)"/>
    <x v="556"/>
    <x v="472"/>
    <x v="3"/>
    <s v="On Demand"/>
    <x v="13"/>
    <x v="1"/>
    <x v="5"/>
    <s v="Mindfulness"/>
    <x v="92"/>
    <x v="674"/>
    <m/>
    <m/>
    <m/>
    <m/>
    <m/>
    <m/>
    <m/>
    <m/>
    <m/>
    <m/>
  </r>
  <r>
    <s v="2022-06-26 22:59 (PST)"/>
    <x v="557"/>
    <x v="1282"/>
    <x v="3"/>
    <s v="On Demand"/>
    <x v="19"/>
    <x v="5"/>
    <x v="5"/>
    <s v="Sleep"/>
    <x v="29"/>
    <x v="238"/>
    <m/>
    <m/>
    <m/>
    <m/>
    <m/>
    <m/>
    <m/>
    <m/>
    <m/>
    <m/>
  </r>
  <r>
    <s v="2022-07-03 19:18 (PST)"/>
    <x v="558"/>
    <x v="1283"/>
    <x v="3"/>
    <s v="On Demand"/>
    <x v="5"/>
    <x v="5"/>
    <x v="6"/>
    <s v="Music Walk"/>
    <x v="450"/>
    <x v="1645"/>
    <n v="0"/>
    <m/>
    <m/>
    <m/>
    <n v="3.52"/>
    <n v="1.17"/>
    <n v="133"/>
    <n v="132.61000000000001"/>
    <m/>
    <m/>
  </r>
  <r>
    <s v="2022-07-03 19:37 (PST)"/>
    <x v="558"/>
    <x v="1284"/>
    <x v="3"/>
    <s v="On Demand"/>
    <x v="21"/>
    <x v="5"/>
    <x v="6"/>
    <s v="Music Walk"/>
    <x v="451"/>
    <x v="1646"/>
    <n v="0"/>
    <m/>
    <m/>
    <m/>
    <n v="3.54"/>
    <n v="0.92"/>
    <n v="106"/>
    <n v="126.38"/>
    <m/>
    <m/>
  </r>
  <r>
    <s v="2022-07-10 21:14 (PST)"/>
    <x v="559"/>
    <x v="874"/>
    <x v="3"/>
    <s v="On Demand"/>
    <x v="7"/>
    <x v="2"/>
    <x v="4"/>
    <s v="Focus Flow"/>
    <x v="449"/>
    <x v="1647"/>
    <m/>
    <m/>
    <m/>
    <m/>
    <m/>
    <m/>
    <n v="92"/>
    <m/>
    <m/>
    <m/>
  </r>
  <r>
    <s v="2022-07-10 22:10 (PST)"/>
    <x v="559"/>
    <x v="620"/>
    <x v="3"/>
    <s v="On Demand"/>
    <x v="25"/>
    <x v="5"/>
    <x v="5"/>
    <s v="Sleep"/>
    <x v="29"/>
    <x v="1648"/>
    <m/>
    <m/>
    <m/>
    <m/>
    <m/>
    <m/>
    <m/>
    <m/>
    <m/>
    <m/>
  </r>
  <r>
    <s v="2022-07-17 10:07 (PST)"/>
    <x v="560"/>
    <x v="1285"/>
    <x v="3"/>
    <s v="On Demand"/>
    <x v="13"/>
    <x v="0"/>
    <x v="4"/>
    <s v="Slow Flow"/>
    <x v="33"/>
    <x v="1649"/>
    <m/>
    <m/>
    <m/>
    <m/>
    <m/>
    <m/>
    <n v="143"/>
    <m/>
    <m/>
    <m/>
  </r>
  <r>
    <s v="2022-07-17 22:15 (PST)"/>
    <x v="560"/>
    <x v="593"/>
    <x v="3"/>
    <s v="On Demand"/>
    <x v="16"/>
    <x v="1"/>
    <x v="5"/>
    <s v="Emotions"/>
    <x v="147"/>
    <x v="1650"/>
    <m/>
    <m/>
    <m/>
    <m/>
    <m/>
    <m/>
    <m/>
    <m/>
    <m/>
    <m/>
  </r>
  <r>
    <s v="2022-07-24 07:57 (PST)"/>
    <x v="561"/>
    <x v="12"/>
    <x v="3"/>
    <s v="On Demand"/>
    <x v="13"/>
    <x v="2"/>
    <x v="4"/>
    <s v="Focus Flow"/>
    <x v="86"/>
    <x v="1651"/>
    <m/>
    <m/>
    <m/>
    <m/>
    <m/>
    <m/>
    <n v="96"/>
    <m/>
    <m/>
    <m/>
  </r>
  <r>
    <s v="2022-07-24 22:18 (PST)"/>
    <x v="561"/>
    <x v="117"/>
    <x v="3"/>
    <s v="On Demand"/>
    <x v="28"/>
    <x v="3"/>
    <x v="5"/>
    <s v="Relaxation"/>
    <x v="221"/>
    <x v="1652"/>
    <m/>
    <m/>
    <m/>
    <m/>
    <m/>
    <m/>
    <m/>
    <m/>
    <m/>
    <m/>
  </r>
  <r>
    <s v="2022-07-31 07:27 (PST)"/>
    <x v="562"/>
    <x v="614"/>
    <x v="3"/>
    <s v="On Demand"/>
    <x v="16"/>
    <x v="2"/>
    <x v="4"/>
    <s v="Slow Flow"/>
    <x v="114"/>
    <x v="1653"/>
    <m/>
    <m/>
    <m/>
    <m/>
    <m/>
    <m/>
    <n v="93"/>
    <m/>
    <m/>
    <m/>
  </r>
  <r>
    <s v="2022-07-31 22:44 (PST)"/>
    <x v="562"/>
    <x v="373"/>
    <x v="3"/>
    <s v="On Demand"/>
    <x v="19"/>
    <x v="7"/>
    <x v="5"/>
    <s v="Sleep"/>
    <x v="65"/>
    <x v="254"/>
    <m/>
    <m/>
    <m/>
    <m/>
    <m/>
    <m/>
    <m/>
    <m/>
    <m/>
    <m/>
  </r>
  <r>
    <s v="2022-08-07 20:22 (PST)"/>
    <x v="563"/>
    <x v="380"/>
    <x v="3"/>
    <s v="On Demand"/>
    <x v="7"/>
    <x v="0"/>
    <x v="4"/>
    <s v="Flow"/>
    <x v="14"/>
    <x v="1654"/>
    <m/>
    <m/>
    <m/>
    <m/>
    <m/>
    <m/>
    <n v="153"/>
    <n v="93.61"/>
    <m/>
    <m/>
  </r>
  <r>
    <s v="2022-08-07 22:54 (PST)"/>
    <x v="563"/>
    <x v="74"/>
    <x v="3"/>
    <s v="On Demand"/>
    <x v="13"/>
    <x v="1"/>
    <x v="5"/>
    <s v="Relaxation"/>
    <x v="34"/>
    <x v="1655"/>
    <m/>
    <m/>
    <m/>
    <m/>
    <m/>
    <m/>
    <m/>
    <m/>
    <m/>
    <m/>
  </r>
  <r>
    <s v="2022-08-14 18:34 (-07)"/>
    <x v="564"/>
    <x v="512"/>
    <x v="3"/>
    <s v="On Demand"/>
    <x v="6"/>
    <x v="4"/>
    <x v="0"/>
    <s v="Power Zone"/>
    <x v="7"/>
    <x v="1656"/>
    <n v="435"/>
    <n v="121"/>
    <n v="0.4"/>
    <n v="84"/>
    <n v="17.41"/>
    <n v="17.41"/>
    <n v="638"/>
    <n v="159.44999999999999"/>
    <m/>
    <m/>
  </r>
  <r>
    <s v="2022-08-14 19:35 (-07)"/>
    <x v="564"/>
    <x v="436"/>
    <x v="3"/>
    <s v="On Demand"/>
    <x v="6"/>
    <x v="3"/>
    <x v="0"/>
    <s v="Cool Down"/>
    <x v="10"/>
    <x v="265"/>
    <n v="17"/>
    <n v="58"/>
    <n v="0.27"/>
    <n v="93"/>
    <n v="12.64"/>
    <n v="1.05"/>
    <n v="36"/>
    <n v="130.59"/>
    <m/>
    <m/>
  </r>
  <r>
    <s v="2022-08-14 19:42 (-07)"/>
    <x v="564"/>
    <x v="1286"/>
    <x v="3"/>
    <s v="On Demand"/>
    <x v="37"/>
    <x v="1"/>
    <x v="1"/>
    <s v="Core"/>
    <x v="1"/>
    <x v="1657"/>
    <m/>
    <m/>
    <m/>
    <m/>
    <m/>
    <m/>
    <n v="72"/>
    <n v="123.73"/>
    <m/>
    <m/>
  </r>
  <r>
    <s v="2022-08-14 20:09 (PST)"/>
    <x v="564"/>
    <x v="421"/>
    <x v="3"/>
    <s v="On Demand"/>
    <x v="7"/>
    <x v="2"/>
    <x v="4"/>
    <s v="Focus Flow"/>
    <x v="449"/>
    <x v="1658"/>
    <m/>
    <m/>
    <m/>
    <m/>
    <m/>
    <m/>
    <n v="90"/>
    <m/>
    <m/>
    <m/>
  </r>
  <r>
    <s v="2022-08-14 23:00 (PST)"/>
    <x v="564"/>
    <x v="129"/>
    <x v="3"/>
    <s v="On Demand"/>
    <x v="25"/>
    <x v="1"/>
    <x v="5"/>
    <s v="Emotions"/>
    <x v="210"/>
    <x v="1659"/>
    <m/>
    <m/>
    <m/>
    <m/>
    <m/>
    <m/>
    <m/>
    <m/>
    <m/>
    <m/>
  </r>
  <r>
    <s v="2022-08-21 10:17 (PST)"/>
    <x v="565"/>
    <x v="909"/>
    <x v="3"/>
    <s v="On Demand"/>
    <x v="31"/>
    <x v="0"/>
    <x v="6"/>
    <s v="Music Walk"/>
    <x v="452"/>
    <x v="770"/>
    <n v="0"/>
    <m/>
    <m/>
    <m/>
    <n v="3.45"/>
    <n v="2.56"/>
    <n v="273"/>
    <n v="124.98"/>
    <m/>
    <m/>
  </r>
  <r>
    <s v="2022-08-21 11:29 (PST)"/>
    <x v="565"/>
    <x v="15"/>
    <x v="3"/>
    <s v="On Demand"/>
    <x v="16"/>
    <x v="2"/>
    <x v="4"/>
    <s v="Flow"/>
    <x v="453"/>
    <x v="1660"/>
    <m/>
    <m/>
    <m/>
    <m/>
    <m/>
    <m/>
    <n v="93"/>
    <m/>
    <m/>
    <m/>
  </r>
  <r>
    <s v="2022-08-21 12:08 (PST)"/>
    <x v="565"/>
    <x v="379"/>
    <x v="3"/>
    <s v="On Demand"/>
    <x v="1"/>
    <x v="1"/>
    <x v="1"/>
    <s v="Core"/>
    <x v="454"/>
    <x v="1661"/>
    <m/>
    <m/>
    <m/>
    <m/>
    <m/>
    <m/>
    <n v="43"/>
    <m/>
    <m/>
    <m/>
  </r>
  <r>
    <s v="2022-08-21 21:39 (PST)"/>
    <x v="565"/>
    <x v="602"/>
    <x v="3"/>
    <s v="On Demand"/>
    <x v="25"/>
    <x v="3"/>
    <x v="5"/>
    <s v="Sleep"/>
    <x v="58"/>
    <x v="1662"/>
    <m/>
    <m/>
    <m/>
    <m/>
    <m/>
    <m/>
    <m/>
    <m/>
    <m/>
    <m/>
  </r>
  <r>
    <s v="2022-08-28 21:43 (PST)"/>
    <x v="566"/>
    <x v="502"/>
    <x v="3"/>
    <s v="On Demand"/>
    <x v="25"/>
    <x v="2"/>
    <x v="5"/>
    <s v="Relaxation"/>
    <x v="455"/>
    <x v="1596"/>
    <m/>
    <m/>
    <m/>
    <m/>
    <m/>
    <m/>
    <m/>
    <m/>
    <m/>
    <m/>
  </r>
  <r>
    <s v="2022-09-04 17:54 (PST)"/>
    <x v="567"/>
    <x v="443"/>
    <x v="3"/>
    <s v="On Demand"/>
    <x v="8"/>
    <x v="1"/>
    <x v="2"/>
    <s v="Foam Rolling"/>
    <x v="79"/>
    <x v="709"/>
    <m/>
    <m/>
    <m/>
    <m/>
    <m/>
    <m/>
    <n v="32"/>
    <n v="97.17"/>
    <m/>
    <m/>
  </r>
  <r>
    <s v="2022-09-04 18:08 (PST)"/>
    <x v="567"/>
    <x v="417"/>
    <x v="3"/>
    <s v="On Demand"/>
    <x v="16"/>
    <x v="4"/>
    <x v="4"/>
    <s v="Flow"/>
    <x v="24"/>
    <x v="1663"/>
    <m/>
    <m/>
    <m/>
    <m/>
    <m/>
    <m/>
    <n v="218"/>
    <n v="98.15"/>
    <m/>
    <m/>
  </r>
  <r>
    <s v="2022-09-11 16:08 (-07)"/>
    <x v="568"/>
    <x v="1287"/>
    <x v="3"/>
    <s v="On Demand"/>
    <x v="6"/>
    <x v="2"/>
    <x v="0"/>
    <s v="Power Zone"/>
    <x v="131"/>
    <x v="1664"/>
    <n v="194"/>
    <n v="108"/>
    <n v="0.38"/>
    <n v="85"/>
    <n v="16.5"/>
    <n v="8.25"/>
    <n v="239"/>
    <m/>
    <m/>
    <m/>
  </r>
  <r>
    <s v="2022-09-11 16:43 (-07)"/>
    <x v="568"/>
    <x v="750"/>
    <x v="3"/>
    <s v="On Demand"/>
    <x v="11"/>
    <x v="2"/>
    <x v="1"/>
    <s v="Full Body"/>
    <x v="125"/>
    <x v="1665"/>
    <m/>
    <m/>
    <m/>
    <m/>
    <m/>
    <m/>
    <n v="138"/>
    <m/>
    <m/>
    <m/>
  </r>
  <r>
    <s v="2022-09-11 17:47 (PST)"/>
    <x v="568"/>
    <x v="1288"/>
    <x v="3"/>
    <s v="On Demand"/>
    <x v="7"/>
    <x v="0"/>
    <x v="4"/>
    <s v="Slow Flow"/>
    <x v="33"/>
    <x v="1666"/>
    <m/>
    <m/>
    <m/>
    <m/>
    <m/>
    <m/>
    <n v="140"/>
    <m/>
    <m/>
    <m/>
  </r>
  <r>
    <s v="2022-09-11 22:10 (PST)"/>
    <x v="568"/>
    <x v="620"/>
    <x v="3"/>
    <s v="On Demand"/>
    <x v="16"/>
    <x v="1"/>
    <x v="5"/>
    <s v="Mindfulness"/>
    <x v="92"/>
    <x v="1667"/>
    <m/>
    <m/>
    <m/>
    <m/>
    <m/>
    <m/>
    <m/>
    <m/>
    <m/>
    <m/>
  </r>
  <r>
    <s v="2022-09-18 22:03 (PST)"/>
    <x v="569"/>
    <x v="1256"/>
    <x v="3"/>
    <s v="On Demand"/>
    <x v="19"/>
    <x v="1"/>
    <x v="5"/>
    <s v="Relaxation"/>
    <x v="34"/>
    <x v="1668"/>
    <m/>
    <m/>
    <m/>
    <m/>
    <m/>
    <m/>
    <m/>
    <m/>
    <m/>
    <m/>
  </r>
  <r>
    <s v="2022-09-25 21:59 (PST)"/>
    <x v="570"/>
    <x v="96"/>
    <x v="3"/>
    <s v="On Demand"/>
    <x v="25"/>
    <x v="7"/>
    <x v="5"/>
    <s v="Mindfulness"/>
    <x v="42"/>
    <x v="1669"/>
    <m/>
    <m/>
    <m/>
    <m/>
    <m/>
    <m/>
    <m/>
    <m/>
    <m/>
    <m/>
  </r>
  <r>
    <s v="2022-10-02 08:44 (-07)"/>
    <x v="571"/>
    <x v="273"/>
    <x v="3"/>
    <s v="On Demand"/>
    <x v="6"/>
    <x v="0"/>
    <x v="0"/>
    <s v="Power Zone"/>
    <x v="85"/>
    <x v="1670"/>
    <n v="328"/>
    <n v="121"/>
    <n v="0.39"/>
    <n v="86"/>
    <n v="17.12"/>
    <n v="12.84"/>
    <n v="510"/>
    <n v="165"/>
    <m/>
    <m/>
  </r>
  <r>
    <s v="2022-10-02 09:29 (-07)"/>
    <x v="571"/>
    <x v="987"/>
    <x v="3"/>
    <s v="On Demand"/>
    <x v="22"/>
    <x v="1"/>
    <x v="0"/>
    <s v="Cool Down"/>
    <x v="95"/>
    <x v="202"/>
    <n v="46"/>
    <n v="78"/>
    <n v="0.36"/>
    <n v="77"/>
    <n v="14.48"/>
    <n v="2.41"/>
    <n v="95"/>
    <n v="149.41"/>
    <m/>
    <m/>
  </r>
  <r>
    <s v="2022-10-02 09:41 (-07)"/>
    <x v="571"/>
    <x v="1289"/>
    <x v="3"/>
    <s v="On Demand"/>
    <x v="17"/>
    <x v="1"/>
    <x v="1"/>
    <s v="Arms &amp; Light Weights"/>
    <x v="28"/>
    <x v="1671"/>
    <m/>
    <m/>
    <m/>
    <m/>
    <m/>
    <m/>
    <n v="74"/>
    <n v="131.94"/>
    <m/>
    <m/>
  </r>
  <r>
    <s v="2022-10-02 09:56 (-07)"/>
    <x v="571"/>
    <x v="1290"/>
    <x v="3"/>
    <s v="On Demand"/>
    <x v="1"/>
    <x v="5"/>
    <x v="1"/>
    <s v="Core"/>
    <x v="115"/>
    <x v="1672"/>
    <m/>
    <m/>
    <m/>
    <m/>
    <m/>
    <m/>
    <n v="108"/>
    <n v="113.37"/>
    <m/>
    <m/>
  </r>
  <r>
    <s v="2022-10-02 10:20 (-07)"/>
    <x v="571"/>
    <x v="1291"/>
    <x v="3"/>
    <s v="On Demand"/>
    <x v="8"/>
    <x v="1"/>
    <x v="2"/>
    <s v="Full Body Stretch"/>
    <x v="456"/>
    <x v="262"/>
    <m/>
    <m/>
    <m/>
    <m/>
    <m/>
    <m/>
    <n v="33"/>
    <n v="95.75"/>
    <m/>
    <m/>
  </r>
  <r>
    <s v="2022-10-02 22:45 (PST)"/>
    <x v="571"/>
    <x v="676"/>
    <x v="3"/>
    <s v="On Demand"/>
    <x v="19"/>
    <x v="1"/>
    <x v="5"/>
    <s v="Emotions"/>
    <x v="151"/>
    <x v="1673"/>
    <m/>
    <m/>
    <m/>
    <m/>
    <m/>
    <m/>
    <m/>
    <m/>
    <m/>
    <m/>
  </r>
  <r>
    <s v="2022-10-09 02:43 (PST)"/>
    <x v="572"/>
    <x v="642"/>
    <x v="3"/>
    <s v="On Demand"/>
    <x v="13"/>
    <x v="2"/>
    <x v="5"/>
    <s v="Sleep"/>
    <x v="31"/>
    <x v="1342"/>
    <m/>
    <m/>
    <m/>
    <m/>
    <m/>
    <m/>
    <m/>
    <m/>
    <m/>
    <m/>
  </r>
  <r>
    <s v="2022-10-09 22:33 (PST)"/>
    <x v="572"/>
    <x v="232"/>
    <x v="3"/>
    <s v="On Demand"/>
    <x v="19"/>
    <x v="1"/>
    <x v="5"/>
    <s v="Emotions"/>
    <x v="44"/>
    <x v="1674"/>
    <m/>
    <m/>
    <m/>
    <m/>
    <m/>
    <m/>
    <m/>
    <m/>
    <m/>
    <m/>
  </r>
  <r>
    <s v="2022-10-16 09:45 (PST)"/>
    <x v="573"/>
    <x v="852"/>
    <x v="3"/>
    <s v="On Demand"/>
    <x v="15"/>
    <x v="0"/>
    <x v="6"/>
    <s v="Music Walk"/>
    <x v="457"/>
    <x v="1675"/>
    <n v="0"/>
    <m/>
    <m/>
    <m/>
    <n v="3.42"/>
    <n v="2.58"/>
    <n v="257"/>
    <n v="117.93"/>
    <m/>
    <m/>
  </r>
  <r>
    <s v="2022-10-16 10:31 (PST)"/>
    <x v="573"/>
    <x v="1292"/>
    <x v="3"/>
    <m/>
    <x v="34"/>
    <x v="21"/>
    <x v="6"/>
    <m/>
    <x v="458"/>
    <x v="231"/>
    <n v="0"/>
    <m/>
    <m/>
    <m/>
    <n v="2.86"/>
    <n v="0.16"/>
    <n v="16"/>
    <n v="145.97999999999999"/>
    <m/>
    <m/>
  </r>
  <r>
    <s v="2022-10-16 20:27 (PST)"/>
    <x v="573"/>
    <x v="1293"/>
    <x v="3"/>
    <s v="On Demand"/>
    <x v="13"/>
    <x v="0"/>
    <x v="4"/>
    <s v="Flow"/>
    <x v="14"/>
    <x v="1676"/>
    <m/>
    <m/>
    <m/>
    <m/>
    <m/>
    <m/>
    <n v="138"/>
    <m/>
    <m/>
    <m/>
  </r>
  <r>
    <s v="2022-10-16 22:10 (PST)"/>
    <x v="573"/>
    <x v="620"/>
    <x v="3"/>
    <s v="On Demand"/>
    <x v="19"/>
    <x v="7"/>
    <x v="5"/>
    <s v="Emotions"/>
    <x v="250"/>
    <x v="1677"/>
    <m/>
    <m/>
    <m/>
    <m/>
    <m/>
    <m/>
    <m/>
    <m/>
    <m/>
    <m/>
  </r>
  <r>
    <s v="2022-10-23 22:27 (PST)"/>
    <x v="574"/>
    <x v="448"/>
    <x v="3"/>
    <s v="On Demand"/>
    <x v="19"/>
    <x v="1"/>
    <x v="5"/>
    <s v="Emotions"/>
    <x v="15"/>
    <x v="1678"/>
    <m/>
    <m/>
    <m/>
    <m/>
    <m/>
    <m/>
    <m/>
    <m/>
    <m/>
    <m/>
  </r>
  <r>
    <s v="2022-10-30 09:49 (GMT)"/>
    <x v="575"/>
    <x v="1294"/>
    <x v="3"/>
    <s v="On Demand"/>
    <x v="7"/>
    <x v="0"/>
    <x v="4"/>
    <s v="Flow"/>
    <x v="14"/>
    <x v="1679"/>
    <m/>
    <m/>
    <m/>
    <m/>
    <m/>
    <m/>
    <n v="183"/>
    <n v="100.55"/>
    <m/>
    <m/>
  </r>
  <r>
    <s v="2022-10-30 22:29 (GMT)"/>
    <x v="575"/>
    <x v="1295"/>
    <x v="3"/>
    <s v="On Demand"/>
    <x v="25"/>
    <x v="7"/>
    <x v="5"/>
    <s v="Relaxation"/>
    <x v="199"/>
    <x v="1680"/>
    <m/>
    <m/>
    <m/>
    <m/>
    <m/>
    <m/>
    <m/>
    <m/>
    <m/>
    <m/>
  </r>
  <r>
    <s v="2022-11-06 00:04 (GMT)"/>
    <x v="576"/>
    <x v="1296"/>
    <x v="3"/>
    <s v="On Demand"/>
    <x v="13"/>
    <x v="1"/>
    <x v="5"/>
    <s v="Emotions"/>
    <x v="71"/>
    <x v="1681"/>
    <m/>
    <m/>
    <m/>
    <m/>
    <m/>
    <m/>
    <m/>
    <m/>
    <m/>
    <m/>
  </r>
  <r>
    <s v="2022-11-06 11:49 (GMT)"/>
    <x v="576"/>
    <x v="1297"/>
    <x v="3"/>
    <s v="On Demand"/>
    <x v="54"/>
    <x v="0"/>
    <x v="6"/>
    <s v="Music Walk"/>
    <x v="452"/>
    <x v="1682"/>
    <n v="0"/>
    <m/>
    <m/>
    <m/>
    <n v="3.04"/>
    <n v="2.2599999999999998"/>
    <n v="165"/>
    <m/>
    <m/>
    <m/>
  </r>
  <r>
    <s v="2022-11-06 16:38 (GMT)"/>
    <x v="576"/>
    <x v="1298"/>
    <x v="3"/>
    <s v="On Demand"/>
    <x v="20"/>
    <x v="1"/>
    <x v="1"/>
    <s v="Core"/>
    <x v="1"/>
    <x v="1683"/>
    <m/>
    <m/>
    <m/>
    <m/>
    <m/>
    <m/>
    <n v="56"/>
    <n v="115.63"/>
    <m/>
    <m/>
  </r>
  <r>
    <s v="2022-11-06 16:51 (GMT)"/>
    <x v="576"/>
    <x v="1299"/>
    <x v="3"/>
    <s v="On Demand"/>
    <x v="7"/>
    <x v="0"/>
    <x v="4"/>
    <s v="Slow Flow"/>
    <x v="33"/>
    <x v="1684"/>
    <m/>
    <m/>
    <m/>
    <m/>
    <m/>
    <m/>
    <n v="209"/>
    <n v="105.46"/>
    <m/>
    <m/>
  </r>
  <r>
    <s v="2022-11-20 17:55 (PST)"/>
    <x v="577"/>
    <x v="1300"/>
    <x v="3"/>
    <s v="On Demand"/>
    <x v="20"/>
    <x v="1"/>
    <x v="1"/>
    <s v="Core"/>
    <x v="1"/>
    <x v="1685"/>
    <m/>
    <m/>
    <m/>
    <m/>
    <m/>
    <m/>
    <n v="44"/>
    <m/>
    <m/>
    <m/>
  </r>
  <r>
    <s v="2022-11-20 18:08 (PST)"/>
    <x v="577"/>
    <x v="417"/>
    <x v="3"/>
    <s v="On Demand"/>
    <x v="7"/>
    <x v="0"/>
    <x v="4"/>
    <s v="Flow"/>
    <x v="414"/>
    <x v="1686"/>
    <m/>
    <m/>
    <m/>
    <m/>
    <m/>
    <m/>
    <n v="136"/>
    <m/>
    <m/>
    <m/>
  </r>
  <r>
    <s v="2022-11-20 21:08 (PST)"/>
    <x v="577"/>
    <x v="887"/>
    <x v="3"/>
    <s v="On Demand"/>
    <x v="25"/>
    <x v="1"/>
    <x v="5"/>
    <s v="Sleep"/>
    <x v="39"/>
    <x v="1687"/>
    <m/>
    <m/>
    <m/>
    <m/>
    <m/>
    <m/>
    <m/>
    <m/>
    <m/>
    <m/>
  </r>
  <r>
    <s v="2022-12-04 10:50 (PST)"/>
    <x v="578"/>
    <x v="1301"/>
    <x v="3"/>
    <s v="On Demand"/>
    <x v="20"/>
    <x v="5"/>
    <x v="6"/>
    <s v="Power Walk"/>
    <x v="110"/>
    <x v="1688"/>
    <n v="0"/>
    <m/>
    <m/>
    <m/>
    <n v="3.36"/>
    <n v="1.05"/>
    <n v="149"/>
    <n v="132.72999999999999"/>
    <m/>
    <m/>
  </r>
  <r>
    <s v="2022-12-04 11:10 (PST)"/>
    <x v="578"/>
    <x v="1302"/>
    <x v="3"/>
    <s v="On Demand"/>
    <x v="15"/>
    <x v="5"/>
    <x v="6"/>
    <s v="Music Walk"/>
    <x v="450"/>
    <x v="1689"/>
    <n v="0"/>
    <m/>
    <m/>
    <m/>
    <n v="3.41"/>
    <n v="1.1299999999999999"/>
    <n v="73"/>
    <m/>
    <m/>
    <m/>
  </r>
  <r>
    <s v="2022-12-04 23:11 (PST)"/>
    <x v="578"/>
    <x v="985"/>
    <x v="3"/>
    <s v="On Demand"/>
    <x v="19"/>
    <x v="7"/>
    <x v="5"/>
    <s v="Relaxation"/>
    <x v="94"/>
    <x v="1690"/>
    <m/>
    <m/>
    <m/>
    <m/>
    <m/>
    <m/>
    <m/>
    <m/>
    <m/>
    <m/>
  </r>
  <r>
    <s v="2022-12-11 16:25 (-05)"/>
    <x v="579"/>
    <x v="1303"/>
    <x v="3"/>
    <s v="On Demand"/>
    <x v="6"/>
    <x v="2"/>
    <x v="0"/>
    <s v="Power Zone"/>
    <x v="5"/>
    <x v="1691"/>
    <n v="162"/>
    <n v="90"/>
    <n v="0.35"/>
    <n v="85"/>
    <n v="15.31"/>
    <n v="7.66"/>
    <n v="344"/>
    <n v="165.01"/>
    <m/>
    <m/>
  </r>
  <r>
    <s v="2022-12-11 16:57 (-05)"/>
    <x v="579"/>
    <x v="1304"/>
    <x v="3"/>
    <s v="On Demand"/>
    <x v="7"/>
    <x v="7"/>
    <x v="0"/>
    <s v="Low Impact"/>
    <x v="249"/>
    <x v="1692"/>
    <n v="55"/>
    <n v="61"/>
    <n v="0.3"/>
    <n v="83"/>
    <n v="13.01"/>
    <n v="3.25"/>
    <n v="136"/>
    <n v="144.99"/>
    <m/>
    <m/>
  </r>
  <r>
    <s v="2022-12-11 17:14 (-05)"/>
    <x v="579"/>
    <x v="1305"/>
    <x v="3"/>
    <s v="On Demand"/>
    <x v="29"/>
    <x v="1"/>
    <x v="1"/>
    <s v="Arms &amp; Light Weights"/>
    <x v="28"/>
    <x v="1693"/>
    <m/>
    <m/>
    <m/>
    <m/>
    <m/>
    <m/>
    <n v="65"/>
    <n v="119.2"/>
    <m/>
    <m/>
  </r>
  <r>
    <s v="2022-12-11 17:29 (EST)"/>
    <x v="579"/>
    <x v="1306"/>
    <x v="3"/>
    <s v="On Demand"/>
    <x v="1"/>
    <x v="1"/>
    <x v="1"/>
    <s v="Core"/>
    <x v="1"/>
    <x v="1694"/>
    <m/>
    <m/>
    <m/>
    <m/>
    <m/>
    <m/>
    <n v="47"/>
    <n v="106.84"/>
    <m/>
    <m/>
  </r>
  <r>
    <s v="2022-12-11 22:46 (EST)"/>
    <x v="579"/>
    <x v="1307"/>
    <x v="3"/>
    <s v="On Demand"/>
    <x v="16"/>
    <x v="1"/>
    <x v="5"/>
    <s v="Relaxation"/>
    <x v="71"/>
    <x v="1695"/>
    <m/>
    <m/>
    <m/>
    <m/>
    <m/>
    <m/>
    <m/>
    <m/>
    <m/>
    <m/>
  </r>
  <r>
    <s v="2022-12-18 05:04 (EST)"/>
    <x v="580"/>
    <x v="1308"/>
    <x v="3"/>
    <s v="On Demand"/>
    <x v="16"/>
    <x v="1"/>
    <x v="5"/>
    <s v="Theme"/>
    <x v="68"/>
    <x v="1696"/>
    <m/>
    <m/>
    <m/>
    <m/>
    <m/>
    <m/>
    <m/>
    <m/>
    <m/>
    <m/>
  </r>
  <r>
    <s v="2022-12-18 05:17 (EST)"/>
    <x v="580"/>
    <x v="1309"/>
    <x v="3"/>
    <s v="On Demand"/>
    <x v="23"/>
    <x v="3"/>
    <x v="5"/>
    <s v="Emotions"/>
    <x v="202"/>
    <x v="1697"/>
    <m/>
    <m/>
    <m/>
    <m/>
    <m/>
    <m/>
    <m/>
    <m/>
    <m/>
    <m/>
  </r>
  <r>
    <s v="2022-12-18 09:17 (EST)"/>
    <x v="580"/>
    <x v="1310"/>
    <x v="3"/>
    <s v="On Demand"/>
    <x v="16"/>
    <x v="0"/>
    <x v="4"/>
    <s v="Slow Flow"/>
    <x v="33"/>
    <x v="1698"/>
    <m/>
    <m/>
    <m/>
    <m/>
    <m/>
    <m/>
    <n v="134"/>
    <n v="84.87"/>
    <m/>
    <m/>
  </r>
  <r>
    <s v="2022-12-18 22:34 (EST)"/>
    <x v="580"/>
    <x v="1311"/>
    <x v="3"/>
    <s v="On Demand"/>
    <x v="23"/>
    <x v="1"/>
    <x v="5"/>
    <s v="Relaxation"/>
    <x v="34"/>
    <x v="1699"/>
    <m/>
    <m/>
    <m/>
    <m/>
    <m/>
    <m/>
    <m/>
    <m/>
    <m/>
    <m/>
  </r>
  <r>
    <s v="2022-12-25 22:34 (PST)"/>
    <x v="581"/>
    <x v="596"/>
    <x v="3"/>
    <s v="On Demand"/>
    <x v="16"/>
    <x v="1"/>
    <x v="5"/>
    <s v="Theme"/>
    <x v="68"/>
    <x v="1700"/>
    <m/>
    <m/>
    <m/>
    <m/>
    <m/>
    <m/>
    <m/>
    <m/>
    <m/>
    <m/>
  </r>
  <r>
    <s v="2023-01-01 01:01 (PST)"/>
    <x v="582"/>
    <x v="1312"/>
    <x v="3"/>
    <s v="On Demand"/>
    <x v="19"/>
    <x v="1"/>
    <x v="5"/>
    <s v="Theme"/>
    <x v="321"/>
    <x v="1701"/>
    <m/>
    <m/>
    <m/>
    <m/>
    <m/>
    <m/>
    <m/>
    <m/>
    <m/>
    <m/>
  </r>
  <r>
    <s v="2023-01-01 22:05 (PST)"/>
    <x v="582"/>
    <x v="655"/>
    <x v="3"/>
    <s v="On Demand"/>
    <x v="19"/>
    <x v="1"/>
    <x v="5"/>
    <s v="Emotions"/>
    <x v="46"/>
    <x v="1702"/>
    <m/>
    <m/>
    <m/>
    <m/>
    <m/>
    <m/>
    <m/>
    <m/>
    <m/>
    <m/>
  </r>
  <r>
    <s v="2023-01-08 11:04 (-08)"/>
    <x v="583"/>
    <x v="1313"/>
    <x v="3"/>
    <s v="On Demand"/>
    <x v="6"/>
    <x v="7"/>
    <x v="0"/>
    <s v="Power Zone"/>
    <x v="87"/>
    <x v="177"/>
    <n v="79"/>
    <n v="88"/>
    <n v="0.33"/>
    <n v="90"/>
    <n v="15.01"/>
    <n v="3.75"/>
    <n v="128"/>
    <n v="139.9"/>
    <m/>
    <m/>
  </r>
  <r>
    <s v="2023-01-08 11:38 (-08)"/>
    <x v="583"/>
    <x v="1314"/>
    <x v="3"/>
    <s v="On Demand"/>
    <x v="1"/>
    <x v="7"/>
    <x v="0"/>
    <s v="Low Impact"/>
    <x v="249"/>
    <x v="1703"/>
    <n v="61"/>
    <n v="67"/>
    <n v="0.3"/>
    <n v="88"/>
    <n v="13.67"/>
    <n v="3.42"/>
    <n v="125"/>
    <n v="138.01"/>
    <m/>
    <m/>
  </r>
  <r>
    <s v="2023-01-08 11:58 (-08)"/>
    <x v="583"/>
    <x v="1315"/>
    <x v="3"/>
    <s v="On Demand"/>
    <x v="20"/>
    <x v="3"/>
    <x v="1"/>
    <s v="Core"/>
    <x v="6"/>
    <x v="1704"/>
    <m/>
    <m/>
    <m/>
    <m/>
    <m/>
    <m/>
    <n v="18"/>
    <n v="87.04"/>
    <m/>
    <m/>
  </r>
  <r>
    <s v="2023-01-08 22:45 (PST)"/>
    <x v="583"/>
    <x v="676"/>
    <x v="3"/>
    <s v="On Demand"/>
    <x v="16"/>
    <x v="1"/>
    <x v="5"/>
    <s v="Mindfulness"/>
    <x v="92"/>
    <x v="1705"/>
    <m/>
    <m/>
    <m/>
    <m/>
    <m/>
    <m/>
    <m/>
    <m/>
    <m/>
    <m/>
  </r>
  <r>
    <s v="2023-01-15 00:27 (PST)"/>
    <x v="584"/>
    <x v="473"/>
    <x v="3"/>
    <s v="On Demand"/>
    <x v="32"/>
    <x v="1"/>
    <x v="5"/>
    <s v="Relaxation"/>
    <x v="71"/>
    <x v="1706"/>
    <m/>
    <m/>
    <m/>
    <m/>
    <m/>
    <m/>
    <m/>
    <m/>
    <m/>
    <m/>
  </r>
  <r>
    <s v="2023-01-15 21:49 (PST)"/>
    <x v="584"/>
    <x v="227"/>
    <x v="3"/>
    <s v="On Demand"/>
    <x v="28"/>
    <x v="7"/>
    <x v="5"/>
    <s v="Relaxation"/>
    <x v="94"/>
    <x v="1707"/>
    <m/>
    <m/>
    <m/>
    <m/>
    <m/>
    <m/>
    <m/>
    <m/>
    <m/>
    <m/>
  </r>
  <r>
    <s v="2023-01-22 21:26 (PST)"/>
    <x v="585"/>
    <x v="492"/>
    <x v="3"/>
    <s v="On Demand"/>
    <x v="13"/>
    <x v="1"/>
    <x v="5"/>
    <s v="Emotions"/>
    <x v="147"/>
    <x v="1708"/>
    <m/>
    <m/>
    <m/>
    <m/>
    <m/>
    <m/>
    <m/>
    <m/>
    <m/>
    <m/>
  </r>
  <r>
    <s v="2023-01-29 03:43 (EST)"/>
    <x v="586"/>
    <x v="1316"/>
    <x v="3"/>
    <s v="On Demand"/>
    <x v="19"/>
    <x v="1"/>
    <x v="5"/>
    <s v="Relaxation"/>
    <x v="71"/>
    <x v="1709"/>
    <m/>
    <m/>
    <m/>
    <m/>
    <m/>
    <m/>
    <m/>
    <m/>
    <m/>
    <m/>
  </r>
  <r>
    <s v="2023-01-29 12:57 (-05)"/>
    <x v="586"/>
    <x v="1317"/>
    <x v="3"/>
    <s v="On Demand"/>
    <x v="6"/>
    <x v="4"/>
    <x v="0"/>
    <s v="Power Zone"/>
    <x v="7"/>
    <x v="1710"/>
    <n v="278"/>
    <n v="77"/>
    <n v="0.32"/>
    <n v="88"/>
    <n v="14.45"/>
    <n v="14.45"/>
    <n v="628"/>
    <n v="156.51"/>
    <m/>
    <m/>
  </r>
  <r>
    <s v="2023-01-29 13:57 (-05)"/>
    <x v="586"/>
    <x v="1318"/>
    <x v="3"/>
    <s v="On Demand"/>
    <x v="6"/>
    <x v="3"/>
    <x v="2"/>
    <s v="Pre &amp; Post-Ride Stretch"/>
    <x v="135"/>
    <x v="1711"/>
    <m/>
    <m/>
    <m/>
    <m/>
    <m/>
    <m/>
    <n v="25"/>
    <n v="116.61"/>
    <m/>
    <m/>
  </r>
  <r>
    <s v="2023-02-05 13:20 (-05)"/>
    <x v="587"/>
    <x v="1319"/>
    <x v="3"/>
    <s v="On Demand"/>
    <x v="6"/>
    <x v="6"/>
    <x v="0"/>
    <s v="Power Zone"/>
    <x v="20"/>
    <x v="1712"/>
    <n v="310"/>
    <n v="69"/>
    <n v="0.32"/>
    <n v="83"/>
    <n v="13.71"/>
    <n v="17.14"/>
    <n v="771"/>
    <n v="160.53"/>
    <m/>
    <m/>
  </r>
  <r>
    <s v="2023-02-05 14:36 (-05)"/>
    <x v="587"/>
    <x v="1320"/>
    <x v="3"/>
    <s v="On Demand"/>
    <x v="6"/>
    <x v="3"/>
    <x v="2"/>
    <s v="Pre &amp; Post-Ride Stretch"/>
    <x v="8"/>
    <x v="295"/>
    <m/>
    <m/>
    <m/>
    <m/>
    <m/>
    <m/>
    <n v="23"/>
    <n v="115.84"/>
    <m/>
    <m/>
  </r>
  <r>
    <s v="2023-02-12 09:46 (PST)"/>
    <x v="588"/>
    <x v="1207"/>
    <x v="3"/>
    <s v="On Demand"/>
    <x v="13"/>
    <x v="0"/>
    <x v="4"/>
    <s v="Flow"/>
    <x v="459"/>
    <x v="1713"/>
    <m/>
    <m/>
    <m/>
    <m/>
    <m/>
    <m/>
    <n v="134"/>
    <m/>
    <m/>
    <m/>
  </r>
  <r>
    <s v="2023-02-12 12:06 (-08)"/>
    <x v="588"/>
    <x v="167"/>
    <x v="3"/>
    <s v="On Demand"/>
    <x v="6"/>
    <x v="4"/>
    <x v="0"/>
    <s v="Power Zone"/>
    <x v="7"/>
    <x v="23"/>
    <n v="350"/>
    <n v="97"/>
    <n v="0.37"/>
    <n v="84"/>
    <n v="15.94"/>
    <n v="15.94"/>
    <n v="597"/>
    <n v="157.79"/>
    <m/>
    <m/>
  </r>
  <r>
    <s v="2023-02-12 13:11 (-08)"/>
    <x v="588"/>
    <x v="1321"/>
    <x v="3"/>
    <s v="On Demand"/>
    <x v="18"/>
    <x v="3"/>
    <x v="2"/>
    <s v="Pre &amp; Post-Ride Stretch"/>
    <x v="8"/>
    <x v="1714"/>
    <m/>
    <m/>
    <m/>
    <m/>
    <m/>
    <m/>
    <n v="19"/>
    <n v="101.6"/>
    <m/>
    <m/>
  </r>
  <r>
    <s v="2023-02-12 17:00 (PST)"/>
    <x v="588"/>
    <x v="1322"/>
    <x v="3"/>
    <m/>
    <x v="34"/>
    <x v="22"/>
    <x v="6"/>
    <m/>
    <x v="460"/>
    <x v="231"/>
    <n v="0"/>
    <m/>
    <m/>
    <m/>
    <n v="3.29"/>
    <n v="2.06"/>
    <n v="289"/>
    <n v="136.76"/>
    <m/>
    <m/>
  </r>
  <r>
    <s v="2023-02-12 22:04 (PST)"/>
    <x v="588"/>
    <x v="529"/>
    <x v="3"/>
    <s v="On Demand"/>
    <x v="23"/>
    <x v="3"/>
    <x v="5"/>
    <s v="Relaxation"/>
    <x v="221"/>
    <x v="1715"/>
    <m/>
    <m/>
    <m/>
    <m/>
    <m/>
    <m/>
    <m/>
    <m/>
    <m/>
    <m/>
  </r>
  <r>
    <s v="2023-02-19 11:05 (PST)"/>
    <x v="589"/>
    <x v="825"/>
    <x v="3"/>
    <m/>
    <x v="34"/>
    <x v="14"/>
    <x v="6"/>
    <m/>
    <x v="461"/>
    <x v="231"/>
    <n v="0"/>
    <m/>
    <m/>
    <m/>
    <n v="3.32"/>
    <n v="2.12"/>
    <n v="222"/>
    <n v="115.99"/>
    <m/>
    <m/>
  </r>
  <r>
    <s v="2023-02-19 14:08 (-08)"/>
    <x v="589"/>
    <x v="1323"/>
    <x v="3"/>
    <s v="On Demand"/>
    <x v="7"/>
    <x v="2"/>
    <x v="0"/>
    <s v="Power Zone"/>
    <x v="196"/>
    <x v="630"/>
    <n v="177"/>
    <n v="98"/>
    <n v="0.36"/>
    <n v="86"/>
    <n v="15.93"/>
    <n v="7.97"/>
    <n v="278"/>
    <n v="146.19"/>
    <m/>
    <m/>
  </r>
  <r>
    <s v="2023-02-19 14:42 (-08)"/>
    <x v="589"/>
    <x v="1324"/>
    <x v="3"/>
    <s v="On Demand"/>
    <x v="17"/>
    <x v="1"/>
    <x v="1"/>
    <s v="Arms &amp; Light Weights"/>
    <x v="28"/>
    <x v="1716"/>
    <m/>
    <m/>
    <m/>
    <m/>
    <m/>
    <m/>
    <n v="52"/>
    <n v="110.7"/>
    <m/>
    <m/>
  </r>
  <r>
    <s v="2023-02-19 15:19 (PST)"/>
    <x v="589"/>
    <x v="1325"/>
    <x v="3"/>
    <s v="On Demand"/>
    <x v="7"/>
    <x v="2"/>
    <x v="4"/>
    <s v="Flow"/>
    <x v="462"/>
    <x v="1717"/>
    <m/>
    <m/>
    <m/>
    <m/>
    <m/>
    <m/>
    <n v="92"/>
    <m/>
    <m/>
    <m/>
  </r>
  <r>
    <s v="2023-02-19 21:51 (PST)"/>
    <x v="589"/>
    <x v="1093"/>
    <x v="3"/>
    <s v="On Demand"/>
    <x v="28"/>
    <x v="1"/>
    <x v="5"/>
    <s v="Emotions"/>
    <x v="44"/>
    <x v="1718"/>
    <m/>
    <m/>
    <m/>
    <m/>
    <m/>
    <m/>
    <m/>
    <m/>
    <m/>
    <m/>
  </r>
  <r>
    <s v="2023-02-26 18:48 (-08)"/>
    <x v="590"/>
    <x v="1326"/>
    <x v="3"/>
    <s v="On Demand"/>
    <x v="7"/>
    <x v="0"/>
    <x v="0"/>
    <s v="Power Zone"/>
    <x v="27"/>
    <x v="1719"/>
    <n v="264"/>
    <n v="98"/>
    <n v="0.36"/>
    <n v="85"/>
    <n v="15.94"/>
    <n v="11.95"/>
    <n v="427"/>
    <n v="148.02000000000001"/>
    <m/>
    <m/>
  </r>
  <r>
    <s v="2023-02-26 19:38 (-08)"/>
    <x v="590"/>
    <x v="142"/>
    <x v="3"/>
    <s v="On Demand"/>
    <x v="18"/>
    <x v="3"/>
    <x v="2"/>
    <s v="Pre &amp; Post-Ride Stretch"/>
    <x v="8"/>
    <x v="1714"/>
    <m/>
    <m/>
    <m/>
    <m/>
    <m/>
    <m/>
    <n v="20"/>
    <n v="101.05"/>
    <m/>
    <m/>
  </r>
  <r>
    <s v="2023-02-26 22:19 (PST)"/>
    <x v="590"/>
    <x v="814"/>
    <x v="3"/>
    <s v="On Demand"/>
    <x v="23"/>
    <x v="1"/>
    <x v="5"/>
    <s v="Theme"/>
    <x v="463"/>
    <x v="1720"/>
    <m/>
    <m/>
    <m/>
    <m/>
    <m/>
    <m/>
    <m/>
    <m/>
    <m/>
    <m/>
  </r>
  <r>
    <s v="2023-03-05 22:31 (PST)"/>
    <x v="591"/>
    <x v="243"/>
    <x v="3"/>
    <s v="On Demand"/>
    <x v="19"/>
    <x v="1"/>
    <x v="5"/>
    <s v="Emotions"/>
    <x v="15"/>
    <x v="1721"/>
    <m/>
    <m/>
    <m/>
    <m/>
    <m/>
    <m/>
    <m/>
    <m/>
    <m/>
    <m/>
  </r>
  <r>
    <s v="2023-03-12 22:51 (PST)"/>
    <x v="592"/>
    <x v="313"/>
    <x v="3"/>
    <s v="On Demand"/>
    <x v="19"/>
    <x v="1"/>
    <x v="5"/>
    <s v="Relaxation"/>
    <x v="71"/>
    <x v="1722"/>
    <m/>
    <m/>
    <m/>
    <m/>
    <m/>
    <m/>
    <m/>
    <m/>
    <m/>
    <m/>
  </r>
  <r>
    <s v="2023-03-19 14:53 (-07)"/>
    <x v="593"/>
    <x v="930"/>
    <x v="3"/>
    <s v="On Demand"/>
    <x v="31"/>
    <x v="1"/>
    <x v="1"/>
    <s v="Core"/>
    <x v="1"/>
    <x v="338"/>
    <m/>
    <m/>
    <m/>
    <m/>
    <m/>
    <m/>
    <n v="47"/>
    <n v="105.68"/>
    <m/>
    <m/>
  </r>
  <r>
    <s v="2023-03-19 15:06 (-07)"/>
    <x v="593"/>
    <x v="1327"/>
    <x v="3"/>
    <s v="On Demand"/>
    <x v="20"/>
    <x v="5"/>
    <x v="1"/>
    <s v="Upper Body"/>
    <x v="141"/>
    <x v="1723"/>
    <m/>
    <m/>
    <m/>
    <m/>
    <m/>
    <m/>
    <n v="123"/>
    <n v="119.79"/>
    <m/>
    <m/>
  </r>
  <r>
    <s v="2023-03-19 15:34 (-07)"/>
    <x v="593"/>
    <x v="749"/>
    <x v="3"/>
    <s v="On Demand"/>
    <x v="4"/>
    <x v="2"/>
    <x v="0"/>
    <s v="Power Zone"/>
    <x v="97"/>
    <x v="1724"/>
    <n v="199"/>
    <n v="110"/>
    <n v="0.38"/>
    <n v="85"/>
    <n v="16.760000000000002"/>
    <n v="8.3800000000000008"/>
    <n v="302"/>
    <n v="153.01"/>
    <m/>
    <m/>
  </r>
  <r>
    <s v="2023-03-19 16:05 (-07)"/>
    <x v="593"/>
    <x v="1328"/>
    <x v="3"/>
    <s v="On Demand"/>
    <x v="36"/>
    <x v="3"/>
    <x v="0"/>
    <s v="Cool Down"/>
    <x v="10"/>
    <x v="1725"/>
    <n v="22"/>
    <n v="73"/>
    <n v="0.33"/>
    <n v="80"/>
    <n v="14.09"/>
    <n v="1.17"/>
    <n v="41"/>
    <n v="136.61000000000001"/>
    <m/>
    <m/>
  </r>
  <r>
    <s v="2023-03-19 16:11 (-07)"/>
    <x v="593"/>
    <x v="1329"/>
    <x v="3"/>
    <s v="On Demand"/>
    <x v="36"/>
    <x v="3"/>
    <x v="2"/>
    <s v="Pre &amp; Post-Ride Stretch"/>
    <x v="8"/>
    <x v="1726"/>
    <m/>
    <m/>
    <m/>
    <m/>
    <m/>
    <m/>
    <n v="27"/>
    <n v="113.27"/>
    <m/>
    <m/>
  </r>
  <r>
    <s v="2023-03-19 22:06 (PST)"/>
    <x v="593"/>
    <x v="355"/>
    <x v="3"/>
    <s v="On Demand"/>
    <x v="19"/>
    <x v="7"/>
    <x v="5"/>
    <s v="Sleep"/>
    <x v="65"/>
    <x v="884"/>
    <m/>
    <m/>
    <m/>
    <m/>
    <m/>
    <m/>
    <m/>
    <m/>
    <m/>
    <m/>
  </r>
  <r>
    <s v="2023-04-02 21:18 (PST)"/>
    <x v="594"/>
    <x v="1116"/>
    <x v="3"/>
    <s v="On Demand"/>
    <x v="19"/>
    <x v="1"/>
    <x v="5"/>
    <s v="Emotions"/>
    <x v="46"/>
    <x v="1727"/>
    <m/>
    <m/>
    <m/>
    <m/>
    <m/>
    <m/>
    <m/>
    <m/>
    <m/>
    <m/>
  </r>
  <r>
    <s v="2023-04-09 10:37 (-07)"/>
    <x v="595"/>
    <x v="1330"/>
    <x v="3"/>
    <s v="On Demand"/>
    <x v="37"/>
    <x v="0"/>
    <x v="9"/>
    <s v="Body Focus"/>
    <x v="12"/>
    <x v="1728"/>
    <n v="138"/>
    <m/>
    <m/>
    <m/>
    <n v="2.94"/>
    <n v="3.03"/>
    <n v="415"/>
    <n v="146.74"/>
    <m/>
    <m/>
  </r>
  <r>
    <s v="2023-04-09 11:24 (-07)"/>
    <x v="595"/>
    <x v="1331"/>
    <x v="3"/>
    <s v="On Demand"/>
    <x v="37"/>
    <x v="3"/>
    <x v="7"/>
    <s v="Warm Up/Cool Down"/>
    <x v="302"/>
    <x v="1729"/>
    <n v="13"/>
    <m/>
    <m/>
    <m/>
    <n v="2.4"/>
    <n v="0.45"/>
    <n v="35"/>
    <n v="126.19"/>
    <m/>
    <m/>
  </r>
  <r>
    <s v="2023-04-09 11:35 (-07)"/>
    <x v="595"/>
    <x v="1332"/>
    <x v="3"/>
    <s v="On Demand"/>
    <x v="31"/>
    <x v="1"/>
    <x v="1"/>
    <s v="Core"/>
    <x v="1"/>
    <x v="1730"/>
    <m/>
    <m/>
    <m/>
    <m/>
    <m/>
    <m/>
    <n v="45"/>
    <n v="104.25"/>
    <m/>
    <m/>
  </r>
  <r>
    <s v="2023-04-09 22:29 (PST)"/>
    <x v="595"/>
    <x v="639"/>
    <x v="3"/>
    <s v="On Demand"/>
    <x v="16"/>
    <x v="1"/>
    <x v="5"/>
    <s v="Breath"/>
    <x v="154"/>
    <x v="1731"/>
    <m/>
    <m/>
    <m/>
    <m/>
    <m/>
    <m/>
    <m/>
    <m/>
    <m/>
    <m/>
  </r>
  <r>
    <s v="2023-04-16 00:04 (PST)"/>
    <x v="596"/>
    <x v="1333"/>
    <x v="3"/>
    <s v="On Demand"/>
    <x v="16"/>
    <x v="1"/>
    <x v="5"/>
    <s v="Emotions"/>
    <x v="109"/>
    <x v="1732"/>
    <m/>
    <m/>
    <m/>
    <m/>
    <m/>
    <m/>
    <m/>
    <m/>
    <m/>
    <m/>
  </r>
  <r>
    <s v="2023-04-16 16:17 (-07)"/>
    <x v="596"/>
    <x v="1334"/>
    <x v="3"/>
    <s v="On Demand"/>
    <x v="6"/>
    <x v="4"/>
    <x v="0"/>
    <s v="Power Zone"/>
    <x v="7"/>
    <x v="88"/>
    <n v="400"/>
    <n v="111"/>
    <n v="0.38"/>
    <n v="85"/>
    <n v="16.829999999999998"/>
    <n v="16.829999999999998"/>
    <n v="615"/>
    <n v="154.5"/>
    <m/>
    <m/>
  </r>
  <r>
    <s v="2023-04-16 17:18 (-07)"/>
    <x v="596"/>
    <x v="205"/>
    <x v="3"/>
    <s v="On Demand"/>
    <x v="6"/>
    <x v="3"/>
    <x v="2"/>
    <s v="Pre &amp; Post-Ride Stretch"/>
    <x v="8"/>
    <x v="1733"/>
    <m/>
    <m/>
    <m/>
    <m/>
    <m/>
    <m/>
    <n v="30"/>
    <n v="118.57"/>
    <m/>
    <m/>
  </r>
  <r>
    <s v="2023-04-16 22:38 (PST)"/>
    <x v="596"/>
    <x v="101"/>
    <x v="3"/>
    <s v="On Demand"/>
    <x v="19"/>
    <x v="1"/>
    <x v="5"/>
    <s v="Emotions"/>
    <x v="60"/>
    <x v="1734"/>
    <m/>
    <m/>
    <m/>
    <m/>
    <m/>
    <m/>
    <m/>
    <m/>
    <m/>
    <m/>
  </r>
  <r>
    <s v="2023-04-23 10:16 (PST)"/>
    <x v="597"/>
    <x v="1335"/>
    <x v="3"/>
    <s v="On Demand"/>
    <x v="7"/>
    <x v="0"/>
    <x v="4"/>
    <s v="Flow"/>
    <x v="14"/>
    <x v="1735"/>
    <m/>
    <m/>
    <m/>
    <m/>
    <m/>
    <m/>
    <n v="143"/>
    <m/>
    <m/>
    <m/>
  </r>
  <r>
    <s v="2023-04-23 14:35 (-07)"/>
    <x v="597"/>
    <x v="1336"/>
    <x v="3"/>
    <s v="On Demand"/>
    <x v="6"/>
    <x v="4"/>
    <x v="0"/>
    <s v="Power Zone"/>
    <x v="7"/>
    <x v="1736"/>
    <n v="409"/>
    <n v="114"/>
    <n v="0.39"/>
    <n v="85"/>
    <n v="17.010000000000002"/>
    <n v="17.010000000000002"/>
    <n v="643"/>
    <n v="158.79"/>
    <m/>
    <m/>
  </r>
  <r>
    <s v="2023-04-23 15:39 (-07)"/>
    <x v="597"/>
    <x v="1337"/>
    <x v="3"/>
    <s v="On Demand"/>
    <x v="6"/>
    <x v="3"/>
    <x v="2"/>
    <s v="Pre &amp; Post-Ride Stretch"/>
    <x v="8"/>
    <x v="1737"/>
    <m/>
    <m/>
    <m/>
    <m/>
    <m/>
    <m/>
    <n v="12"/>
    <m/>
    <m/>
    <m/>
  </r>
  <r>
    <s v="2023-04-23 22:37 (PST)"/>
    <x v="597"/>
    <x v="247"/>
    <x v="3"/>
    <s v="On Demand"/>
    <x v="13"/>
    <x v="1"/>
    <x v="5"/>
    <s v="Emotions"/>
    <x v="464"/>
    <x v="1738"/>
    <m/>
    <m/>
    <m/>
    <m/>
    <m/>
    <m/>
    <m/>
    <m/>
    <m/>
    <m/>
  </r>
  <r>
    <s v="2023-04-30 15:59 (-07)"/>
    <x v="598"/>
    <x v="618"/>
    <x v="3"/>
    <s v="On Demand"/>
    <x v="4"/>
    <x v="0"/>
    <x v="0"/>
    <s v="Power Zone"/>
    <x v="222"/>
    <x v="1739"/>
    <n v="297"/>
    <n v="110"/>
    <n v="0.38"/>
    <n v="84"/>
    <n v="16.77"/>
    <n v="12.58"/>
    <n v="436"/>
    <n v="149.94"/>
    <m/>
    <m/>
  </r>
  <r>
    <s v="2023-04-30 16:45 (-07)"/>
    <x v="598"/>
    <x v="237"/>
    <x v="3"/>
    <s v="On Demand"/>
    <x v="6"/>
    <x v="2"/>
    <x v="0"/>
    <s v="Power Zone"/>
    <x v="5"/>
    <x v="1740"/>
    <n v="208"/>
    <n v="115"/>
    <n v="0.4"/>
    <n v="81"/>
    <n v="17.14"/>
    <n v="8.57"/>
    <n v="292"/>
    <n v="150.12"/>
    <m/>
    <m/>
  </r>
  <r>
    <s v="2023-04-30 17:19 (-07)"/>
    <x v="598"/>
    <x v="440"/>
    <x v="3"/>
    <s v="On Demand"/>
    <x v="4"/>
    <x v="1"/>
    <x v="1"/>
    <s v="Arms &amp; Light Weights"/>
    <x v="28"/>
    <x v="1741"/>
    <m/>
    <m/>
    <m/>
    <m/>
    <m/>
    <m/>
    <n v="52"/>
    <n v="112.1"/>
    <m/>
    <m/>
  </r>
  <r>
    <s v="2023-04-30 17:30 (-07)"/>
    <x v="598"/>
    <x v="813"/>
    <x v="3"/>
    <s v="On Demand"/>
    <x v="26"/>
    <x v="1"/>
    <x v="1"/>
    <s v="Core"/>
    <x v="1"/>
    <x v="1742"/>
    <m/>
    <m/>
    <m/>
    <m/>
    <m/>
    <m/>
    <n v="42"/>
    <n v="100.94"/>
    <m/>
    <m/>
  </r>
  <r>
    <s v="2023-04-30 17:42 (-07)"/>
    <x v="598"/>
    <x v="687"/>
    <x v="3"/>
    <s v="On Demand"/>
    <x v="32"/>
    <x v="5"/>
    <x v="4"/>
    <s v="Focus Flow"/>
    <x v="288"/>
    <x v="1743"/>
    <m/>
    <m/>
    <m/>
    <m/>
    <m/>
    <m/>
    <n v="77"/>
    <n v="98.31"/>
    <m/>
    <m/>
  </r>
  <r>
    <s v="2023-05-07 22:17 (PST)"/>
    <x v="599"/>
    <x v="841"/>
    <x v="3"/>
    <s v="On Demand"/>
    <x v="32"/>
    <x v="1"/>
    <x v="5"/>
    <s v="Sleep"/>
    <x v="39"/>
    <x v="1744"/>
    <m/>
    <m/>
    <m/>
    <m/>
    <m/>
    <m/>
    <m/>
    <m/>
    <m/>
    <m/>
  </r>
  <r>
    <s v="2023-05-14 21:32 (PST)"/>
    <x v="600"/>
    <x v="1005"/>
    <x v="3"/>
    <s v="On Demand"/>
    <x v="19"/>
    <x v="7"/>
    <x v="5"/>
    <s v="Relaxation"/>
    <x v="94"/>
    <x v="1745"/>
    <m/>
    <m/>
    <m/>
    <m/>
    <m/>
    <m/>
    <m/>
    <m/>
    <m/>
    <m/>
  </r>
  <r>
    <s v="2023-06-04 21:23 (PST)"/>
    <x v="601"/>
    <x v="1338"/>
    <x v="3"/>
    <s v="On Demand"/>
    <x v="16"/>
    <x v="7"/>
    <x v="5"/>
    <s v="Sleep"/>
    <x v="65"/>
    <x v="1746"/>
    <m/>
    <m/>
    <m/>
    <m/>
    <m/>
    <m/>
    <m/>
    <m/>
    <m/>
    <m/>
  </r>
  <r>
    <s v="2023-06-11 22:22 (MST)"/>
    <x v="602"/>
    <x v="1339"/>
    <x v="3"/>
    <s v="On Demand"/>
    <x v="19"/>
    <x v="7"/>
    <x v="5"/>
    <s v="Sleep"/>
    <x v="65"/>
    <x v="1747"/>
    <m/>
    <m/>
    <m/>
    <m/>
    <m/>
    <m/>
    <m/>
    <m/>
    <m/>
    <m/>
  </r>
  <r>
    <s v="2023-06-18 23:36 (PST)"/>
    <x v="603"/>
    <x v="1340"/>
    <x v="3"/>
    <s v="On Demand"/>
    <x v="19"/>
    <x v="1"/>
    <x v="5"/>
    <s v="Emotions"/>
    <x v="147"/>
    <x v="1748"/>
    <m/>
    <m/>
    <m/>
    <m/>
    <m/>
    <m/>
    <m/>
    <m/>
    <m/>
    <m/>
  </r>
  <r>
    <s v="2023-06-25 21:27 (PST)"/>
    <x v="604"/>
    <x v="1204"/>
    <x v="3"/>
    <s v="On Demand"/>
    <x v="19"/>
    <x v="1"/>
    <x v="5"/>
    <s v="Emotions"/>
    <x v="210"/>
    <x v="1749"/>
    <m/>
    <m/>
    <m/>
    <m/>
    <m/>
    <m/>
    <m/>
    <m/>
    <m/>
    <m/>
  </r>
  <r>
    <s v="2023-07-09 22:11 (PST)"/>
    <x v="605"/>
    <x v="137"/>
    <x v="3"/>
    <s v="On Demand"/>
    <x v="25"/>
    <x v="1"/>
    <x v="5"/>
    <s v="Breath"/>
    <x v="154"/>
    <x v="1750"/>
    <m/>
    <m/>
    <m/>
    <m/>
    <m/>
    <m/>
    <m/>
    <m/>
    <m/>
    <m/>
  </r>
  <r>
    <s v="2023-07-16 09:05 (PST)"/>
    <x v="606"/>
    <x v="1341"/>
    <x v="3"/>
    <s v="On Demand"/>
    <x v="13"/>
    <x v="2"/>
    <x v="4"/>
    <s v="Power"/>
    <x v="121"/>
    <x v="1751"/>
    <m/>
    <m/>
    <m/>
    <m/>
    <m/>
    <m/>
    <n v="98"/>
    <m/>
    <m/>
    <m/>
  </r>
  <r>
    <s v="2023-07-16 21:39 (PST)"/>
    <x v="606"/>
    <x v="602"/>
    <x v="3"/>
    <s v="On Demand"/>
    <x v="13"/>
    <x v="1"/>
    <x v="5"/>
    <s v="Emotions"/>
    <x v="210"/>
    <x v="1752"/>
    <m/>
    <m/>
    <m/>
    <m/>
    <m/>
    <m/>
    <m/>
    <m/>
    <m/>
    <m/>
  </r>
  <r>
    <s v="2023-07-23 09:49 (-07)"/>
    <x v="607"/>
    <x v="1342"/>
    <x v="3"/>
    <s v="On Demand"/>
    <x v="7"/>
    <x v="0"/>
    <x v="0"/>
    <s v="Power Zone"/>
    <x v="27"/>
    <x v="533"/>
    <n v="296"/>
    <n v="110"/>
    <n v="0.38"/>
    <n v="84"/>
    <n v="16.7"/>
    <n v="12.52"/>
    <n v="412"/>
    <n v="144.55000000000001"/>
    <m/>
    <m/>
  </r>
  <r>
    <s v="2023-07-23 10:35 (-07)"/>
    <x v="607"/>
    <x v="932"/>
    <x v="3"/>
    <s v="On Demand"/>
    <x v="20"/>
    <x v="1"/>
    <x v="0"/>
    <s v="Cool Down"/>
    <x v="465"/>
    <x v="1753"/>
    <n v="37"/>
    <n v="62"/>
    <n v="0.28999999999999998"/>
    <n v="89"/>
    <n v="13.2"/>
    <n v="2.2000000000000002"/>
    <n v="66"/>
    <n v="122.06"/>
    <m/>
    <m/>
  </r>
  <r>
    <s v="2023-07-23 10:45 (-07)"/>
    <x v="607"/>
    <x v="1343"/>
    <x v="3"/>
    <s v="On Demand"/>
    <x v="7"/>
    <x v="3"/>
    <x v="2"/>
    <s v="Pre &amp; Post-Ride Stretch"/>
    <x v="8"/>
    <x v="1754"/>
    <m/>
    <m/>
    <m/>
    <m/>
    <m/>
    <m/>
    <n v="22"/>
    <n v="102.81"/>
    <m/>
    <m/>
  </r>
  <r>
    <s v="2023-07-30 09:19 (PST)"/>
    <x v="608"/>
    <x v="975"/>
    <x v="3"/>
    <m/>
    <x v="34"/>
    <x v="14"/>
    <x v="6"/>
    <m/>
    <x v="466"/>
    <x v="231"/>
    <n v="0"/>
    <m/>
    <m/>
    <m/>
    <n v="3.28"/>
    <n v="2.0499999999999998"/>
    <n v="271"/>
    <n v="128.72"/>
    <m/>
    <m/>
  </r>
  <r>
    <s v="2023-07-30 12:11 (-07)"/>
    <x v="608"/>
    <x v="1344"/>
    <x v="3"/>
    <s v="On Demand"/>
    <x v="6"/>
    <x v="0"/>
    <x v="0"/>
    <s v="Power Zone"/>
    <x v="27"/>
    <x v="1755"/>
    <n v="304"/>
    <n v="112"/>
    <n v="0.39"/>
    <n v="85"/>
    <n v="16.88"/>
    <n v="12.66"/>
    <n v="461"/>
    <n v="153.93"/>
    <m/>
    <m/>
  </r>
  <r>
    <s v="2023-07-30 12:57 (-07)"/>
    <x v="608"/>
    <x v="1345"/>
    <x v="3"/>
    <s v="On Demand"/>
    <x v="12"/>
    <x v="3"/>
    <x v="0"/>
    <s v="Cool Down"/>
    <x v="10"/>
    <x v="1756"/>
    <n v="18"/>
    <n v="61"/>
    <n v="0.3"/>
    <n v="82"/>
    <n v="13.06"/>
    <n v="1.0900000000000001"/>
    <n v="36"/>
    <n v="127.75"/>
    <m/>
    <m/>
  </r>
  <r>
    <s v="2023-07-30 13:02 (-07)"/>
    <x v="608"/>
    <x v="1172"/>
    <x v="3"/>
    <s v="On Demand"/>
    <x v="18"/>
    <x v="3"/>
    <x v="2"/>
    <s v="Pre &amp; Post-Ride Stretch"/>
    <x v="8"/>
    <x v="1757"/>
    <m/>
    <m/>
    <m/>
    <m/>
    <m/>
    <m/>
    <n v="26"/>
    <n v="111.63"/>
    <m/>
    <m/>
  </r>
  <r>
    <s v="2023-08-06 11:48 (-07)"/>
    <x v="609"/>
    <x v="1087"/>
    <x v="3"/>
    <s v="On Demand"/>
    <x v="6"/>
    <x v="8"/>
    <x v="0"/>
    <s v="Power Zone"/>
    <x v="25"/>
    <x v="475"/>
    <n v="635"/>
    <n v="118"/>
    <n v="0.4"/>
    <n v="84"/>
    <n v="17.260000000000002"/>
    <n v="25.89"/>
    <n v="828"/>
    <n v="146.01"/>
    <m/>
    <m/>
  </r>
  <r>
    <s v="2023-08-06 13:21 (-07)"/>
    <x v="609"/>
    <x v="325"/>
    <x v="3"/>
    <s v="On Demand"/>
    <x v="39"/>
    <x v="3"/>
    <x v="2"/>
    <s v="Pre &amp; Post-Ride Stretch"/>
    <x v="8"/>
    <x v="1758"/>
    <m/>
    <m/>
    <m/>
    <m/>
    <m/>
    <m/>
    <n v="24"/>
    <n v="107.52"/>
    <m/>
    <m/>
  </r>
  <r>
    <s v="2023-08-06 22:25 (PST)"/>
    <x v="609"/>
    <x v="124"/>
    <x v="3"/>
    <s v="On Demand"/>
    <x v="19"/>
    <x v="1"/>
    <x v="5"/>
    <s v="Relaxation"/>
    <x v="71"/>
    <x v="1759"/>
    <m/>
    <m/>
    <m/>
    <m/>
    <m/>
    <m/>
    <m/>
    <m/>
    <m/>
    <m/>
  </r>
  <r>
    <s v="2023-08-13 00:35 (EST)"/>
    <x v="610"/>
    <x v="1346"/>
    <x v="3"/>
    <s v="On Demand"/>
    <x v="19"/>
    <x v="1"/>
    <x v="5"/>
    <s v="Emotions"/>
    <x v="151"/>
    <x v="1760"/>
    <m/>
    <m/>
    <m/>
    <m/>
    <m/>
    <m/>
    <m/>
    <m/>
    <m/>
    <m/>
  </r>
  <r>
    <s v="2023-08-13 20:07 (EST)"/>
    <x v="610"/>
    <x v="1347"/>
    <x v="3"/>
    <s v="On Demand"/>
    <x v="19"/>
    <x v="7"/>
    <x v="5"/>
    <s v="Breath"/>
    <x v="428"/>
    <x v="1761"/>
    <m/>
    <m/>
    <m/>
    <m/>
    <m/>
    <m/>
    <m/>
    <m/>
    <m/>
    <m/>
  </r>
  <r>
    <s v="2023-08-13 22:04 (EST)"/>
    <x v="610"/>
    <x v="1348"/>
    <x v="3"/>
    <s v="On Demand"/>
    <x v="25"/>
    <x v="7"/>
    <x v="5"/>
    <s v="Breath"/>
    <x v="467"/>
    <x v="1762"/>
    <m/>
    <m/>
    <m/>
    <m/>
    <m/>
    <m/>
    <m/>
    <m/>
    <m/>
    <m/>
  </r>
  <r>
    <s v="2023-08-20 11:29 (-07)"/>
    <x v="611"/>
    <x v="1057"/>
    <x v="3"/>
    <s v="On Demand"/>
    <x v="26"/>
    <x v="2"/>
    <x v="1"/>
    <s v="Full Body"/>
    <x v="468"/>
    <x v="1763"/>
    <m/>
    <m/>
    <m/>
    <m/>
    <m/>
    <m/>
    <n v="237"/>
    <n v="132.08000000000001"/>
    <m/>
    <m/>
  </r>
  <r>
    <s v="2023-08-20 12:09 (-07)"/>
    <x v="611"/>
    <x v="1349"/>
    <x v="3"/>
    <s v="On Demand"/>
    <x v="49"/>
    <x v="2"/>
    <x v="7"/>
    <s v="Endurance"/>
    <x v="152"/>
    <x v="1764"/>
    <n v="107"/>
    <m/>
    <m/>
    <m/>
    <n v="2.69"/>
    <n v="2.77"/>
    <n v="253"/>
    <n v="138.47"/>
    <m/>
    <m/>
  </r>
  <r>
    <s v="2023-08-20 12:42 (-07)"/>
    <x v="611"/>
    <x v="1350"/>
    <x v="3"/>
    <s v="On Demand"/>
    <x v="6"/>
    <x v="3"/>
    <x v="7"/>
    <s v="Endurance"/>
    <x v="469"/>
    <x v="1765"/>
    <n v="17"/>
    <m/>
    <m/>
    <m/>
    <n v="2.58"/>
    <n v="0.48"/>
    <n v="36"/>
    <n v="127.72"/>
    <m/>
    <m/>
  </r>
  <r>
    <s v="2023-08-20 12:48 (-07)"/>
    <x v="611"/>
    <x v="1097"/>
    <x v="3"/>
    <s v="On Demand"/>
    <x v="24"/>
    <x v="3"/>
    <x v="1"/>
    <s v="Core"/>
    <x v="6"/>
    <x v="1766"/>
    <m/>
    <m/>
    <m/>
    <m/>
    <m/>
    <m/>
    <n v="20"/>
    <n v="99.53"/>
    <m/>
    <m/>
  </r>
  <r>
    <s v="2023-08-20 13:49 (PST)"/>
    <x v="611"/>
    <x v="1351"/>
    <x v="3"/>
    <s v="On Demand"/>
    <x v="7"/>
    <x v="2"/>
    <x v="4"/>
    <s v="Flow"/>
    <x v="145"/>
    <x v="1767"/>
    <m/>
    <m/>
    <m/>
    <m/>
    <m/>
    <m/>
    <n v="92"/>
    <m/>
    <m/>
    <m/>
  </r>
  <r>
    <s v="2023-08-20 21:25 (PST)"/>
    <x v="611"/>
    <x v="339"/>
    <x v="3"/>
    <s v="On Demand"/>
    <x v="25"/>
    <x v="7"/>
    <x v="5"/>
    <s v="Emotions"/>
    <x v="286"/>
    <x v="1768"/>
    <m/>
    <m/>
    <m/>
    <m/>
    <m/>
    <m/>
    <m/>
    <m/>
    <m/>
    <m/>
  </r>
  <r>
    <s v="2023-08-27 10:07 (-07)"/>
    <x v="612"/>
    <x v="1352"/>
    <x v="3"/>
    <s v="On Demand"/>
    <x v="6"/>
    <x v="0"/>
    <x v="0"/>
    <s v="Power Zone"/>
    <x v="85"/>
    <x v="1769"/>
    <n v="304"/>
    <n v="113"/>
    <n v="0.36"/>
    <n v="87"/>
    <n v="16.149999999999999"/>
    <n v="12.11"/>
    <n v="440"/>
    <n v="149.9"/>
    <m/>
    <m/>
  </r>
  <r>
    <s v="2023-08-27 10:54 (-07)"/>
    <x v="612"/>
    <x v="1353"/>
    <x v="3"/>
    <s v="On Demand"/>
    <x v="36"/>
    <x v="1"/>
    <x v="0"/>
    <s v="Low Impact"/>
    <x v="149"/>
    <x v="1770"/>
    <n v="46"/>
    <n v="77"/>
    <n v="0.35"/>
    <n v="77"/>
    <n v="14.4"/>
    <n v="2.4"/>
    <n v="75"/>
    <n v="130.13999999999999"/>
    <m/>
    <m/>
  </r>
  <r>
    <s v="2023-08-27 11:05 (-07)"/>
    <x v="612"/>
    <x v="1354"/>
    <x v="3"/>
    <s v="On Demand"/>
    <x v="4"/>
    <x v="3"/>
    <x v="0"/>
    <s v="Cool Down"/>
    <x v="10"/>
    <x v="1771"/>
    <n v="18"/>
    <n v="60"/>
    <n v="0.31"/>
    <n v="78"/>
    <n v="12.83"/>
    <n v="1.07"/>
    <n v="32"/>
    <n v="115.44"/>
    <m/>
    <m/>
  </r>
  <r>
    <s v="2023-08-27 11:31 (PST)"/>
    <x v="612"/>
    <x v="1355"/>
    <x v="3"/>
    <s v="On Demand"/>
    <x v="7"/>
    <x v="2"/>
    <x v="4"/>
    <s v="Focus Flow"/>
    <x v="470"/>
    <x v="1772"/>
    <m/>
    <m/>
    <m/>
    <m/>
    <m/>
    <m/>
    <n v="111"/>
    <n v="94.95"/>
    <m/>
    <m/>
  </r>
  <r>
    <s v="2023-08-27 21:44 (PST)"/>
    <x v="612"/>
    <x v="566"/>
    <x v="3"/>
    <s v="On Demand"/>
    <x v="19"/>
    <x v="1"/>
    <x v="5"/>
    <s v="Mindfulness"/>
    <x v="51"/>
    <x v="1773"/>
    <m/>
    <m/>
    <m/>
    <m/>
    <m/>
    <m/>
    <m/>
    <m/>
    <m/>
    <m/>
  </r>
  <r>
    <s v="2023-09-10 10:55 (PST)"/>
    <x v="613"/>
    <x v="1356"/>
    <x v="3"/>
    <s v="On Demand"/>
    <x v="15"/>
    <x v="0"/>
    <x v="6"/>
    <s v="Music Walk"/>
    <x v="471"/>
    <x v="1774"/>
    <n v="0"/>
    <m/>
    <m/>
    <m/>
    <n v="3.17"/>
    <n v="2.06"/>
    <n v="252"/>
    <n v="120.41"/>
    <m/>
    <m/>
  </r>
  <r>
    <s v="2023-09-10 11:59 (-07)"/>
    <x v="613"/>
    <x v="1357"/>
    <x v="3"/>
    <s v="On Demand"/>
    <x v="26"/>
    <x v="2"/>
    <x v="1"/>
    <s v="Full Body"/>
    <x v="472"/>
    <x v="1343"/>
    <m/>
    <m/>
    <m/>
    <m/>
    <m/>
    <m/>
    <n v="230"/>
    <n v="132.11000000000001"/>
    <m/>
    <m/>
  </r>
  <r>
    <s v="2023-09-10 12:34 (-07)"/>
    <x v="613"/>
    <x v="1358"/>
    <x v="3"/>
    <s v="On Demand"/>
    <x v="1"/>
    <x v="1"/>
    <x v="1"/>
    <s v="Core"/>
    <x v="473"/>
    <x v="1775"/>
    <m/>
    <m/>
    <m/>
    <m/>
    <m/>
    <m/>
    <n v="54"/>
    <n v="111.46"/>
    <m/>
    <m/>
  </r>
  <r>
    <s v="2023-09-10 12:53 (-07)"/>
    <x v="613"/>
    <x v="998"/>
    <x v="3"/>
    <m/>
    <x v="34"/>
    <x v="3"/>
    <x v="0"/>
    <m/>
    <x v="474"/>
    <x v="231"/>
    <n v="18"/>
    <n v="60"/>
    <n v="0.28000000000000003"/>
    <n v="87"/>
    <n v="12.73"/>
    <n v="1.07"/>
    <n v="23"/>
    <m/>
    <m/>
    <m/>
  </r>
  <r>
    <s v="2023-09-10 13:00 (-07)"/>
    <x v="613"/>
    <x v="1060"/>
    <x v="3"/>
    <s v="On Demand"/>
    <x v="6"/>
    <x v="2"/>
    <x v="0"/>
    <s v="Power Zone"/>
    <x v="5"/>
    <x v="1776"/>
    <n v="170"/>
    <n v="95"/>
    <n v="0.37"/>
    <n v="81"/>
    <n v="15.69"/>
    <n v="7.84"/>
    <n v="290"/>
    <n v="149"/>
    <m/>
    <m/>
  </r>
  <r>
    <s v="2023-09-10 13:31 (-07)"/>
    <x v="613"/>
    <x v="1359"/>
    <x v="3"/>
    <s v="On Demand"/>
    <x v="20"/>
    <x v="1"/>
    <x v="0"/>
    <s v="Low Impact"/>
    <x v="149"/>
    <x v="1777"/>
    <n v="44"/>
    <n v="74"/>
    <n v="0.34"/>
    <n v="79"/>
    <n v="14.13"/>
    <n v="2.35"/>
    <n v="85"/>
    <n v="138.69999999999999"/>
    <m/>
    <m/>
  </r>
  <r>
    <s v="2023-09-17 22:27 (MST)"/>
    <x v="614"/>
    <x v="1360"/>
    <x v="3"/>
    <s v="On Demand"/>
    <x v="19"/>
    <x v="7"/>
    <x v="5"/>
    <s v="Relaxation"/>
    <x v="106"/>
    <x v="963"/>
    <m/>
    <m/>
    <m/>
    <m/>
    <m/>
    <m/>
    <m/>
    <m/>
    <m/>
    <m/>
  </r>
  <r>
    <s v="2023-09-24 14:14 (-07)"/>
    <x v="615"/>
    <x v="1361"/>
    <x v="3"/>
    <s v="On Demand"/>
    <x v="1"/>
    <x v="7"/>
    <x v="1"/>
    <s v="Core"/>
    <x v="126"/>
    <x v="1778"/>
    <m/>
    <m/>
    <m/>
    <m/>
    <m/>
    <m/>
    <n v="103"/>
    <n v="124.8"/>
    <m/>
    <m/>
  </r>
  <r>
    <s v="2023-09-24 14:32 (-07)"/>
    <x v="615"/>
    <x v="197"/>
    <x v="3"/>
    <s v="On Demand"/>
    <x v="24"/>
    <x v="5"/>
    <x v="1"/>
    <s v="Upper Body"/>
    <x v="247"/>
    <x v="1779"/>
    <m/>
    <m/>
    <m/>
    <m/>
    <m/>
    <m/>
    <n v="145"/>
    <n v="128.28"/>
    <m/>
    <m/>
  </r>
  <r>
    <s v="2023-09-24 14:55 (-07)"/>
    <x v="615"/>
    <x v="1362"/>
    <x v="3"/>
    <s v="On Demand"/>
    <x v="9"/>
    <x v="4"/>
    <x v="0"/>
    <s v="Power Zone"/>
    <x v="7"/>
    <x v="1780"/>
    <n v="377"/>
    <n v="105"/>
    <n v="0.38"/>
    <n v="83"/>
    <n v="16.399999999999999"/>
    <n v="16.399999999999999"/>
    <n v="615"/>
    <n v="154.08000000000001"/>
    <m/>
    <m/>
  </r>
  <r>
    <s v="2023-09-24 15:56 (-07)"/>
    <x v="615"/>
    <x v="1363"/>
    <x v="3"/>
    <s v="On Demand"/>
    <x v="1"/>
    <x v="3"/>
    <x v="2"/>
    <s v="Pre &amp; Post-Ride Stretch"/>
    <x v="8"/>
    <x v="1781"/>
    <m/>
    <m/>
    <m/>
    <m/>
    <m/>
    <m/>
    <n v="27"/>
    <n v="114.57"/>
    <m/>
    <m/>
  </r>
  <r>
    <s v="2023-10-01 16:37 (-07)"/>
    <x v="616"/>
    <x v="609"/>
    <x v="3"/>
    <s v="On Demand"/>
    <x v="6"/>
    <x v="6"/>
    <x v="0"/>
    <s v="Power Zone"/>
    <x v="20"/>
    <x v="676"/>
    <n v="499"/>
    <n v="111"/>
    <n v="0.39"/>
    <n v="84"/>
    <n v="16.84"/>
    <n v="21.05"/>
    <n v="843"/>
    <n v="162.59"/>
    <m/>
    <m/>
  </r>
  <r>
    <s v="2023-10-01 17:53 (-07)"/>
    <x v="616"/>
    <x v="1064"/>
    <x v="3"/>
    <s v="On Demand"/>
    <x v="7"/>
    <x v="3"/>
    <x v="0"/>
    <s v="Cool Down"/>
    <x v="10"/>
    <x v="1782"/>
    <n v="16"/>
    <n v="52"/>
    <n v="0.3"/>
    <n v="75"/>
    <n v="12.2"/>
    <n v="1.01"/>
    <n v="37"/>
    <n v="131.66"/>
    <m/>
    <m/>
  </r>
  <r>
    <s v="2023-10-01 18:02 (-07)"/>
    <x v="616"/>
    <x v="467"/>
    <x v="3"/>
    <s v="On Demand"/>
    <x v="37"/>
    <x v="1"/>
    <x v="1"/>
    <s v="Core"/>
    <x v="1"/>
    <x v="946"/>
    <m/>
    <m/>
    <m/>
    <m/>
    <m/>
    <m/>
    <n v="47"/>
    <m/>
    <m/>
    <m/>
  </r>
  <r>
    <s v="2023-10-01 22:35 (PST)"/>
    <x v="616"/>
    <x v="371"/>
    <x v="3"/>
    <s v="On Demand"/>
    <x v="23"/>
    <x v="1"/>
    <x v="5"/>
    <s v="Emotions"/>
    <x v="44"/>
    <x v="1783"/>
    <m/>
    <m/>
    <m/>
    <m/>
    <m/>
    <m/>
    <m/>
    <m/>
    <m/>
    <m/>
  </r>
  <r>
    <s v="2023-10-08 22:46 (PST)"/>
    <x v="617"/>
    <x v="193"/>
    <x v="3"/>
    <s v="On Demand"/>
    <x v="19"/>
    <x v="1"/>
    <x v="5"/>
    <s v="Emotions"/>
    <x v="109"/>
    <x v="1784"/>
    <m/>
    <m/>
    <m/>
    <m/>
    <m/>
    <m/>
    <m/>
    <m/>
    <m/>
    <m/>
  </r>
  <r>
    <s v="2023-10-15 15:08 (-07)"/>
    <x v="618"/>
    <x v="1364"/>
    <x v="3"/>
    <s v="On Demand"/>
    <x v="9"/>
    <x v="0"/>
    <x v="0"/>
    <s v="Power Zone"/>
    <x v="27"/>
    <x v="1785"/>
    <n v="287"/>
    <n v="106"/>
    <n v="0.37"/>
    <n v="86"/>
    <n v="16.53"/>
    <n v="12.4"/>
    <n v="422"/>
    <n v="146.55000000000001"/>
    <m/>
    <m/>
  </r>
  <r>
    <s v="2023-10-15 15:55 (-07)"/>
    <x v="618"/>
    <x v="364"/>
    <x v="3"/>
    <s v="On Demand"/>
    <x v="18"/>
    <x v="1"/>
    <x v="0"/>
    <s v="Cool Down"/>
    <x v="475"/>
    <x v="1786"/>
    <n v="32"/>
    <n v="54"/>
    <n v="0.28999999999999998"/>
    <n v="79"/>
    <n v="12.36"/>
    <n v="2.06"/>
    <n v="65"/>
    <n v="121.38"/>
    <m/>
    <m/>
  </r>
  <r>
    <s v="2023-10-15 16:05 (-07)"/>
    <x v="618"/>
    <x v="1328"/>
    <x v="3"/>
    <s v="On Demand"/>
    <x v="8"/>
    <x v="3"/>
    <x v="2"/>
    <s v="Pre &amp; Post-Ride Stretch"/>
    <x v="8"/>
    <x v="1787"/>
    <m/>
    <m/>
    <m/>
    <m/>
    <m/>
    <m/>
    <n v="23"/>
    <n v="105.7"/>
    <m/>
    <m/>
  </r>
  <r>
    <s v="2023-10-15 20:39 (PST)"/>
    <x v="618"/>
    <x v="1273"/>
    <x v="3"/>
    <s v="On Demand"/>
    <x v="13"/>
    <x v="1"/>
    <x v="5"/>
    <s v="Emotions"/>
    <x v="46"/>
    <x v="1788"/>
    <m/>
    <m/>
    <m/>
    <m/>
    <m/>
    <m/>
    <m/>
    <m/>
    <m/>
    <m/>
  </r>
  <r>
    <s v="2023-10-15 20:49 (PST)"/>
    <x v="618"/>
    <x v="1365"/>
    <x v="3"/>
    <s v="On Demand"/>
    <x v="13"/>
    <x v="1"/>
    <x v="5"/>
    <s v="Mindfulness"/>
    <x v="51"/>
    <x v="1388"/>
    <m/>
    <m/>
    <m/>
    <m/>
    <m/>
    <m/>
    <m/>
    <m/>
    <m/>
    <m/>
  </r>
  <r>
    <s v="2023-10-15 23:53 (PST)"/>
    <x v="618"/>
    <x v="1366"/>
    <x v="3"/>
    <s v="On Demand"/>
    <x v="28"/>
    <x v="1"/>
    <x v="5"/>
    <s v="Theme"/>
    <x v="208"/>
    <x v="1789"/>
    <m/>
    <m/>
    <m/>
    <m/>
    <m/>
    <m/>
    <m/>
    <m/>
    <m/>
    <m/>
  </r>
  <r>
    <s v="2023-10-22 17:18 (-07)"/>
    <x v="619"/>
    <x v="205"/>
    <x v="3"/>
    <s v="On Demand"/>
    <x v="26"/>
    <x v="5"/>
    <x v="1"/>
    <s v="Upper Body"/>
    <x v="285"/>
    <x v="1790"/>
    <m/>
    <m/>
    <m/>
    <m/>
    <m/>
    <m/>
    <n v="112"/>
    <n v="113.11"/>
    <m/>
    <m/>
  </r>
  <r>
    <s v="2023-10-22 17:40 (-07)"/>
    <x v="619"/>
    <x v="680"/>
    <x v="3"/>
    <s v="On Demand"/>
    <x v="4"/>
    <x v="1"/>
    <x v="1"/>
    <s v="Core"/>
    <x v="1"/>
    <x v="1791"/>
    <m/>
    <m/>
    <m/>
    <m/>
    <m/>
    <m/>
    <n v="57"/>
    <n v="114.48"/>
    <m/>
    <m/>
  </r>
  <r>
    <s v="2023-10-22 17:53 (-07)"/>
    <x v="619"/>
    <x v="1064"/>
    <x v="3"/>
    <s v="On Demand"/>
    <x v="6"/>
    <x v="5"/>
    <x v="7"/>
    <s v="Endurance"/>
    <x v="165"/>
    <x v="1792"/>
    <n v="76"/>
    <m/>
    <m/>
    <m/>
    <n v="2.72"/>
    <n v="2.0299999999999998"/>
    <n v="176"/>
    <n v="141.54"/>
    <m/>
    <m/>
  </r>
  <r>
    <s v="2023-10-22 18:14 (-07)"/>
    <x v="619"/>
    <x v="648"/>
    <x v="3"/>
    <s v="On Demand"/>
    <x v="38"/>
    <x v="3"/>
    <x v="7"/>
    <s v="Endurance"/>
    <x v="301"/>
    <x v="972"/>
    <n v="19"/>
    <m/>
    <m/>
    <m/>
    <n v="2.73"/>
    <n v="0.51"/>
    <n v="44"/>
    <n v="141.71"/>
    <m/>
    <m/>
  </r>
  <r>
    <s v="2023-10-22 18:20 (-07)"/>
    <x v="619"/>
    <x v="111"/>
    <x v="3"/>
    <s v="On Demand"/>
    <x v="38"/>
    <x v="3"/>
    <x v="2"/>
    <s v="Pre &amp; Post-Row Stretch"/>
    <x v="476"/>
    <x v="1793"/>
    <m/>
    <m/>
    <m/>
    <m/>
    <m/>
    <m/>
    <n v="29"/>
    <n v="116.73"/>
    <m/>
    <m/>
  </r>
  <r>
    <s v="2023-10-22 22:15 (PST)"/>
    <x v="619"/>
    <x v="593"/>
    <x v="3"/>
    <s v="On Demand"/>
    <x v="16"/>
    <x v="1"/>
    <x v="5"/>
    <s v="Emotions"/>
    <x v="477"/>
    <x v="1794"/>
    <m/>
    <m/>
    <m/>
    <m/>
    <m/>
    <m/>
    <m/>
    <m/>
    <m/>
    <m/>
  </r>
  <r>
    <s v="2023-10-29 22:32 (PST)"/>
    <x v="620"/>
    <x v="454"/>
    <x v="3"/>
    <s v="On Demand"/>
    <x v="19"/>
    <x v="3"/>
    <x v="5"/>
    <s v="Mindfulness"/>
    <x v="83"/>
    <x v="1795"/>
    <m/>
    <m/>
    <m/>
    <m/>
    <m/>
    <m/>
    <m/>
    <m/>
    <m/>
    <m/>
  </r>
  <r>
    <s v="2023-11-05 22:25 (PST)"/>
    <x v="621"/>
    <x v="124"/>
    <x v="3"/>
    <s v="On Demand"/>
    <x v="25"/>
    <x v="1"/>
    <x v="5"/>
    <s v="Emotions"/>
    <x v="15"/>
    <x v="1796"/>
    <m/>
    <m/>
    <m/>
    <m/>
    <m/>
    <m/>
    <m/>
    <m/>
    <m/>
    <m/>
  </r>
  <r>
    <s v="2023-11-12 13:32 (-08)"/>
    <x v="622"/>
    <x v="1041"/>
    <x v="3"/>
    <s v="On Demand"/>
    <x v="6"/>
    <x v="4"/>
    <x v="0"/>
    <s v="Power Zone"/>
    <x v="7"/>
    <x v="1797"/>
    <n v="398"/>
    <n v="111"/>
    <n v="0.39"/>
    <n v="83"/>
    <n v="16.8"/>
    <n v="16.8"/>
    <n v="620"/>
    <n v="153.77000000000001"/>
    <m/>
    <m/>
  </r>
  <r>
    <s v="2023-11-12 14:34 (-08)"/>
    <x v="622"/>
    <x v="1367"/>
    <x v="3"/>
    <s v="On Demand"/>
    <x v="4"/>
    <x v="3"/>
    <x v="0"/>
    <s v="Cool Down"/>
    <x v="10"/>
    <x v="1798"/>
    <n v="18"/>
    <n v="59"/>
    <n v="0.28000000000000003"/>
    <n v="86"/>
    <n v="12.82"/>
    <n v="1.07"/>
    <n v="34"/>
    <n v="116.44"/>
    <m/>
    <m/>
  </r>
  <r>
    <s v="2023-11-12 23:26 (PST)"/>
    <x v="622"/>
    <x v="1368"/>
    <x v="3"/>
    <s v="On Demand"/>
    <x v="26"/>
    <x v="5"/>
    <x v="2"/>
    <s v="Full Body Stretch"/>
    <x v="478"/>
    <x v="1799"/>
    <m/>
    <m/>
    <m/>
    <m/>
    <m/>
    <m/>
    <n v="49"/>
    <m/>
    <m/>
    <m/>
  </r>
  <r>
    <s v="2023-11-19 15:39 (-08)"/>
    <x v="623"/>
    <x v="1369"/>
    <x v="3"/>
    <s v="On Demand"/>
    <x v="9"/>
    <x v="0"/>
    <x v="0"/>
    <s v="Power Zone"/>
    <x v="222"/>
    <x v="1800"/>
    <n v="273"/>
    <n v="101"/>
    <n v="0.37"/>
    <n v="83"/>
    <n v="16.12"/>
    <n v="12.09"/>
    <n v="497"/>
    <n v="160.22"/>
    <m/>
    <m/>
  </r>
  <r>
    <s v="2023-11-19 16:26 (-08)"/>
    <x v="623"/>
    <x v="729"/>
    <x v="3"/>
    <s v="On Demand"/>
    <x v="29"/>
    <x v="1"/>
    <x v="0"/>
    <s v="Cool Down"/>
    <x v="17"/>
    <x v="1372"/>
    <n v="44"/>
    <n v="74"/>
    <n v="0.36"/>
    <n v="74"/>
    <n v="14.15"/>
    <n v="2.36"/>
    <n v="95"/>
    <n v="146.21"/>
    <m/>
    <m/>
  </r>
  <r>
    <s v="2023-11-19 16:37 (-08)"/>
    <x v="623"/>
    <x v="1370"/>
    <x v="3"/>
    <s v="On Demand"/>
    <x v="12"/>
    <x v="1"/>
    <x v="1"/>
    <s v="Arms &amp; Light Weights"/>
    <x v="28"/>
    <x v="1801"/>
    <m/>
    <m/>
    <m/>
    <m/>
    <m/>
    <m/>
    <n v="72"/>
    <n v="125.22"/>
    <m/>
    <m/>
  </r>
  <r>
    <s v="2023-11-19 16:49 (-08)"/>
    <x v="623"/>
    <x v="1371"/>
    <x v="3"/>
    <s v="On Demand"/>
    <x v="1"/>
    <x v="3"/>
    <x v="1"/>
    <s v="Core"/>
    <x v="6"/>
    <x v="1802"/>
    <m/>
    <m/>
    <m/>
    <m/>
    <m/>
    <m/>
    <n v="31"/>
    <n v="117.81"/>
    <m/>
    <m/>
  </r>
  <r>
    <s v="2023-11-19 17:01 (PST)"/>
    <x v="623"/>
    <x v="1372"/>
    <x v="3"/>
    <s v="On Demand"/>
    <x v="13"/>
    <x v="2"/>
    <x v="4"/>
    <s v="Flow"/>
    <x v="124"/>
    <x v="1803"/>
    <m/>
    <m/>
    <m/>
    <m/>
    <m/>
    <m/>
    <n v="97"/>
    <m/>
    <m/>
    <m/>
  </r>
  <r>
    <s v="2023-11-19 22:22 (PST)"/>
    <x v="623"/>
    <x v="493"/>
    <x v="3"/>
    <s v="On Demand"/>
    <x v="28"/>
    <x v="1"/>
    <x v="5"/>
    <s v="Emotions"/>
    <x v="151"/>
    <x v="1804"/>
    <m/>
    <m/>
    <m/>
    <m/>
    <m/>
    <m/>
    <m/>
    <m/>
    <m/>
    <m/>
  </r>
  <r>
    <s v="2023-11-26 13:03 (-08)"/>
    <x v="624"/>
    <x v="1373"/>
    <x v="3"/>
    <s v="On Demand"/>
    <x v="4"/>
    <x v="0"/>
    <x v="0"/>
    <s v="Power Zone"/>
    <x v="222"/>
    <x v="1805"/>
    <n v="281"/>
    <n v="106"/>
    <n v="0.38"/>
    <n v="84"/>
    <n v="16.57"/>
    <n v="12.27"/>
    <n v="488"/>
    <n v="160.97999999999999"/>
    <m/>
    <m/>
  </r>
  <r>
    <s v="2023-11-26 13:51 (-08)"/>
    <x v="624"/>
    <x v="1374"/>
    <x v="3"/>
    <s v="On Demand"/>
    <x v="1"/>
    <x v="3"/>
    <x v="0"/>
    <s v="Cool Down"/>
    <x v="10"/>
    <x v="1806"/>
    <n v="17"/>
    <n v="57"/>
    <n v="0.28999999999999998"/>
    <n v="82"/>
    <n v="12.58"/>
    <n v="1.05"/>
    <n v="38"/>
    <n v="132.79"/>
    <m/>
    <m/>
  </r>
  <r>
    <s v="2023-11-26 13:57 (-08)"/>
    <x v="624"/>
    <x v="1375"/>
    <x v="3"/>
    <s v="On Demand"/>
    <x v="7"/>
    <x v="3"/>
    <x v="2"/>
    <s v="Pre &amp; Post-Ride Stretch"/>
    <x v="8"/>
    <x v="1372"/>
    <m/>
    <m/>
    <m/>
    <m/>
    <m/>
    <m/>
    <n v="30"/>
    <n v="117.71"/>
    <m/>
    <m/>
  </r>
  <r>
    <s v="2023-11-26 21:25 (PST)"/>
    <x v="624"/>
    <x v="339"/>
    <x v="3"/>
    <s v="On Demand"/>
    <x v="28"/>
    <x v="1"/>
    <x v="4"/>
    <s v="Yoga Anywhere"/>
    <x v="201"/>
    <x v="1807"/>
    <m/>
    <m/>
    <m/>
    <m/>
    <m/>
    <m/>
    <n v="43"/>
    <n v="98.88"/>
    <m/>
    <m/>
  </r>
  <r>
    <s v="2023-12-03 20:01 (PST)"/>
    <x v="625"/>
    <x v="1376"/>
    <x v="3"/>
    <s v="On Demand"/>
    <x v="16"/>
    <x v="1"/>
    <x v="5"/>
    <s v="Mindfulness"/>
    <x v="479"/>
    <x v="1808"/>
    <m/>
    <m/>
    <m/>
    <m/>
    <m/>
    <m/>
    <m/>
    <m/>
    <m/>
    <m/>
  </r>
  <r>
    <s v="2023-12-03 20:12 (PST)"/>
    <x v="625"/>
    <x v="1178"/>
    <x v="3"/>
    <s v="On Demand"/>
    <x v="19"/>
    <x v="1"/>
    <x v="5"/>
    <s v="Emotions"/>
    <x v="15"/>
    <x v="1809"/>
    <m/>
    <m/>
    <m/>
    <m/>
    <m/>
    <m/>
    <m/>
    <m/>
    <m/>
    <m/>
  </r>
  <r>
    <s v="2023-12-10 22:31 (PST)"/>
    <x v="626"/>
    <x v="243"/>
    <x v="3"/>
    <s v="On Demand"/>
    <x v="19"/>
    <x v="1"/>
    <x v="5"/>
    <s v="Emotions"/>
    <x v="46"/>
    <x v="1810"/>
    <m/>
    <m/>
    <m/>
    <m/>
    <m/>
    <m/>
    <m/>
    <m/>
    <m/>
    <m/>
  </r>
  <r>
    <s v="2023-12-17 13:07 (-08)"/>
    <x v="627"/>
    <x v="291"/>
    <x v="3"/>
    <s v="On Demand"/>
    <x v="24"/>
    <x v="7"/>
    <x v="1"/>
    <s v="Core"/>
    <x v="254"/>
    <x v="1811"/>
    <m/>
    <m/>
    <m/>
    <m/>
    <m/>
    <m/>
    <n v="70"/>
    <n v="97.45"/>
    <m/>
    <m/>
  </r>
  <r>
    <s v="2023-12-17 13:26 (-08)"/>
    <x v="627"/>
    <x v="1377"/>
    <x v="3"/>
    <s v="On Demand"/>
    <x v="9"/>
    <x v="0"/>
    <x v="0"/>
    <s v="Power Zone"/>
    <x v="27"/>
    <x v="1812"/>
    <n v="274"/>
    <n v="102"/>
    <n v="0.38"/>
    <n v="82"/>
    <n v="16.22"/>
    <n v="12.16"/>
    <n v="428"/>
    <n v="146.63999999999999"/>
    <m/>
    <m/>
  </r>
  <r>
    <s v="2023-12-17 23:34 (PST)"/>
    <x v="627"/>
    <x v="1378"/>
    <x v="3"/>
    <s v="On Demand"/>
    <x v="13"/>
    <x v="1"/>
    <x v="5"/>
    <s v="Emotions"/>
    <x v="60"/>
    <x v="1813"/>
    <m/>
    <m/>
    <m/>
    <m/>
    <m/>
    <m/>
    <m/>
    <m/>
    <m/>
    <m/>
  </r>
  <r>
    <s v="2023-12-24 22:09 (PST)"/>
    <x v="628"/>
    <x v="468"/>
    <x v="3"/>
    <s v="On Demand"/>
    <x v="16"/>
    <x v="2"/>
    <x v="5"/>
    <s v="Sleep"/>
    <x v="31"/>
    <x v="1814"/>
    <m/>
    <m/>
    <m/>
    <m/>
    <m/>
    <m/>
    <m/>
    <m/>
    <m/>
    <m/>
  </r>
  <r>
    <s v="2024-01-07 13:59 (-08)"/>
    <x v="629"/>
    <x v="162"/>
    <x v="3"/>
    <s v="On Demand"/>
    <x v="1"/>
    <x v="7"/>
    <x v="1"/>
    <s v="Core"/>
    <x v="126"/>
    <x v="1815"/>
    <m/>
    <m/>
    <m/>
    <m/>
    <m/>
    <m/>
    <n v="69"/>
    <n v="102.67"/>
    <m/>
    <m/>
  </r>
  <r>
    <s v="2024-01-07 14:18 (-08)"/>
    <x v="629"/>
    <x v="1379"/>
    <x v="3"/>
    <s v="On Demand"/>
    <x v="12"/>
    <x v="0"/>
    <x v="0"/>
    <s v="Power Zone"/>
    <x v="27"/>
    <x v="1816"/>
    <n v="284"/>
    <n v="105"/>
    <n v="0.38"/>
    <n v="83"/>
    <n v="16.45"/>
    <n v="12.34"/>
    <n v="368"/>
    <m/>
    <m/>
    <m/>
  </r>
  <r>
    <s v="2024-01-07 15:09 (-08)"/>
    <x v="629"/>
    <x v="1380"/>
    <x v="3"/>
    <s v="On Demand"/>
    <x v="15"/>
    <x v="1"/>
    <x v="0"/>
    <s v="Low Impact"/>
    <x v="149"/>
    <x v="1817"/>
    <n v="43"/>
    <n v="72"/>
    <n v="0.32"/>
    <n v="85"/>
    <n v="14.11"/>
    <n v="2.35"/>
    <n v="75"/>
    <n v="129.34"/>
    <m/>
    <m/>
  </r>
  <r>
    <s v="2024-01-07 15:20 (-08)"/>
    <x v="629"/>
    <x v="1381"/>
    <x v="3"/>
    <s v="On Demand"/>
    <x v="1"/>
    <x v="3"/>
    <x v="2"/>
    <s v="Pre &amp; Post-Ride Stretch"/>
    <x v="8"/>
    <x v="1818"/>
    <m/>
    <m/>
    <m/>
    <m/>
    <m/>
    <m/>
    <n v="12"/>
    <m/>
    <m/>
    <m/>
  </r>
  <r>
    <s v="2024-01-07 22:23 (PST)"/>
    <x v="629"/>
    <x v="1044"/>
    <x v="3"/>
    <s v="On Demand"/>
    <x v="19"/>
    <x v="7"/>
    <x v="5"/>
    <s v="Mindfulness"/>
    <x v="42"/>
    <x v="1819"/>
    <m/>
    <m/>
    <m/>
    <m/>
    <m/>
    <m/>
    <m/>
    <m/>
    <m/>
    <m/>
  </r>
  <r>
    <s v="2024-01-14 22:44 (PST)"/>
    <x v="630"/>
    <x v="373"/>
    <x v="3"/>
    <s v="On Demand"/>
    <x v="23"/>
    <x v="1"/>
    <x v="5"/>
    <s v="Mindfulness"/>
    <x v="51"/>
    <x v="1820"/>
    <m/>
    <m/>
    <m/>
    <m/>
    <m/>
    <m/>
    <m/>
    <m/>
    <m/>
    <m/>
  </r>
  <r>
    <s v="2018-08-23 14:03 (PST)"/>
    <x v="631"/>
    <x v="1382"/>
    <x v="4"/>
    <s v="On Demand"/>
    <x v="9"/>
    <x v="5"/>
    <x v="0"/>
    <s v="Beginner"/>
    <x v="480"/>
    <x v="1821"/>
    <n v="104"/>
    <n v="87"/>
    <n v="0.38"/>
    <n v="74"/>
    <n v="14.86"/>
    <n v="4.95"/>
    <n v="138"/>
    <m/>
    <m/>
    <m/>
  </r>
  <r>
    <s v="2018-08-30 16:57 (PST)"/>
    <x v="632"/>
    <x v="3"/>
    <x v="4"/>
    <s v="On Demand"/>
    <x v="0"/>
    <x v="5"/>
    <x v="0"/>
    <s v="Beginner"/>
    <x v="480"/>
    <x v="1822"/>
    <n v="115"/>
    <n v="96"/>
    <n v="0.39"/>
    <n v="77"/>
    <n v="15.74"/>
    <n v="5.24"/>
    <n v="151"/>
    <m/>
    <m/>
    <m/>
  </r>
  <r>
    <s v="2018-09-06 16:09 (PST)"/>
    <x v="633"/>
    <x v="1383"/>
    <x v="4"/>
    <s v="On Demand"/>
    <x v="0"/>
    <x v="0"/>
    <x v="0"/>
    <s v="Low Impact"/>
    <x v="420"/>
    <x v="1823"/>
    <n v="0"/>
    <n v="0"/>
    <n v="0"/>
    <n v="0"/>
    <n v="0"/>
    <n v="0"/>
    <n v="0"/>
    <m/>
    <m/>
    <m/>
  </r>
  <r>
    <s v="2018-09-06 16:11 (PST)"/>
    <x v="633"/>
    <x v="1384"/>
    <x v="4"/>
    <s v="On Demand"/>
    <x v="0"/>
    <x v="2"/>
    <x v="0"/>
    <s v="Music"/>
    <x v="170"/>
    <x v="1824"/>
    <n v="178"/>
    <n v="99"/>
    <n v="0.38"/>
    <n v="81"/>
    <n v="15.94"/>
    <n v="7.96"/>
    <n v="236"/>
    <m/>
    <m/>
    <m/>
  </r>
  <r>
    <s v="2018-09-06 16:42 (PST)"/>
    <x v="633"/>
    <x v="960"/>
    <x v="4"/>
    <s v="On Demand"/>
    <x v="0"/>
    <x v="3"/>
    <x v="2"/>
    <s v="Pre &amp; Post-Ride Stretch"/>
    <x v="8"/>
    <x v="1825"/>
    <m/>
    <m/>
    <m/>
    <m/>
    <m/>
    <m/>
    <n v="14"/>
    <m/>
    <m/>
    <m/>
  </r>
  <r>
    <s v="2018-09-13 16:28 (PST)"/>
    <x v="634"/>
    <x v="1385"/>
    <x v="4"/>
    <s v="On Demand"/>
    <x v="0"/>
    <x v="0"/>
    <x v="0"/>
    <s v="Music"/>
    <x v="481"/>
    <x v="1826"/>
    <n v="131"/>
    <n v="84"/>
    <n v="0.38"/>
    <n v="74"/>
    <n v="14.76"/>
    <n v="6.41"/>
    <n v="174"/>
    <m/>
    <m/>
    <m/>
  </r>
  <r>
    <s v="2018-09-20 16:33 (PST)"/>
    <x v="635"/>
    <x v="645"/>
    <x v="4"/>
    <s v="On Demand"/>
    <x v="0"/>
    <x v="2"/>
    <x v="0"/>
    <s v="Music"/>
    <x v="167"/>
    <x v="1827"/>
    <n v="152"/>
    <n v="84"/>
    <n v="0.38"/>
    <n v="75"/>
    <n v="14.93"/>
    <n v="7.46"/>
    <n v="201"/>
    <m/>
    <m/>
    <m/>
  </r>
  <r>
    <s v="2018-10-04 16:26 (PST)"/>
    <x v="636"/>
    <x v="377"/>
    <x v="4"/>
    <s v="On Demand"/>
    <x v="0"/>
    <x v="2"/>
    <x v="0"/>
    <s v="Music"/>
    <x v="167"/>
    <x v="1828"/>
    <n v="159"/>
    <n v="88"/>
    <n v="0.38"/>
    <n v="75"/>
    <n v="15.21"/>
    <n v="7.6"/>
    <n v="210"/>
    <m/>
    <m/>
    <m/>
  </r>
  <r>
    <s v="2018-10-11 12:14 (PST)"/>
    <x v="637"/>
    <x v="1131"/>
    <x v="4"/>
    <s v="On Demand"/>
    <x v="0"/>
    <x v="0"/>
    <x v="0"/>
    <s v="Music"/>
    <x v="171"/>
    <x v="1829"/>
    <n v="184"/>
    <n v="86"/>
    <n v="0.39"/>
    <n v="72"/>
    <n v="14.83"/>
    <n v="8.85"/>
    <n v="243"/>
    <m/>
    <m/>
    <m/>
  </r>
  <r>
    <s v="2018-11-29 14:29 (PST)"/>
    <x v="638"/>
    <x v="1386"/>
    <x v="4"/>
    <s v="On Demand"/>
    <x v="0"/>
    <x v="5"/>
    <x v="0"/>
    <s v="Music"/>
    <x v="482"/>
    <x v="1830"/>
    <n v="106"/>
    <n v="88"/>
    <n v="0.39"/>
    <n v="73"/>
    <n v="15.19"/>
    <n v="5.05"/>
    <n v="140"/>
    <m/>
    <m/>
    <m/>
  </r>
  <r>
    <s v="2018-12-13 15:30 (PST)"/>
    <x v="639"/>
    <x v="360"/>
    <x v="4"/>
    <s v="On Demand"/>
    <x v="0"/>
    <x v="2"/>
    <x v="0"/>
    <s v="Music"/>
    <x v="170"/>
    <x v="1831"/>
    <n v="159"/>
    <n v="89"/>
    <n v="0.36"/>
    <n v="84"/>
    <n v="15.28"/>
    <n v="7.63"/>
    <n v="210"/>
    <m/>
    <m/>
    <m/>
  </r>
  <r>
    <s v="2019-01-24 12:18 (PST)"/>
    <x v="640"/>
    <x v="191"/>
    <x v="4"/>
    <s v="On Demand"/>
    <x v="0"/>
    <x v="2"/>
    <x v="0"/>
    <s v="Music"/>
    <x v="170"/>
    <x v="1832"/>
    <n v="143"/>
    <n v="79"/>
    <n v="0.36"/>
    <n v="79"/>
    <n v="14.63"/>
    <n v="7.31"/>
    <n v="189"/>
    <m/>
    <m/>
    <m/>
  </r>
  <r>
    <s v="2019-06-06 11:33 (PST)"/>
    <x v="641"/>
    <x v="595"/>
    <x v="4"/>
    <s v="On Demand"/>
    <x v="0"/>
    <x v="2"/>
    <x v="0"/>
    <s v="Theme"/>
    <x v="483"/>
    <x v="1833"/>
    <n v="153"/>
    <n v="85"/>
    <n v="0.38"/>
    <n v="77"/>
    <n v="15"/>
    <n v="7.5"/>
    <n v="202"/>
    <m/>
    <m/>
    <m/>
  </r>
  <r>
    <s v="2019-06-13 12:17 (PST)"/>
    <x v="642"/>
    <x v="959"/>
    <x v="4"/>
    <s v="On Demand"/>
    <x v="0"/>
    <x v="2"/>
    <x v="0"/>
    <s v="Intervals"/>
    <x v="172"/>
    <x v="1834"/>
    <n v="165"/>
    <n v="92"/>
    <n v="0.41"/>
    <n v="66"/>
    <n v="14.08"/>
    <n v="7.03"/>
    <n v="218"/>
    <m/>
    <m/>
    <m/>
  </r>
  <r>
    <s v="2019-06-20 12:14 (PST)"/>
    <x v="643"/>
    <x v="1131"/>
    <x v="4"/>
    <s v="On Demand"/>
    <x v="0"/>
    <x v="2"/>
    <x v="0"/>
    <s v="Intervals"/>
    <x v="172"/>
    <x v="1835"/>
    <n v="140"/>
    <n v="78"/>
    <n v="0.42"/>
    <n v="54"/>
    <n v="12.13"/>
    <n v="6.06"/>
    <n v="184"/>
    <m/>
    <m/>
    <m/>
  </r>
  <r>
    <s v="2019-06-27 11:19 (PST)"/>
    <x v="644"/>
    <x v="598"/>
    <x v="4"/>
    <s v="On Demand"/>
    <x v="0"/>
    <x v="2"/>
    <x v="0"/>
    <s v="Music"/>
    <x v="170"/>
    <x v="1836"/>
    <n v="174"/>
    <n v="97"/>
    <n v="0.38"/>
    <n v="80"/>
    <n v="15.83"/>
    <n v="7.91"/>
    <n v="229"/>
    <m/>
    <m/>
    <m/>
  </r>
  <r>
    <s v="2019-07-11 12:02 (PST)"/>
    <x v="645"/>
    <x v="1387"/>
    <x v="4"/>
    <s v="On Demand"/>
    <x v="0"/>
    <x v="5"/>
    <x v="0"/>
    <s v="Music"/>
    <x v="484"/>
    <x v="1837"/>
    <n v="110"/>
    <n v="92"/>
    <n v="0.38"/>
    <n v="80"/>
    <n v="15.53"/>
    <n v="5.16"/>
    <n v="145"/>
    <m/>
    <m/>
    <m/>
  </r>
  <r>
    <s v="2019-07-18 12:19 (PST)"/>
    <x v="646"/>
    <x v="1388"/>
    <x v="4"/>
    <s v="On Demand"/>
    <x v="0"/>
    <x v="2"/>
    <x v="0"/>
    <s v="Intervals"/>
    <x v="172"/>
    <x v="1838"/>
    <n v="142"/>
    <n v="79"/>
    <n v="0.39"/>
    <n v="57"/>
    <n v="11.97"/>
    <n v="5.98"/>
    <n v="186"/>
    <m/>
    <m/>
    <m/>
  </r>
  <r>
    <s v="2019-09-05 12:15 (PST)"/>
    <x v="647"/>
    <x v="1389"/>
    <x v="4"/>
    <s v="On Demand"/>
    <x v="0"/>
    <x v="0"/>
    <x v="0"/>
    <s v="Intervals"/>
    <x v="0"/>
    <x v="1839"/>
    <n v="202"/>
    <n v="75"/>
    <n v="0.41"/>
    <n v="57"/>
    <n v="12.26"/>
    <n v="9.1999999999999993"/>
    <n v="266"/>
    <m/>
    <m/>
    <m/>
  </r>
  <r>
    <s v="2020-01-02 20:07 (PST)"/>
    <x v="648"/>
    <x v="1019"/>
    <x v="4"/>
    <s v="On Demand"/>
    <x v="1"/>
    <x v="3"/>
    <x v="1"/>
    <s v="Core"/>
    <x v="6"/>
    <x v="6"/>
    <m/>
    <m/>
    <m/>
    <m/>
    <m/>
    <m/>
    <n v="28"/>
    <m/>
    <m/>
    <m/>
  </r>
  <r>
    <s v="2020-01-02 20:14 (PST)"/>
    <x v="648"/>
    <x v="1235"/>
    <x v="4"/>
    <s v="On Demand"/>
    <x v="13"/>
    <x v="2"/>
    <x v="4"/>
    <s v="Flow"/>
    <x v="41"/>
    <x v="1840"/>
    <m/>
    <m/>
    <m/>
    <m/>
    <m/>
    <m/>
    <n v="123"/>
    <m/>
    <m/>
    <m/>
  </r>
  <r>
    <s v="2020-01-16 20:40 (PST)"/>
    <x v="649"/>
    <x v="1390"/>
    <x v="4"/>
    <s v="On Demand"/>
    <x v="16"/>
    <x v="4"/>
    <x v="4"/>
    <s v="Flow"/>
    <x v="24"/>
    <x v="1841"/>
    <m/>
    <m/>
    <m/>
    <m/>
    <m/>
    <m/>
    <n v="243"/>
    <m/>
    <m/>
    <m/>
  </r>
  <r>
    <s v="2020-10-15 19:03 (PST)"/>
    <x v="650"/>
    <x v="402"/>
    <x v="4"/>
    <s v="On Demand"/>
    <x v="1"/>
    <x v="1"/>
    <x v="1"/>
    <s v="Core"/>
    <x v="1"/>
    <x v="1"/>
    <m/>
    <m/>
    <m/>
    <m/>
    <m/>
    <m/>
    <n v="56"/>
    <m/>
    <m/>
    <m/>
  </r>
  <r>
    <s v="2020-10-15 19:15 (PST)"/>
    <x v="650"/>
    <x v="1391"/>
    <x v="4"/>
    <s v="On Demand"/>
    <x v="26"/>
    <x v="1"/>
    <x v="2"/>
    <s v="Full Body Stretch"/>
    <x v="4"/>
    <x v="402"/>
    <m/>
    <m/>
    <m/>
    <m/>
    <m/>
    <m/>
    <n v="28"/>
    <m/>
    <m/>
    <m/>
  </r>
  <r>
    <s v="2020-11-05 07:03 (PST)"/>
    <x v="651"/>
    <x v="397"/>
    <x v="4"/>
    <s v="On Demand"/>
    <x v="7"/>
    <x v="1"/>
    <x v="0"/>
    <s v="Power Zone"/>
    <x v="356"/>
    <x v="1842"/>
    <n v="49"/>
    <n v="81"/>
    <n v="0.33"/>
    <n v="87"/>
    <n v="14.72"/>
    <n v="2.4500000000000002"/>
    <n v="67"/>
    <m/>
    <m/>
    <m/>
  </r>
  <r>
    <s v="2020-11-05 07:15 (PST)"/>
    <x v="651"/>
    <x v="792"/>
    <x v="4"/>
    <s v="On Demand"/>
    <x v="7"/>
    <x v="5"/>
    <x v="0"/>
    <s v="Power Zone"/>
    <x v="88"/>
    <x v="1843"/>
    <n v="116"/>
    <n v="96"/>
    <n v="0.39"/>
    <n v="78"/>
    <n v="15.87"/>
    <n v="5.29"/>
    <n v="158"/>
    <m/>
    <m/>
    <m/>
  </r>
  <r>
    <s v="2020-11-05 07:39 (PST)"/>
    <x v="651"/>
    <x v="683"/>
    <x v="4"/>
    <s v="On Demand"/>
    <x v="7"/>
    <x v="1"/>
    <x v="0"/>
    <s v="Cool Down"/>
    <x v="17"/>
    <x v="1844"/>
    <n v="39"/>
    <n v="65"/>
    <n v="0.3"/>
    <n v="86"/>
    <n v="13.47"/>
    <n v="2.2400000000000002"/>
    <n v="53"/>
    <m/>
    <m/>
    <m/>
  </r>
  <r>
    <s v="2020-11-05 07:52 (PST)"/>
    <x v="651"/>
    <x v="297"/>
    <x v="4"/>
    <s v="On Demand"/>
    <x v="7"/>
    <x v="3"/>
    <x v="2"/>
    <s v="Pre &amp; Post-Ride Stretch"/>
    <x v="8"/>
    <x v="410"/>
    <m/>
    <m/>
    <m/>
    <m/>
    <m/>
    <m/>
    <n v="13"/>
    <m/>
    <m/>
    <m/>
  </r>
  <r>
    <s v="2020-11-12 06:34 (PST)"/>
    <x v="652"/>
    <x v="769"/>
    <x v="4"/>
    <s v="On Demand"/>
    <x v="5"/>
    <x v="2"/>
    <x v="0"/>
    <s v="Power Zone"/>
    <x v="424"/>
    <x v="1845"/>
    <n v="130"/>
    <n v="72"/>
    <n v="0.31"/>
    <n v="89"/>
    <n v="13.98"/>
    <n v="6.99"/>
    <n v="178"/>
    <m/>
    <m/>
    <m/>
  </r>
  <r>
    <s v="2020-11-19 06:46 (PST)"/>
    <x v="653"/>
    <x v="1392"/>
    <x v="4"/>
    <s v="On Demand"/>
    <x v="9"/>
    <x v="2"/>
    <x v="0"/>
    <s v="Power Zone"/>
    <x v="424"/>
    <x v="1846"/>
    <n v="129"/>
    <n v="72"/>
    <n v="0.3"/>
    <n v="90"/>
    <n v="13.83"/>
    <n v="6.91"/>
    <n v="176"/>
    <m/>
    <m/>
    <m/>
  </r>
  <r>
    <s v="2020-11-19 19:55 (PST)"/>
    <x v="653"/>
    <x v="1117"/>
    <x v="4"/>
    <s v="On Demand"/>
    <x v="3"/>
    <x v="1"/>
    <x v="1"/>
    <s v="Core"/>
    <x v="1"/>
    <x v="1847"/>
    <m/>
    <m/>
    <m/>
    <m/>
    <m/>
    <m/>
    <n v="51"/>
    <m/>
    <m/>
    <m/>
  </r>
  <r>
    <s v="2020-11-26 09:52 (PST)"/>
    <x v="654"/>
    <x v="1278"/>
    <x v="4"/>
    <s v="On Demand"/>
    <x v="9"/>
    <x v="0"/>
    <x v="0"/>
    <s v="Power Zone"/>
    <x v="27"/>
    <x v="1848"/>
    <n v="219"/>
    <n v="81"/>
    <n v="0.32"/>
    <n v="93"/>
    <n v="14.79"/>
    <n v="11.09"/>
    <n v="299"/>
    <m/>
    <m/>
    <m/>
  </r>
  <r>
    <s v="2020-11-26 10:38 (PST)"/>
    <x v="654"/>
    <x v="698"/>
    <x v="4"/>
    <s v="On Demand"/>
    <x v="9"/>
    <x v="3"/>
    <x v="0"/>
    <s v="Cool Down"/>
    <x v="10"/>
    <x v="1849"/>
    <n v="12"/>
    <n v="40"/>
    <n v="0.23"/>
    <n v="87"/>
    <n v="10.68"/>
    <n v="0.89"/>
    <n v="16"/>
    <m/>
    <m/>
    <m/>
  </r>
  <r>
    <s v="2020-11-26 10:51 (PST)"/>
    <x v="654"/>
    <x v="1393"/>
    <x v="4"/>
    <s v="On Demand"/>
    <x v="16"/>
    <x v="2"/>
    <x v="4"/>
    <s v="Theme"/>
    <x v="63"/>
    <x v="1850"/>
    <m/>
    <m/>
    <m/>
    <m/>
    <m/>
    <m/>
    <n v="93"/>
    <m/>
    <m/>
    <m/>
  </r>
  <r>
    <s v="2020-12-03 07:02 (PST)"/>
    <x v="655"/>
    <x v="389"/>
    <x v="4"/>
    <s v="On Demand"/>
    <x v="7"/>
    <x v="2"/>
    <x v="0"/>
    <s v="Power Zone"/>
    <x v="424"/>
    <x v="1851"/>
    <n v="157"/>
    <n v="87"/>
    <n v="0.35"/>
    <n v="84"/>
    <n v="15.01"/>
    <n v="7.5"/>
    <n v="215"/>
    <m/>
    <m/>
    <m/>
  </r>
  <r>
    <s v="2020-12-10 07:16 (PST)"/>
    <x v="656"/>
    <x v="107"/>
    <x v="4"/>
    <s v="On Demand"/>
    <x v="7"/>
    <x v="2"/>
    <x v="0"/>
    <s v="Music"/>
    <x v="485"/>
    <x v="1852"/>
    <n v="153"/>
    <n v="85"/>
    <n v="0.34"/>
    <n v="84"/>
    <n v="14.89"/>
    <n v="7.44"/>
    <n v="210"/>
    <m/>
    <m/>
    <m/>
  </r>
  <r>
    <s v="2020-12-17 18:57 (PST)"/>
    <x v="657"/>
    <x v="929"/>
    <x v="4"/>
    <s v="On Demand"/>
    <x v="6"/>
    <x v="4"/>
    <x v="0"/>
    <s v="Power Zone"/>
    <x v="7"/>
    <x v="1853"/>
    <n v="286"/>
    <n v="79"/>
    <n v="0.33"/>
    <n v="87"/>
    <n v="14.66"/>
    <n v="14.66"/>
    <n v="353"/>
    <m/>
    <m/>
    <m/>
  </r>
  <r>
    <s v="2020-12-24 18:29 (PST)"/>
    <x v="658"/>
    <x v="55"/>
    <x v="4"/>
    <s v="On Demand"/>
    <x v="6"/>
    <x v="7"/>
    <x v="0"/>
    <s v="Power Zone"/>
    <x v="87"/>
    <x v="1854"/>
    <n v="69"/>
    <n v="77"/>
    <n v="0.31"/>
    <n v="92"/>
    <n v="14.41"/>
    <n v="3.6"/>
    <n v="86"/>
    <m/>
    <m/>
    <m/>
  </r>
  <r>
    <s v="2020-12-24 18:46 (PST)"/>
    <x v="658"/>
    <x v="1394"/>
    <x v="4"/>
    <s v="On Demand"/>
    <x v="6"/>
    <x v="5"/>
    <x v="0"/>
    <s v="Power Zone"/>
    <x v="88"/>
    <x v="1855"/>
    <n v="144"/>
    <n v="120"/>
    <n v="0.39"/>
    <n v="87"/>
    <n v="17.45"/>
    <n v="5.82"/>
    <n v="178"/>
    <m/>
    <m/>
    <m/>
  </r>
  <r>
    <s v="2020-12-24 19:08 (PST)"/>
    <x v="658"/>
    <x v="1395"/>
    <x v="4"/>
    <s v="On Demand"/>
    <x v="6"/>
    <x v="3"/>
    <x v="0"/>
    <s v="Cool Down"/>
    <x v="10"/>
    <x v="28"/>
    <n v="11"/>
    <n v="37"/>
    <n v="0.21"/>
    <n v="91"/>
    <n v="10.32"/>
    <n v="0.86"/>
    <n v="14"/>
    <m/>
    <m/>
    <m/>
  </r>
  <r>
    <s v="2020-12-24 19:19 (PST)"/>
    <x v="658"/>
    <x v="876"/>
    <x v="4"/>
    <s v="On Demand"/>
    <x v="7"/>
    <x v="1"/>
    <x v="4"/>
    <s v="Focus Flow"/>
    <x v="118"/>
    <x v="1083"/>
    <m/>
    <m/>
    <m/>
    <m/>
    <m/>
    <m/>
    <n v="33"/>
    <m/>
    <m/>
    <m/>
  </r>
  <r>
    <s v="2020-12-31 15:43 (PST)"/>
    <x v="659"/>
    <x v="1396"/>
    <x v="4"/>
    <s v="On Demand"/>
    <x v="12"/>
    <x v="2"/>
    <x v="3"/>
    <s v="Body Focus"/>
    <x v="82"/>
    <x v="1856"/>
    <n v="83"/>
    <m/>
    <m/>
    <m/>
    <n v="15.5"/>
    <n v="3.73"/>
    <n v="160"/>
    <m/>
    <m/>
    <m/>
  </r>
  <r>
    <s v="2020-12-31 16:15 (PST)"/>
    <x v="659"/>
    <x v="1397"/>
    <x v="4"/>
    <s v="On Demand"/>
    <x v="15"/>
    <x v="3"/>
    <x v="0"/>
    <s v="Cool Down"/>
    <x v="10"/>
    <x v="1857"/>
    <n v="23"/>
    <n v="78"/>
    <n v="0.3"/>
    <n v="95"/>
    <n v="14.52"/>
    <n v="1.2"/>
    <n v="29"/>
    <m/>
    <m/>
    <m/>
  </r>
  <r>
    <s v="2020-12-31 16:26 (PST)"/>
    <x v="659"/>
    <x v="377"/>
    <x v="4"/>
    <s v="On Demand"/>
    <x v="19"/>
    <x v="5"/>
    <x v="4"/>
    <s v="Focus Flow"/>
    <x v="40"/>
    <x v="1858"/>
    <m/>
    <m/>
    <m/>
    <m/>
    <m/>
    <m/>
    <n v="72"/>
    <m/>
    <m/>
    <m/>
  </r>
  <r>
    <s v="2021-01-07 17:45 (PST)"/>
    <x v="660"/>
    <x v="1398"/>
    <x v="4"/>
    <s v="On Demand"/>
    <x v="12"/>
    <x v="0"/>
    <x v="3"/>
    <s v="Body Focus"/>
    <x v="181"/>
    <x v="1859"/>
    <n v="135"/>
    <m/>
    <m/>
    <m/>
    <n v="16.239999999999998"/>
    <n v="5.62"/>
    <n v="256"/>
    <m/>
    <m/>
    <m/>
  </r>
  <r>
    <s v="2021-01-07 18:33 (PST)"/>
    <x v="660"/>
    <x v="1139"/>
    <x v="4"/>
    <s v="On Demand"/>
    <x v="1"/>
    <x v="1"/>
    <x v="1"/>
    <s v="Core"/>
    <x v="1"/>
    <x v="21"/>
    <m/>
    <m/>
    <m/>
    <m/>
    <m/>
    <m/>
    <n v="46"/>
    <m/>
    <m/>
    <m/>
  </r>
  <r>
    <s v="2021-01-14 19:59 (PST)"/>
    <x v="661"/>
    <x v="1399"/>
    <x v="4"/>
    <s v="On Demand"/>
    <x v="7"/>
    <x v="0"/>
    <x v="0"/>
    <s v="Power Zone"/>
    <x v="85"/>
    <x v="1860"/>
    <n v="242"/>
    <n v="90"/>
    <n v="0.36"/>
    <n v="80"/>
    <n v="15.25"/>
    <n v="11.44"/>
    <n v="300"/>
    <m/>
    <m/>
    <m/>
  </r>
  <r>
    <s v="2021-01-14 20:46 (PST)"/>
    <x v="661"/>
    <x v="22"/>
    <x v="4"/>
    <s v="On Demand"/>
    <x v="39"/>
    <x v="1"/>
    <x v="0"/>
    <s v="Cool Down"/>
    <x v="17"/>
    <x v="1861"/>
    <n v="50"/>
    <n v="84"/>
    <n v="0.37"/>
    <n v="78"/>
    <n v="15.05"/>
    <n v="2.5099999999999998"/>
    <n v="62"/>
    <m/>
    <m/>
    <m/>
  </r>
  <r>
    <s v="2021-01-14 20:59 (PST)"/>
    <x v="661"/>
    <x v="23"/>
    <x v="4"/>
    <s v="On Demand"/>
    <x v="1"/>
    <x v="3"/>
    <x v="1"/>
    <s v="Core"/>
    <x v="6"/>
    <x v="396"/>
    <m/>
    <m/>
    <m/>
    <m/>
    <m/>
    <m/>
    <n v="23"/>
    <m/>
    <m/>
    <m/>
  </r>
  <r>
    <s v="2021-01-21 06:25 (-08)"/>
    <x v="662"/>
    <x v="1400"/>
    <x v="4"/>
    <s v="On Demand"/>
    <x v="7"/>
    <x v="0"/>
    <x v="0"/>
    <s v="Power Zone"/>
    <x v="27"/>
    <x v="154"/>
    <n v="232"/>
    <n v="86"/>
    <n v="0.36"/>
    <n v="82"/>
    <n v="15.15"/>
    <n v="11.36"/>
    <n v="288"/>
    <m/>
    <m/>
    <m/>
  </r>
  <r>
    <s v="2021-01-21 07:11 (-08)"/>
    <x v="662"/>
    <x v="1401"/>
    <x v="4"/>
    <s v="On Demand"/>
    <x v="7"/>
    <x v="3"/>
    <x v="2"/>
    <s v="Pre &amp; Post-Ride Stretch"/>
    <x v="8"/>
    <x v="26"/>
    <m/>
    <m/>
    <m/>
    <m/>
    <m/>
    <m/>
    <n v="12"/>
    <m/>
    <m/>
    <m/>
  </r>
  <r>
    <s v="2021-01-21 20:07 (PST)"/>
    <x v="662"/>
    <x v="1019"/>
    <x v="4"/>
    <s v="On Demand"/>
    <x v="16"/>
    <x v="1"/>
    <x v="5"/>
    <s v="Emotions"/>
    <x v="71"/>
    <x v="1862"/>
    <m/>
    <m/>
    <m/>
    <m/>
    <m/>
    <m/>
    <m/>
    <m/>
    <m/>
    <m/>
  </r>
  <r>
    <s v="2021-01-28 07:12 (PST)"/>
    <x v="663"/>
    <x v="532"/>
    <x v="4"/>
    <s v="On Demand"/>
    <x v="7"/>
    <x v="0"/>
    <x v="4"/>
    <s v="Power"/>
    <x v="486"/>
    <x v="1863"/>
    <m/>
    <m/>
    <m/>
    <m/>
    <m/>
    <m/>
    <n v="145"/>
    <m/>
    <m/>
    <m/>
  </r>
  <r>
    <s v="2021-01-28 20:34 (-08)"/>
    <x v="663"/>
    <x v="1402"/>
    <x v="4"/>
    <s v="On Demand"/>
    <x v="6"/>
    <x v="2"/>
    <x v="0"/>
    <s v="Power Zone"/>
    <x v="184"/>
    <x v="1864"/>
    <n v="146"/>
    <n v="81"/>
    <n v="0.33"/>
    <n v="89"/>
    <n v="14.76"/>
    <n v="7.38"/>
    <n v="180"/>
    <m/>
    <m/>
    <m/>
  </r>
  <r>
    <s v="2021-01-28 21:05 (-08)"/>
    <x v="663"/>
    <x v="1403"/>
    <x v="4"/>
    <s v="On Demand"/>
    <x v="6"/>
    <x v="3"/>
    <x v="2"/>
    <s v="Pre &amp; Post-Ride Stretch"/>
    <x v="8"/>
    <x v="1865"/>
    <m/>
    <m/>
    <m/>
    <m/>
    <m/>
    <m/>
    <n v="12"/>
    <m/>
    <m/>
    <m/>
  </r>
  <r>
    <s v="2021-02-04 07:05 (-08)"/>
    <x v="664"/>
    <x v="1404"/>
    <x v="4"/>
    <s v="On Demand"/>
    <x v="6"/>
    <x v="3"/>
    <x v="0"/>
    <s v="Warm Up"/>
    <x v="22"/>
    <x v="1866"/>
    <n v="18"/>
    <n v="61"/>
    <n v="0.28999999999999998"/>
    <n v="89"/>
    <n v="13.14"/>
    <n v="1.0900000000000001"/>
    <n v="23"/>
    <m/>
    <m/>
    <m/>
  </r>
  <r>
    <s v="2021-02-04 07:11 (-08)"/>
    <x v="664"/>
    <x v="1401"/>
    <x v="4"/>
    <s v="On Demand"/>
    <x v="6"/>
    <x v="2"/>
    <x v="0"/>
    <s v="Power Zone"/>
    <x v="5"/>
    <x v="1867"/>
    <n v="155"/>
    <n v="86"/>
    <n v="0.33"/>
    <n v="90"/>
    <n v="15.15"/>
    <n v="7.58"/>
    <n v="191"/>
    <m/>
    <m/>
    <m/>
  </r>
  <r>
    <s v="2021-02-04 07:41 (-08)"/>
    <x v="664"/>
    <x v="1405"/>
    <x v="4"/>
    <s v="On Demand"/>
    <x v="6"/>
    <x v="3"/>
    <x v="0"/>
    <s v="Cool Down"/>
    <x v="10"/>
    <x v="1868"/>
    <n v="18"/>
    <n v="61"/>
    <n v="0.28999999999999998"/>
    <n v="86"/>
    <n v="12.92"/>
    <n v="1.08"/>
    <n v="23"/>
    <m/>
    <m/>
    <m/>
  </r>
  <r>
    <s v="2021-02-04 07:46 (-08)"/>
    <x v="664"/>
    <x v="1406"/>
    <x v="4"/>
    <s v="On Demand"/>
    <x v="6"/>
    <x v="3"/>
    <x v="2"/>
    <s v="Pre &amp; Post-Ride Stretch"/>
    <x v="8"/>
    <x v="1865"/>
    <m/>
    <m/>
    <m/>
    <m/>
    <m/>
    <m/>
    <n v="12"/>
    <m/>
    <m/>
    <m/>
  </r>
  <r>
    <s v="2021-02-04 07:56 (PST)"/>
    <x v="664"/>
    <x v="28"/>
    <x v="4"/>
    <s v="On Demand"/>
    <x v="17"/>
    <x v="3"/>
    <x v="1"/>
    <s v="Core"/>
    <x v="6"/>
    <x v="1869"/>
    <m/>
    <m/>
    <m/>
    <m/>
    <m/>
    <m/>
    <n v="23"/>
    <m/>
    <m/>
    <m/>
  </r>
  <r>
    <s v="2021-02-11 06:00 (PST)"/>
    <x v="665"/>
    <x v="1407"/>
    <x v="4"/>
    <s v="On Demand"/>
    <x v="6"/>
    <x v="4"/>
    <x v="0"/>
    <s v="Power Zone"/>
    <x v="7"/>
    <x v="1853"/>
    <n v="303"/>
    <n v="84"/>
    <n v="0.34"/>
    <n v="88"/>
    <n v="15.04"/>
    <n v="15.03"/>
    <n v="375"/>
    <m/>
    <m/>
    <m/>
  </r>
  <r>
    <s v="2021-02-11 07:02 (PST)"/>
    <x v="665"/>
    <x v="389"/>
    <x v="4"/>
    <s v="On Demand"/>
    <x v="6"/>
    <x v="3"/>
    <x v="2"/>
    <s v="Pre &amp; Post-Ride Stretch"/>
    <x v="8"/>
    <x v="8"/>
    <m/>
    <m/>
    <m/>
    <m/>
    <m/>
    <m/>
    <n v="12"/>
    <m/>
    <m/>
    <m/>
  </r>
  <r>
    <s v="2021-02-18 07:00 (PST)"/>
    <x v="666"/>
    <x v="385"/>
    <x v="4"/>
    <s v="On Demand"/>
    <x v="7"/>
    <x v="4"/>
    <x v="4"/>
    <s v="Flow"/>
    <x v="24"/>
    <x v="1870"/>
    <m/>
    <m/>
    <m/>
    <m/>
    <m/>
    <m/>
    <n v="208"/>
    <n v="92.7"/>
    <m/>
    <m/>
  </r>
  <r>
    <s v="2021-02-18 19:53 (PST)"/>
    <x v="666"/>
    <x v="752"/>
    <x v="4"/>
    <s v="On Demand"/>
    <x v="5"/>
    <x v="0"/>
    <x v="0"/>
    <s v="Power Zone"/>
    <x v="27"/>
    <x v="1871"/>
    <n v="232"/>
    <n v="86"/>
    <n v="0.34"/>
    <n v="86"/>
    <n v="15.15"/>
    <n v="11.36"/>
    <n v="287"/>
    <m/>
    <m/>
    <m/>
  </r>
  <r>
    <s v="2021-02-18 20:40 (PST)"/>
    <x v="666"/>
    <x v="1390"/>
    <x v="4"/>
    <s v="On Demand"/>
    <x v="5"/>
    <x v="1"/>
    <x v="1"/>
    <s v="Arms &amp; Light Weights"/>
    <x v="18"/>
    <x v="1872"/>
    <m/>
    <m/>
    <m/>
    <m/>
    <m/>
    <m/>
    <n v="46"/>
    <m/>
    <m/>
    <m/>
  </r>
  <r>
    <s v="2021-02-25 20:17 (PST)"/>
    <x v="667"/>
    <x v="1408"/>
    <x v="4"/>
    <s v="On Demand"/>
    <x v="7"/>
    <x v="0"/>
    <x v="4"/>
    <s v="Flow"/>
    <x v="14"/>
    <x v="1873"/>
    <m/>
    <m/>
    <m/>
    <m/>
    <m/>
    <m/>
    <n v="148"/>
    <m/>
    <m/>
    <m/>
  </r>
  <r>
    <s v="2021-02-25 21:06 (PST)"/>
    <x v="667"/>
    <x v="1216"/>
    <x v="4"/>
    <s v="On Demand"/>
    <x v="23"/>
    <x v="1"/>
    <x v="5"/>
    <s v="Emotions"/>
    <x v="210"/>
    <x v="1874"/>
    <m/>
    <m/>
    <m/>
    <m/>
    <m/>
    <m/>
    <m/>
    <m/>
    <m/>
    <m/>
  </r>
  <r>
    <s v="2021-03-11 07:16 (-08)"/>
    <x v="668"/>
    <x v="1409"/>
    <x v="4"/>
    <s v="On Demand"/>
    <x v="7"/>
    <x v="1"/>
    <x v="0"/>
    <s v="Power Zone"/>
    <x v="356"/>
    <x v="1875"/>
    <n v="46"/>
    <n v="77"/>
    <n v="0.32"/>
    <n v="86"/>
    <n v="14.15"/>
    <n v="2.36"/>
    <n v="57"/>
    <m/>
    <m/>
    <m/>
  </r>
  <r>
    <s v="2021-03-11 07:27 (-08)"/>
    <x v="668"/>
    <x v="1410"/>
    <x v="4"/>
    <s v="On Demand"/>
    <x v="6"/>
    <x v="5"/>
    <x v="0"/>
    <s v="Power Zone"/>
    <x v="88"/>
    <x v="1876"/>
    <n v="151"/>
    <n v="126"/>
    <n v="0.44"/>
    <n v="76"/>
    <n v="17.79"/>
    <n v="5.93"/>
    <n v="186"/>
    <m/>
    <m/>
    <m/>
  </r>
  <r>
    <s v="2021-03-11 07:49 (-08)"/>
    <x v="668"/>
    <x v="1411"/>
    <x v="4"/>
    <s v="On Demand"/>
    <x v="6"/>
    <x v="3"/>
    <x v="0"/>
    <s v="Cool Down"/>
    <x v="10"/>
    <x v="38"/>
    <n v="9"/>
    <n v="31"/>
    <n v="0.21"/>
    <n v="80"/>
    <n v="9.4"/>
    <n v="0.78"/>
    <n v="12"/>
    <m/>
    <m/>
    <m/>
  </r>
  <r>
    <s v="2021-03-11 07:54 (-08)"/>
    <x v="668"/>
    <x v="1412"/>
    <x v="4"/>
    <s v="On Demand"/>
    <x v="6"/>
    <x v="3"/>
    <x v="2"/>
    <s v="Pre &amp; Post-Ride Stretch"/>
    <x v="8"/>
    <x v="24"/>
    <m/>
    <m/>
    <m/>
    <m/>
    <m/>
    <m/>
    <n v="12"/>
    <m/>
    <m/>
    <m/>
  </r>
  <r>
    <s v="2021-03-11 21:29 (PST)"/>
    <x v="668"/>
    <x v="423"/>
    <x v="4"/>
    <s v="On Demand"/>
    <x v="16"/>
    <x v="5"/>
    <x v="5"/>
    <s v="Relaxation"/>
    <x v="84"/>
    <x v="1208"/>
    <m/>
    <m/>
    <m/>
    <m/>
    <m/>
    <m/>
    <m/>
    <n v="105"/>
    <m/>
    <m/>
  </r>
  <r>
    <s v="2021-03-18 07:13 (-07)"/>
    <x v="669"/>
    <x v="665"/>
    <x v="4"/>
    <s v="On Demand"/>
    <x v="11"/>
    <x v="7"/>
    <x v="1"/>
    <s v="Full Body"/>
    <x v="21"/>
    <x v="1877"/>
    <m/>
    <m/>
    <m/>
    <m/>
    <m/>
    <m/>
    <n v="69"/>
    <m/>
    <m/>
    <m/>
  </r>
  <r>
    <s v="2021-03-18 07:32 (-07)"/>
    <x v="669"/>
    <x v="476"/>
    <x v="4"/>
    <s v="On Demand"/>
    <x v="7"/>
    <x v="2"/>
    <x v="0"/>
    <s v="Power Zone"/>
    <x v="274"/>
    <x v="1878"/>
    <n v="151"/>
    <n v="84"/>
    <n v="0.34"/>
    <n v="85"/>
    <n v="14.93"/>
    <n v="7.47"/>
    <n v="187"/>
    <m/>
    <m/>
    <m/>
  </r>
  <r>
    <s v="2021-03-18 08:03 (-07)"/>
    <x v="669"/>
    <x v="53"/>
    <x v="4"/>
    <s v="On Demand"/>
    <x v="7"/>
    <x v="3"/>
    <x v="2"/>
    <s v="Pre &amp; Post-Ride Stretch"/>
    <x v="8"/>
    <x v="454"/>
    <m/>
    <m/>
    <m/>
    <m/>
    <m/>
    <m/>
    <n v="12"/>
    <m/>
    <m/>
    <m/>
  </r>
  <r>
    <s v="2021-03-18 22:28 (PST)"/>
    <x v="669"/>
    <x v="472"/>
    <x v="4"/>
    <s v="On Demand"/>
    <x v="19"/>
    <x v="5"/>
    <x v="5"/>
    <s v="Emotions"/>
    <x v="430"/>
    <x v="1879"/>
    <m/>
    <m/>
    <m/>
    <m/>
    <m/>
    <m/>
    <m/>
    <m/>
    <m/>
    <m/>
  </r>
  <r>
    <s v="2021-03-25 07:26 (PST)"/>
    <x v="670"/>
    <x v="6"/>
    <x v="4"/>
    <s v="On Demand"/>
    <x v="7"/>
    <x v="0"/>
    <x v="4"/>
    <s v="Flow"/>
    <x v="14"/>
    <x v="1880"/>
    <m/>
    <m/>
    <m/>
    <m/>
    <m/>
    <m/>
    <n v="146"/>
    <m/>
    <m/>
    <m/>
  </r>
  <r>
    <s v="2021-03-25 22:07 (PST)"/>
    <x v="670"/>
    <x v="1413"/>
    <x v="4"/>
    <s v="On Demand"/>
    <x v="13"/>
    <x v="5"/>
    <x v="5"/>
    <s v="Relaxation"/>
    <x v="35"/>
    <x v="1881"/>
    <m/>
    <m/>
    <m/>
    <m/>
    <m/>
    <m/>
    <m/>
    <m/>
    <m/>
    <m/>
  </r>
  <r>
    <s v="2021-04-01 06:49 (-07)"/>
    <x v="671"/>
    <x v="433"/>
    <x v="4"/>
    <s v="On Demand"/>
    <x v="6"/>
    <x v="0"/>
    <x v="0"/>
    <s v="Power Zone"/>
    <x v="85"/>
    <x v="1882"/>
    <n v="254"/>
    <n v="94"/>
    <n v="0.37"/>
    <n v="82"/>
    <n v="15.52"/>
    <n v="11.64"/>
    <n v="314"/>
    <m/>
    <m/>
    <m/>
  </r>
  <r>
    <s v="2021-04-01 07:35 (-07)"/>
    <x v="671"/>
    <x v="1414"/>
    <x v="4"/>
    <s v="On Demand"/>
    <x v="4"/>
    <x v="3"/>
    <x v="2"/>
    <s v="Pre &amp; Post-Ride Stretch"/>
    <x v="8"/>
    <x v="1883"/>
    <m/>
    <m/>
    <m/>
    <m/>
    <m/>
    <m/>
    <n v="12"/>
    <m/>
    <m/>
    <m/>
  </r>
  <r>
    <s v="2021-04-01 23:04 (PST)"/>
    <x v="671"/>
    <x v="79"/>
    <x v="4"/>
    <s v="On Demand"/>
    <x v="16"/>
    <x v="1"/>
    <x v="5"/>
    <s v="Sleep"/>
    <x v="39"/>
    <x v="81"/>
    <m/>
    <m/>
    <m/>
    <m/>
    <m/>
    <m/>
    <m/>
    <m/>
    <m/>
    <m/>
  </r>
  <r>
    <s v="2021-04-08 07:24 (-07)"/>
    <x v="672"/>
    <x v="1415"/>
    <x v="4"/>
    <s v="On Demand"/>
    <x v="11"/>
    <x v="2"/>
    <x v="1"/>
    <s v="Full Body"/>
    <x v="487"/>
    <x v="1884"/>
    <m/>
    <m/>
    <m/>
    <m/>
    <m/>
    <m/>
    <n v="139"/>
    <m/>
    <m/>
    <m/>
  </r>
  <r>
    <s v="2021-04-08 07:58 (-07)"/>
    <x v="672"/>
    <x v="271"/>
    <x v="4"/>
    <s v="On Demand"/>
    <x v="7"/>
    <x v="2"/>
    <x v="0"/>
    <s v="Power Zone"/>
    <x v="5"/>
    <x v="1885"/>
    <n v="151"/>
    <n v="84"/>
    <n v="0.35"/>
    <n v="83"/>
    <n v="14.94"/>
    <n v="7.47"/>
    <n v="187"/>
    <m/>
    <m/>
    <m/>
  </r>
  <r>
    <s v="2021-04-08 08:29 (-07)"/>
    <x v="672"/>
    <x v="889"/>
    <x v="4"/>
    <s v="On Demand"/>
    <x v="7"/>
    <x v="3"/>
    <x v="2"/>
    <s v="Pre &amp; Post-Ride Stretch"/>
    <x v="8"/>
    <x v="454"/>
    <m/>
    <m/>
    <m/>
    <m/>
    <m/>
    <m/>
    <n v="12"/>
    <m/>
    <m/>
    <m/>
  </r>
  <r>
    <s v="2021-04-08 22:45 (PST)"/>
    <x v="672"/>
    <x v="676"/>
    <x v="4"/>
    <s v="On Demand"/>
    <x v="16"/>
    <x v="5"/>
    <x v="5"/>
    <s v="Breath"/>
    <x v="62"/>
    <x v="1886"/>
    <m/>
    <m/>
    <m/>
    <m/>
    <m/>
    <m/>
    <m/>
    <m/>
    <m/>
    <m/>
  </r>
  <r>
    <s v="2021-04-15 06:49 (-07)"/>
    <x v="673"/>
    <x v="433"/>
    <x v="4"/>
    <s v="On Demand"/>
    <x v="6"/>
    <x v="4"/>
    <x v="0"/>
    <s v="Power Zone"/>
    <x v="23"/>
    <x v="118"/>
    <n v="351"/>
    <n v="97"/>
    <n v="0.37"/>
    <n v="84"/>
    <n v="15.87"/>
    <n v="15.87"/>
    <n v="434"/>
    <m/>
    <m/>
    <m/>
  </r>
  <r>
    <s v="2021-04-15 07:51 (-07)"/>
    <x v="673"/>
    <x v="1416"/>
    <x v="4"/>
    <s v="On Demand"/>
    <x v="6"/>
    <x v="3"/>
    <x v="0"/>
    <s v="Cool Down"/>
    <x v="10"/>
    <x v="45"/>
    <n v="14"/>
    <n v="48"/>
    <n v="0.25"/>
    <n v="89"/>
    <n v="11.73"/>
    <n v="0.98"/>
    <n v="18"/>
    <m/>
    <m/>
    <m/>
  </r>
  <r>
    <s v="2021-04-15 07:57 (-07)"/>
    <x v="673"/>
    <x v="93"/>
    <x v="4"/>
    <s v="On Demand"/>
    <x v="6"/>
    <x v="3"/>
    <x v="2"/>
    <s v="Pre &amp; Post-Ride Stretch"/>
    <x v="8"/>
    <x v="61"/>
    <m/>
    <m/>
    <m/>
    <m/>
    <m/>
    <m/>
    <n v="12"/>
    <m/>
    <m/>
    <m/>
  </r>
  <r>
    <s v="2021-04-15 08:05 (-07)"/>
    <x v="673"/>
    <x v="1417"/>
    <x v="4"/>
    <s v="On Demand"/>
    <x v="7"/>
    <x v="1"/>
    <x v="4"/>
    <s v="Flow"/>
    <x v="178"/>
    <x v="1887"/>
    <m/>
    <m/>
    <m/>
    <m/>
    <m/>
    <m/>
    <n v="33"/>
    <m/>
    <m/>
    <m/>
  </r>
  <r>
    <s v="2021-04-15 22:22 (PST)"/>
    <x v="673"/>
    <x v="493"/>
    <x v="4"/>
    <s v="On Demand"/>
    <x v="23"/>
    <x v="1"/>
    <x v="5"/>
    <s v="Emotions"/>
    <x v="60"/>
    <x v="1888"/>
    <m/>
    <m/>
    <m/>
    <m/>
    <m/>
    <m/>
    <m/>
    <m/>
    <m/>
    <m/>
  </r>
  <r>
    <s v="2021-04-22 20:05 (-07)"/>
    <x v="674"/>
    <x v="1418"/>
    <x v="4"/>
    <s v="On Demand"/>
    <x v="5"/>
    <x v="2"/>
    <x v="0"/>
    <s v="Power Zone"/>
    <x v="5"/>
    <x v="1889"/>
    <n v="147"/>
    <n v="82"/>
    <n v="0.32"/>
    <n v="90"/>
    <n v="14.67"/>
    <n v="7.34"/>
    <n v="182"/>
    <m/>
    <m/>
    <m/>
  </r>
  <r>
    <s v="2021-04-22 20:37 (-07)"/>
    <x v="674"/>
    <x v="1419"/>
    <x v="4"/>
    <s v="On Demand"/>
    <x v="4"/>
    <x v="1"/>
    <x v="1"/>
    <s v="Upper Body"/>
    <x v="313"/>
    <x v="1890"/>
    <m/>
    <m/>
    <m/>
    <m/>
    <m/>
    <m/>
    <n v="46"/>
    <m/>
    <m/>
    <m/>
  </r>
  <r>
    <s v="2021-04-22 20:49 (-07)"/>
    <x v="674"/>
    <x v="1420"/>
    <x v="4"/>
    <s v="On Demand"/>
    <x v="11"/>
    <x v="7"/>
    <x v="1"/>
    <s v="Core"/>
    <x v="126"/>
    <x v="1891"/>
    <m/>
    <m/>
    <m/>
    <m/>
    <m/>
    <m/>
    <n v="69"/>
    <m/>
    <m/>
    <m/>
  </r>
  <r>
    <s v="2021-04-22 21:06 (-07)"/>
    <x v="674"/>
    <x v="1421"/>
    <x v="4"/>
    <s v="On Demand"/>
    <x v="5"/>
    <x v="3"/>
    <x v="2"/>
    <s v="Pre &amp; Post-Ride Stretch"/>
    <x v="8"/>
    <x v="1458"/>
    <m/>
    <m/>
    <m/>
    <m/>
    <m/>
    <m/>
    <n v="12"/>
    <m/>
    <m/>
    <m/>
  </r>
  <r>
    <s v="2021-04-22 21:17 (PST)"/>
    <x v="674"/>
    <x v="969"/>
    <x v="4"/>
    <s v="On Demand"/>
    <x v="7"/>
    <x v="5"/>
    <x v="4"/>
    <s v="Flow"/>
    <x v="30"/>
    <x v="1892"/>
    <m/>
    <m/>
    <m/>
    <m/>
    <m/>
    <m/>
    <n v="64"/>
    <m/>
    <m/>
    <m/>
  </r>
  <r>
    <s v="2021-04-22 22:51 (PST)"/>
    <x v="674"/>
    <x v="313"/>
    <x v="4"/>
    <s v="On Demand"/>
    <x v="16"/>
    <x v="1"/>
    <x v="5"/>
    <s v="Relaxation"/>
    <x v="71"/>
    <x v="1893"/>
    <m/>
    <m/>
    <m/>
    <m/>
    <m/>
    <m/>
    <m/>
    <m/>
    <m/>
    <m/>
  </r>
  <r>
    <s v="2021-04-29 07:05 (-07)"/>
    <x v="675"/>
    <x v="47"/>
    <x v="4"/>
    <s v="On Demand"/>
    <x v="7"/>
    <x v="2"/>
    <x v="0"/>
    <s v="Power Zone"/>
    <x v="5"/>
    <x v="275"/>
    <n v="156"/>
    <n v="87"/>
    <n v="0.35"/>
    <n v="86"/>
    <n v="15.18"/>
    <n v="7.6"/>
    <n v="193"/>
    <m/>
    <m/>
    <m/>
  </r>
  <r>
    <s v="2021-04-29 07:37 (-07)"/>
    <x v="675"/>
    <x v="1422"/>
    <x v="4"/>
    <s v="On Demand"/>
    <x v="5"/>
    <x v="1"/>
    <x v="1"/>
    <s v="Arms &amp; Light Weights"/>
    <x v="28"/>
    <x v="100"/>
    <m/>
    <m/>
    <m/>
    <m/>
    <m/>
    <m/>
    <n v="46"/>
    <m/>
    <m/>
    <m/>
  </r>
  <r>
    <s v="2021-04-29 07:48 (-07)"/>
    <x v="675"/>
    <x v="1423"/>
    <x v="4"/>
    <s v="On Demand"/>
    <x v="5"/>
    <x v="1"/>
    <x v="1"/>
    <s v="Core"/>
    <x v="1"/>
    <x v="1894"/>
    <m/>
    <m/>
    <m/>
    <m/>
    <m/>
    <m/>
    <n v="46"/>
    <m/>
    <m/>
    <m/>
  </r>
  <r>
    <s v="2021-04-29 08:00 (-07)"/>
    <x v="675"/>
    <x v="90"/>
    <x v="4"/>
    <s v="On Demand"/>
    <x v="7"/>
    <x v="3"/>
    <x v="2"/>
    <s v="Pre &amp; Post-Ride Stretch"/>
    <x v="8"/>
    <x v="1895"/>
    <m/>
    <m/>
    <m/>
    <m/>
    <m/>
    <m/>
    <n v="12"/>
    <m/>
    <m/>
    <m/>
  </r>
  <r>
    <s v="2021-04-29 19:20 (PST)"/>
    <x v="675"/>
    <x v="1424"/>
    <x v="4"/>
    <s v="On Demand"/>
    <x v="7"/>
    <x v="0"/>
    <x v="4"/>
    <s v="Flow"/>
    <x v="14"/>
    <x v="1896"/>
    <m/>
    <m/>
    <m/>
    <m/>
    <m/>
    <m/>
    <n v="148"/>
    <n v="77.72"/>
    <m/>
    <m/>
  </r>
  <r>
    <s v="2021-04-29 22:32 (PST)"/>
    <x v="675"/>
    <x v="454"/>
    <x v="4"/>
    <s v="On Demand"/>
    <x v="19"/>
    <x v="5"/>
    <x v="5"/>
    <s v="Mindfulness"/>
    <x v="488"/>
    <x v="1897"/>
    <m/>
    <m/>
    <m/>
    <m/>
    <m/>
    <m/>
    <m/>
    <m/>
    <m/>
    <m/>
  </r>
  <r>
    <s v="2021-05-06 19:19 (-07)"/>
    <x v="676"/>
    <x v="761"/>
    <x v="4"/>
    <s v="On Demand"/>
    <x v="7"/>
    <x v="0"/>
    <x v="0"/>
    <s v="Power Zone"/>
    <x v="85"/>
    <x v="1898"/>
    <n v="267"/>
    <n v="99"/>
    <n v="0.36"/>
    <n v="86"/>
    <n v="16"/>
    <n v="11.99"/>
    <n v="330"/>
    <m/>
    <m/>
    <m/>
  </r>
  <r>
    <s v="2021-05-06 20:04 (-07)"/>
    <x v="676"/>
    <x v="1425"/>
    <x v="4"/>
    <s v="On Demand"/>
    <x v="7"/>
    <x v="1"/>
    <x v="0"/>
    <s v="Cool Down"/>
    <x v="17"/>
    <x v="1088"/>
    <n v="46"/>
    <n v="77"/>
    <n v="0.34"/>
    <n v="82"/>
    <n v="14.5"/>
    <n v="2.42"/>
    <n v="58"/>
    <m/>
    <m/>
    <m/>
  </r>
  <r>
    <s v="2021-05-06 20:16 (-07)"/>
    <x v="676"/>
    <x v="1272"/>
    <x v="4"/>
    <s v="On Demand"/>
    <x v="12"/>
    <x v="1"/>
    <x v="1"/>
    <s v="Arms &amp; Light Weights"/>
    <x v="28"/>
    <x v="458"/>
    <m/>
    <m/>
    <m/>
    <m/>
    <m/>
    <m/>
    <n v="46"/>
    <m/>
    <m/>
    <m/>
  </r>
  <r>
    <s v="2021-05-06 20:27 (-07)"/>
    <x v="676"/>
    <x v="1426"/>
    <x v="4"/>
    <s v="On Demand"/>
    <x v="5"/>
    <x v="1"/>
    <x v="1"/>
    <s v="Core"/>
    <x v="1"/>
    <x v="1899"/>
    <m/>
    <m/>
    <m/>
    <m/>
    <m/>
    <m/>
    <n v="46"/>
    <m/>
    <m/>
    <m/>
  </r>
  <r>
    <s v="2021-05-06 20:38 (-07)"/>
    <x v="676"/>
    <x v="459"/>
    <x v="4"/>
    <s v="On Demand"/>
    <x v="7"/>
    <x v="3"/>
    <x v="2"/>
    <s v="Pre &amp; Post-Ride Stretch"/>
    <x v="8"/>
    <x v="1900"/>
    <m/>
    <m/>
    <m/>
    <m/>
    <m/>
    <m/>
    <n v="12"/>
    <m/>
    <m/>
    <m/>
  </r>
  <r>
    <s v="2021-05-06 22:41 (PST)"/>
    <x v="676"/>
    <x v="230"/>
    <x v="4"/>
    <s v="On Demand"/>
    <x v="19"/>
    <x v="5"/>
    <x v="5"/>
    <s v="Emotions"/>
    <x v="32"/>
    <x v="1901"/>
    <m/>
    <m/>
    <m/>
    <m/>
    <m/>
    <m/>
    <m/>
    <m/>
    <m/>
    <m/>
  </r>
  <r>
    <s v="2021-05-13 07:27 (PST)"/>
    <x v="677"/>
    <x v="614"/>
    <x v="4"/>
    <s v="On Demand"/>
    <x v="13"/>
    <x v="0"/>
    <x v="4"/>
    <s v="Flow"/>
    <x v="414"/>
    <x v="1902"/>
    <m/>
    <m/>
    <m/>
    <m/>
    <m/>
    <m/>
    <n v="140"/>
    <m/>
    <m/>
    <m/>
  </r>
  <r>
    <s v="2021-05-13 19:08 (-07)"/>
    <x v="677"/>
    <x v="1427"/>
    <x v="4"/>
    <s v="On Demand"/>
    <x v="7"/>
    <x v="0"/>
    <x v="0"/>
    <s v="Power Zone"/>
    <x v="27"/>
    <x v="1903"/>
    <n v="234"/>
    <n v="87"/>
    <n v="0.35"/>
    <n v="84"/>
    <n v="15.18"/>
    <n v="11.39"/>
    <n v="290"/>
    <m/>
    <m/>
    <m/>
  </r>
  <r>
    <s v="2021-05-13 19:53 (-07)"/>
    <x v="677"/>
    <x v="241"/>
    <x v="4"/>
    <s v="On Demand"/>
    <x v="7"/>
    <x v="3"/>
    <x v="2"/>
    <s v="Pre &amp; Post-Ride Stretch"/>
    <x v="8"/>
    <x v="454"/>
    <m/>
    <m/>
    <m/>
    <m/>
    <m/>
    <m/>
    <n v="12"/>
    <m/>
    <m/>
    <m/>
  </r>
  <r>
    <s v="2021-05-13 19:59 (-07)"/>
    <x v="677"/>
    <x v="242"/>
    <x v="4"/>
    <s v="On Demand"/>
    <x v="5"/>
    <x v="3"/>
    <x v="1"/>
    <s v="Core"/>
    <x v="6"/>
    <x v="1904"/>
    <m/>
    <m/>
    <m/>
    <m/>
    <m/>
    <m/>
    <n v="23"/>
    <m/>
    <m/>
    <m/>
  </r>
  <r>
    <s v="2021-05-13 22:21 (PST)"/>
    <x v="677"/>
    <x v="740"/>
    <x v="4"/>
    <s v="On Demand"/>
    <x v="23"/>
    <x v="7"/>
    <x v="5"/>
    <s v="Sleep"/>
    <x v="65"/>
    <x v="1495"/>
    <m/>
    <m/>
    <m/>
    <m/>
    <m/>
    <m/>
    <m/>
    <m/>
    <m/>
    <m/>
  </r>
  <r>
    <s v="2021-05-20 07:13 (-07)"/>
    <x v="678"/>
    <x v="665"/>
    <x v="4"/>
    <s v="On Demand"/>
    <x v="6"/>
    <x v="4"/>
    <x v="0"/>
    <s v="Power Zone"/>
    <x v="23"/>
    <x v="748"/>
    <n v="333"/>
    <n v="93"/>
    <n v="0.36"/>
    <n v="84"/>
    <n v="15.49"/>
    <n v="15.49"/>
    <n v="411"/>
    <m/>
    <m/>
    <m/>
  </r>
  <r>
    <s v="2021-05-20 08:14 (-07)"/>
    <x v="678"/>
    <x v="94"/>
    <x v="4"/>
    <s v="On Demand"/>
    <x v="6"/>
    <x v="3"/>
    <x v="2"/>
    <s v="Pre &amp; Post-Ride Stretch"/>
    <x v="8"/>
    <x v="61"/>
    <m/>
    <m/>
    <m/>
    <m/>
    <m/>
    <m/>
    <n v="11"/>
    <m/>
    <m/>
    <m/>
  </r>
  <r>
    <s v="2021-05-20 22:49 (PST)"/>
    <x v="678"/>
    <x v="72"/>
    <x v="4"/>
    <s v="On Demand"/>
    <x v="19"/>
    <x v="1"/>
    <x v="5"/>
    <s v="Emotions"/>
    <x v="210"/>
    <x v="1905"/>
    <m/>
    <m/>
    <m/>
    <m/>
    <m/>
    <m/>
    <m/>
    <m/>
    <m/>
    <m/>
  </r>
  <r>
    <s v="2021-05-27 20:18 (-07)"/>
    <x v="679"/>
    <x v="445"/>
    <x v="4"/>
    <s v="On Demand"/>
    <x v="6"/>
    <x v="4"/>
    <x v="0"/>
    <s v="Power Zone"/>
    <x v="23"/>
    <x v="1906"/>
    <n v="362"/>
    <n v="101"/>
    <n v="0.38"/>
    <n v="83"/>
    <n v="16.149999999999999"/>
    <n v="16.149999999999999"/>
    <n v="446"/>
    <m/>
    <m/>
    <m/>
  </r>
  <r>
    <s v="2021-05-27 21:20 (-07)"/>
    <x v="679"/>
    <x v="1428"/>
    <x v="4"/>
    <s v="On Demand"/>
    <x v="6"/>
    <x v="3"/>
    <x v="2"/>
    <s v="Pre &amp; Post-Ride Stretch"/>
    <x v="8"/>
    <x v="61"/>
    <m/>
    <m/>
    <m/>
    <m/>
    <m/>
    <m/>
    <n v="11"/>
    <m/>
    <m/>
    <m/>
  </r>
  <r>
    <s v="2021-05-27 21:26 (-07)"/>
    <x v="679"/>
    <x v="1429"/>
    <x v="4"/>
    <s v="On Demand"/>
    <x v="3"/>
    <x v="3"/>
    <x v="1"/>
    <s v="Core"/>
    <x v="6"/>
    <x v="1907"/>
    <m/>
    <m/>
    <m/>
    <m/>
    <m/>
    <m/>
    <n v="23"/>
    <m/>
    <m/>
    <m/>
  </r>
  <r>
    <s v="2021-05-27 23:23 (PST)"/>
    <x v="679"/>
    <x v="1430"/>
    <x v="4"/>
    <s v="On Demand"/>
    <x v="16"/>
    <x v="7"/>
    <x v="5"/>
    <s v="Sleep"/>
    <x v="65"/>
    <x v="1908"/>
    <m/>
    <m/>
    <m/>
    <m/>
    <m/>
    <m/>
    <m/>
    <m/>
    <m/>
    <m/>
  </r>
  <r>
    <s v="2021-06-03 07:09 (-07)"/>
    <x v="680"/>
    <x v="1431"/>
    <x v="4"/>
    <s v="On Demand"/>
    <x v="6"/>
    <x v="4"/>
    <x v="0"/>
    <s v="Power Zone"/>
    <x v="23"/>
    <x v="1909"/>
    <n v="332"/>
    <n v="92"/>
    <n v="0.35"/>
    <n v="86"/>
    <n v="15.31"/>
    <n v="15.31"/>
    <n v="410"/>
    <m/>
    <m/>
    <m/>
  </r>
  <r>
    <s v="2021-06-03 08:09 (-07)"/>
    <x v="680"/>
    <x v="1432"/>
    <x v="4"/>
    <s v="On Demand"/>
    <x v="6"/>
    <x v="3"/>
    <x v="2"/>
    <s v="Pre &amp; Post-Ride Stretch"/>
    <x v="8"/>
    <x v="61"/>
    <m/>
    <m/>
    <m/>
    <m/>
    <m/>
    <m/>
    <n v="11"/>
    <m/>
    <m/>
    <m/>
  </r>
  <r>
    <s v="2021-06-10 06:59 (PST)"/>
    <x v="681"/>
    <x v="524"/>
    <x v="4"/>
    <s v="On Demand"/>
    <x v="16"/>
    <x v="5"/>
    <x v="4"/>
    <s v="Theme"/>
    <x v="489"/>
    <x v="1910"/>
    <m/>
    <m/>
    <m/>
    <m/>
    <m/>
    <m/>
    <n v="69"/>
    <n v="95.97"/>
    <m/>
    <m/>
  </r>
  <r>
    <s v="2021-06-10 18:47 (-07)"/>
    <x v="681"/>
    <x v="510"/>
    <x v="4"/>
    <s v="On Demand"/>
    <x v="6"/>
    <x v="7"/>
    <x v="0"/>
    <s v="Power Zone"/>
    <x v="87"/>
    <x v="1218"/>
    <n v="72"/>
    <n v="80"/>
    <n v="0.32"/>
    <n v="89"/>
    <n v="14.5"/>
    <n v="3.63"/>
    <n v="89"/>
    <m/>
    <m/>
    <m/>
  </r>
  <r>
    <s v="2021-06-10 19:03 (-07)"/>
    <x v="681"/>
    <x v="1433"/>
    <x v="4"/>
    <s v="On Demand"/>
    <x v="6"/>
    <x v="5"/>
    <x v="0"/>
    <s v="Power Zone"/>
    <x v="88"/>
    <x v="1219"/>
    <n v="169"/>
    <n v="141"/>
    <n v="0.44"/>
    <n v="81"/>
    <n v="18.600000000000001"/>
    <n v="6.2"/>
    <n v="209"/>
    <m/>
    <m/>
    <m/>
  </r>
  <r>
    <s v="2021-06-10 19:25 (-07)"/>
    <x v="681"/>
    <x v="1434"/>
    <x v="4"/>
    <s v="On Demand"/>
    <x v="18"/>
    <x v="1"/>
    <x v="0"/>
    <s v="Cool Down"/>
    <x v="17"/>
    <x v="1911"/>
    <n v="48"/>
    <n v="80"/>
    <n v="0.36"/>
    <n v="78"/>
    <n v="14.7"/>
    <n v="2.46"/>
    <n v="59"/>
    <m/>
    <m/>
    <m/>
  </r>
  <r>
    <s v="2021-06-10 19:35 (-07)"/>
    <x v="681"/>
    <x v="436"/>
    <x v="4"/>
    <s v="On Demand"/>
    <x v="18"/>
    <x v="3"/>
    <x v="2"/>
    <s v="Pre &amp; Post-Ride Stretch"/>
    <x v="8"/>
    <x v="1912"/>
    <m/>
    <m/>
    <m/>
    <m/>
    <m/>
    <m/>
    <n v="11"/>
    <m/>
    <m/>
    <m/>
  </r>
  <r>
    <s v="2021-06-10 22:00 (PST)"/>
    <x v="681"/>
    <x v="365"/>
    <x v="4"/>
    <s v="On Demand"/>
    <x v="13"/>
    <x v="1"/>
    <x v="5"/>
    <s v="Emotions"/>
    <x v="15"/>
    <x v="1913"/>
    <m/>
    <m/>
    <m/>
    <m/>
    <m/>
    <m/>
    <m/>
    <m/>
    <m/>
    <m/>
  </r>
  <r>
    <s v="2021-06-17 07:02 (-07)"/>
    <x v="682"/>
    <x v="52"/>
    <x v="4"/>
    <s v="On Demand"/>
    <x v="7"/>
    <x v="0"/>
    <x v="0"/>
    <s v="Power Zone"/>
    <x v="27"/>
    <x v="453"/>
    <n v="245"/>
    <n v="91"/>
    <n v="0.35"/>
    <n v="86"/>
    <n v="15.41"/>
    <n v="11.55"/>
    <n v="302"/>
    <m/>
    <m/>
    <m/>
  </r>
  <r>
    <s v="2021-06-17 07:48 (-07)"/>
    <x v="682"/>
    <x v="1423"/>
    <x v="4"/>
    <s v="On Demand"/>
    <x v="7"/>
    <x v="3"/>
    <x v="2"/>
    <s v="Pre &amp; Post-Ride Stretch"/>
    <x v="8"/>
    <x v="499"/>
    <m/>
    <m/>
    <m/>
    <m/>
    <m/>
    <m/>
    <n v="11"/>
    <m/>
    <m/>
    <m/>
  </r>
  <r>
    <s v="2021-06-24 07:00 (-07)"/>
    <x v="683"/>
    <x v="64"/>
    <x v="4"/>
    <s v="On Demand"/>
    <x v="7"/>
    <x v="0"/>
    <x v="0"/>
    <s v="Power Zone"/>
    <x v="27"/>
    <x v="197"/>
    <n v="255"/>
    <n v="94"/>
    <n v="0.37"/>
    <n v="82"/>
    <n v="15.71"/>
    <n v="11.79"/>
    <n v="314"/>
    <m/>
    <m/>
    <m/>
  </r>
  <r>
    <s v="2021-06-24 07:46 (-07)"/>
    <x v="683"/>
    <x v="1435"/>
    <x v="4"/>
    <s v="On Demand"/>
    <x v="7"/>
    <x v="3"/>
    <x v="2"/>
    <s v="Pre &amp; Post-Ride Stretch"/>
    <x v="8"/>
    <x v="499"/>
    <m/>
    <m/>
    <m/>
    <m/>
    <m/>
    <m/>
    <n v="12"/>
    <m/>
    <m/>
    <m/>
  </r>
  <r>
    <s v="2021-06-24 07:53 (-07)"/>
    <x v="683"/>
    <x v="481"/>
    <x v="4"/>
    <s v="On Demand"/>
    <x v="5"/>
    <x v="5"/>
    <x v="1"/>
    <s v="Core"/>
    <x v="490"/>
    <x v="1914"/>
    <m/>
    <m/>
    <m/>
    <m/>
    <m/>
    <m/>
    <n v="92"/>
    <m/>
    <m/>
    <m/>
  </r>
  <r>
    <s v="2021-06-24 22:26 (PST)"/>
    <x v="683"/>
    <x v="56"/>
    <x v="4"/>
    <s v="On Demand"/>
    <x v="25"/>
    <x v="7"/>
    <x v="5"/>
    <s v="Relaxation"/>
    <x v="199"/>
    <x v="1915"/>
    <m/>
    <m/>
    <m/>
    <m/>
    <m/>
    <m/>
    <m/>
    <m/>
    <m/>
    <m/>
  </r>
  <r>
    <s v="2021-07-01 10:16 (-07)"/>
    <x v="684"/>
    <x v="351"/>
    <x v="4"/>
    <s v="On Demand"/>
    <x v="6"/>
    <x v="2"/>
    <x v="0"/>
    <s v="Power Zone"/>
    <x v="5"/>
    <x v="1312"/>
    <n v="166"/>
    <n v="92"/>
    <n v="0.35"/>
    <n v="86"/>
    <n v="15.49"/>
    <n v="7.74"/>
    <n v="205"/>
    <m/>
    <m/>
    <m/>
  </r>
  <r>
    <s v="2021-07-01 10:50 (-07)"/>
    <x v="684"/>
    <x v="1436"/>
    <x v="4"/>
    <s v="On Demand"/>
    <x v="21"/>
    <x v="5"/>
    <x v="1"/>
    <s v="Core"/>
    <x v="491"/>
    <x v="1916"/>
    <m/>
    <m/>
    <m/>
    <m/>
    <m/>
    <m/>
    <n v="92"/>
    <m/>
    <m/>
    <m/>
  </r>
  <r>
    <s v="2021-07-01 11:12 (-07)"/>
    <x v="684"/>
    <x v="1437"/>
    <x v="4"/>
    <s v="On Demand"/>
    <x v="16"/>
    <x v="1"/>
    <x v="4"/>
    <s v="Focus Flow"/>
    <x v="118"/>
    <x v="1917"/>
    <m/>
    <m/>
    <m/>
    <m/>
    <m/>
    <m/>
    <n v="34"/>
    <m/>
    <m/>
    <m/>
  </r>
  <r>
    <s v="2021-07-01 23:02 (PST)"/>
    <x v="684"/>
    <x v="745"/>
    <x v="4"/>
    <s v="On Demand"/>
    <x v="13"/>
    <x v="5"/>
    <x v="5"/>
    <s v="Sleep"/>
    <x v="29"/>
    <x v="491"/>
    <m/>
    <m/>
    <m/>
    <m/>
    <m/>
    <m/>
    <m/>
    <m/>
    <m/>
    <m/>
  </r>
  <r>
    <s v="2021-07-08 02:11 (PST)"/>
    <x v="685"/>
    <x v="1438"/>
    <x v="4"/>
    <s v="On Demand"/>
    <x v="16"/>
    <x v="1"/>
    <x v="5"/>
    <s v="Emotions"/>
    <x v="151"/>
    <x v="1918"/>
    <m/>
    <m/>
    <m/>
    <m/>
    <m/>
    <m/>
    <m/>
    <m/>
    <m/>
    <m/>
  </r>
  <r>
    <s v="2021-07-08 23:18 (PST)"/>
    <x v="685"/>
    <x v="1439"/>
    <x v="4"/>
    <s v="On Demand"/>
    <x v="13"/>
    <x v="5"/>
    <x v="5"/>
    <s v="Sleep"/>
    <x v="29"/>
    <x v="491"/>
    <m/>
    <m/>
    <m/>
    <m/>
    <m/>
    <m/>
    <m/>
    <m/>
    <m/>
    <m/>
  </r>
  <r>
    <s v="2021-07-15 07:25 (PST)"/>
    <x v="686"/>
    <x v="422"/>
    <x v="4"/>
    <s v="On Demand"/>
    <x v="7"/>
    <x v="4"/>
    <x v="4"/>
    <s v="Flow"/>
    <x v="24"/>
    <x v="1919"/>
    <m/>
    <m/>
    <m/>
    <m/>
    <m/>
    <m/>
    <n v="193"/>
    <m/>
    <m/>
    <m/>
  </r>
  <r>
    <s v="2021-07-15 13:50 (PST)"/>
    <x v="686"/>
    <x v="1440"/>
    <x v="4"/>
    <s v="On Demand"/>
    <x v="16"/>
    <x v="3"/>
    <x v="4"/>
    <s v="Yoga Anywhere"/>
    <x v="492"/>
    <x v="1546"/>
    <m/>
    <m/>
    <m/>
    <m/>
    <m/>
    <m/>
    <n v="16"/>
    <n v="92.57"/>
    <m/>
    <m/>
  </r>
  <r>
    <s v="2021-07-15 14:00 (PST)"/>
    <x v="686"/>
    <x v="1441"/>
    <x v="4"/>
    <s v="On Demand"/>
    <x v="21"/>
    <x v="3"/>
    <x v="1"/>
    <s v="Core"/>
    <x v="6"/>
    <x v="1920"/>
    <m/>
    <m/>
    <m/>
    <m/>
    <m/>
    <m/>
    <n v="17"/>
    <n v="85.5"/>
    <m/>
    <m/>
  </r>
  <r>
    <s v="2021-07-15 22:47 (PST)"/>
    <x v="686"/>
    <x v="207"/>
    <x v="4"/>
    <s v="On Demand"/>
    <x v="19"/>
    <x v="5"/>
    <x v="5"/>
    <s v="Emotions"/>
    <x v="363"/>
    <x v="1921"/>
    <m/>
    <m/>
    <m/>
    <m/>
    <m/>
    <m/>
    <m/>
    <m/>
    <m/>
    <m/>
  </r>
  <r>
    <s v="2021-07-22 07:04 (PST)"/>
    <x v="687"/>
    <x v="494"/>
    <x v="4"/>
    <s v="On Demand"/>
    <x v="16"/>
    <x v="4"/>
    <x v="4"/>
    <s v="Flow"/>
    <x v="24"/>
    <x v="1922"/>
    <m/>
    <m/>
    <m/>
    <m/>
    <m/>
    <m/>
    <n v="207"/>
    <m/>
    <m/>
    <m/>
  </r>
  <r>
    <s v="2021-07-22 21:43 (PST)"/>
    <x v="687"/>
    <x v="502"/>
    <x v="4"/>
    <s v="On Demand"/>
    <x v="19"/>
    <x v="5"/>
    <x v="5"/>
    <s v="Emotions"/>
    <x v="363"/>
    <x v="1921"/>
    <m/>
    <m/>
    <m/>
    <m/>
    <m/>
    <m/>
    <m/>
    <m/>
    <m/>
    <m/>
  </r>
  <r>
    <s v="2021-07-29 07:19 (-07)"/>
    <x v="688"/>
    <x v="1442"/>
    <x v="4"/>
    <s v="On Demand"/>
    <x v="7"/>
    <x v="2"/>
    <x v="0"/>
    <s v="Power Zone"/>
    <x v="493"/>
    <x v="1923"/>
    <n v="167"/>
    <n v="93"/>
    <n v="0.36"/>
    <n v="85"/>
    <n v="15.55"/>
    <n v="7.78"/>
    <n v="206"/>
    <m/>
    <m/>
    <m/>
  </r>
  <r>
    <s v="2021-07-29 07:50 (-07)"/>
    <x v="688"/>
    <x v="48"/>
    <x v="4"/>
    <s v="On Demand"/>
    <x v="7"/>
    <x v="3"/>
    <x v="2"/>
    <s v="Pre &amp; Post-Ride Stretch"/>
    <x v="8"/>
    <x v="499"/>
    <m/>
    <m/>
    <m/>
    <m/>
    <m/>
    <m/>
    <n v="11"/>
    <m/>
    <m/>
    <m/>
  </r>
  <r>
    <s v="2021-07-29 22:29 (PST)"/>
    <x v="688"/>
    <x v="639"/>
    <x v="4"/>
    <s v="On Demand"/>
    <x v="13"/>
    <x v="5"/>
    <x v="5"/>
    <s v="Breath"/>
    <x v="62"/>
    <x v="1924"/>
    <m/>
    <m/>
    <m/>
    <m/>
    <m/>
    <m/>
    <m/>
    <m/>
    <m/>
    <m/>
  </r>
  <r>
    <s v="2021-08-05 07:10 (-07)"/>
    <x v="689"/>
    <x v="1443"/>
    <x v="4"/>
    <s v="On Demand"/>
    <x v="6"/>
    <x v="2"/>
    <x v="0"/>
    <s v="Power Zone"/>
    <x v="131"/>
    <x v="1925"/>
    <n v="170"/>
    <n v="94"/>
    <n v="0.35"/>
    <n v="87"/>
    <n v="15.65"/>
    <n v="7.83"/>
    <n v="209"/>
    <m/>
    <m/>
    <m/>
  </r>
  <r>
    <s v="2021-08-05 07:41 (-07)"/>
    <x v="689"/>
    <x v="1444"/>
    <x v="4"/>
    <s v="On Demand"/>
    <x v="6"/>
    <x v="5"/>
    <x v="0"/>
    <s v="Low Impact"/>
    <x v="360"/>
    <x v="1926"/>
    <n v="87"/>
    <n v="72"/>
    <n v="0.31"/>
    <n v="88"/>
    <n v="13.99"/>
    <n v="4.67"/>
    <n v="107"/>
    <m/>
    <m/>
    <m/>
  </r>
  <r>
    <s v="2021-08-05 08:02 (-07)"/>
    <x v="689"/>
    <x v="1445"/>
    <x v="4"/>
    <s v="On Demand"/>
    <x v="53"/>
    <x v="1"/>
    <x v="1"/>
    <s v="Core"/>
    <x v="1"/>
    <x v="1927"/>
    <m/>
    <m/>
    <m/>
    <m/>
    <m/>
    <m/>
    <n v="46"/>
    <m/>
    <m/>
    <m/>
  </r>
  <r>
    <s v="2021-08-05 22:39 (PST)"/>
    <x v="689"/>
    <x v="426"/>
    <x v="4"/>
    <s v="On Demand"/>
    <x v="25"/>
    <x v="1"/>
    <x v="5"/>
    <s v="Sleep"/>
    <x v="39"/>
    <x v="1928"/>
    <m/>
    <m/>
    <m/>
    <m/>
    <m/>
    <m/>
    <m/>
    <m/>
    <m/>
    <m/>
  </r>
  <r>
    <s v="2021-08-12 07:02 (-07)"/>
    <x v="690"/>
    <x v="52"/>
    <x v="4"/>
    <s v="On Demand"/>
    <x v="4"/>
    <x v="0"/>
    <x v="0"/>
    <s v="Power Zone"/>
    <x v="85"/>
    <x v="1929"/>
    <n v="283"/>
    <n v="105"/>
    <n v="0.36"/>
    <n v="87"/>
    <n v="16.260000000000002"/>
    <n v="12.19"/>
    <n v="349"/>
    <m/>
    <m/>
    <m/>
  </r>
  <r>
    <s v="2021-08-12 07:48 (-07)"/>
    <x v="690"/>
    <x v="1423"/>
    <x v="4"/>
    <s v="On Demand"/>
    <x v="4"/>
    <x v="3"/>
    <x v="0"/>
    <s v="Cool Down"/>
    <x v="10"/>
    <x v="1930"/>
    <n v="26"/>
    <n v="88"/>
    <n v="0.37"/>
    <n v="78"/>
    <n v="15.3"/>
    <n v="1.27"/>
    <n v="33"/>
    <m/>
    <m/>
    <m/>
  </r>
  <r>
    <s v="2021-08-12 07:54 (-07)"/>
    <x v="690"/>
    <x v="1192"/>
    <x v="4"/>
    <s v="On Demand"/>
    <x v="1"/>
    <x v="5"/>
    <x v="1"/>
    <s v="Core"/>
    <x v="494"/>
    <x v="1931"/>
    <m/>
    <m/>
    <m/>
    <m/>
    <m/>
    <m/>
    <n v="92"/>
    <m/>
    <m/>
    <m/>
  </r>
  <r>
    <s v="2021-08-12 14:48 (PST)"/>
    <x v="690"/>
    <x v="1446"/>
    <x v="4"/>
    <s v="On Demand"/>
    <x v="16"/>
    <x v="5"/>
    <x v="4"/>
    <s v="Flow"/>
    <x v="30"/>
    <x v="95"/>
    <m/>
    <m/>
    <m/>
    <m/>
    <m/>
    <m/>
    <n v="67"/>
    <m/>
    <m/>
    <m/>
  </r>
  <r>
    <s v="2021-08-12 22:10 (PST)"/>
    <x v="690"/>
    <x v="620"/>
    <x v="4"/>
    <s v="On Demand"/>
    <x v="23"/>
    <x v="5"/>
    <x v="5"/>
    <s v="Sleep"/>
    <x v="29"/>
    <x v="1932"/>
    <m/>
    <m/>
    <m/>
    <m/>
    <m/>
    <m/>
    <m/>
    <m/>
    <m/>
    <m/>
  </r>
  <r>
    <s v="2021-08-19 11:34 (-07)"/>
    <x v="691"/>
    <x v="245"/>
    <x v="4"/>
    <s v="On Demand"/>
    <x v="6"/>
    <x v="4"/>
    <x v="0"/>
    <s v="Power Zone"/>
    <x v="23"/>
    <x v="1933"/>
    <n v="390"/>
    <n v="108"/>
    <n v="0.38"/>
    <n v="86"/>
    <n v="16.61"/>
    <n v="16.61"/>
    <n v="480"/>
    <m/>
    <m/>
    <m/>
  </r>
  <r>
    <s v="2021-08-19 22:22 (PST)"/>
    <x v="691"/>
    <x v="493"/>
    <x v="4"/>
    <s v="On Demand"/>
    <x v="19"/>
    <x v="1"/>
    <x v="5"/>
    <s v="Emotions"/>
    <x v="44"/>
    <x v="1934"/>
    <m/>
    <m/>
    <m/>
    <m/>
    <m/>
    <m/>
    <m/>
    <m/>
    <m/>
    <m/>
  </r>
  <r>
    <s v="2021-08-26 11:03 (-07)"/>
    <x v="692"/>
    <x v="349"/>
    <x v="4"/>
    <s v="On Demand"/>
    <x v="6"/>
    <x v="0"/>
    <x v="0"/>
    <s v="Power Zone"/>
    <x v="27"/>
    <x v="1935"/>
    <n v="265"/>
    <n v="98"/>
    <n v="0.36"/>
    <n v="86"/>
    <n v="15.99"/>
    <n v="12"/>
    <n v="327"/>
    <m/>
    <m/>
    <m/>
  </r>
  <r>
    <s v="2021-08-26 11:50 (-07)"/>
    <x v="692"/>
    <x v="1096"/>
    <x v="4"/>
    <s v="On Demand"/>
    <x v="1"/>
    <x v="7"/>
    <x v="1"/>
    <s v="Core"/>
    <x v="126"/>
    <x v="1936"/>
    <m/>
    <m/>
    <m/>
    <m/>
    <m/>
    <m/>
    <n v="69"/>
    <m/>
    <m/>
    <m/>
  </r>
  <r>
    <s v="2021-08-26 12:06 (-07)"/>
    <x v="692"/>
    <x v="1447"/>
    <x v="4"/>
    <s v="On Demand"/>
    <x v="42"/>
    <x v="3"/>
    <x v="2"/>
    <s v="Pre &amp; Post-Ride Stretch"/>
    <x v="8"/>
    <x v="1937"/>
    <m/>
    <m/>
    <m/>
    <m/>
    <m/>
    <m/>
    <n v="12"/>
    <m/>
    <m/>
    <m/>
  </r>
  <r>
    <s v="2021-08-26 23:45 (PST)"/>
    <x v="692"/>
    <x v="212"/>
    <x v="4"/>
    <s v="On Demand"/>
    <x v="25"/>
    <x v="1"/>
    <x v="5"/>
    <s v="Relaxation"/>
    <x v="34"/>
    <x v="1938"/>
    <m/>
    <m/>
    <m/>
    <m/>
    <m/>
    <m/>
    <m/>
    <m/>
    <m/>
    <m/>
  </r>
  <r>
    <s v="2021-09-02 07:18 (PST)"/>
    <x v="693"/>
    <x v="1448"/>
    <x v="4"/>
    <s v="On Demand"/>
    <x v="7"/>
    <x v="0"/>
    <x v="4"/>
    <s v="Flow"/>
    <x v="14"/>
    <x v="1939"/>
    <m/>
    <m/>
    <m/>
    <m/>
    <m/>
    <m/>
    <n v="147"/>
    <m/>
    <m/>
    <m/>
  </r>
  <r>
    <s v="2021-09-02 08:07 (PST)"/>
    <x v="693"/>
    <x v="450"/>
    <x v="4"/>
    <s v="On Demand"/>
    <x v="1"/>
    <x v="1"/>
    <x v="1"/>
    <s v="Core"/>
    <x v="1"/>
    <x v="1940"/>
    <m/>
    <m/>
    <m/>
    <m/>
    <m/>
    <m/>
    <n v="46"/>
    <m/>
    <m/>
    <m/>
  </r>
  <r>
    <s v="2021-09-02 21:52 (PST)"/>
    <x v="693"/>
    <x v="398"/>
    <x v="4"/>
    <s v="On Demand"/>
    <x v="23"/>
    <x v="7"/>
    <x v="5"/>
    <s v="Relaxation"/>
    <x v="94"/>
    <x v="1941"/>
    <m/>
    <m/>
    <m/>
    <m/>
    <m/>
    <m/>
    <m/>
    <m/>
    <m/>
    <m/>
  </r>
  <r>
    <s v="2021-09-09 12:21 (PST)"/>
    <x v="694"/>
    <x v="225"/>
    <x v="4"/>
    <s v="On Demand"/>
    <x v="7"/>
    <x v="0"/>
    <x v="4"/>
    <s v="Flow"/>
    <x v="14"/>
    <x v="1942"/>
    <m/>
    <m/>
    <m/>
    <m/>
    <m/>
    <m/>
    <n v="140"/>
    <m/>
    <m/>
    <m/>
  </r>
  <r>
    <s v="2021-09-09 16:18 (-07)"/>
    <x v="694"/>
    <x v="622"/>
    <x v="4"/>
    <s v="On Demand"/>
    <x v="4"/>
    <x v="0"/>
    <x v="0"/>
    <s v="Power Zone"/>
    <x v="85"/>
    <x v="1943"/>
    <n v="287"/>
    <n v="106"/>
    <n v="0.37"/>
    <n v="84"/>
    <n v="16.2"/>
    <n v="12.15"/>
    <n v="354"/>
    <m/>
    <m/>
    <m/>
  </r>
  <r>
    <s v="2021-09-09 17:04 (-07)"/>
    <x v="694"/>
    <x v="1449"/>
    <x v="4"/>
    <s v="On Demand"/>
    <x v="15"/>
    <x v="3"/>
    <x v="0"/>
    <s v="Cool Down"/>
    <x v="10"/>
    <x v="1944"/>
    <n v="22"/>
    <n v="74"/>
    <n v="0.33"/>
    <n v="82"/>
    <n v="14.03"/>
    <n v="1.17"/>
    <n v="27"/>
    <m/>
    <m/>
    <m/>
  </r>
  <r>
    <s v="2021-09-09 17:11 (-07)"/>
    <x v="694"/>
    <x v="1450"/>
    <x v="4"/>
    <s v="On Demand"/>
    <x v="4"/>
    <x v="1"/>
    <x v="1"/>
    <s v="Core"/>
    <x v="495"/>
    <x v="1945"/>
    <m/>
    <m/>
    <m/>
    <m/>
    <m/>
    <m/>
    <n v="46"/>
    <m/>
    <m/>
    <m/>
  </r>
  <r>
    <s v="2021-09-09 17:22 (-07)"/>
    <x v="694"/>
    <x v="1183"/>
    <x v="4"/>
    <s v="On Demand"/>
    <x v="39"/>
    <x v="3"/>
    <x v="2"/>
    <s v="Pre &amp; Post-Ride Stretch"/>
    <x v="8"/>
    <x v="1946"/>
    <m/>
    <m/>
    <m/>
    <m/>
    <m/>
    <m/>
    <n v="12"/>
    <m/>
    <m/>
    <m/>
  </r>
  <r>
    <s v="2021-09-09 22:43 (PST)"/>
    <x v="694"/>
    <x v="477"/>
    <x v="4"/>
    <s v="On Demand"/>
    <x v="19"/>
    <x v="3"/>
    <x v="5"/>
    <s v="Sleep"/>
    <x v="496"/>
    <x v="1947"/>
    <m/>
    <m/>
    <m/>
    <m/>
    <m/>
    <m/>
    <m/>
    <m/>
    <m/>
    <m/>
  </r>
  <r>
    <s v="2021-09-16 11:00 (-07)"/>
    <x v="695"/>
    <x v="1281"/>
    <x v="4"/>
    <s v="On Demand"/>
    <x v="5"/>
    <x v="0"/>
    <x v="0"/>
    <s v="Power Zone"/>
    <x v="195"/>
    <x v="1948"/>
    <n v="277"/>
    <n v="103"/>
    <n v="0.37"/>
    <n v="83"/>
    <n v="15.77"/>
    <n v="11.83"/>
    <n v="342"/>
    <m/>
    <m/>
    <m/>
  </r>
  <r>
    <s v="2021-09-16 11:46 (-07)"/>
    <x v="695"/>
    <x v="980"/>
    <x v="4"/>
    <s v="On Demand"/>
    <x v="5"/>
    <x v="1"/>
    <x v="0"/>
    <s v="Cool Down"/>
    <x v="17"/>
    <x v="503"/>
    <n v="33"/>
    <n v="55"/>
    <n v="0.28000000000000003"/>
    <n v="86"/>
    <n v="12.55"/>
    <n v="2.09"/>
    <n v="41"/>
    <m/>
    <m/>
    <m/>
  </r>
  <r>
    <s v="2021-09-16 14:24 (PST)"/>
    <x v="695"/>
    <x v="1451"/>
    <x v="4"/>
    <s v="On Demand"/>
    <x v="6"/>
    <x v="3"/>
    <x v="2"/>
    <s v="Pre &amp; Post-Ride Stretch"/>
    <x v="8"/>
    <x v="1949"/>
    <m/>
    <m/>
    <m/>
    <m/>
    <m/>
    <m/>
    <n v="12"/>
    <m/>
    <m/>
    <m/>
  </r>
  <r>
    <s v="2021-09-16 22:28 (PST)"/>
    <x v="695"/>
    <x v="472"/>
    <x v="4"/>
    <s v="On Demand"/>
    <x v="16"/>
    <x v="1"/>
    <x v="5"/>
    <s v="Sleep"/>
    <x v="39"/>
    <x v="1950"/>
    <m/>
    <m/>
    <m/>
    <m/>
    <m/>
    <m/>
    <m/>
    <m/>
    <m/>
    <m/>
  </r>
  <r>
    <s v="2021-09-23 07:32 (PST)"/>
    <x v="696"/>
    <x v="394"/>
    <x v="4"/>
    <s v="On Demand"/>
    <x v="7"/>
    <x v="0"/>
    <x v="4"/>
    <s v="Power"/>
    <x v="486"/>
    <x v="1951"/>
    <m/>
    <m/>
    <m/>
    <m/>
    <m/>
    <m/>
    <n v="148"/>
    <m/>
    <m/>
    <m/>
  </r>
  <r>
    <s v="2021-09-23 11:54 (-07)"/>
    <x v="696"/>
    <x v="1452"/>
    <x v="4"/>
    <s v="On Demand"/>
    <x v="6"/>
    <x v="3"/>
    <x v="0"/>
    <s v="Warm Up"/>
    <x v="22"/>
    <x v="532"/>
    <n v="27"/>
    <n v="89"/>
    <n v="0.32"/>
    <n v="96"/>
    <n v="15.46"/>
    <n v="1.29"/>
    <n v="33"/>
    <m/>
    <m/>
    <m/>
  </r>
  <r>
    <s v="2021-09-23 12:00 (-07)"/>
    <x v="696"/>
    <x v="1453"/>
    <x v="4"/>
    <s v="On Demand"/>
    <x v="9"/>
    <x v="0"/>
    <x v="0"/>
    <s v="Power Zone"/>
    <x v="27"/>
    <x v="100"/>
    <n v="266"/>
    <n v="98"/>
    <n v="0.35"/>
    <n v="88"/>
    <n v="16.02"/>
    <n v="12.02"/>
    <n v="328"/>
    <m/>
    <m/>
    <m/>
  </r>
  <r>
    <s v="2021-09-23 22:48 (PST)"/>
    <x v="696"/>
    <x v="462"/>
    <x v="4"/>
    <s v="On Demand"/>
    <x v="23"/>
    <x v="7"/>
    <x v="5"/>
    <s v="Sleep"/>
    <x v="65"/>
    <x v="1952"/>
    <m/>
    <m/>
    <m/>
    <m/>
    <m/>
    <m/>
    <m/>
    <m/>
    <m/>
    <m/>
  </r>
  <r>
    <s v="2021-09-30 06:58 (-07)"/>
    <x v="697"/>
    <x v="1454"/>
    <x v="4"/>
    <s v="On Demand"/>
    <x v="6"/>
    <x v="2"/>
    <x v="0"/>
    <s v="Power Zone"/>
    <x v="426"/>
    <x v="1953"/>
    <n v="167"/>
    <n v="93"/>
    <n v="0.35"/>
    <n v="86"/>
    <n v="15.54"/>
    <n v="7.77"/>
    <n v="206"/>
    <m/>
    <m/>
    <m/>
  </r>
  <r>
    <s v="2021-09-30 07:28 (-07)"/>
    <x v="697"/>
    <x v="1455"/>
    <x v="4"/>
    <s v="On Demand"/>
    <x v="18"/>
    <x v="5"/>
    <x v="0"/>
    <s v="Low Impact"/>
    <x v="67"/>
    <x v="1954"/>
    <n v="98"/>
    <n v="81"/>
    <n v="0.34"/>
    <n v="84"/>
    <n v="14.81"/>
    <n v="4.9400000000000004"/>
    <n v="120"/>
    <m/>
    <m/>
    <m/>
  </r>
  <r>
    <s v="2021-09-30 07:49 (-07)"/>
    <x v="697"/>
    <x v="89"/>
    <x v="4"/>
    <s v="On Demand"/>
    <x v="18"/>
    <x v="3"/>
    <x v="2"/>
    <s v="Pre &amp; Post-Ride Stretch"/>
    <x v="8"/>
    <x v="1912"/>
    <m/>
    <m/>
    <m/>
    <m/>
    <m/>
    <m/>
    <n v="11"/>
    <m/>
    <m/>
    <m/>
  </r>
  <r>
    <s v="2021-09-30 17:28 (-07)"/>
    <x v="697"/>
    <x v="1456"/>
    <x v="4"/>
    <s v="On Demand"/>
    <x v="11"/>
    <x v="5"/>
    <x v="1"/>
    <s v="Upper Body"/>
    <x v="141"/>
    <x v="1955"/>
    <m/>
    <m/>
    <m/>
    <m/>
    <m/>
    <m/>
    <n v="92"/>
    <m/>
    <m/>
    <m/>
  </r>
  <r>
    <s v="2021-09-30 17:49 (-07)"/>
    <x v="697"/>
    <x v="1457"/>
    <x v="4"/>
    <s v="On Demand"/>
    <x v="24"/>
    <x v="3"/>
    <x v="1"/>
    <s v="Core"/>
    <x v="6"/>
    <x v="1956"/>
    <m/>
    <m/>
    <m/>
    <m/>
    <m/>
    <m/>
    <m/>
    <m/>
    <m/>
    <m/>
  </r>
  <r>
    <s v="2021-09-30 22:31 (PST)"/>
    <x v="697"/>
    <x v="243"/>
    <x v="4"/>
    <s v="On Demand"/>
    <x v="23"/>
    <x v="1"/>
    <x v="5"/>
    <s v="Sleep"/>
    <x v="39"/>
    <x v="1807"/>
    <m/>
    <m/>
    <m/>
    <m/>
    <m/>
    <m/>
    <m/>
    <m/>
    <m/>
    <m/>
  </r>
  <r>
    <s v="2021-10-07 07:07 (PST)"/>
    <x v="698"/>
    <x v="503"/>
    <x v="4"/>
    <s v="On Demand"/>
    <x v="28"/>
    <x v="4"/>
    <x v="4"/>
    <s v="Beyond the Pose"/>
    <x v="497"/>
    <x v="1957"/>
    <m/>
    <m/>
    <m/>
    <m/>
    <m/>
    <m/>
    <n v="194"/>
    <m/>
    <m/>
    <m/>
  </r>
  <r>
    <s v="2021-10-07 18:49 (-07)"/>
    <x v="698"/>
    <x v="1458"/>
    <x v="4"/>
    <s v="On Demand"/>
    <x v="4"/>
    <x v="0"/>
    <x v="0"/>
    <s v="Power Zone"/>
    <x v="27"/>
    <x v="1958"/>
    <n v="276"/>
    <n v="102"/>
    <n v="0.38"/>
    <n v="82"/>
    <n v="16.260000000000002"/>
    <n v="12.2"/>
    <n v="341"/>
    <m/>
    <m/>
    <m/>
  </r>
  <r>
    <s v="2021-10-07 19:35 (-07)"/>
    <x v="698"/>
    <x v="436"/>
    <x v="4"/>
    <s v="On Demand"/>
    <x v="4"/>
    <x v="3"/>
    <x v="0"/>
    <s v="Cool Down"/>
    <x v="10"/>
    <x v="1959"/>
    <n v="22"/>
    <n v="74"/>
    <n v="0.32"/>
    <n v="84"/>
    <n v="14.2"/>
    <n v="1.18"/>
    <n v="27"/>
    <m/>
    <m/>
    <m/>
  </r>
  <r>
    <s v="2021-10-07 19:41 (-07)"/>
    <x v="698"/>
    <x v="1459"/>
    <x v="4"/>
    <s v="On Demand"/>
    <x v="29"/>
    <x v="3"/>
    <x v="2"/>
    <s v="Pre &amp; Post-Ride Stretch"/>
    <x v="8"/>
    <x v="1125"/>
    <m/>
    <m/>
    <m/>
    <m/>
    <m/>
    <m/>
    <n v="11"/>
    <m/>
    <m/>
    <m/>
  </r>
  <r>
    <s v="2021-10-07 21:51 (PST)"/>
    <x v="698"/>
    <x v="1093"/>
    <x v="4"/>
    <s v="On Demand"/>
    <x v="16"/>
    <x v="1"/>
    <x v="5"/>
    <s v="Emotions"/>
    <x v="60"/>
    <x v="1960"/>
    <m/>
    <m/>
    <m/>
    <m/>
    <m/>
    <m/>
    <m/>
    <m/>
    <m/>
    <m/>
  </r>
  <r>
    <s v="2021-10-14 07:22 (PST)"/>
    <x v="699"/>
    <x v="811"/>
    <x v="4"/>
    <s v="On Demand"/>
    <x v="7"/>
    <x v="7"/>
    <x v="4"/>
    <s v="Slow Flow"/>
    <x v="498"/>
    <x v="1961"/>
    <m/>
    <m/>
    <m/>
    <m/>
    <m/>
    <m/>
    <n v="40"/>
    <m/>
    <m/>
    <m/>
  </r>
  <r>
    <s v="2021-10-14 07:38 (PST)"/>
    <x v="699"/>
    <x v="70"/>
    <x v="4"/>
    <s v="On Demand"/>
    <x v="24"/>
    <x v="1"/>
    <x v="1"/>
    <s v="Core"/>
    <x v="1"/>
    <x v="1962"/>
    <m/>
    <m/>
    <m/>
    <m/>
    <m/>
    <m/>
    <n v="46"/>
    <m/>
    <m/>
    <m/>
  </r>
  <r>
    <s v="2021-10-14 19:10 (-07)"/>
    <x v="699"/>
    <x v="471"/>
    <x v="4"/>
    <s v="On Demand"/>
    <x v="6"/>
    <x v="3"/>
    <x v="0"/>
    <s v="Warm Up"/>
    <x v="22"/>
    <x v="100"/>
    <n v="25"/>
    <n v="82"/>
    <n v="0.32"/>
    <n v="91"/>
    <n v="14.9"/>
    <n v="1.24"/>
    <n v="30"/>
    <m/>
    <m/>
    <m/>
  </r>
  <r>
    <s v="2021-10-14 19:15 (-07)"/>
    <x v="699"/>
    <x v="1460"/>
    <x v="4"/>
    <s v="On Demand"/>
    <x v="6"/>
    <x v="0"/>
    <x v="0"/>
    <s v="Power Zone"/>
    <x v="85"/>
    <x v="463"/>
    <n v="287"/>
    <n v="106"/>
    <n v="0.38"/>
    <n v="85"/>
    <n v="16.36"/>
    <n v="12.28"/>
    <n v="354"/>
    <m/>
    <m/>
    <m/>
  </r>
  <r>
    <s v="2021-10-14 20:02 (-07)"/>
    <x v="699"/>
    <x v="1461"/>
    <x v="4"/>
    <s v="On Demand"/>
    <x v="29"/>
    <x v="3"/>
    <x v="0"/>
    <s v="Cool Down"/>
    <x v="10"/>
    <x v="1963"/>
    <n v="17"/>
    <n v="58"/>
    <n v="0.32"/>
    <n v="74"/>
    <n v="12.7"/>
    <n v="1.05"/>
    <n v="21"/>
    <m/>
    <m/>
    <m/>
  </r>
  <r>
    <s v="2021-10-14 20:07 (-07)"/>
    <x v="699"/>
    <x v="1462"/>
    <x v="4"/>
    <s v="On Demand"/>
    <x v="15"/>
    <x v="3"/>
    <x v="2"/>
    <s v="Pre &amp; Post-Ride Stretch"/>
    <x v="8"/>
    <x v="1964"/>
    <m/>
    <m/>
    <m/>
    <m/>
    <m/>
    <m/>
    <n v="11"/>
    <m/>
    <m/>
    <m/>
  </r>
  <r>
    <s v="2021-10-14 21:55 (PST)"/>
    <x v="699"/>
    <x v="60"/>
    <x v="4"/>
    <s v="On Demand"/>
    <x v="13"/>
    <x v="1"/>
    <x v="5"/>
    <s v="Relaxation"/>
    <x v="71"/>
    <x v="1141"/>
    <m/>
    <m/>
    <m/>
    <m/>
    <m/>
    <m/>
    <m/>
    <m/>
    <m/>
    <m/>
  </r>
  <r>
    <s v="2021-10-21 07:18 (PST)"/>
    <x v="700"/>
    <x v="1448"/>
    <x v="4"/>
    <s v="On Demand"/>
    <x v="23"/>
    <x v="2"/>
    <x v="4"/>
    <s v="Focus Flow"/>
    <x v="499"/>
    <x v="1965"/>
    <m/>
    <m/>
    <m/>
    <m/>
    <m/>
    <m/>
    <n v="102"/>
    <m/>
    <m/>
    <m/>
  </r>
  <r>
    <s v="2021-10-21 12:07 (-07)"/>
    <x v="700"/>
    <x v="1021"/>
    <x v="4"/>
    <s v="On Demand"/>
    <x v="6"/>
    <x v="2"/>
    <x v="0"/>
    <s v="Power Zone"/>
    <x v="184"/>
    <x v="1966"/>
    <n v="166"/>
    <n v="92"/>
    <n v="0.35"/>
    <n v="88"/>
    <n v="15.55"/>
    <n v="7.77"/>
    <n v="205"/>
    <m/>
    <m/>
    <m/>
  </r>
  <r>
    <s v="2021-10-21 12:38 (-07)"/>
    <x v="700"/>
    <x v="1463"/>
    <x v="4"/>
    <s v="On Demand"/>
    <x v="6"/>
    <x v="3"/>
    <x v="2"/>
    <s v="Pre &amp; Post-Ride Stretch"/>
    <x v="8"/>
    <x v="111"/>
    <m/>
    <m/>
    <m/>
    <m/>
    <m/>
    <m/>
    <n v="11"/>
    <m/>
    <m/>
    <m/>
  </r>
  <r>
    <s v="2021-10-28 07:00 (PST)"/>
    <x v="701"/>
    <x v="385"/>
    <x v="4"/>
    <s v="On Demand"/>
    <x v="16"/>
    <x v="5"/>
    <x v="4"/>
    <s v="Flow"/>
    <x v="500"/>
    <x v="1967"/>
    <m/>
    <m/>
    <m/>
    <m/>
    <m/>
    <m/>
    <n v="65"/>
    <m/>
    <m/>
    <m/>
  </r>
  <r>
    <s v="2021-10-28 12:05 (-07)"/>
    <x v="701"/>
    <x v="1464"/>
    <x v="4"/>
    <s v="On Demand"/>
    <x v="6"/>
    <x v="0"/>
    <x v="0"/>
    <s v="Power Zone"/>
    <x v="85"/>
    <x v="1968"/>
    <n v="277"/>
    <n v="103"/>
    <n v="0.36"/>
    <n v="86"/>
    <n v="16"/>
    <n v="12"/>
    <n v="341"/>
    <m/>
    <m/>
    <m/>
  </r>
  <r>
    <s v="2021-10-28 12:50 (-07)"/>
    <x v="701"/>
    <x v="916"/>
    <x v="4"/>
    <s v="On Demand"/>
    <x v="6"/>
    <x v="3"/>
    <x v="2"/>
    <s v="Pre &amp; Post-Ride Stretch"/>
    <x v="8"/>
    <x v="111"/>
    <m/>
    <m/>
    <m/>
    <m/>
    <m/>
    <m/>
    <n v="12"/>
    <m/>
    <m/>
    <m/>
  </r>
  <r>
    <s v="2021-10-28 21:42 (PST)"/>
    <x v="701"/>
    <x v="408"/>
    <x v="4"/>
    <s v="On Demand"/>
    <x v="16"/>
    <x v="1"/>
    <x v="5"/>
    <s v="Theme"/>
    <x v="68"/>
    <x v="1969"/>
    <m/>
    <m/>
    <m/>
    <m/>
    <m/>
    <m/>
    <m/>
    <m/>
    <m/>
    <m/>
  </r>
  <r>
    <s v="2021-11-04 01:21 (PST)"/>
    <x v="702"/>
    <x v="1465"/>
    <x v="4"/>
    <s v="On Demand"/>
    <x v="19"/>
    <x v="1"/>
    <x v="5"/>
    <s v="Emotions"/>
    <x v="46"/>
    <x v="1970"/>
    <m/>
    <m/>
    <m/>
    <m/>
    <m/>
    <m/>
    <m/>
    <m/>
    <m/>
    <m/>
  </r>
  <r>
    <s v="2021-11-04 21:46 (PST)"/>
    <x v="702"/>
    <x v="432"/>
    <x v="4"/>
    <s v="On Demand"/>
    <x v="25"/>
    <x v="7"/>
    <x v="5"/>
    <s v="Relaxation"/>
    <x v="106"/>
    <x v="1971"/>
    <m/>
    <m/>
    <m/>
    <m/>
    <m/>
    <m/>
    <m/>
    <m/>
    <m/>
    <m/>
  </r>
  <r>
    <s v="2021-11-11 07:14 (PST)"/>
    <x v="703"/>
    <x v="415"/>
    <x v="4"/>
    <s v="On Demand"/>
    <x v="16"/>
    <x v="2"/>
    <x v="4"/>
    <s v="Flow"/>
    <x v="69"/>
    <x v="1972"/>
    <m/>
    <m/>
    <m/>
    <m/>
    <m/>
    <m/>
    <n v="98"/>
    <m/>
    <m/>
    <m/>
  </r>
  <r>
    <s v="2021-11-11 07:46 (PST)"/>
    <x v="703"/>
    <x v="177"/>
    <x v="4"/>
    <s v="On Demand"/>
    <x v="26"/>
    <x v="3"/>
    <x v="1"/>
    <s v="Core"/>
    <x v="6"/>
    <x v="1973"/>
    <m/>
    <m/>
    <m/>
    <m/>
    <m/>
    <m/>
    <n v="23"/>
    <m/>
    <m/>
    <m/>
  </r>
  <r>
    <s v="2021-11-11 12:16 (-08)"/>
    <x v="703"/>
    <x v="1466"/>
    <x v="4"/>
    <s v="On Demand"/>
    <x v="6"/>
    <x v="0"/>
    <x v="0"/>
    <s v="Power Zone"/>
    <x v="27"/>
    <x v="1974"/>
    <n v="261"/>
    <n v="97"/>
    <n v="0.37"/>
    <n v="83"/>
    <n v="15.89"/>
    <n v="11.92"/>
    <n v="322"/>
    <m/>
    <m/>
    <m/>
  </r>
  <r>
    <s v="2021-11-11 13:03 (-08)"/>
    <x v="703"/>
    <x v="1373"/>
    <x v="4"/>
    <s v="On Demand"/>
    <x v="11"/>
    <x v="7"/>
    <x v="1"/>
    <s v="Full Body"/>
    <x v="21"/>
    <x v="1975"/>
    <m/>
    <m/>
    <m/>
    <m/>
    <m/>
    <m/>
    <n v="69"/>
    <m/>
    <m/>
    <m/>
  </r>
  <r>
    <s v="2021-11-11 13:19 (-08)"/>
    <x v="703"/>
    <x v="1467"/>
    <x v="4"/>
    <s v="On Demand"/>
    <x v="20"/>
    <x v="3"/>
    <x v="2"/>
    <s v="Pre &amp; Post-Ride Stretch"/>
    <x v="8"/>
    <x v="1976"/>
    <m/>
    <m/>
    <m/>
    <m/>
    <m/>
    <m/>
    <n v="11"/>
    <m/>
    <m/>
    <m/>
  </r>
  <r>
    <s v="2021-11-11 16:56 (PST)"/>
    <x v="703"/>
    <x v="372"/>
    <x v="4"/>
    <s v="On Demand"/>
    <x v="23"/>
    <x v="1"/>
    <x v="4"/>
    <s v="Focus Flow"/>
    <x v="118"/>
    <x v="1977"/>
    <m/>
    <m/>
    <m/>
    <m/>
    <m/>
    <m/>
    <n v="36"/>
    <m/>
    <m/>
    <m/>
  </r>
  <r>
    <s v="2021-11-11 22:28 (PST)"/>
    <x v="703"/>
    <x v="472"/>
    <x v="4"/>
    <s v="On Demand"/>
    <x v="25"/>
    <x v="7"/>
    <x v="5"/>
    <s v="Sleep"/>
    <x v="65"/>
    <x v="1978"/>
    <m/>
    <m/>
    <m/>
    <m/>
    <m/>
    <m/>
    <m/>
    <m/>
    <m/>
    <m/>
  </r>
  <r>
    <s v="2021-11-18 07:32 (PST)"/>
    <x v="704"/>
    <x v="394"/>
    <x v="4"/>
    <s v="On Demand"/>
    <x v="16"/>
    <x v="2"/>
    <x v="4"/>
    <s v="Flow"/>
    <x v="150"/>
    <x v="1979"/>
    <m/>
    <m/>
    <m/>
    <m/>
    <m/>
    <m/>
    <n v="102"/>
    <m/>
    <m/>
    <m/>
  </r>
  <r>
    <s v="2021-11-18 08:06 (PST)"/>
    <x v="704"/>
    <x v="1468"/>
    <x v="4"/>
    <s v="On Demand"/>
    <x v="1"/>
    <x v="3"/>
    <x v="1"/>
    <s v="Core"/>
    <x v="6"/>
    <x v="396"/>
    <m/>
    <m/>
    <m/>
    <m/>
    <m/>
    <m/>
    <n v="23"/>
    <m/>
    <m/>
    <m/>
  </r>
  <r>
    <s v="2021-11-18 15:12 (PST)"/>
    <x v="704"/>
    <x v="1469"/>
    <x v="4"/>
    <s v="On Demand"/>
    <x v="23"/>
    <x v="1"/>
    <x v="4"/>
    <s v="Focus Flow"/>
    <x v="133"/>
    <x v="1980"/>
    <m/>
    <m/>
    <m/>
    <m/>
    <m/>
    <m/>
    <n v="34"/>
    <m/>
    <m/>
    <m/>
  </r>
  <r>
    <s v="2021-11-18 16:50 (-08)"/>
    <x v="704"/>
    <x v="1470"/>
    <x v="4"/>
    <s v="On Demand"/>
    <x v="18"/>
    <x v="1"/>
    <x v="0"/>
    <s v="Warm Up"/>
    <x v="436"/>
    <x v="1981"/>
    <n v="57"/>
    <n v="96"/>
    <n v="0.35"/>
    <n v="88"/>
    <n v="15.76"/>
    <n v="2.63"/>
    <n v="71"/>
    <m/>
    <m/>
    <m/>
  </r>
  <r>
    <s v="2021-11-18 17:00 (-08)"/>
    <x v="704"/>
    <x v="538"/>
    <x v="4"/>
    <s v="On Demand"/>
    <x v="7"/>
    <x v="0"/>
    <x v="0"/>
    <s v="Power Zone"/>
    <x v="27"/>
    <x v="1982"/>
    <n v="265"/>
    <n v="98"/>
    <n v="0.36"/>
    <n v="87"/>
    <n v="16.010000000000002"/>
    <n v="12.01"/>
    <n v="327"/>
    <m/>
    <m/>
    <m/>
  </r>
  <r>
    <s v="2021-11-18 17:45 (-08)"/>
    <x v="704"/>
    <x v="1471"/>
    <x v="4"/>
    <s v="On Demand"/>
    <x v="7"/>
    <x v="3"/>
    <x v="0"/>
    <s v="Cool Down"/>
    <x v="10"/>
    <x v="592"/>
    <n v="23"/>
    <n v="76"/>
    <n v="0.31"/>
    <n v="90"/>
    <n v="14.31"/>
    <n v="1.19"/>
    <n v="28"/>
    <m/>
    <m/>
    <m/>
  </r>
  <r>
    <s v="2021-11-18 17:52 (-08)"/>
    <x v="704"/>
    <x v="540"/>
    <x v="4"/>
    <s v="On Demand"/>
    <x v="0"/>
    <x v="3"/>
    <x v="2"/>
    <s v="Pre &amp; Post-Ride Stretch"/>
    <x v="8"/>
    <x v="1540"/>
    <m/>
    <m/>
    <m/>
    <m/>
    <m/>
    <m/>
    <n v="12"/>
    <m/>
    <m/>
    <m/>
  </r>
  <r>
    <s v="2021-11-18 22:32 (PST)"/>
    <x v="704"/>
    <x v="454"/>
    <x v="4"/>
    <s v="On Demand"/>
    <x v="13"/>
    <x v="1"/>
    <x v="5"/>
    <s v="Emotions"/>
    <x v="46"/>
    <x v="1983"/>
    <m/>
    <m/>
    <m/>
    <m/>
    <m/>
    <m/>
    <m/>
    <m/>
    <m/>
    <m/>
  </r>
  <r>
    <s v="2021-11-25 09:18 (-08)"/>
    <x v="705"/>
    <x v="1051"/>
    <x v="4"/>
    <s v="On Demand"/>
    <x v="6"/>
    <x v="8"/>
    <x v="0"/>
    <s v="Power Zone"/>
    <x v="25"/>
    <x v="1984"/>
    <n v="551"/>
    <n v="102"/>
    <n v="0.37"/>
    <n v="85"/>
    <n v="16.28"/>
    <n v="24.42"/>
    <n v="679"/>
    <m/>
    <m/>
    <m/>
  </r>
  <r>
    <s v="2021-11-25 10:49 (-08)"/>
    <x v="705"/>
    <x v="1228"/>
    <x v="4"/>
    <s v="On Demand"/>
    <x v="6"/>
    <x v="3"/>
    <x v="0"/>
    <s v="Cool Down"/>
    <x v="10"/>
    <x v="137"/>
    <n v="13"/>
    <n v="44"/>
    <n v="0.24"/>
    <n v="91"/>
    <n v="11.26"/>
    <n v="0.94"/>
    <n v="16"/>
    <m/>
    <m/>
    <m/>
  </r>
  <r>
    <s v="2021-11-25 11:00 (PST)"/>
    <x v="705"/>
    <x v="1472"/>
    <x v="4"/>
    <s v="On Demand"/>
    <x v="13"/>
    <x v="5"/>
    <x v="4"/>
    <s v="Focus Flow"/>
    <x v="40"/>
    <x v="1985"/>
    <m/>
    <m/>
    <m/>
    <m/>
    <m/>
    <m/>
    <n v="60"/>
    <m/>
    <m/>
    <m/>
  </r>
  <r>
    <s v="2021-12-02 09:32 (PST)"/>
    <x v="706"/>
    <x v="1473"/>
    <x v="4"/>
    <s v="On Demand"/>
    <x v="16"/>
    <x v="2"/>
    <x v="4"/>
    <s v="Flow"/>
    <x v="69"/>
    <x v="1986"/>
    <m/>
    <m/>
    <m/>
    <m/>
    <m/>
    <m/>
    <n v="99"/>
    <m/>
    <m/>
    <m/>
  </r>
  <r>
    <s v="2021-12-02 12:56 (PST)"/>
    <x v="706"/>
    <x v="1474"/>
    <x v="4"/>
    <s v="On Demand"/>
    <x v="1"/>
    <x v="1"/>
    <x v="1"/>
    <s v="Core"/>
    <x v="1"/>
    <x v="21"/>
    <m/>
    <m/>
    <m/>
    <m/>
    <m/>
    <m/>
    <n v="46"/>
    <m/>
    <m/>
    <m/>
  </r>
  <r>
    <s v="2021-12-02 17:17 (-08)"/>
    <x v="706"/>
    <x v="1475"/>
    <x v="4"/>
    <s v="On Demand"/>
    <x v="4"/>
    <x v="2"/>
    <x v="0"/>
    <s v="Power Zone"/>
    <x v="97"/>
    <x v="1987"/>
    <n v="170"/>
    <n v="94"/>
    <n v="0.36"/>
    <n v="84"/>
    <n v="15.68"/>
    <n v="7.84"/>
    <n v="209"/>
    <m/>
    <m/>
    <m/>
  </r>
  <r>
    <s v="2021-12-02 17:48 (-08)"/>
    <x v="706"/>
    <x v="299"/>
    <x v="4"/>
    <s v="On Demand"/>
    <x v="20"/>
    <x v="3"/>
    <x v="0"/>
    <s v="Cool Down"/>
    <x v="10"/>
    <x v="1988"/>
    <n v="22"/>
    <n v="72"/>
    <n v="0.34"/>
    <n v="79"/>
    <n v="13.86"/>
    <n v="1.1499999999999999"/>
    <n v="27"/>
    <m/>
    <m/>
    <m/>
  </r>
  <r>
    <s v="2021-12-02 17:54 (-08)"/>
    <x v="706"/>
    <x v="725"/>
    <x v="4"/>
    <s v="On Demand"/>
    <x v="20"/>
    <x v="3"/>
    <x v="2"/>
    <s v="Pre &amp; Post-Ride Stretch"/>
    <x v="8"/>
    <x v="613"/>
    <m/>
    <m/>
    <m/>
    <m/>
    <m/>
    <m/>
    <n v="12"/>
    <m/>
    <m/>
    <m/>
  </r>
  <r>
    <s v="2021-12-02 22:29 (PST)"/>
    <x v="706"/>
    <x v="639"/>
    <x v="4"/>
    <s v="On Demand"/>
    <x v="19"/>
    <x v="1"/>
    <x v="5"/>
    <s v="Emotions"/>
    <x v="44"/>
    <x v="1989"/>
    <m/>
    <m/>
    <m/>
    <m/>
    <m/>
    <m/>
    <m/>
    <m/>
    <m/>
    <m/>
  </r>
  <r>
    <s v="2021-12-09 08:10 (PST)"/>
    <x v="707"/>
    <x v="1476"/>
    <x v="4"/>
    <s v="On Demand"/>
    <x v="7"/>
    <x v="2"/>
    <x v="4"/>
    <s v="Flow"/>
    <x v="124"/>
    <x v="1990"/>
    <m/>
    <m/>
    <m/>
    <m/>
    <m/>
    <m/>
    <n v="96"/>
    <m/>
    <m/>
    <m/>
  </r>
  <r>
    <s v="2021-12-09 14:18 (PST)"/>
    <x v="707"/>
    <x v="1477"/>
    <x v="4"/>
    <s v="On Demand"/>
    <x v="40"/>
    <x v="5"/>
    <x v="6"/>
    <s v="Music Walk"/>
    <x v="501"/>
    <x v="1991"/>
    <n v="0"/>
    <m/>
    <m/>
    <m/>
    <n v="0"/>
    <n v="0"/>
    <n v="133"/>
    <n v="126.91"/>
    <m/>
    <m/>
  </r>
  <r>
    <s v="2021-12-09 17:24 (-08)"/>
    <x v="707"/>
    <x v="563"/>
    <x v="4"/>
    <s v="On Demand"/>
    <x v="6"/>
    <x v="0"/>
    <x v="0"/>
    <s v="Power Zone"/>
    <x v="85"/>
    <x v="1992"/>
    <n v="279"/>
    <n v="103"/>
    <n v="0.37"/>
    <n v="85"/>
    <n v="16.05"/>
    <n v="12.04"/>
    <n v="344"/>
    <m/>
    <m/>
    <m/>
  </r>
  <r>
    <s v="2021-12-09 18:10 (-08)"/>
    <x v="707"/>
    <x v="1478"/>
    <x v="4"/>
    <s v="On Demand"/>
    <x v="6"/>
    <x v="3"/>
    <x v="0"/>
    <s v="Cool Down"/>
    <x v="10"/>
    <x v="137"/>
    <n v="16"/>
    <n v="55"/>
    <n v="0.28000000000000003"/>
    <n v="84"/>
    <n v="12.46"/>
    <n v="1.03"/>
    <n v="20"/>
    <m/>
    <m/>
    <m/>
  </r>
  <r>
    <s v="2021-12-09 18:15 (-08)"/>
    <x v="707"/>
    <x v="1479"/>
    <x v="4"/>
    <s v="On Demand"/>
    <x v="6"/>
    <x v="3"/>
    <x v="2"/>
    <s v="Pre &amp; Post-Ride Stretch"/>
    <x v="8"/>
    <x v="137"/>
    <m/>
    <m/>
    <m/>
    <m/>
    <m/>
    <m/>
    <n v="11"/>
    <m/>
    <m/>
    <m/>
  </r>
  <r>
    <s v="2021-12-09 22:31 (PST)"/>
    <x v="707"/>
    <x v="243"/>
    <x v="4"/>
    <s v="On Demand"/>
    <x v="23"/>
    <x v="1"/>
    <x v="5"/>
    <s v="Relaxation"/>
    <x v="71"/>
    <x v="1993"/>
    <m/>
    <m/>
    <m/>
    <m/>
    <m/>
    <m/>
    <m/>
    <m/>
    <m/>
    <m/>
  </r>
  <r>
    <s v="2021-12-16 07:08 (PST)"/>
    <x v="708"/>
    <x v="414"/>
    <x v="4"/>
    <s v="On Demand"/>
    <x v="7"/>
    <x v="2"/>
    <x v="4"/>
    <s v="Flow"/>
    <x v="41"/>
    <x v="1994"/>
    <m/>
    <m/>
    <m/>
    <m/>
    <m/>
    <m/>
    <n v="98"/>
    <m/>
    <m/>
    <m/>
  </r>
  <r>
    <s v="2021-12-16 16:55 (-08)"/>
    <x v="708"/>
    <x v="280"/>
    <x v="4"/>
    <s v="On Demand"/>
    <x v="20"/>
    <x v="3"/>
    <x v="0"/>
    <s v="Warm Up"/>
    <x v="22"/>
    <x v="1995"/>
    <n v="24"/>
    <n v="81"/>
    <n v="0.34"/>
    <n v="85"/>
    <n v="14.65"/>
    <n v="1.22"/>
    <n v="30"/>
    <m/>
    <m/>
    <m/>
  </r>
  <r>
    <s v="2021-12-16 17:00 (-08)"/>
    <x v="708"/>
    <x v="538"/>
    <x v="4"/>
    <s v="On Demand"/>
    <x v="7"/>
    <x v="0"/>
    <x v="0"/>
    <s v="Power Zone"/>
    <x v="85"/>
    <x v="1996"/>
    <n v="274"/>
    <n v="101"/>
    <n v="0.37"/>
    <n v="83"/>
    <n v="15.98"/>
    <n v="11.99"/>
    <n v="338"/>
    <m/>
    <m/>
    <m/>
  </r>
  <r>
    <s v="2021-12-16 17:46 (-08)"/>
    <x v="708"/>
    <x v="1480"/>
    <x v="4"/>
    <s v="On Demand"/>
    <x v="22"/>
    <x v="1"/>
    <x v="0"/>
    <s v="Cool Down"/>
    <x v="17"/>
    <x v="1997"/>
    <n v="50"/>
    <n v="83"/>
    <n v="0.36"/>
    <n v="78"/>
    <n v="14.87"/>
    <n v="2.48"/>
    <n v="61"/>
    <m/>
    <m/>
    <m/>
  </r>
  <r>
    <s v="2021-12-16 17:58 (-08)"/>
    <x v="708"/>
    <x v="1481"/>
    <x v="4"/>
    <s v="On Demand"/>
    <x v="1"/>
    <x v="1"/>
    <x v="1"/>
    <s v="Core"/>
    <x v="1"/>
    <x v="1998"/>
    <m/>
    <m/>
    <m/>
    <m/>
    <m/>
    <m/>
    <n v="46"/>
    <m/>
    <m/>
    <m/>
  </r>
  <r>
    <s v="2021-12-16 22:07 (PST)"/>
    <x v="708"/>
    <x v="1413"/>
    <x v="4"/>
    <s v="On Demand"/>
    <x v="23"/>
    <x v="1"/>
    <x v="5"/>
    <s v="Sleep"/>
    <x v="39"/>
    <x v="1999"/>
    <m/>
    <m/>
    <m/>
    <m/>
    <m/>
    <m/>
    <m/>
    <m/>
    <m/>
    <m/>
  </r>
  <r>
    <s v="2021-12-23 07:58 (PST)"/>
    <x v="709"/>
    <x v="190"/>
    <x v="4"/>
    <s v="On Demand"/>
    <x v="16"/>
    <x v="2"/>
    <x v="4"/>
    <s v="Beyond the Pose"/>
    <x v="502"/>
    <x v="2000"/>
    <m/>
    <m/>
    <m/>
    <m/>
    <m/>
    <m/>
    <n v="87"/>
    <m/>
    <m/>
    <m/>
  </r>
  <r>
    <s v="2021-12-23 22:03 (PST)"/>
    <x v="709"/>
    <x v="1256"/>
    <x v="4"/>
    <s v="On Demand"/>
    <x v="13"/>
    <x v="1"/>
    <x v="5"/>
    <s v="Mindfulness"/>
    <x v="51"/>
    <x v="1165"/>
    <m/>
    <m/>
    <m/>
    <m/>
    <m/>
    <m/>
    <m/>
    <m/>
    <m/>
    <m/>
  </r>
  <r>
    <s v="2021-12-30 07:02 (PST)"/>
    <x v="710"/>
    <x v="389"/>
    <x v="4"/>
    <s v="On Demand"/>
    <x v="23"/>
    <x v="2"/>
    <x v="4"/>
    <s v="Flow"/>
    <x v="69"/>
    <x v="2001"/>
    <m/>
    <m/>
    <m/>
    <m/>
    <m/>
    <m/>
    <n v="102"/>
    <m/>
    <m/>
    <m/>
  </r>
  <r>
    <s v="2021-12-30 07:35 (PST)"/>
    <x v="710"/>
    <x v="138"/>
    <x v="4"/>
    <s v="On Demand"/>
    <x v="1"/>
    <x v="2"/>
    <x v="1"/>
    <s v="Core"/>
    <x v="503"/>
    <x v="2002"/>
    <m/>
    <m/>
    <m/>
    <m/>
    <m/>
    <m/>
    <n v="137"/>
    <m/>
    <m/>
    <m/>
  </r>
  <r>
    <s v="2021-12-30 11:45 (-08)"/>
    <x v="710"/>
    <x v="1482"/>
    <x v="4"/>
    <s v="On Demand"/>
    <x v="6"/>
    <x v="1"/>
    <x v="0"/>
    <s v="Power Zone"/>
    <x v="356"/>
    <x v="2003"/>
    <n v="58"/>
    <n v="97"/>
    <n v="0.33"/>
    <n v="95"/>
    <n v="15.73"/>
    <n v="2.62"/>
    <n v="72"/>
    <m/>
    <m/>
    <m/>
  </r>
  <r>
    <s v="2021-12-30 11:58 (-08)"/>
    <x v="710"/>
    <x v="1315"/>
    <x v="4"/>
    <s v="On Demand"/>
    <x v="6"/>
    <x v="5"/>
    <x v="0"/>
    <s v="Power Zone"/>
    <x v="88"/>
    <x v="178"/>
    <n v="157"/>
    <n v="176"/>
    <n v="0.47"/>
    <n v="85"/>
    <n v="20.09"/>
    <n v="5.43"/>
    <n v="192"/>
    <m/>
    <m/>
    <m/>
  </r>
  <r>
    <s v="2021-12-30 12:24 (-08)"/>
    <x v="710"/>
    <x v="1483"/>
    <x v="4"/>
    <s v="On Demand"/>
    <x v="18"/>
    <x v="1"/>
    <x v="0"/>
    <s v="Cool Down"/>
    <x v="17"/>
    <x v="2004"/>
    <n v="46"/>
    <n v="77"/>
    <n v="0.34"/>
    <n v="81"/>
    <n v="14.47"/>
    <n v="2.41"/>
    <n v="57"/>
    <m/>
    <m/>
    <m/>
  </r>
  <r>
    <s v="2021-12-30 12:46 (PST)"/>
    <x v="710"/>
    <x v="1484"/>
    <x v="4"/>
    <s v="On Demand"/>
    <x v="23"/>
    <x v="1"/>
    <x v="4"/>
    <s v="Focus Flow"/>
    <x v="118"/>
    <x v="2005"/>
    <m/>
    <m/>
    <m/>
    <m/>
    <m/>
    <m/>
    <n v="35"/>
    <m/>
    <m/>
    <m/>
  </r>
  <r>
    <s v="2021-12-30 22:51 (PST)"/>
    <x v="710"/>
    <x v="313"/>
    <x v="4"/>
    <s v="On Demand"/>
    <x v="23"/>
    <x v="1"/>
    <x v="5"/>
    <s v="Emotions"/>
    <x v="147"/>
    <x v="2006"/>
    <m/>
    <m/>
    <m/>
    <m/>
    <m/>
    <m/>
    <m/>
    <m/>
    <m/>
    <m/>
  </r>
  <r>
    <s v="2022-01-06 07:11 (PST)"/>
    <x v="711"/>
    <x v="13"/>
    <x v="4"/>
    <s v="On Demand"/>
    <x v="13"/>
    <x v="2"/>
    <x v="4"/>
    <s v="Slow Flow"/>
    <x v="50"/>
    <x v="2007"/>
    <m/>
    <m/>
    <m/>
    <m/>
    <m/>
    <m/>
    <n v="99"/>
    <m/>
    <m/>
    <m/>
  </r>
  <r>
    <s v="2022-01-06 17:40 (-08)"/>
    <x v="711"/>
    <x v="1485"/>
    <x v="4"/>
    <s v="On Demand"/>
    <x v="6"/>
    <x v="4"/>
    <x v="0"/>
    <s v="Power Zone"/>
    <x v="7"/>
    <x v="2008"/>
    <n v="365"/>
    <n v="101"/>
    <n v="0.37"/>
    <n v="85"/>
    <n v="16.23"/>
    <n v="16.239999999999998"/>
    <n v="450"/>
    <m/>
    <m/>
    <m/>
  </r>
  <r>
    <s v="2022-01-06 18:42 (-08)"/>
    <x v="711"/>
    <x v="946"/>
    <x v="4"/>
    <s v="On Demand"/>
    <x v="5"/>
    <x v="3"/>
    <x v="1"/>
    <s v="Core"/>
    <x v="6"/>
    <x v="2009"/>
    <m/>
    <m/>
    <m/>
    <m/>
    <m/>
    <m/>
    <n v="23"/>
    <m/>
    <m/>
    <m/>
  </r>
  <r>
    <s v="2022-01-06 18:48 (-08)"/>
    <x v="711"/>
    <x v="1326"/>
    <x v="4"/>
    <s v="On Demand"/>
    <x v="6"/>
    <x v="3"/>
    <x v="2"/>
    <s v="Pre &amp; Post-Ride Stretch"/>
    <x v="8"/>
    <x v="156"/>
    <m/>
    <m/>
    <m/>
    <m/>
    <m/>
    <m/>
    <n v="12"/>
    <m/>
    <m/>
    <m/>
  </r>
  <r>
    <s v="2022-01-06 21:37 (PST)"/>
    <x v="711"/>
    <x v="511"/>
    <x v="4"/>
    <s v="On Demand"/>
    <x v="16"/>
    <x v="1"/>
    <x v="5"/>
    <s v="Mindfulness"/>
    <x v="51"/>
    <x v="2010"/>
    <m/>
    <m/>
    <m/>
    <m/>
    <m/>
    <m/>
    <m/>
    <m/>
    <m/>
    <m/>
  </r>
  <r>
    <s v="2022-01-13 07:34 (PST)"/>
    <x v="712"/>
    <x v="130"/>
    <x v="4"/>
    <s v="On Demand"/>
    <x v="16"/>
    <x v="2"/>
    <x v="4"/>
    <s v="Slow Flow"/>
    <x v="50"/>
    <x v="2011"/>
    <m/>
    <m/>
    <m/>
    <m/>
    <m/>
    <m/>
    <n v="98"/>
    <m/>
    <m/>
    <m/>
  </r>
  <r>
    <s v="2022-01-13 12:55 (PST)"/>
    <x v="712"/>
    <x v="1013"/>
    <x v="4"/>
    <s v="On Demand"/>
    <x v="11"/>
    <x v="2"/>
    <x v="6"/>
    <s v="Music Walk"/>
    <x v="504"/>
    <x v="2012"/>
    <n v="0"/>
    <m/>
    <m/>
    <m/>
    <n v="0"/>
    <n v="0"/>
    <n v="114"/>
    <n v="127.1"/>
    <m/>
    <m/>
  </r>
  <r>
    <s v="2022-01-13 16:51 (-08)"/>
    <x v="712"/>
    <x v="1486"/>
    <x v="4"/>
    <s v="On Demand"/>
    <x v="1"/>
    <x v="3"/>
    <x v="0"/>
    <s v="Warm Up"/>
    <x v="22"/>
    <x v="2013"/>
    <n v="24"/>
    <n v="78"/>
    <n v="0.3"/>
    <n v="95"/>
    <n v="14.41"/>
    <n v="1.2"/>
    <n v="29"/>
    <m/>
    <m/>
    <m/>
  </r>
  <r>
    <s v="2022-01-13 16:57 (-08)"/>
    <x v="712"/>
    <x v="1487"/>
    <x v="4"/>
    <s v="On Demand"/>
    <x v="4"/>
    <x v="0"/>
    <x v="0"/>
    <s v="Power Zone"/>
    <x v="148"/>
    <x v="1369"/>
    <n v="270"/>
    <n v="100"/>
    <n v="0.37"/>
    <n v="84"/>
    <n v="16.13"/>
    <n v="12.1"/>
    <n v="333"/>
    <m/>
    <m/>
    <m/>
  </r>
  <r>
    <s v="2022-01-13 17:42 (-08)"/>
    <x v="712"/>
    <x v="945"/>
    <x v="4"/>
    <s v="On Demand"/>
    <x v="39"/>
    <x v="3"/>
    <x v="0"/>
    <s v="Cool Down"/>
    <x v="10"/>
    <x v="2014"/>
    <n v="16"/>
    <n v="52"/>
    <n v="0.27"/>
    <n v="85"/>
    <n v="12.18"/>
    <n v="1.02"/>
    <n v="19"/>
    <m/>
    <m/>
    <m/>
  </r>
  <r>
    <s v="2022-01-13 17:48 (-08)"/>
    <x v="712"/>
    <x v="299"/>
    <x v="4"/>
    <s v="On Demand"/>
    <x v="6"/>
    <x v="3"/>
    <x v="2"/>
    <s v="Pre &amp; Post-Ride Stretch"/>
    <x v="8"/>
    <x v="156"/>
    <m/>
    <m/>
    <m/>
    <m/>
    <m/>
    <m/>
    <n v="11"/>
    <m/>
    <m/>
    <m/>
  </r>
  <r>
    <s v="2022-01-13 22:07 (PST)"/>
    <x v="712"/>
    <x v="1413"/>
    <x v="4"/>
    <s v="On Demand"/>
    <x v="23"/>
    <x v="5"/>
    <x v="5"/>
    <s v="Sleep"/>
    <x v="29"/>
    <x v="2015"/>
    <m/>
    <m/>
    <m/>
    <m/>
    <m/>
    <m/>
    <m/>
    <m/>
    <m/>
    <m/>
  </r>
  <r>
    <s v="2022-01-20 07:21 (PST)"/>
    <x v="713"/>
    <x v="169"/>
    <x v="4"/>
    <s v="On Demand"/>
    <x v="7"/>
    <x v="2"/>
    <x v="4"/>
    <s v="Flow"/>
    <x v="505"/>
    <x v="2016"/>
    <m/>
    <m/>
    <m/>
    <m/>
    <m/>
    <m/>
    <n v="95"/>
    <m/>
    <m/>
    <m/>
  </r>
  <r>
    <s v="2022-01-20 15:57 (PST)"/>
    <x v="713"/>
    <x v="1488"/>
    <x v="4"/>
    <s v="On Demand"/>
    <x v="5"/>
    <x v="2"/>
    <x v="6"/>
    <s v="Music Walk"/>
    <x v="506"/>
    <x v="2017"/>
    <n v="0"/>
    <m/>
    <m/>
    <m/>
    <n v="0"/>
    <n v="0"/>
    <n v="110"/>
    <n v="127.69"/>
    <m/>
    <m/>
  </r>
  <r>
    <s v="2022-01-20 16:49 (-08)"/>
    <x v="713"/>
    <x v="1371"/>
    <x v="4"/>
    <s v="On Demand"/>
    <x v="5"/>
    <x v="2"/>
    <x v="0"/>
    <s v="Power Zone"/>
    <x v="5"/>
    <x v="2018"/>
    <n v="173"/>
    <n v="96"/>
    <n v="0.36"/>
    <n v="85"/>
    <n v="15.76"/>
    <n v="7.88"/>
    <n v="213"/>
    <m/>
    <m/>
    <m/>
  </r>
  <r>
    <s v="2022-01-20 17:22 (-08)"/>
    <x v="713"/>
    <x v="1489"/>
    <x v="4"/>
    <s v="On Demand"/>
    <x v="0"/>
    <x v="3"/>
    <x v="2"/>
    <s v="Pre &amp; Post-Ride Stretch"/>
    <x v="8"/>
    <x v="2019"/>
    <m/>
    <m/>
    <m/>
    <m/>
    <m/>
    <m/>
    <n v="12"/>
    <m/>
    <m/>
    <m/>
  </r>
  <r>
    <s v="2022-01-20 22:27 (PST)"/>
    <x v="713"/>
    <x v="448"/>
    <x v="4"/>
    <s v="On Demand"/>
    <x v="13"/>
    <x v="5"/>
    <x v="5"/>
    <s v="Sleep"/>
    <x v="29"/>
    <x v="2020"/>
    <m/>
    <m/>
    <m/>
    <m/>
    <m/>
    <m/>
    <m/>
    <m/>
    <m/>
    <m/>
  </r>
  <r>
    <s v="2022-01-27 07:29 (PST)"/>
    <x v="714"/>
    <x v="104"/>
    <x v="4"/>
    <s v="On Demand"/>
    <x v="23"/>
    <x v="2"/>
    <x v="4"/>
    <s v="Slow Flow"/>
    <x v="50"/>
    <x v="2021"/>
    <m/>
    <m/>
    <m/>
    <m/>
    <m/>
    <m/>
    <n v="99"/>
    <m/>
    <m/>
    <m/>
  </r>
  <r>
    <s v="2022-01-27 08:02 (PST)"/>
    <x v="714"/>
    <x v="1490"/>
    <x v="4"/>
    <s v="On Demand"/>
    <x v="8"/>
    <x v="7"/>
    <x v="2"/>
    <s v="Foam Rolling"/>
    <x v="358"/>
    <x v="151"/>
    <m/>
    <m/>
    <m/>
    <m/>
    <m/>
    <m/>
    <n v="67"/>
    <m/>
    <m/>
    <m/>
  </r>
  <r>
    <s v="2022-01-27 15:16 (PST)"/>
    <x v="714"/>
    <x v="1491"/>
    <x v="4"/>
    <s v="On Demand"/>
    <x v="21"/>
    <x v="0"/>
    <x v="6"/>
    <s v="Power Walk"/>
    <x v="138"/>
    <x v="2022"/>
    <n v="0"/>
    <m/>
    <m/>
    <m/>
    <n v="0"/>
    <n v="0"/>
    <n v="147"/>
    <m/>
    <m/>
    <m/>
  </r>
  <r>
    <s v="2022-01-27 17:21 (-08)"/>
    <x v="714"/>
    <x v="1492"/>
    <x v="4"/>
    <s v="On Demand"/>
    <x v="1"/>
    <x v="5"/>
    <x v="0"/>
    <s v="Low Impact"/>
    <x v="67"/>
    <x v="2023"/>
    <n v="100"/>
    <n v="84"/>
    <n v="0.34"/>
    <n v="85"/>
    <n v="14.96"/>
    <n v="4.99"/>
    <n v="124"/>
    <m/>
    <m/>
    <m/>
  </r>
  <r>
    <s v="2022-01-27 22:16 (PST)"/>
    <x v="714"/>
    <x v="51"/>
    <x v="4"/>
    <s v="On Demand"/>
    <x v="19"/>
    <x v="5"/>
    <x v="5"/>
    <s v="Breath"/>
    <x v="62"/>
    <x v="2024"/>
    <m/>
    <m/>
    <m/>
    <m/>
    <m/>
    <m/>
    <m/>
    <m/>
    <m/>
    <m/>
  </r>
  <r>
    <s v="2022-02-03 04:18 (PST)"/>
    <x v="715"/>
    <x v="1493"/>
    <x v="4"/>
    <s v="On Demand"/>
    <x v="25"/>
    <x v="1"/>
    <x v="5"/>
    <s v="Sleep"/>
    <x v="39"/>
    <x v="2025"/>
    <m/>
    <m/>
    <m/>
    <m/>
    <m/>
    <m/>
    <m/>
    <m/>
    <m/>
    <m/>
  </r>
  <r>
    <s v="2022-02-03 07:59 (PST)"/>
    <x v="715"/>
    <x v="799"/>
    <x v="4"/>
    <s v="On Demand"/>
    <x v="16"/>
    <x v="2"/>
    <x v="4"/>
    <s v="Flow"/>
    <x v="41"/>
    <x v="2026"/>
    <m/>
    <m/>
    <m/>
    <m/>
    <m/>
    <m/>
    <n v="100"/>
    <m/>
    <m/>
    <m/>
  </r>
  <r>
    <s v="2022-02-03 12:04 (PST)"/>
    <x v="715"/>
    <x v="1144"/>
    <x v="4"/>
    <s v="On Demand"/>
    <x v="53"/>
    <x v="2"/>
    <x v="6"/>
    <s v="Power Walk"/>
    <x v="223"/>
    <x v="2027"/>
    <n v="0"/>
    <m/>
    <m/>
    <m/>
    <n v="0"/>
    <n v="0"/>
    <n v="110"/>
    <m/>
    <m/>
    <m/>
  </r>
  <r>
    <s v="2022-02-03 22:23 (PST)"/>
    <x v="715"/>
    <x v="1044"/>
    <x v="4"/>
    <s v="On Demand"/>
    <x v="19"/>
    <x v="5"/>
    <x v="5"/>
    <s v="Relaxation"/>
    <x v="84"/>
    <x v="2028"/>
    <m/>
    <m/>
    <m/>
    <m/>
    <m/>
    <m/>
    <m/>
    <m/>
    <m/>
    <m/>
  </r>
  <r>
    <s v="2022-02-10 07:43 (PST)"/>
    <x v="716"/>
    <x v="567"/>
    <x v="4"/>
    <s v="On Demand"/>
    <x v="7"/>
    <x v="2"/>
    <x v="4"/>
    <s v="Slow Flow"/>
    <x v="50"/>
    <x v="2029"/>
    <m/>
    <m/>
    <m/>
    <m/>
    <m/>
    <m/>
    <n v="95"/>
    <m/>
    <m/>
    <m/>
  </r>
  <r>
    <s v="2022-02-10 16:53 (-08)"/>
    <x v="716"/>
    <x v="1494"/>
    <x v="4"/>
    <s v="On Demand"/>
    <x v="1"/>
    <x v="1"/>
    <x v="1"/>
    <s v="Core"/>
    <x v="1"/>
    <x v="165"/>
    <m/>
    <m/>
    <m/>
    <m/>
    <m/>
    <m/>
    <n v="46"/>
    <m/>
    <m/>
    <m/>
  </r>
  <r>
    <s v="2022-02-10 17:07 (-08)"/>
    <x v="716"/>
    <x v="574"/>
    <x v="4"/>
    <s v="On Demand"/>
    <x v="8"/>
    <x v="2"/>
    <x v="0"/>
    <s v="Low Impact"/>
    <x v="76"/>
    <x v="2030"/>
    <n v="138"/>
    <n v="77"/>
    <n v="0.34"/>
    <n v="81"/>
    <n v="14.48"/>
    <n v="7.24"/>
    <n v="170"/>
    <m/>
    <m/>
    <m/>
  </r>
  <r>
    <s v="2022-02-10 22:40 (PST)"/>
    <x v="716"/>
    <x v="67"/>
    <x v="4"/>
    <s v="On Demand"/>
    <x v="19"/>
    <x v="5"/>
    <x v="5"/>
    <s v="Relaxation"/>
    <x v="35"/>
    <x v="2031"/>
    <m/>
    <m/>
    <m/>
    <m/>
    <m/>
    <m/>
    <m/>
    <m/>
    <m/>
    <m/>
  </r>
  <r>
    <s v="2022-02-17 16:37 (-08)"/>
    <x v="717"/>
    <x v="1370"/>
    <x v="4"/>
    <m/>
    <x v="34"/>
    <x v="1"/>
    <x v="0"/>
    <m/>
    <x v="507"/>
    <x v="231"/>
    <n v="48"/>
    <n v="80"/>
    <n v="0.32"/>
    <n v="89"/>
    <n v="14.57"/>
    <n v="2.4500000000000002"/>
    <n v="59"/>
    <m/>
    <m/>
    <m/>
  </r>
  <r>
    <s v="2022-02-17 16:50 (-08)"/>
    <x v="717"/>
    <x v="1470"/>
    <x v="4"/>
    <s v="On Demand"/>
    <x v="6"/>
    <x v="0"/>
    <x v="0"/>
    <s v="Power Zone"/>
    <x v="27"/>
    <x v="2032"/>
    <n v="281"/>
    <n v="104"/>
    <n v="0.37"/>
    <n v="88"/>
    <n v="16.41"/>
    <n v="12.31"/>
    <n v="347"/>
    <m/>
    <m/>
    <m/>
  </r>
  <r>
    <s v="2022-02-17 22:43 (PST)"/>
    <x v="717"/>
    <x v="477"/>
    <x v="4"/>
    <s v="On Demand"/>
    <x v="16"/>
    <x v="5"/>
    <x v="5"/>
    <s v="Sleep"/>
    <x v="29"/>
    <x v="190"/>
    <m/>
    <m/>
    <m/>
    <m/>
    <m/>
    <m/>
    <m/>
    <m/>
    <m/>
    <m/>
  </r>
  <r>
    <s v="2022-02-24 16:49 (-08)"/>
    <x v="718"/>
    <x v="1371"/>
    <x v="4"/>
    <s v="On Demand"/>
    <x v="6"/>
    <x v="0"/>
    <x v="0"/>
    <s v="Power Zone"/>
    <x v="27"/>
    <x v="2033"/>
    <n v="275"/>
    <n v="101"/>
    <n v="0.36"/>
    <n v="87"/>
    <n v="16.13"/>
    <n v="12.16"/>
    <n v="338"/>
    <m/>
    <m/>
    <m/>
  </r>
  <r>
    <s v="2022-02-24 17:36 (-08)"/>
    <x v="718"/>
    <x v="564"/>
    <x v="4"/>
    <s v="On Demand"/>
    <x v="6"/>
    <x v="3"/>
    <x v="2"/>
    <s v="Pre &amp; Post-Ride Stretch"/>
    <x v="8"/>
    <x v="156"/>
    <m/>
    <m/>
    <m/>
    <m/>
    <m/>
    <m/>
    <n v="12"/>
    <m/>
    <m/>
    <m/>
  </r>
  <r>
    <s v="2022-02-24 22:46 (PST)"/>
    <x v="718"/>
    <x v="193"/>
    <x v="4"/>
    <s v="On Demand"/>
    <x v="16"/>
    <x v="5"/>
    <x v="5"/>
    <s v="Relaxation"/>
    <x v="35"/>
    <x v="2034"/>
    <m/>
    <m/>
    <m/>
    <m/>
    <m/>
    <m/>
    <m/>
    <m/>
    <m/>
    <m/>
  </r>
  <r>
    <s v="2022-03-03 07:28 (PST)"/>
    <x v="719"/>
    <x v="234"/>
    <x v="4"/>
    <s v="On Demand"/>
    <x v="16"/>
    <x v="2"/>
    <x v="4"/>
    <s v="Flow"/>
    <x v="69"/>
    <x v="2035"/>
    <m/>
    <m/>
    <m/>
    <m/>
    <m/>
    <m/>
    <n v="98"/>
    <m/>
    <m/>
    <m/>
  </r>
  <r>
    <s v="2022-03-03 08:00 (PST)"/>
    <x v="719"/>
    <x v="224"/>
    <x v="4"/>
    <s v="On Demand"/>
    <x v="19"/>
    <x v="3"/>
    <x v="5"/>
    <s v="Emotions"/>
    <x v="166"/>
    <x v="2036"/>
    <m/>
    <m/>
    <m/>
    <m/>
    <m/>
    <m/>
    <m/>
    <m/>
    <m/>
    <m/>
  </r>
  <r>
    <s v="2022-03-03 17:02 (-08)"/>
    <x v="719"/>
    <x v="557"/>
    <x v="4"/>
    <s v="On Demand"/>
    <x v="5"/>
    <x v="2"/>
    <x v="0"/>
    <s v="Power Zone"/>
    <x v="5"/>
    <x v="2037"/>
    <n v="180"/>
    <n v="100"/>
    <n v="0.36"/>
    <n v="87"/>
    <n v="16.05"/>
    <n v="8.02"/>
    <n v="222"/>
    <m/>
    <m/>
    <m/>
  </r>
  <r>
    <s v="2022-03-03 17:33 (-08)"/>
    <x v="719"/>
    <x v="828"/>
    <x v="4"/>
    <s v="On Demand"/>
    <x v="18"/>
    <x v="3"/>
    <x v="0"/>
    <s v="Cool Down"/>
    <x v="10"/>
    <x v="2038"/>
    <n v="21"/>
    <n v="69"/>
    <n v="0.35"/>
    <n v="72"/>
    <n v="13.67"/>
    <n v="1.1399999999999999"/>
    <n v="25"/>
    <m/>
    <m/>
    <m/>
  </r>
  <r>
    <s v="2022-03-03 17:40 (-08)"/>
    <x v="719"/>
    <x v="1485"/>
    <x v="4"/>
    <s v="On Demand"/>
    <x v="15"/>
    <x v="3"/>
    <x v="2"/>
    <s v="Pre &amp; Post-Ride Stretch"/>
    <x v="8"/>
    <x v="2039"/>
    <m/>
    <m/>
    <m/>
    <m/>
    <m/>
    <m/>
    <n v="11"/>
    <m/>
    <m/>
    <m/>
  </r>
  <r>
    <s v="2022-03-03 22:34 (PST)"/>
    <x v="719"/>
    <x v="596"/>
    <x v="4"/>
    <s v="On Demand"/>
    <x v="23"/>
    <x v="1"/>
    <x v="5"/>
    <s v="Sleep"/>
    <x v="39"/>
    <x v="2040"/>
    <m/>
    <m/>
    <m/>
    <m/>
    <m/>
    <m/>
    <m/>
    <m/>
    <m/>
    <m/>
  </r>
  <r>
    <s v="2022-03-10 12:05 (PST)"/>
    <x v="720"/>
    <x v="1495"/>
    <x v="4"/>
    <s v="On Demand"/>
    <x v="53"/>
    <x v="0"/>
    <x v="6"/>
    <s v="Power Walk"/>
    <x v="138"/>
    <x v="221"/>
    <n v="0"/>
    <m/>
    <m/>
    <m/>
    <n v="0"/>
    <n v="0"/>
    <n v="166"/>
    <m/>
    <m/>
    <m/>
  </r>
  <r>
    <s v="2022-03-10 23:21 (PST)"/>
    <x v="720"/>
    <x v="211"/>
    <x v="4"/>
    <s v="On Demand"/>
    <x v="16"/>
    <x v="2"/>
    <x v="5"/>
    <s v="Sleep"/>
    <x v="31"/>
    <x v="2041"/>
    <m/>
    <m/>
    <m/>
    <m/>
    <m/>
    <m/>
    <m/>
    <m/>
    <m/>
    <m/>
  </r>
  <r>
    <s v="2022-03-17 07:47 (PST)"/>
    <x v="721"/>
    <x v="656"/>
    <x v="4"/>
    <s v="On Demand"/>
    <x v="23"/>
    <x v="1"/>
    <x v="4"/>
    <s v="Focus Flow"/>
    <x v="133"/>
    <x v="2042"/>
    <m/>
    <m/>
    <m/>
    <m/>
    <m/>
    <m/>
    <n v="34"/>
    <m/>
    <m/>
    <m/>
  </r>
  <r>
    <s v="2022-03-17 07:57 (PST)"/>
    <x v="721"/>
    <x v="12"/>
    <x v="4"/>
    <s v="On Demand"/>
    <x v="7"/>
    <x v="5"/>
    <x v="4"/>
    <s v="Focus Flow"/>
    <x v="40"/>
    <x v="2043"/>
    <m/>
    <m/>
    <m/>
    <m/>
    <m/>
    <m/>
    <n v="62"/>
    <m/>
    <m/>
    <m/>
  </r>
  <r>
    <s v="2022-03-17 22:36 (PST)"/>
    <x v="721"/>
    <x v="102"/>
    <x v="4"/>
    <s v="On Demand"/>
    <x v="16"/>
    <x v="1"/>
    <x v="5"/>
    <s v="Emotions"/>
    <x v="46"/>
    <x v="2044"/>
    <m/>
    <m/>
    <m/>
    <m/>
    <m/>
    <m/>
    <m/>
    <m/>
    <m/>
    <m/>
  </r>
  <r>
    <s v="2022-03-24 07:21 (PST)"/>
    <x v="722"/>
    <x v="169"/>
    <x v="4"/>
    <s v="On Demand"/>
    <x v="55"/>
    <x v="2"/>
    <x v="4"/>
    <s v="Theme"/>
    <x v="508"/>
    <x v="2045"/>
    <m/>
    <m/>
    <m/>
    <m/>
    <m/>
    <m/>
    <n v="99"/>
    <m/>
    <m/>
    <m/>
  </r>
  <r>
    <s v="2022-03-24 07:54 (PST)"/>
    <x v="722"/>
    <x v="170"/>
    <x v="4"/>
    <s v="On Demand"/>
    <x v="37"/>
    <x v="1"/>
    <x v="1"/>
    <s v="Core"/>
    <x v="1"/>
    <x v="2046"/>
    <m/>
    <m/>
    <m/>
    <m/>
    <m/>
    <m/>
    <n v="45"/>
    <m/>
    <m/>
    <m/>
  </r>
  <r>
    <s v="2022-03-24 12:42 (PST)"/>
    <x v="722"/>
    <x v="1496"/>
    <x v="4"/>
    <s v="On Demand"/>
    <x v="37"/>
    <x v="2"/>
    <x v="6"/>
    <s v="Walk + Run"/>
    <x v="237"/>
    <x v="2047"/>
    <n v="0"/>
    <m/>
    <m/>
    <m/>
    <n v="3.65"/>
    <n v="1.91"/>
    <n v="202"/>
    <n v="126.08"/>
    <m/>
    <m/>
  </r>
  <r>
    <s v="2022-03-24 22:48 (PST)"/>
    <x v="722"/>
    <x v="462"/>
    <x v="4"/>
    <s v="On Demand"/>
    <x v="16"/>
    <x v="1"/>
    <x v="5"/>
    <s v="Relaxation"/>
    <x v="71"/>
    <x v="2048"/>
    <m/>
    <m/>
    <m/>
    <m/>
    <m/>
    <m/>
    <m/>
    <m/>
    <m/>
    <m/>
  </r>
  <r>
    <s v="2022-03-31 07:25 (PST)"/>
    <x v="723"/>
    <x v="422"/>
    <x v="4"/>
    <s v="On Demand"/>
    <x v="16"/>
    <x v="2"/>
    <x v="4"/>
    <s v="Flow"/>
    <x v="262"/>
    <x v="2049"/>
    <m/>
    <m/>
    <m/>
    <m/>
    <m/>
    <m/>
    <n v="99"/>
    <m/>
    <m/>
    <m/>
  </r>
  <r>
    <s v="2022-03-31 13:17 (PST)"/>
    <x v="723"/>
    <x v="1497"/>
    <x v="4"/>
    <s v="On Demand"/>
    <x v="21"/>
    <x v="2"/>
    <x v="6"/>
    <s v="Music"/>
    <x v="509"/>
    <x v="2050"/>
    <n v="0"/>
    <m/>
    <m/>
    <m/>
    <n v="3.4"/>
    <n v="1.28"/>
    <n v="170"/>
    <n v="122.52"/>
    <m/>
    <m/>
  </r>
  <r>
    <s v="2022-03-31 22:06 (PST)"/>
    <x v="723"/>
    <x v="355"/>
    <x v="4"/>
    <s v="On Demand"/>
    <x v="25"/>
    <x v="1"/>
    <x v="5"/>
    <s v="Sleep"/>
    <x v="39"/>
    <x v="2051"/>
    <m/>
    <m/>
    <m/>
    <m/>
    <m/>
    <m/>
    <m/>
    <m/>
    <m/>
    <m/>
  </r>
  <r>
    <s v="2022-04-07 02:06 (PST)"/>
    <x v="724"/>
    <x v="1042"/>
    <x v="4"/>
    <s v="On Demand"/>
    <x v="25"/>
    <x v="1"/>
    <x v="5"/>
    <s v="Relaxation"/>
    <x v="71"/>
    <x v="2052"/>
    <m/>
    <m/>
    <m/>
    <m/>
    <m/>
    <m/>
    <m/>
    <m/>
    <m/>
    <m/>
  </r>
  <r>
    <s v="2022-04-07 02:17 (PST)"/>
    <x v="724"/>
    <x v="1498"/>
    <x v="4"/>
    <s v="On Demand"/>
    <x v="25"/>
    <x v="1"/>
    <x v="5"/>
    <s v="Relaxation"/>
    <x v="71"/>
    <x v="2052"/>
    <m/>
    <m/>
    <m/>
    <m/>
    <m/>
    <m/>
    <m/>
    <m/>
    <m/>
    <m/>
  </r>
  <r>
    <s v="2022-04-07 16:40 (-07)"/>
    <x v="724"/>
    <x v="1255"/>
    <x v="4"/>
    <s v="On Demand"/>
    <x v="11"/>
    <x v="1"/>
    <x v="1"/>
    <s v="Upper Body"/>
    <x v="510"/>
    <x v="2053"/>
    <m/>
    <m/>
    <m/>
    <m/>
    <m/>
    <m/>
    <n v="56"/>
    <n v="121.08"/>
    <m/>
    <m/>
  </r>
  <r>
    <s v="2022-04-07 16:52 (-07)"/>
    <x v="724"/>
    <x v="1499"/>
    <x v="4"/>
    <s v="On Demand"/>
    <x v="42"/>
    <x v="3"/>
    <x v="0"/>
    <s v="Warm Up"/>
    <x v="22"/>
    <x v="207"/>
    <n v="28"/>
    <n v="93"/>
    <n v="0.37"/>
    <n v="82"/>
    <n v="15.7"/>
    <n v="1.3"/>
    <n v="43"/>
    <n v="146.5"/>
    <m/>
    <m/>
  </r>
  <r>
    <s v="2022-04-07 18:08 (-07)"/>
    <x v="724"/>
    <x v="758"/>
    <x v="4"/>
    <s v="On Demand"/>
    <x v="7"/>
    <x v="0"/>
    <x v="0"/>
    <s v="Power Zone"/>
    <x v="27"/>
    <x v="2054"/>
    <n v="264"/>
    <n v="98"/>
    <n v="0.37"/>
    <n v="84"/>
    <n v="15.92"/>
    <n v="11.94"/>
    <n v="397"/>
    <n v="150.30000000000001"/>
    <m/>
    <m/>
  </r>
  <r>
    <s v="2022-04-07 18:54 (-07)"/>
    <x v="724"/>
    <x v="121"/>
    <x v="4"/>
    <s v="On Demand"/>
    <x v="10"/>
    <x v="1"/>
    <x v="0"/>
    <s v="Cool Down"/>
    <x v="17"/>
    <x v="2055"/>
    <n v="40"/>
    <n v="66"/>
    <n v="0.32"/>
    <n v="80"/>
    <n v="13.51"/>
    <n v="2.25"/>
    <n v="69"/>
    <n v="126.96"/>
    <m/>
    <m/>
  </r>
  <r>
    <s v="2022-04-07 19:07 (-07)"/>
    <x v="724"/>
    <x v="760"/>
    <x v="4"/>
    <s v="On Demand"/>
    <x v="42"/>
    <x v="3"/>
    <x v="2"/>
    <s v="Pre &amp; Post-Ride Stretch"/>
    <x v="8"/>
    <x v="207"/>
    <m/>
    <m/>
    <m/>
    <m/>
    <m/>
    <m/>
    <n v="18"/>
    <n v="103.76"/>
    <m/>
    <m/>
  </r>
  <r>
    <s v="2022-04-07 21:29 (PST)"/>
    <x v="724"/>
    <x v="423"/>
    <x v="4"/>
    <s v="On Demand"/>
    <x v="25"/>
    <x v="1"/>
    <x v="5"/>
    <s v="Relaxation"/>
    <x v="71"/>
    <x v="2056"/>
    <m/>
    <m/>
    <m/>
    <m/>
    <m/>
    <m/>
    <m/>
    <m/>
    <m/>
    <m/>
  </r>
  <r>
    <s v="2022-04-14 03:11 (PST)"/>
    <x v="725"/>
    <x v="171"/>
    <x v="4"/>
    <s v="On Demand"/>
    <x v="25"/>
    <x v="3"/>
    <x v="5"/>
    <s v="Sleep"/>
    <x v="58"/>
    <x v="2057"/>
    <m/>
    <m/>
    <m/>
    <m/>
    <m/>
    <m/>
    <m/>
    <m/>
    <m/>
    <m/>
  </r>
  <r>
    <s v="2022-04-14 16:35 (-07)"/>
    <x v="725"/>
    <x v="756"/>
    <x v="4"/>
    <s v="On Demand"/>
    <x v="37"/>
    <x v="1"/>
    <x v="1"/>
    <s v="Core"/>
    <x v="1"/>
    <x v="2058"/>
    <m/>
    <m/>
    <m/>
    <m/>
    <m/>
    <m/>
    <n v="46"/>
    <m/>
    <m/>
    <m/>
  </r>
  <r>
    <s v="2022-04-14 16:46 (-07)"/>
    <x v="725"/>
    <x v="653"/>
    <x v="4"/>
    <s v="On Demand"/>
    <x v="29"/>
    <x v="3"/>
    <x v="0"/>
    <s v="Warm Up"/>
    <x v="22"/>
    <x v="2059"/>
    <n v="20"/>
    <n v="67"/>
    <n v="0.28999999999999998"/>
    <n v="94"/>
    <n v="13.66"/>
    <n v="1.1299999999999999"/>
    <n v="38"/>
    <n v="137.57"/>
    <m/>
    <m/>
  </r>
  <r>
    <s v="2022-04-14 16:57 (-07)"/>
    <x v="725"/>
    <x v="1500"/>
    <x v="4"/>
    <s v="On Demand"/>
    <x v="7"/>
    <x v="0"/>
    <x v="0"/>
    <s v="Power Zone"/>
    <x v="85"/>
    <x v="2060"/>
    <n v="286"/>
    <n v="106"/>
    <n v="0.37"/>
    <n v="85"/>
    <n v="16.25"/>
    <n v="12.19"/>
    <n v="485"/>
    <n v="160.61000000000001"/>
    <m/>
    <m/>
  </r>
  <r>
    <s v="2022-04-14 17:43 (-07)"/>
    <x v="725"/>
    <x v="504"/>
    <x v="4"/>
    <s v="On Demand"/>
    <x v="29"/>
    <x v="1"/>
    <x v="0"/>
    <s v="Low Impact"/>
    <x v="192"/>
    <x v="2061"/>
    <n v="34"/>
    <n v="56"/>
    <n v="0.28999999999999998"/>
    <n v="82"/>
    <n v="12.64"/>
    <n v="2.11"/>
    <n v="76"/>
    <n v="133.16999999999999"/>
    <m/>
    <m/>
  </r>
  <r>
    <s v="2022-04-14 17:55 (-07)"/>
    <x v="725"/>
    <x v="608"/>
    <x v="4"/>
    <s v="On Demand"/>
    <x v="3"/>
    <x v="1"/>
    <x v="2"/>
    <s v="Lower Body Stretch"/>
    <x v="3"/>
    <x v="2062"/>
    <m/>
    <m/>
    <m/>
    <m/>
    <m/>
    <m/>
    <n v="41"/>
    <n v="103.64"/>
    <m/>
    <m/>
  </r>
  <r>
    <s v="2022-04-14 22:39 (PST)"/>
    <x v="725"/>
    <x v="426"/>
    <x v="4"/>
    <s v="On Demand"/>
    <x v="13"/>
    <x v="1"/>
    <x v="5"/>
    <s v="Relaxation"/>
    <x v="34"/>
    <x v="2063"/>
    <m/>
    <m/>
    <m/>
    <m/>
    <m/>
    <m/>
    <m/>
    <m/>
    <m/>
    <m/>
  </r>
  <r>
    <s v="2022-04-21 07:23 (PST)"/>
    <x v="726"/>
    <x v="228"/>
    <x v="4"/>
    <s v="On Demand"/>
    <x v="19"/>
    <x v="2"/>
    <x v="4"/>
    <s v="Focus Flow"/>
    <x v="86"/>
    <x v="2064"/>
    <m/>
    <m/>
    <m/>
    <m/>
    <m/>
    <m/>
    <n v="89"/>
    <m/>
    <m/>
    <m/>
  </r>
  <r>
    <s v="2022-04-21 12:08 (PST)"/>
    <x v="726"/>
    <x v="379"/>
    <x v="4"/>
    <s v="On Demand"/>
    <x v="26"/>
    <x v="5"/>
    <x v="6"/>
    <s v="Music Walk"/>
    <x v="511"/>
    <x v="2065"/>
    <n v="0"/>
    <m/>
    <m/>
    <m/>
    <n v="2.59"/>
    <n v="1"/>
    <n v="127"/>
    <n v="128.18"/>
    <m/>
    <m/>
  </r>
  <r>
    <s v="2022-04-21 18:18 (-07)"/>
    <x v="726"/>
    <x v="1501"/>
    <x v="4"/>
    <s v="On Demand"/>
    <x v="31"/>
    <x v="7"/>
    <x v="1"/>
    <s v="Core"/>
    <x v="126"/>
    <x v="2066"/>
    <m/>
    <m/>
    <m/>
    <m/>
    <m/>
    <m/>
    <n v="59"/>
    <n v="94.13"/>
    <m/>
    <m/>
  </r>
  <r>
    <s v="2022-04-21 18:34 (-07)"/>
    <x v="726"/>
    <x v="512"/>
    <x v="4"/>
    <s v="On Demand"/>
    <x v="0"/>
    <x v="5"/>
    <x v="1"/>
    <s v="Barre"/>
    <x v="512"/>
    <x v="2067"/>
    <m/>
    <m/>
    <m/>
    <m/>
    <m/>
    <m/>
    <n v="77"/>
    <n v="100.27"/>
    <m/>
    <m/>
  </r>
  <r>
    <s v="2022-04-21 22:08 (PST)"/>
    <x v="726"/>
    <x v="435"/>
    <x v="4"/>
    <s v="On Demand"/>
    <x v="13"/>
    <x v="7"/>
    <x v="5"/>
    <s v="Mindfulness"/>
    <x v="42"/>
    <x v="2068"/>
    <m/>
    <m/>
    <m/>
    <m/>
    <m/>
    <m/>
    <m/>
    <m/>
    <m/>
    <m/>
  </r>
  <r>
    <s v="2022-04-28 07:38 (PST)"/>
    <x v="727"/>
    <x v="70"/>
    <x v="4"/>
    <s v="On Demand"/>
    <x v="13"/>
    <x v="2"/>
    <x v="4"/>
    <s v="Flow"/>
    <x v="224"/>
    <x v="2069"/>
    <m/>
    <m/>
    <m/>
    <m/>
    <m/>
    <m/>
    <n v="97"/>
    <m/>
    <m/>
    <m/>
  </r>
  <r>
    <s v="2022-04-28 12:02 (PST)"/>
    <x v="727"/>
    <x v="1387"/>
    <x v="4"/>
    <s v="On Demand"/>
    <x v="56"/>
    <x v="2"/>
    <x v="6"/>
    <s v="Podcast"/>
    <x v="513"/>
    <x v="2070"/>
    <n v="0"/>
    <m/>
    <m/>
    <m/>
    <n v="2.2400000000000002"/>
    <n v="1.06"/>
    <n v="116"/>
    <m/>
    <m/>
    <m/>
  </r>
  <r>
    <s v="2022-04-28 16:20 (PST)"/>
    <x v="727"/>
    <x v="1502"/>
    <x v="4"/>
    <s v="On Demand"/>
    <x v="24"/>
    <x v="1"/>
    <x v="1"/>
    <s v="Core"/>
    <x v="1"/>
    <x v="2071"/>
    <m/>
    <m/>
    <m/>
    <m/>
    <m/>
    <m/>
    <n v="44"/>
    <m/>
    <m/>
    <m/>
  </r>
  <r>
    <s v="2022-04-28 16:32 (PST)"/>
    <x v="727"/>
    <x v="1503"/>
    <x v="4"/>
    <s v="On Demand"/>
    <x v="8"/>
    <x v="1"/>
    <x v="1"/>
    <s v="Barre"/>
    <x v="98"/>
    <x v="2072"/>
    <m/>
    <m/>
    <m/>
    <m/>
    <m/>
    <m/>
    <n v="45"/>
    <m/>
    <m/>
    <m/>
  </r>
  <r>
    <s v="2022-04-28 16:58 (-07)"/>
    <x v="727"/>
    <x v="654"/>
    <x v="4"/>
    <s v="On Demand"/>
    <x v="31"/>
    <x v="5"/>
    <x v="1"/>
    <s v="Upper Body"/>
    <x v="514"/>
    <x v="1213"/>
    <m/>
    <m/>
    <m/>
    <m/>
    <m/>
    <m/>
    <n v="99"/>
    <n v="108.92"/>
    <m/>
    <m/>
  </r>
  <r>
    <s v="2022-04-28 23:31 (PST)"/>
    <x v="727"/>
    <x v="1504"/>
    <x v="4"/>
    <s v="On Demand"/>
    <x v="16"/>
    <x v="7"/>
    <x v="5"/>
    <s v="Sleep"/>
    <x v="65"/>
    <x v="2073"/>
    <m/>
    <m/>
    <m/>
    <m/>
    <m/>
    <m/>
    <m/>
    <m/>
    <m/>
    <m/>
  </r>
  <r>
    <s v="2022-05-05 07:15 (PST)"/>
    <x v="728"/>
    <x v="792"/>
    <x v="4"/>
    <s v="On Demand"/>
    <x v="21"/>
    <x v="1"/>
    <x v="1"/>
    <s v="Core"/>
    <x v="242"/>
    <x v="2074"/>
    <m/>
    <m/>
    <m/>
    <m/>
    <m/>
    <m/>
    <n v="45"/>
    <m/>
    <m/>
    <m/>
  </r>
  <r>
    <s v="2022-05-05 07:26 (PST)"/>
    <x v="728"/>
    <x v="6"/>
    <x v="4"/>
    <s v="On Demand"/>
    <x v="0"/>
    <x v="1"/>
    <x v="1"/>
    <s v="Barre"/>
    <x v="515"/>
    <x v="2075"/>
    <m/>
    <m/>
    <m/>
    <m/>
    <m/>
    <m/>
    <n v="46"/>
    <m/>
    <m/>
    <m/>
  </r>
  <r>
    <s v="2022-05-05 07:37 (PST)"/>
    <x v="728"/>
    <x v="1505"/>
    <x v="4"/>
    <s v="On Demand"/>
    <x v="16"/>
    <x v="2"/>
    <x v="4"/>
    <s v="Flow"/>
    <x v="69"/>
    <x v="2076"/>
    <m/>
    <m/>
    <m/>
    <m/>
    <m/>
    <m/>
    <n v="94"/>
    <m/>
    <m/>
    <m/>
  </r>
  <r>
    <s v="2022-05-05 22:24 (PST)"/>
    <x v="728"/>
    <x v="1212"/>
    <x v="4"/>
    <s v="On Demand"/>
    <x v="13"/>
    <x v="1"/>
    <x v="5"/>
    <s v="Sleep"/>
    <x v="39"/>
    <x v="2077"/>
    <m/>
    <m/>
    <m/>
    <m/>
    <m/>
    <m/>
    <m/>
    <m/>
    <m/>
    <m/>
  </r>
  <r>
    <s v="2022-05-12 16:50 (PST)"/>
    <x v="729"/>
    <x v="1120"/>
    <x v="4"/>
    <s v="On Demand"/>
    <x v="13"/>
    <x v="4"/>
    <x v="4"/>
    <s v="Slow Flow"/>
    <x v="516"/>
    <x v="2078"/>
    <m/>
    <m/>
    <m/>
    <m/>
    <m/>
    <m/>
    <n v="185"/>
    <m/>
    <m/>
    <m/>
  </r>
  <r>
    <s v="2022-05-12 22:54 (PST)"/>
    <x v="729"/>
    <x v="74"/>
    <x v="4"/>
    <s v="On Demand"/>
    <x v="13"/>
    <x v="1"/>
    <x v="5"/>
    <s v="Emotions"/>
    <x v="44"/>
    <x v="2079"/>
    <m/>
    <m/>
    <m/>
    <m/>
    <m/>
    <m/>
    <m/>
    <m/>
    <m/>
    <m/>
  </r>
  <r>
    <s v="2022-05-19 04:39 (PST)"/>
    <x v="730"/>
    <x v="1506"/>
    <x v="4"/>
    <s v="On Demand"/>
    <x v="25"/>
    <x v="7"/>
    <x v="5"/>
    <s v="Mindfulness"/>
    <x v="42"/>
    <x v="2080"/>
    <m/>
    <m/>
    <m/>
    <m/>
    <m/>
    <m/>
    <m/>
    <m/>
    <m/>
    <m/>
  </r>
  <r>
    <s v="2022-05-19 16:32 (-07)"/>
    <x v="730"/>
    <x v="455"/>
    <x v="4"/>
    <s v="On Demand"/>
    <x v="31"/>
    <x v="1"/>
    <x v="1"/>
    <s v="Core"/>
    <x v="1"/>
    <x v="2081"/>
    <m/>
    <m/>
    <m/>
    <m/>
    <m/>
    <m/>
    <n v="39"/>
    <n v="96.53"/>
    <m/>
    <m/>
  </r>
  <r>
    <s v="2022-05-19 16:44 (-07)"/>
    <x v="730"/>
    <x v="1507"/>
    <x v="4"/>
    <s v="On Demand"/>
    <x v="17"/>
    <x v="1"/>
    <x v="1"/>
    <s v="Arms &amp; Light Weights"/>
    <x v="28"/>
    <x v="2082"/>
    <m/>
    <m/>
    <m/>
    <m/>
    <m/>
    <m/>
    <n v="55"/>
    <n v="114.62"/>
    <m/>
    <m/>
  </r>
  <r>
    <s v="2022-05-19 16:55 (-07)"/>
    <x v="730"/>
    <x v="1508"/>
    <x v="4"/>
    <s v="On Demand"/>
    <x v="12"/>
    <x v="5"/>
    <x v="0"/>
    <s v="Music"/>
    <x v="517"/>
    <x v="2083"/>
    <n v="112"/>
    <n v="94"/>
    <n v="0.38"/>
    <n v="80"/>
    <n v="15.53"/>
    <n v="5.18"/>
    <n v="202"/>
    <n v="154.32"/>
    <m/>
    <m/>
  </r>
  <r>
    <s v="2022-05-19 17:17 (-07)"/>
    <x v="730"/>
    <x v="623"/>
    <x v="4"/>
    <s v="On Demand"/>
    <x v="16"/>
    <x v="1"/>
    <x v="4"/>
    <s v="Focus Flow"/>
    <x v="396"/>
    <x v="2084"/>
    <m/>
    <m/>
    <m/>
    <m/>
    <m/>
    <m/>
    <n v="40"/>
    <n v="99.19"/>
    <m/>
    <m/>
  </r>
  <r>
    <s v="2022-05-19 22:15 (PST)"/>
    <x v="730"/>
    <x v="593"/>
    <x v="4"/>
    <s v="On Demand"/>
    <x v="13"/>
    <x v="7"/>
    <x v="5"/>
    <s v="Emotions"/>
    <x v="286"/>
    <x v="1632"/>
    <m/>
    <m/>
    <m/>
    <m/>
    <m/>
    <m/>
    <m/>
    <m/>
    <m/>
    <m/>
  </r>
  <r>
    <s v="2022-05-26 07:37 (PST)"/>
    <x v="731"/>
    <x v="1505"/>
    <x v="4"/>
    <s v="On Demand"/>
    <x v="19"/>
    <x v="2"/>
    <x v="4"/>
    <s v="Focus Flow"/>
    <x v="86"/>
    <x v="2085"/>
    <m/>
    <m/>
    <m/>
    <m/>
    <m/>
    <m/>
    <n v="89"/>
    <m/>
    <m/>
    <m/>
  </r>
  <r>
    <s v="2022-05-26 16:19 (PST)"/>
    <x v="731"/>
    <x v="1509"/>
    <x v="4"/>
    <s v="On Demand"/>
    <x v="5"/>
    <x v="5"/>
    <x v="6"/>
    <s v="Music Walk"/>
    <x v="518"/>
    <x v="651"/>
    <n v="0"/>
    <m/>
    <m/>
    <m/>
    <n v="3.68"/>
    <n v="1.22"/>
    <n v="73"/>
    <m/>
    <m/>
    <m/>
  </r>
  <r>
    <s v="2022-05-26 16:39 (PST)"/>
    <x v="731"/>
    <x v="1510"/>
    <x v="4"/>
    <s v="On Demand"/>
    <x v="31"/>
    <x v="5"/>
    <x v="6"/>
    <s v="Power Walk"/>
    <x v="110"/>
    <x v="230"/>
    <n v="0"/>
    <m/>
    <m/>
    <m/>
    <n v="3.45"/>
    <n v="1"/>
    <n v="64"/>
    <m/>
    <m/>
    <m/>
  </r>
  <r>
    <s v="2022-05-26 17:20 (-07)"/>
    <x v="731"/>
    <x v="619"/>
    <x v="4"/>
    <s v="On Demand"/>
    <x v="3"/>
    <x v="1"/>
    <x v="1"/>
    <s v="Core"/>
    <x v="1"/>
    <x v="2086"/>
    <m/>
    <m/>
    <m/>
    <m/>
    <m/>
    <m/>
    <n v="45"/>
    <n v="106.94"/>
    <m/>
    <m/>
  </r>
  <r>
    <s v="2022-05-26 17:30 (-07)"/>
    <x v="731"/>
    <x v="813"/>
    <x v="4"/>
    <s v="On Demand"/>
    <x v="8"/>
    <x v="1"/>
    <x v="1"/>
    <s v="Barre"/>
    <x v="519"/>
    <x v="2087"/>
    <m/>
    <m/>
    <m/>
    <m/>
    <m/>
    <m/>
    <n v="46"/>
    <m/>
    <m/>
    <m/>
  </r>
  <r>
    <s v="2022-05-26 17:42 (-07)"/>
    <x v="731"/>
    <x v="687"/>
    <x v="4"/>
    <s v="On Demand"/>
    <x v="24"/>
    <x v="5"/>
    <x v="1"/>
    <s v="Upper Body"/>
    <x v="141"/>
    <x v="2086"/>
    <m/>
    <m/>
    <m/>
    <m/>
    <m/>
    <m/>
    <n v="112"/>
    <n v="114.55"/>
    <m/>
    <m/>
  </r>
  <r>
    <s v="2022-05-26 22:44 (PST)"/>
    <x v="731"/>
    <x v="373"/>
    <x v="4"/>
    <s v="On Demand"/>
    <x v="28"/>
    <x v="5"/>
    <x v="5"/>
    <s v="Sleep"/>
    <x v="29"/>
    <x v="232"/>
    <m/>
    <m/>
    <m/>
    <m/>
    <m/>
    <m/>
    <m/>
    <m/>
    <m/>
    <m/>
  </r>
  <r>
    <s v="2022-06-02 07:26 (PST)"/>
    <x v="732"/>
    <x v="6"/>
    <x v="4"/>
    <s v="On Demand"/>
    <x v="25"/>
    <x v="2"/>
    <x v="4"/>
    <s v="Slow Flow"/>
    <x v="520"/>
    <x v="2088"/>
    <m/>
    <m/>
    <m/>
    <m/>
    <m/>
    <m/>
    <n v="84"/>
    <m/>
    <m/>
    <m/>
  </r>
  <r>
    <s v="2022-06-02 12:20 (PST)"/>
    <x v="732"/>
    <x v="357"/>
    <x v="4"/>
    <m/>
    <x v="34"/>
    <x v="23"/>
    <x v="6"/>
    <m/>
    <x v="521"/>
    <x v="231"/>
    <n v="0"/>
    <m/>
    <m/>
    <m/>
    <n v="3.83"/>
    <n v="2"/>
    <n v="29"/>
    <m/>
    <m/>
    <m/>
  </r>
  <r>
    <s v="2022-06-02 16:53 (-07)"/>
    <x v="732"/>
    <x v="1511"/>
    <x v="4"/>
    <s v="On Demand"/>
    <x v="6"/>
    <x v="2"/>
    <x v="0"/>
    <s v="Power Zone"/>
    <x v="131"/>
    <x v="2089"/>
    <n v="190"/>
    <n v="106"/>
    <n v="0.37"/>
    <n v="88"/>
    <n v="16.48"/>
    <n v="8.24"/>
    <n v="234"/>
    <m/>
    <m/>
    <m/>
  </r>
  <r>
    <s v="2022-06-02 17:25 (-07)"/>
    <x v="732"/>
    <x v="441"/>
    <x v="4"/>
    <s v="On Demand"/>
    <x v="17"/>
    <x v="1"/>
    <x v="1"/>
    <s v="Arms &amp; Light Weights"/>
    <x v="28"/>
    <x v="2090"/>
    <m/>
    <m/>
    <m/>
    <m/>
    <m/>
    <m/>
    <n v="46"/>
    <m/>
    <m/>
    <m/>
  </r>
  <r>
    <s v="2022-06-02 17:38 (-07)"/>
    <x v="732"/>
    <x v="770"/>
    <x v="4"/>
    <s v="On Demand"/>
    <x v="35"/>
    <x v="1"/>
    <x v="1"/>
    <s v="Core"/>
    <x v="1"/>
    <x v="2091"/>
    <m/>
    <m/>
    <m/>
    <m/>
    <m/>
    <m/>
    <n v="46"/>
    <m/>
    <m/>
    <m/>
  </r>
  <r>
    <s v="2022-06-02 22:34 (PST)"/>
    <x v="732"/>
    <x v="596"/>
    <x v="4"/>
    <s v="On Demand"/>
    <x v="28"/>
    <x v="1"/>
    <x v="5"/>
    <s v="Emotions"/>
    <x v="109"/>
    <x v="771"/>
    <m/>
    <m/>
    <m/>
    <m/>
    <m/>
    <m/>
    <m/>
    <m/>
    <m/>
    <m/>
  </r>
  <r>
    <s v="2022-06-09 06:46 (PST)"/>
    <x v="733"/>
    <x v="1392"/>
    <x v="4"/>
    <s v="On Demand"/>
    <x v="26"/>
    <x v="1"/>
    <x v="1"/>
    <s v="Core"/>
    <x v="1"/>
    <x v="2092"/>
    <m/>
    <m/>
    <m/>
    <m/>
    <m/>
    <m/>
    <n v="43"/>
    <m/>
    <m/>
    <m/>
  </r>
  <r>
    <s v="2022-06-09 06:58 (PST)"/>
    <x v="733"/>
    <x v="42"/>
    <x v="4"/>
    <s v="On Demand"/>
    <x v="16"/>
    <x v="2"/>
    <x v="4"/>
    <s v="Slow Flow"/>
    <x v="522"/>
    <x v="2093"/>
    <m/>
    <m/>
    <m/>
    <m/>
    <m/>
    <m/>
    <n v="88"/>
    <m/>
    <m/>
    <m/>
  </r>
  <r>
    <s v="2022-06-09 15:48 (-07)"/>
    <x v="733"/>
    <x v="1512"/>
    <x v="4"/>
    <s v="On Demand"/>
    <x v="6"/>
    <x v="0"/>
    <x v="0"/>
    <s v="Power Zone"/>
    <x v="85"/>
    <x v="2094"/>
    <n v="304"/>
    <n v="112"/>
    <n v="0.37"/>
    <n v="87"/>
    <n v="16.45"/>
    <n v="12.34"/>
    <n v="500"/>
    <n v="163.09"/>
    <m/>
    <m/>
  </r>
  <r>
    <s v="2022-06-09 16:34 (-07)"/>
    <x v="733"/>
    <x v="267"/>
    <x v="4"/>
    <s v="On Demand"/>
    <x v="1"/>
    <x v="3"/>
    <x v="0"/>
    <s v="Cool Down"/>
    <x v="10"/>
    <x v="720"/>
    <n v="17"/>
    <n v="57"/>
    <n v="0.28999999999999998"/>
    <n v="82"/>
    <n v="12.69"/>
    <n v="1.06"/>
    <n v="21"/>
    <m/>
    <m/>
    <m/>
  </r>
  <r>
    <s v="2022-06-09 16:40 (-07)"/>
    <x v="733"/>
    <x v="1255"/>
    <x v="4"/>
    <s v="On Demand"/>
    <x v="12"/>
    <x v="3"/>
    <x v="2"/>
    <s v="Pre &amp; Post-Ride Stretch"/>
    <x v="8"/>
    <x v="279"/>
    <m/>
    <m/>
    <m/>
    <m/>
    <m/>
    <m/>
    <n v="11"/>
    <m/>
    <m/>
    <m/>
  </r>
  <r>
    <s v="2022-06-09 22:28 (PST)"/>
    <x v="733"/>
    <x v="472"/>
    <x v="4"/>
    <s v="On Demand"/>
    <x v="23"/>
    <x v="1"/>
    <x v="5"/>
    <s v="Mindfulness"/>
    <x v="51"/>
    <x v="2095"/>
    <m/>
    <m/>
    <m/>
    <m/>
    <m/>
    <m/>
    <m/>
    <m/>
    <m/>
    <m/>
  </r>
  <r>
    <s v="2022-06-16 07:33 (PST)"/>
    <x v="734"/>
    <x v="118"/>
    <x v="4"/>
    <s v="On Demand"/>
    <x v="16"/>
    <x v="2"/>
    <x v="4"/>
    <s v="Slow Flow"/>
    <x v="523"/>
    <x v="2096"/>
    <m/>
    <m/>
    <m/>
    <m/>
    <m/>
    <m/>
    <n v="90"/>
    <m/>
    <m/>
    <m/>
  </r>
  <r>
    <s v="2022-06-16 23:55 (PST)"/>
    <x v="734"/>
    <x v="1513"/>
    <x v="4"/>
    <s v="On Demand"/>
    <x v="13"/>
    <x v="3"/>
    <x v="5"/>
    <s v="Emotions"/>
    <x v="373"/>
    <x v="2097"/>
    <m/>
    <m/>
    <m/>
    <m/>
    <m/>
    <m/>
    <m/>
    <m/>
    <m/>
    <m/>
  </r>
  <r>
    <s v="2022-06-23 22:38 (PST)"/>
    <x v="735"/>
    <x v="101"/>
    <x v="4"/>
    <s v="On Demand"/>
    <x v="13"/>
    <x v="3"/>
    <x v="5"/>
    <s v="Relaxation"/>
    <x v="221"/>
    <x v="2098"/>
    <m/>
    <m/>
    <m/>
    <m/>
    <m/>
    <m/>
    <m/>
    <m/>
    <m/>
    <m/>
  </r>
  <r>
    <s v="2022-06-30 12:17 (PST)"/>
    <x v="736"/>
    <x v="959"/>
    <x v="4"/>
    <s v="On Demand"/>
    <x v="21"/>
    <x v="5"/>
    <x v="6"/>
    <s v="Music Walk"/>
    <x v="524"/>
    <x v="2099"/>
    <n v="0"/>
    <m/>
    <m/>
    <m/>
    <n v="3.58"/>
    <n v="1.19"/>
    <n v="73"/>
    <m/>
    <m/>
    <m/>
  </r>
  <r>
    <s v="2022-06-30 12:38 (PST)"/>
    <x v="736"/>
    <x v="1514"/>
    <x v="4"/>
    <s v="On Demand"/>
    <x v="54"/>
    <x v="5"/>
    <x v="6"/>
    <s v="Music Walk"/>
    <x v="450"/>
    <x v="2100"/>
    <n v="0"/>
    <m/>
    <m/>
    <m/>
    <n v="3.78"/>
    <n v="0.94"/>
    <n v="55"/>
    <m/>
    <m/>
    <m/>
  </r>
  <r>
    <s v="2022-06-30 16:51 (-07)"/>
    <x v="736"/>
    <x v="686"/>
    <x v="4"/>
    <s v="On Demand"/>
    <x v="8"/>
    <x v="1"/>
    <x v="1"/>
    <s v="Barre"/>
    <x v="519"/>
    <x v="2101"/>
    <m/>
    <m/>
    <m/>
    <m/>
    <m/>
    <m/>
    <n v="50"/>
    <n v="107.6"/>
    <m/>
    <m/>
  </r>
  <r>
    <s v="2022-06-30 17:02 (-07)"/>
    <x v="736"/>
    <x v="491"/>
    <x v="4"/>
    <s v="On Demand"/>
    <x v="24"/>
    <x v="3"/>
    <x v="1"/>
    <s v="Core"/>
    <x v="6"/>
    <x v="2102"/>
    <m/>
    <m/>
    <m/>
    <m/>
    <m/>
    <m/>
    <n v="24"/>
    <n v="109.25"/>
    <m/>
    <m/>
  </r>
  <r>
    <s v="2022-06-30 17:09 (-07)"/>
    <x v="736"/>
    <x v="607"/>
    <x v="4"/>
    <s v="On Demand"/>
    <x v="11"/>
    <x v="2"/>
    <x v="1"/>
    <s v="Full Body"/>
    <x v="125"/>
    <x v="2103"/>
    <m/>
    <m/>
    <m/>
    <m/>
    <m/>
    <m/>
    <n v="250"/>
    <n v="139.29"/>
    <m/>
    <m/>
  </r>
  <r>
    <s v="2022-06-30 18:14 (PST)"/>
    <x v="736"/>
    <x v="19"/>
    <x v="4"/>
    <s v="On Demand"/>
    <x v="28"/>
    <x v="2"/>
    <x v="4"/>
    <s v="Slow Flow"/>
    <x v="50"/>
    <x v="2104"/>
    <m/>
    <m/>
    <m/>
    <m/>
    <m/>
    <m/>
    <n v="89"/>
    <n v="85.92"/>
    <m/>
    <m/>
  </r>
  <r>
    <s v="2022-06-30 22:00 (PST)"/>
    <x v="736"/>
    <x v="365"/>
    <x v="4"/>
    <s v="On Demand"/>
    <x v="19"/>
    <x v="1"/>
    <x v="5"/>
    <s v="Theme"/>
    <x v="525"/>
    <x v="2105"/>
    <m/>
    <m/>
    <m/>
    <m/>
    <m/>
    <m/>
    <m/>
    <m/>
    <m/>
    <m/>
  </r>
  <r>
    <s v="2022-07-07 07:26 (PST)"/>
    <x v="737"/>
    <x v="6"/>
    <x v="4"/>
    <s v="On Demand"/>
    <x v="7"/>
    <x v="2"/>
    <x v="4"/>
    <s v="Theme"/>
    <x v="526"/>
    <x v="2106"/>
    <m/>
    <m/>
    <m/>
    <m/>
    <m/>
    <m/>
    <n v="89"/>
    <m/>
    <m/>
    <m/>
  </r>
  <r>
    <s v="2022-07-07 16:23 (-07)"/>
    <x v="737"/>
    <x v="755"/>
    <x v="4"/>
    <s v="On Demand"/>
    <x v="6"/>
    <x v="0"/>
    <x v="0"/>
    <s v="Power Zone"/>
    <x v="85"/>
    <x v="2107"/>
    <n v="293"/>
    <n v="109"/>
    <n v="0.36"/>
    <n v="88"/>
    <n v="16.04"/>
    <n v="12.03"/>
    <n v="475"/>
    <n v="158.4"/>
    <m/>
    <m/>
  </r>
  <r>
    <s v="2022-07-07 17:08 (-07)"/>
    <x v="737"/>
    <x v="466"/>
    <x v="4"/>
    <s v="On Demand"/>
    <x v="12"/>
    <x v="3"/>
    <x v="0"/>
    <s v="Cool Down"/>
    <x v="10"/>
    <x v="279"/>
    <n v="19"/>
    <n v="64"/>
    <n v="0.3"/>
    <n v="87"/>
    <n v="13.38"/>
    <n v="1.1200000000000001"/>
    <n v="24"/>
    <m/>
    <m/>
    <m/>
  </r>
  <r>
    <s v="2022-07-07 17:15 (-07)"/>
    <x v="737"/>
    <x v="248"/>
    <x v="4"/>
    <s v="On Demand"/>
    <x v="12"/>
    <x v="1"/>
    <x v="1"/>
    <s v="Arms &amp; Light Weights"/>
    <x v="28"/>
    <x v="2108"/>
    <m/>
    <m/>
    <m/>
    <m/>
    <m/>
    <m/>
    <n v="60"/>
    <n v="117.58"/>
    <m/>
    <m/>
  </r>
  <r>
    <s v="2022-07-07 17:28 (-07)"/>
    <x v="737"/>
    <x v="1456"/>
    <x v="4"/>
    <s v="On Demand"/>
    <x v="1"/>
    <x v="3"/>
    <x v="1"/>
    <s v="Core"/>
    <x v="6"/>
    <x v="2109"/>
    <m/>
    <m/>
    <m/>
    <m/>
    <m/>
    <m/>
    <n v="24"/>
    <n v="106.35"/>
    <m/>
    <m/>
  </r>
  <r>
    <s v="2022-07-07 17:33 (-07)"/>
    <x v="737"/>
    <x v="456"/>
    <x v="4"/>
    <s v="On Demand"/>
    <x v="21"/>
    <x v="3"/>
    <x v="2"/>
    <s v="Full Body Stretch"/>
    <x v="213"/>
    <x v="2110"/>
    <m/>
    <m/>
    <m/>
    <m/>
    <m/>
    <m/>
    <n v="14"/>
    <n v="89.91"/>
    <m/>
    <m/>
  </r>
  <r>
    <s v="2022-07-07 22:42 (PST)"/>
    <x v="737"/>
    <x v="678"/>
    <x v="4"/>
    <s v="On Demand"/>
    <x v="19"/>
    <x v="1"/>
    <x v="5"/>
    <s v="Emotions"/>
    <x v="210"/>
    <x v="2111"/>
    <m/>
    <m/>
    <m/>
    <m/>
    <m/>
    <m/>
    <m/>
    <m/>
    <m/>
    <m/>
  </r>
  <r>
    <s v="2022-07-14 12:17 (PST)"/>
    <x v="738"/>
    <x v="959"/>
    <x v="4"/>
    <s v="On Demand"/>
    <x v="16"/>
    <x v="2"/>
    <x v="4"/>
    <s v="Flow"/>
    <x v="69"/>
    <x v="2112"/>
    <m/>
    <m/>
    <m/>
    <m/>
    <m/>
    <m/>
    <n v="94"/>
    <m/>
    <m/>
    <m/>
  </r>
  <r>
    <s v="2022-07-14 13:01 (PST)"/>
    <x v="738"/>
    <x v="1515"/>
    <x v="4"/>
    <s v="On Demand"/>
    <x v="31"/>
    <x v="5"/>
    <x v="6"/>
    <s v="Power Walk"/>
    <x v="110"/>
    <x v="1648"/>
    <n v="0"/>
    <m/>
    <m/>
    <m/>
    <n v="3.88"/>
    <n v="1.29"/>
    <n v="73"/>
    <n v="85.4"/>
    <m/>
    <m/>
  </r>
  <r>
    <s v="2022-07-14 13:22 (PST)"/>
    <x v="738"/>
    <x v="1516"/>
    <x v="4"/>
    <s v="On Demand"/>
    <x v="54"/>
    <x v="1"/>
    <x v="8"/>
    <s v="Warm Up/Cool Down Run"/>
    <x v="259"/>
    <x v="2113"/>
    <n v="0"/>
    <m/>
    <m/>
    <m/>
    <n v="3.92"/>
    <n v="0.65"/>
    <n v="59"/>
    <m/>
    <n v="0"/>
    <d v="1899-12-30T15:19:00"/>
  </r>
  <r>
    <s v="2022-07-14 17:03 (-07)"/>
    <x v="738"/>
    <x v="801"/>
    <x v="4"/>
    <s v="On Demand"/>
    <x v="7"/>
    <x v="0"/>
    <x v="0"/>
    <s v="Power Zone"/>
    <x v="85"/>
    <x v="2114"/>
    <n v="311"/>
    <n v="115"/>
    <n v="0.37"/>
    <n v="87"/>
    <n v="16.61"/>
    <n v="12.46"/>
    <n v="483"/>
    <n v="159.97999999999999"/>
    <m/>
    <m/>
  </r>
  <r>
    <s v="2022-07-14 17:50 (-07)"/>
    <x v="738"/>
    <x v="508"/>
    <x v="4"/>
    <s v="On Demand"/>
    <x v="34"/>
    <x v="3"/>
    <x v="0"/>
    <s v="Scenic Ride"/>
    <x v="527"/>
    <x v="231"/>
    <n v="14"/>
    <n v="46"/>
    <n v="0.26"/>
    <n v="83"/>
    <n v="11.46"/>
    <n v="0.95"/>
    <n v="17"/>
    <m/>
    <m/>
    <m/>
  </r>
  <r>
    <s v="2022-07-14 17:57 (-07)"/>
    <x v="738"/>
    <x v="1517"/>
    <x v="4"/>
    <s v="On Demand"/>
    <x v="12"/>
    <x v="3"/>
    <x v="1"/>
    <s v="Warm Up"/>
    <x v="116"/>
    <x v="248"/>
    <m/>
    <m/>
    <m/>
    <m/>
    <m/>
    <m/>
    <n v="23"/>
    <m/>
    <m/>
    <m/>
  </r>
  <r>
    <s v="2022-07-14 18:04 (-07)"/>
    <x v="738"/>
    <x v="258"/>
    <x v="4"/>
    <s v="On Demand"/>
    <x v="12"/>
    <x v="1"/>
    <x v="1"/>
    <s v="Upper Body"/>
    <x v="117"/>
    <x v="248"/>
    <m/>
    <m/>
    <m/>
    <m/>
    <m/>
    <m/>
    <n v="46"/>
    <m/>
    <m/>
    <m/>
  </r>
  <r>
    <s v="2022-07-14 18:16 (-07)"/>
    <x v="738"/>
    <x v="1518"/>
    <x v="4"/>
    <s v="On Demand"/>
    <x v="7"/>
    <x v="1"/>
    <x v="4"/>
    <s v="Flow"/>
    <x v="528"/>
    <x v="2115"/>
    <m/>
    <m/>
    <m/>
    <m/>
    <m/>
    <m/>
    <n v="28"/>
    <m/>
    <m/>
    <m/>
  </r>
  <r>
    <s v="2022-07-14 22:58 (PST)"/>
    <x v="738"/>
    <x v="84"/>
    <x v="4"/>
    <s v="On Demand"/>
    <x v="19"/>
    <x v="1"/>
    <x v="5"/>
    <s v="Emotions"/>
    <x v="151"/>
    <x v="2116"/>
    <m/>
    <m/>
    <m/>
    <m/>
    <m/>
    <m/>
    <m/>
    <m/>
    <m/>
    <m/>
  </r>
  <r>
    <s v="2022-07-21 16:39 (PST)"/>
    <x v="739"/>
    <x v="1510"/>
    <x v="4"/>
    <s v="On Demand"/>
    <x v="0"/>
    <x v="1"/>
    <x v="1"/>
    <s v="Barre"/>
    <x v="529"/>
    <x v="2117"/>
    <m/>
    <m/>
    <m/>
    <m/>
    <m/>
    <m/>
    <n v="42"/>
    <m/>
    <m/>
    <m/>
  </r>
  <r>
    <s v="2022-07-21 16:50 (PST)"/>
    <x v="739"/>
    <x v="1120"/>
    <x v="4"/>
    <s v="On Demand"/>
    <x v="24"/>
    <x v="7"/>
    <x v="1"/>
    <s v="Core"/>
    <x v="254"/>
    <x v="2118"/>
    <m/>
    <m/>
    <m/>
    <m/>
    <m/>
    <m/>
    <n v="64"/>
    <m/>
    <m/>
    <m/>
  </r>
  <r>
    <s v="2022-07-21 17:12 (PST)"/>
    <x v="739"/>
    <x v="1519"/>
    <x v="4"/>
    <s v="On Demand"/>
    <x v="24"/>
    <x v="2"/>
    <x v="10"/>
    <s v="HIIT"/>
    <x v="530"/>
    <x v="2119"/>
    <m/>
    <m/>
    <m/>
    <m/>
    <m/>
    <m/>
    <n v="153"/>
    <m/>
    <m/>
    <m/>
  </r>
  <r>
    <s v="2022-07-21 17:43 (PST)"/>
    <x v="739"/>
    <x v="1245"/>
    <x v="4"/>
    <s v="On Demand"/>
    <x v="21"/>
    <x v="1"/>
    <x v="2"/>
    <s v="Lower Body Stretch"/>
    <x v="3"/>
    <x v="2120"/>
    <m/>
    <m/>
    <m/>
    <m/>
    <m/>
    <m/>
    <n v="21"/>
    <m/>
    <m/>
    <m/>
  </r>
  <r>
    <s v="2022-07-21 23:03 (PST)"/>
    <x v="739"/>
    <x v="1520"/>
    <x v="4"/>
    <s v="On Demand"/>
    <x v="19"/>
    <x v="1"/>
    <x v="5"/>
    <s v="Relaxation"/>
    <x v="34"/>
    <x v="2121"/>
    <m/>
    <m/>
    <m/>
    <m/>
    <m/>
    <m/>
    <m/>
    <m/>
    <m/>
    <m/>
  </r>
  <r>
    <s v="2022-07-28 17:01 (-07)"/>
    <x v="740"/>
    <x v="204"/>
    <x v="4"/>
    <s v="On Demand"/>
    <x v="24"/>
    <x v="1"/>
    <x v="1"/>
    <s v="Core"/>
    <x v="1"/>
    <x v="2122"/>
    <m/>
    <m/>
    <m/>
    <m/>
    <m/>
    <m/>
    <n v="39"/>
    <n v="94.97"/>
    <m/>
    <m/>
  </r>
  <r>
    <s v="2022-07-28 17:14 (-07)"/>
    <x v="740"/>
    <x v="1521"/>
    <x v="4"/>
    <s v="On Demand"/>
    <x v="8"/>
    <x v="5"/>
    <x v="1"/>
    <s v="Barre"/>
    <x v="447"/>
    <x v="2123"/>
    <m/>
    <m/>
    <m/>
    <m/>
    <m/>
    <m/>
    <n v="79"/>
    <n v="98.37"/>
    <m/>
    <m/>
  </r>
  <r>
    <s v="2022-07-28 17:41 (PST)"/>
    <x v="740"/>
    <x v="1522"/>
    <x v="4"/>
    <s v="On Demand"/>
    <x v="16"/>
    <x v="2"/>
    <x v="4"/>
    <s v="Power"/>
    <x v="531"/>
    <x v="2124"/>
    <m/>
    <m/>
    <m/>
    <m/>
    <m/>
    <m/>
    <n v="95"/>
    <m/>
    <m/>
    <m/>
  </r>
  <r>
    <s v="2022-07-28 22:42 (PST)"/>
    <x v="740"/>
    <x v="678"/>
    <x v="4"/>
    <s v="On Demand"/>
    <x v="28"/>
    <x v="1"/>
    <x v="5"/>
    <s v="Relaxation"/>
    <x v="34"/>
    <x v="2125"/>
    <m/>
    <m/>
    <m/>
    <m/>
    <m/>
    <m/>
    <m/>
    <m/>
    <m/>
    <m/>
  </r>
  <r>
    <s v="2022-08-04 16:02 (-07)"/>
    <x v="741"/>
    <x v="1523"/>
    <x v="4"/>
    <s v="On Demand"/>
    <x v="6"/>
    <x v="0"/>
    <x v="0"/>
    <s v="Power Zone"/>
    <x v="85"/>
    <x v="2126"/>
    <n v="332"/>
    <n v="123"/>
    <n v="0.4"/>
    <n v="85"/>
    <n v="17.329999999999998"/>
    <n v="12.99"/>
    <n v="480"/>
    <n v="159.13999999999999"/>
    <m/>
    <m/>
  </r>
  <r>
    <s v="2022-08-04 16:48 (-07)"/>
    <x v="741"/>
    <x v="610"/>
    <x v="4"/>
    <s v="On Demand"/>
    <x v="6"/>
    <x v="3"/>
    <x v="0"/>
    <s v="Cool Down"/>
    <x v="10"/>
    <x v="265"/>
    <n v="17"/>
    <n v="58"/>
    <n v="0.27"/>
    <n v="91"/>
    <n v="12.58"/>
    <n v="1.05"/>
    <n v="37"/>
    <n v="133.85"/>
    <m/>
    <m/>
  </r>
  <r>
    <s v="2022-08-04 16:55 (-07)"/>
    <x v="741"/>
    <x v="1508"/>
    <x v="4"/>
    <s v="On Demand"/>
    <x v="12"/>
    <x v="3"/>
    <x v="1"/>
    <s v="Warm Up"/>
    <x v="116"/>
    <x v="248"/>
    <m/>
    <m/>
    <m/>
    <m/>
    <m/>
    <m/>
    <n v="11"/>
    <m/>
    <m/>
    <m/>
  </r>
  <r>
    <s v="2022-08-04 17:02 (-07)"/>
    <x v="741"/>
    <x v="491"/>
    <x v="4"/>
    <s v="On Demand"/>
    <x v="12"/>
    <x v="1"/>
    <x v="1"/>
    <s v="Upper Body"/>
    <x v="117"/>
    <x v="248"/>
    <m/>
    <m/>
    <m/>
    <m/>
    <m/>
    <m/>
    <n v="58"/>
    <n v="118.66"/>
    <m/>
    <m/>
  </r>
  <r>
    <s v="2022-08-04 17:13 (-07)"/>
    <x v="741"/>
    <x v="353"/>
    <x v="4"/>
    <s v="On Demand"/>
    <x v="31"/>
    <x v="1"/>
    <x v="1"/>
    <s v="Core"/>
    <x v="1"/>
    <x v="2127"/>
    <m/>
    <m/>
    <m/>
    <m/>
    <m/>
    <m/>
    <n v="50"/>
    <n v="109.63"/>
    <m/>
    <m/>
  </r>
  <r>
    <s v="2022-08-04 17:25 (-07)"/>
    <x v="741"/>
    <x v="441"/>
    <x v="4"/>
    <s v="On Demand"/>
    <x v="32"/>
    <x v="1"/>
    <x v="4"/>
    <s v="Focus Flow"/>
    <x v="133"/>
    <x v="2128"/>
    <m/>
    <m/>
    <m/>
    <m/>
    <m/>
    <m/>
    <n v="37"/>
    <m/>
    <m/>
    <m/>
  </r>
  <r>
    <s v="2022-08-04 21:57 (PST)"/>
    <x v="741"/>
    <x v="824"/>
    <x v="4"/>
    <s v="On Demand"/>
    <x v="23"/>
    <x v="1"/>
    <x v="5"/>
    <s v="Emotions"/>
    <x v="147"/>
    <x v="2129"/>
    <m/>
    <m/>
    <m/>
    <m/>
    <m/>
    <m/>
    <m/>
    <m/>
    <m/>
    <m/>
  </r>
  <r>
    <s v="2022-08-11 11:35 (PST)"/>
    <x v="742"/>
    <x v="1524"/>
    <x v="4"/>
    <m/>
    <x v="34"/>
    <x v="24"/>
    <x v="6"/>
    <m/>
    <x v="532"/>
    <x v="231"/>
    <n v="0"/>
    <m/>
    <m/>
    <m/>
    <n v="3.28"/>
    <n v="1.87"/>
    <n v="133"/>
    <m/>
    <m/>
    <m/>
  </r>
  <r>
    <s v="2022-08-11 15:56 (-07)"/>
    <x v="742"/>
    <x v="1363"/>
    <x v="4"/>
    <s v="On Demand"/>
    <x v="6"/>
    <x v="4"/>
    <x v="0"/>
    <s v="Power Zone"/>
    <x v="7"/>
    <x v="2130"/>
    <n v="429"/>
    <n v="119"/>
    <n v="0.4"/>
    <n v="83"/>
    <n v="17.34"/>
    <n v="17.34"/>
    <n v="570"/>
    <n v="149.26"/>
    <m/>
    <m/>
  </r>
  <r>
    <s v="2022-08-11 17:05 (-07)"/>
    <x v="742"/>
    <x v="1525"/>
    <x v="4"/>
    <s v="On Demand"/>
    <x v="12"/>
    <x v="5"/>
    <x v="1"/>
    <s v="Upper Body"/>
    <x v="247"/>
    <x v="248"/>
    <m/>
    <m/>
    <m/>
    <m/>
    <m/>
    <m/>
    <n v="118"/>
    <n v="118.46"/>
    <m/>
    <m/>
  </r>
  <r>
    <s v="2022-08-11 17:28 (-07)"/>
    <x v="742"/>
    <x v="1456"/>
    <x v="4"/>
    <s v="On Demand"/>
    <x v="35"/>
    <x v="1"/>
    <x v="1"/>
    <s v="Core"/>
    <x v="1"/>
    <x v="2131"/>
    <m/>
    <m/>
    <m/>
    <m/>
    <m/>
    <m/>
    <n v="39"/>
    <m/>
    <m/>
    <m/>
  </r>
  <r>
    <s v="2022-08-11 17:42 (-07)"/>
    <x v="742"/>
    <x v="687"/>
    <x v="4"/>
    <s v="On Demand"/>
    <x v="23"/>
    <x v="1"/>
    <x v="4"/>
    <s v="Focus Flow"/>
    <x v="533"/>
    <x v="2132"/>
    <m/>
    <m/>
    <m/>
    <m/>
    <m/>
    <m/>
    <n v="37"/>
    <n v="98.54"/>
    <m/>
    <m/>
  </r>
  <r>
    <s v="2022-08-11 22:22 (PST)"/>
    <x v="742"/>
    <x v="493"/>
    <x v="4"/>
    <s v="On Demand"/>
    <x v="28"/>
    <x v="1"/>
    <x v="5"/>
    <s v="Mindfulness"/>
    <x v="51"/>
    <x v="2133"/>
    <m/>
    <m/>
    <m/>
    <m/>
    <m/>
    <m/>
    <m/>
    <m/>
    <m/>
    <m/>
  </r>
  <r>
    <s v="2022-08-18 07:50 (PST)"/>
    <x v="743"/>
    <x v="71"/>
    <x v="4"/>
    <s v="On Demand"/>
    <x v="16"/>
    <x v="2"/>
    <x v="4"/>
    <s v="Flow"/>
    <x v="41"/>
    <x v="2134"/>
    <m/>
    <m/>
    <m/>
    <m/>
    <m/>
    <m/>
    <n v="96"/>
    <m/>
    <m/>
    <m/>
  </r>
  <r>
    <s v="2022-08-18 15:49 (-07)"/>
    <x v="743"/>
    <x v="800"/>
    <x v="4"/>
    <s v="On Demand"/>
    <x v="24"/>
    <x v="1"/>
    <x v="1"/>
    <s v="Core"/>
    <x v="108"/>
    <x v="2135"/>
    <m/>
    <m/>
    <m/>
    <m/>
    <m/>
    <m/>
    <n v="54"/>
    <n v="112.29"/>
    <m/>
    <m/>
  </r>
  <r>
    <s v="2022-08-18 16:01 (-07)"/>
    <x v="743"/>
    <x v="266"/>
    <x v="4"/>
    <s v="On Demand"/>
    <x v="6"/>
    <x v="4"/>
    <x v="0"/>
    <s v="Power Zone"/>
    <x v="7"/>
    <x v="2136"/>
    <n v="420"/>
    <n v="117"/>
    <n v="0.39"/>
    <n v="85"/>
    <n v="17.13"/>
    <n v="17.13"/>
    <n v="649"/>
    <n v="160.72"/>
    <m/>
    <m/>
  </r>
  <r>
    <s v="2022-08-18 17:04 (-07)"/>
    <x v="743"/>
    <x v="1449"/>
    <x v="4"/>
    <s v="On Demand"/>
    <x v="22"/>
    <x v="3"/>
    <x v="2"/>
    <s v="Pre &amp; Post-Ride Stretch"/>
    <x v="8"/>
    <x v="2137"/>
    <m/>
    <m/>
    <m/>
    <m/>
    <m/>
    <m/>
    <n v="24"/>
    <n v="111.67"/>
    <m/>
    <m/>
  </r>
  <r>
    <s v="2022-08-18 23:25 (PST)"/>
    <x v="743"/>
    <x v="1526"/>
    <x v="4"/>
    <s v="On Demand"/>
    <x v="25"/>
    <x v="3"/>
    <x v="5"/>
    <s v="Sleep"/>
    <x v="58"/>
    <x v="1662"/>
    <m/>
    <m/>
    <m/>
    <m/>
    <m/>
    <m/>
    <m/>
    <m/>
    <m/>
    <m/>
  </r>
  <r>
    <s v="2022-08-25 07:30 (PST)"/>
    <x v="744"/>
    <x v="58"/>
    <x v="4"/>
    <s v="On Demand"/>
    <x v="16"/>
    <x v="2"/>
    <x v="4"/>
    <s v="Slow Flow"/>
    <x v="114"/>
    <x v="2138"/>
    <m/>
    <m/>
    <m/>
    <m/>
    <m/>
    <m/>
    <n v="93"/>
    <m/>
    <m/>
    <m/>
  </r>
  <r>
    <s v="2022-08-25 11:03 (PST)"/>
    <x v="744"/>
    <x v="1527"/>
    <x v="4"/>
    <s v="On Demand"/>
    <x v="54"/>
    <x v="2"/>
    <x v="6"/>
    <s v="Power Walk"/>
    <x v="223"/>
    <x v="2139"/>
    <n v="0"/>
    <m/>
    <m/>
    <m/>
    <n v="3.46"/>
    <n v="1.76"/>
    <n v="181"/>
    <n v="132.47"/>
    <m/>
    <m/>
  </r>
  <r>
    <s v="2022-08-25 22:11 (PST)"/>
    <x v="744"/>
    <x v="137"/>
    <x v="4"/>
    <s v="On Demand"/>
    <x v="19"/>
    <x v="7"/>
    <x v="5"/>
    <s v="Sleep"/>
    <x v="65"/>
    <x v="2140"/>
    <m/>
    <m/>
    <m/>
    <m/>
    <m/>
    <m/>
    <m/>
    <m/>
    <m/>
    <m/>
  </r>
  <r>
    <s v="2022-09-01 07:32 (PST)"/>
    <x v="745"/>
    <x v="394"/>
    <x v="4"/>
    <s v="On Demand"/>
    <x v="7"/>
    <x v="2"/>
    <x v="4"/>
    <s v="Flow"/>
    <x v="41"/>
    <x v="2141"/>
    <m/>
    <m/>
    <m/>
    <m/>
    <m/>
    <m/>
    <n v="94"/>
    <m/>
    <m/>
    <m/>
  </r>
  <r>
    <s v="2022-09-01 17:11 (-07)"/>
    <x v="745"/>
    <x v="1450"/>
    <x v="4"/>
    <s v="On Demand"/>
    <x v="31"/>
    <x v="1"/>
    <x v="1"/>
    <s v="Core"/>
    <x v="1"/>
    <x v="2142"/>
    <m/>
    <m/>
    <m/>
    <m/>
    <m/>
    <m/>
    <n v="56"/>
    <n v="127.43"/>
    <m/>
    <m/>
  </r>
  <r>
    <s v="2022-09-01 17:23 (-07)"/>
    <x v="745"/>
    <x v="789"/>
    <x v="4"/>
    <s v="On Demand"/>
    <x v="11"/>
    <x v="2"/>
    <x v="1"/>
    <s v="Full Body"/>
    <x v="125"/>
    <x v="2143"/>
    <m/>
    <m/>
    <m/>
    <m/>
    <m/>
    <m/>
    <n v="290"/>
    <n v="151.04"/>
    <m/>
    <m/>
  </r>
  <r>
    <s v="2022-09-01 17:56 (-07)"/>
    <x v="745"/>
    <x v="257"/>
    <x v="4"/>
    <s v="On Demand"/>
    <x v="7"/>
    <x v="2"/>
    <x v="0"/>
    <s v="Power Zone"/>
    <x v="426"/>
    <x v="2144"/>
    <n v="196"/>
    <n v="109"/>
    <n v="0.38"/>
    <n v="85"/>
    <n v="16.59"/>
    <n v="8.2899999999999991"/>
    <n v="296"/>
    <n v="152.05000000000001"/>
    <m/>
    <m/>
  </r>
  <r>
    <s v="2022-09-01 18:27 (-07)"/>
    <x v="745"/>
    <x v="115"/>
    <x v="4"/>
    <s v="On Demand"/>
    <x v="7"/>
    <x v="3"/>
    <x v="2"/>
    <s v="Pre &amp; Post-Ride Stretch"/>
    <x v="8"/>
    <x v="499"/>
    <m/>
    <m/>
    <m/>
    <m/>
    <m/>
    <m/>
    <n v="23"/>
    <n v="110.71"/>
    <m/>
    <m/>
  </r>
  <r>
    <s v="2022-09-01 22:39 (PST)"/>
    <x v="745"/>
    <x v="426"/>
    <x v="4"/>
    <s v="On Demand"/>
    <x v="13"/>
    <x v="3"/>
    <x v="5"/>
    <s v="Breath"/>
    <x v="264"/>
    <x v="2145"/>
    <m/>
    <m/>
    <m/>
    <m/>
    <m/>
    <m/>
    <m/>
    <m/>
    <m/>
    <m/>
  </r>
  <r>
    <s v="2022-09-08 12:04 (PST)"/>
    <x v="746"/>
    <x v="1144"/>
    <x v="4"/>
    <s v="On Demand"/>
    <x v="26"/>
    <x v="0"/>
    <x v="6"/>
    <s v="Music Walk"/>
    <x v="534"/>
    <x v="2113"/>
    <n v="0"/>
    <m/>
    <m/>
    <m/>
    <n v="3.31"/>
    <n v="0.14000000000000001"/>
    <n v="9"/>
    <n v="64"/>
    <m/>
    <m/>
  </r>
  <r>
    <s v="2022-09-08 16:26 (-07)"/>
    <x v="746"/>
    <x v="795"/>
    <x v="4"/>
    <s v="On Demand"/>
    <x v="6"/>
    <x v="4"/>
    <x v="0"/>
    <s v="Power Zone"/>
    <x v="7"/>
    <x v="2146"/>
    <n v="418"/>
    <n v="116"/>
    <n v="0.39"/>
    <n v="85"/>
    <n v="17.14"/>
    <n v="17.14"/>
    <n v="574"/>
    <n v="149.66"/>
    <m/>
    <m/>
  </r>
  <r>
    <s v="2022-09-08 17:28 (-07)"/>
    <x v="746"/>
    <x v="1456"/>
    <x v="4"/>
    <s v="On Demand"/>
    <x v="20"/>
    <x v="1"/>
    <x v="1"/>
    <s v="Core"/>
    <x v="1"/>
    <x v="2147"/>
    <m/>
    <m/>
    <m/>
    <m/>
    <m/>
    <m/>
    <n v="52"/>
    <n v="112.1"/>
    <m/>
    <m/>
  </r>
  <r>
    <s v="2022-09-08 22:38 (PST)"/>
    <x v="746"/>
    <x v="101"/>
    <x v="4"/>
    <s v="On Demand"/>
    <x v="16"/>
    <x v="3"/>
    <x v="5"/>
    <s v="Relaxation"/>
    <x v="221"/>
    <x v="310"/>
    <m/>
    <m/>
    <m/>
    <m/>
    <m/>
    <m/>
    <m/>
    <m/>
    <m/>
    <m/>
  </r>
  <r>
    <s v="2022-09-15 13:09 (PST)"/>
    <x v="747"/>
    <x v="309"/>
    <x v="4"/>
    <s v="On Demand"/>
    <x v="21"/>
    <x v="5"/>
    <x v="6"/>
    <s v="Music Walk"/>
    <x v="535"/>
    <x v="2148"/>
    <n v="0"/>
    <m/>
    <m/>
    <m/>
    <n v="3.5"/>
    <n v="1.19"/>
    <n v="73"/>
    <m/>
    <m/>
    <m/>
  </r>
  <r>
    <s v="2022-09-15 13:29 (PST)"/>
    <x v="747"/>
    <x v="1528"/>
    <x v="4"/>
    <s v="On Demand"/>
    <x v="43"/>
    <x v="1"/>
    <x v="6"/>
    <s v="Warm Up/Cool Down Walk"/>
    <x v="269"/>
    <x v="2149"/>
    <n v="0"/>
    <m/>
    <m/>
    <m/>
    <n v="3.65"/>
    <n v="0.59"/>
    <n v="77"/>
    <n v="134.66"/>
    <m/>
    <m/>
  </r>
  <r>
    <s v="2022-09-15 16:53 (-07)"/>
    <x v="747"/>
    <x v="1511"/>
    <x v="4"/>
    <s v="On Demand"/>
    <x v="11"/>
    <x v="2"/>
    <x v="1"/>
    <s v="Full Body"/>
    <x v="536"/>
    <x v="2150"/>
    <m/>
    <m/>
    <m/>
    <m/>
    <m/>
    <m/>
    <n v="271"/>
    <n v="148.34"/>
    <m/>
    <m/>
  </r>
  <r>
    <s v="2022-09-15 17:31 (-07)"/>
    <x v="747"/>
    <x v="442"/>
    <x v="4"/>
    <s v="On Demand"/>
    <x v="7"/>
    <x v="2"/>
    <x v="0"/>
    <s v="Power Zone"/>
    <x v="274"/>
    <x v="1878"/>
    <n v="199"/>
    <n v="110"/>
    <n v="0.38"/>
    <n v="86"/>
    <n v="16.66"/>
    <n v="8.33"/>
    <n v="309"/>
    <n v="161.91"/>
    <m/>
    <m/>
  </r>
  <r>
    <s v="2022-09-15 18:02 (-07)"/>
    <x v="747"/>
    <x v="467"/>
    <x v="4"/>
    <s v="On Demand"/>
    <x v="34"/>
    <x v="3"/>
    <x v="0"/>
    <s v="Scenic Ride"/>
    <x v="537"/>
    <x v="231"/>
    <n v="15"/>
    <n v="50"/>
    <n v="0.28000000000000003"/>
    <n v="81"/>
    <n v="11.97"/>
    <n v="0.99"/>
    <n v="28"/>
    <n v="116.54"/>
    <m/>
    <m/>
  </r>
  <r>
    <s v="2022-09-15 22:10 (PST)"/>
    <x v="747"/>
    <x v="620"/>
    <x v="4"/>
    <s v="On Demand"/>
    <x v="19"/>
    <x v="1"/>
    <x v="5"/>
    <s v="Relaxation"/>
    <x v="34"/>
    <x v="1668"/>
    <m/>
    <m/>
    <m/>
    <m/>
    <m/>
    <m/>
    <m/>
    <m/>
    <m/>
    <m/>
  </r>
  <r>
    <s v="2022-09-22 13:04 (PST)"/>
    <x v="748"/>
    <x v="1261"/>
    <x v="4"/>
    <m/>
    <x v="34"/>
    <x v="25"/>
    <x v="6"/>
    <m/>
    <x v="538"/>
    <x v="231"/>
    <n v="0"/>
    <m/>
    <m/>
    <m/>
    <n v="3.44"/>
    <n v="2.11"/>
    <n v="140"/>
    <m/>
    <m/>
    <m/>
  </r>
  <r>
    <s v="2022-09-22 15:52 (-07)"/>
    <x v="748"/>
    <x v="793"/>
    <x v="4"/>
    <s v="On Demand"/>
    <x v="4"/>
    <x v="0"/>
    <x v="0"/>
    <s v="Power Zone"/>
    <x v="85"/>
    <x v="2151"/>
    <n v="327"/>
    <n v="121"/>
    <n v="0.39"/>
    <n v="85"/>
    <n v="17.13"/>
    <n v="12.85"/>
    <n v="501"/>
    <n v="163.49"/>
    <m/>
    <m/>
  </r>
  <r>
    <s v="2022-09-22 16:38 (-07)"/>
    <x v="748"/>
    <x v="615"/>
    <x v="4"/>
    <s v="On Demand"/>
    <x v="4"/>
    <x v="3"/>
    <x v="0"/>
    <s v="Cool Down"/>
    <x v="10"/>
    <x v="2152"/>
    <n v="13"/>
    <n v="42"/>
    <n v="0.25"/>
    <n v="82"/>
    <n v="11.04"/>
    <n v="0.91"/>
    <n v="26"/>
    <n v="127.5"/>
    <m/>
    <m/>
  </r>
  <r>
    <s v="2022-09-22 16:47 (-07)"/>
    <x v="748"/>
    <x v="783"/>
    <x v="4"/>
    <s v="On Demand"/>
    <x v="11"/>
    <x v="2"/>
    <x v="1"/>
    <s v="Full Body"/>
    <x v="536"/>
    <x v="2153"/>
    <m/>
    <m/>
    <m/>
    <m/>
    <m/>
    <m/>
    <n v="183"/>
    <n v="120.45"/>
    <m/>
    <m/>
  </r>
  <r>
    <s v="2022-09-22 17:18 (-07)"/>
    <x v="748"/>
    <x v="205"/>
    <x v="4"/>
    <s v="On Demand"/>
    <x v="4"/>
    <x v="1"/>
    <x v="2"/>
    <s v="Full Body Stretch"/>
    <x v="4"/>
    <x v="2154"/>
    <m/>
    <m/>
    <m/>
    <m/>
    <m/>
    <m/>
    <n v="33"/>
    <n v="93.48"/>
    <m/>
    <m/>
  </r>
  <r>
    <s v="2022-09-22 22:44 (PST)"/>
    <x v="748"/>
    <x v="373"/>
    <x v="4"/>
    <s v="On Demand"/>
    <x v="23"/>
    <x v="1"/>
    <x v="5"/>
    <s v="Relaxation"/>
    <x v="34"/>
    <x v="2155"/>
    <m/>
    <m/>
    <m/>
    <m/>
    <m/>
    <m/>
    <m/>
    <m/>
    <m/>
    <m/>
  </r>
  <r>
    <s v="2022-09-29 15:25 (-07)"/>
    <x v="749"/>
    <x v="1008"/>
    <x v="4"/>
    <s v="On Demand"/>
    <x v="6"/>
    <x v="2"/>
    <x v="0"/>
    <s v="Power Zone"/>
    <x v="539"/>
    <x v="2156"/>
    <n v="203"/>
    <n v="113"/>
    <n v="0.38"/>
    <n v="89"/>
    <n v="16.89"/>
    <n v="8.44"/>
    <n v="330"/>
    <n v="162.21"/>
    <m/>
    <m/>
  </r>
  <r>
    <s v="2022-09-29 15:57 (-07)"/>
    <x v="749"/>
    <x v="1529"/>
    <x v="4"/>
    <s v="On Demand"/>
    <x v="35"/>
    <x v="1"/>
    <x v="1"/>
    <s v="Core"/>
    <x v="1"/>
    <x v="2157"/>
    <m/>
    <m/>
    <m/>
    <m/>
    <m/>
    <m/>
    <n v="70"/>
    <n v="129.69999999999999"/>
    <m/>
    <m/>
  </r>
  <r>
    <s v="2022-09-29 16:12 (-07)"/>
    <x v="749"/>
    <x v="1009"/>
    <x v="4"/>
    <s v="On Demand"/>
    <x v="12"/>
    <x v="5"/>
    <x v="1"/>
    <s v="Upper Body"/>
    <x v="540"/>
    <x v="2158"/>
    <m/>
    <m/>
    <m/>
    <m/>
    <m/>
    <m/>
    <n v="146"/>
    <n v="129.96"/>
    <m/>
    <m/>
  </r>
  <r>
    <s v="2022-09-29 16:41 (-07)"/>
    <x v="749"/>
    <x v="1530"/>
    <x v="4"/>
    <s v="On Demand"/>
    <x v="23"/>
    <x v="2"/>
    <x v="4"/>
    <s v="Flow"/>
    <x v="541"/>
    <x v="2159"/>
    <m/>
    <m/>
    <m/>
    <m/>
    <m/>
    <m/>
    <n v="132"/>
    <n v="103.88"/>
    <m/>
    <m/>
  </r>
  <r>
    <s v="2022-09-29 22:31 (PST)"/>
    <x v="749"/>
    <x v="243"/>
    <x v="4"/>
    <s v="On Demand"/>
    <x v="25"/>
    <x v="7"/>
    <x v="5"/>
    <s v="Emotions"/>
    <x v="390"/>
    <x v="2160"/>
    <m/>
    <m/>
    <m/>
    <m/>
    <m/>
    <m/>
    <m/>
    <m/>
    <m/>
    <m/>
  </r>
  <r>
    <s v="2022-10-06 15:15 (-07)"/>
    <x v="750"/>
    <x v="1531"/>
    <x v="4"/>
    <s v="On Demand"/>
    <x v="6"/>
    <x v="0"/>
    <x v="0"/>
    <s v="Power Zone"/>
    <x v="27"/>
    <x v="2161"/>
    <n v="309"/>
    <n v="114"/>
    <n v="0.39"/>
    <n v="84"/>
    <n v="17"/>
    <n v="12.75"/>
    <n v="493"/>
    <n v="163.86"/>
    <m/>
    <m/>
  </r>
  <r>
    <s v="2022-10-06 16:00 (-07)"/>
    <x v="750"/>
    <x v="1532"/>
    <x v="4"/>
    <s v="On Demand"/>
    <x v="39"/>
    <x v="3"/>
    <x v="0"/>
    <s v="Cool Down"/>
    <x v="10"/>
    <x v="2162"/>
    <n v="17"/>
    <n v="57"/>
    <n v="0.28999999999999998"/>
    <n v="84"/>
    <n v="12.77"/>
    <n v="1.06"/>
    <n v="41"/>
    <n v="140.86000000000001"/>
    <m/>
    <m/>
  </r>
  <r>
    <s v="2022-10-06 16:08 (-07)"/>
    <x v="750"/>
    <x v="1287"/>
    <x v="4"/>
    <s v="On Demand"/>
    <x v="12"/>
    <x v="1"/>
    <x v="1"/>
    <s v="Arms &amp; Light Weights"/>
    <x v="28"/>
    <x v="2163"/>
    <m/>
    <m/>
    <m/>
    <m/>
    <m/>
    <m/>
    <n v="61"/>
    <n v="115.76"/>
    <m/>
    <m/>
  </r>
  <r>
    <s v="2022-10-06 16:29 (PST)"/>
    <x v="750"/>
    <x v="1533"/>
    <x v="4"/>
    <s v="On Demand"/>
    <x v="1"/>
    <x v="7"/>
    <x v="1"/>
    <s v="Core"/>
    <x v="126"/>
    <x v="2164"/>
    <m/>
    <m/>
    <m/>
    <m/>
    <m/>
    <m/>
    <n v="66"/>
    <m/>
    <m/>
    <m/>
  </r>
  <r>
    <s v="2022-10-06 16:47 (PST)"/>
    <x v="750"/>
    <x v="1162"/>
    <x v="4"/>
    <s v="On Demand"/>
    <x v="7"/>
    <x v="2"/>
    <x v="4"/>
    <s v="Flow"/>
    <x v="542"/>
    <x v="2165"/>
    <m/>
    <m/>
    <m/>
    <m/>
    <m/>
    <m/>
    <n v="91"/>
    <m/>
    <m/>
    <m/>
  </r>
  <r>
    <s v="2022-10-06 22:23 (PST)"/>
    <x v="750"/>
    <x v="1044"/>
    <x v="4"/>
    <s v="On Demand"/>
    <x v="28"/>
    <x v="1"/>
    <x v="5"/>
    <s v="Relaxation"/>
    <x v="71"/>
    <x v="2166"/>
    <m/>
    <m/>
    <m/>
    <m/>
    <m/>
    <m/>
    <m/>
    <m/>
    <m/>
    <m/>
  </r>
  <r>
    <s v="2022-10-13 07:42 (PST)"/>
    <x v="751"/>
    <x v="136"/>
    <x v="4"/>
    <s v="On Demand"/>
    <x v="16"/>
    <x v="2"/>
    <x v="4"/>
    <s v="Power"/>
    <x v="113"/>
    <x v="2167"/>
    <m/>
    <m/>
    <m/>
    <m/>
    <m/>
    <m/>
    <n v="81"/>
    <m/>
    <m/>
    <m/>
  </r>
  <r>
    <s v="2022-10-13 11:54 (-07)"/>
    <x v="751"/>
    <x v="1452"/>
    <x v="4"/>
    <s v="On Demand"/>
    <x v="6"/>
    <x v="4"/>
    <x v="0"/>
    <s v="Power Zone"/>
    <x v="7"/>
    <x v="77"/>
    <n v="424"/>
    <n v="118"/>
    <n v="0.39"/>
    <n v="86"/>
    <n v="17.22"/>
    <n v="17.22"/>
    <n v="669"/>
    <n v="163.37"/>
    <m/>
    <m/>
  </r>
  <r>
    <s v="2022-10-13 12:56 (-07)"/>
    <x v="751"/>
    <x v="806"/>
    <x v="4"/>
    <s v="On Demand"/>
    <x v="12"/>
    <x v="1"/>
    <x v="1"/>
    <s v="Arms &amp; Light Weights"/>
    <x v="28"/>
    <x v="2168"/>
    <m/>
    <m/>
    <m/>
    <m/>
    <m/>
    <m/>
    <n v="69"/>
    <n v="126.05"/>
    <m/>
    <m/>
  </r>
  <r>
    <s v="2022-10-13 13:07 (-07)"/>
    <x v="751"/>
    <x v="260"/>
    <x v="4"/>
    <s v="On Demand"/>
    <x v="29"/>
    <x v="3"/>
    <x v="2"/>
    <s v="Pre &amp; Post-Ride Stretch"/>
    <x v="8"/>
    <x v="784"/>
    <m/>
    <m/>
    <m/>
    <m/>
    <m/>
    <m/>
    <n v="11"/>
    <m/>
    <m/>
    <m/>
  </r>
  <r>
    <s v="2022-10-20 11:31 (PST)"/>
    <x v="752"/>
    <x v="1355"/>
    <x v="4"/>
    <s v="On Demand"/>
    <x v="16"/>
    <x v="2"/>
    <x v="4"/>
    <s v="Focus Flow"/>
    <x v="187"/>
    <x v="2169"/>
    <m/>
    <m/>
    <m/>
    <m/>
    <m/>
    <m/>
    <n v="95"/>
    <m/>
    <m/>
    <m/>
  </r>
  <r>
    <s v="2022-10-20 15:08 (-07)"/>
    <x v="752"/>
    <x v="1364"/>
    <x v="4"/>
    <s v="On Demand"/>
    <x v="24"/>
    <x v="0"/>
    <x v="1"/>
    <s v="Full Body"/>
    <x v="543"/>
    <x v="802"/>
    <m/>
    <m/>
    <m/>
    <m/>
    <m/>
    <m/>
    <n v="270"/>
    <n v="119.05"/>
    <m/>
    <m/>
  </r>
  <r>
    <s v="2022-10-20 15:58 (-07)"/>
    <x v="752"/>
    <x v="625"/>
    <x v="4"/>
    <s v="On Demand"/>
    <x v="1"/>
    <x v="2"/>
    <x v="0"/>
    <s v="Low Impact"/>
    <x v="544"/>
    <x v="2170"/>
    <n v="179"/>
    <n v="100"/>
    <n v="0.39"/>
    <n v="80"/>
    <n v="16.079999999999998"/>
    <n v="8.0299999999999994"/>
    <n v="272"/>
    <n v="145.19999999999999"/>
    <m/>
    <m/>
  </r>
  <r>
    <s v="2022-10-20 16:32 (-07)"/>
    <x v="752"/>
    <x v="455"/>
    <x v="4"/>
    <s v="On Demand"/>
    <x v="35"/>
    <x v="1"/>
    <x v="2"/>
    <s v="Full Body Stretch"/>
    <x v="4"/>
    <x v="2171"/>
    <m/>
    <m/>
    <m/>
    <m/>
    <m/>
    <m/>
    <n v="23"/>
    <m/>
    <m/>
    <m/>
  </r>
  <r>
    <s v="2022-10-20 22:31 (PST)"/>
    <x v="752"/>
    <x v="243"/>
    <x v="4"/>
    <s v="On Demand"/>
    <x v="16"/>
    <x v="1"/>
    <x v="5"/>
    <s v="Emotions"/>
    <x v="210"/>
    <x v="2172"/>
    <m/>
    <m/>
    <m/>
    <m/>
    <m/>
    <m/>
    <m/>
    <m/>
    <m/>
    <m/>
  </r>
  <r>
    <s v="2022-10-27 12:15 (PST)"/>
    <x v="753"/>
    <x v="1389"/>
    <x v="4"/>
    <s v="On Demand"/>
    <x v="43"/>
    <x v="5"/>
    <x v="6"/>
    <s v="Music Walk"/>
    <x v="545"/>
    <x v="2173"/>
    <n v="0"/>
    <m/>
    <m/>
    <m/>
    <n v="3.23"/>
    <n v="1.1200000000000001"/>
    <n v="73"/>
    <m/>
    <m/>
    <m/>
  </r>
  <r>
    <s v="2022-10-27 12:35 (PST)"/>
    <x v="753"/>
    <x v="308"/>
    <x v="4"/>
    <s v="On Demand"/>
    <x v="37"/>
    <x v="1"/>
    <x v="6"/>
    <s v="Warm Up/Cool Down Walk"/>
    <x v="269"/>
    <x v="810"/>
    <n v="0"/>
    <m/>
    <m/>
    <m/>
    <n v="3.6"/>
    <n v="0.56000000000000005"/>
    <n v="37"/>
    <m/>
    <m/>
    <m/>
  </r>
  <r>
    <s v="2022-10-27 12:46 (PST)"/>
    <x v="753"/>
    <x v="1484"/>
    <x v="4"/>
    <m/>
    <x v="34"/>
    <x v="1"/>
    <x v="6"/>
    <m/>
    <x v="546"/>
    <x v="231"/>
    <n v="0"/>
    <m/>
    <m/>
    <m/>
    <n v="3.53"/>
    <n v="0.56999999999999995"/>
    <n v="40"/>
    <m/>
    <m/>
    <m/>
  </r>
  <r>
    <s v="2022-11-03 10:51 (GMT)"/>
    <x v="754"/>
    <x v="1534"/>
    <x v="4"/>
    <s v="On Demand"/>
    <x v="26"/>
    <x v="5"/>
    <x v="1"/>
    <s v="Bodyweight"/>
    <x v="197"/>
    <x v="2174"/>
    <m/>
    <m/>
    <m/>
    <m/>
    <m/>
    <m/>
    <n v="120"/>
    <n v="118.68"/>
    <m/>
    <m/>
  </r>
  <r>
    <s v="2022-11-03 11:13 (GMT)"/>
    <x v="754"/>
    <x v="1535"/>
    <x v="4"/>
    <s v="On Demand"/>
    <x v="4"/>
    <x v="1"/>
    <x v="1"/>
    <s v="Core"/>
    <x v="1"/>
    <x v="2175"/>
    <m/>
    <m/>
    <m/>
    <m/>
    <m/>
    <m/>
    <n v="56"/>
    <n v="114.89"/>
    <m/>
    <m/>
  </r>
  <r>
    <s v="2022-11-03 11:26 (GMT)"/>
    <x v="754"/>
    <x v="1536"/>
    <x v="4"/>
    <s v="On Demand"/>
    <x v="16"/>
    <x v="2"/>
    <x v="4"/>
    <s v="Theme"/>
    <x v="63"/>
    <x v="2176"/>
    <m/>
    <m/>
    <m/>
    <m/>
    <m/>
    <m/>
    <n v="95"/>
    <n v="89.34"/>
    <m/>
    <m/>
  </r>
  <r>
    <s v="2022-11-10 07:15 (-05)"/>
    <x v="755"/>
    <x v="1537"/>
    <x v="4"/>
    <s v="On Demand"/>
    <x v="7"/>
    <x v="1"/>
    <x v="0"/>
    <s v="Low Impact"/>
    <x v="192"/>
    <x v="2177"/>
    <n v="47"/>
    <n v="77"/>
    <n v="0.33"/>
    <n v="84"/>
    <n v="14.41"/>
    <n v="2.4"/>
    <n v="89"/>
    <n v="144.38"/>
    <m/>
    <m/>
  </r>
  <r>
    <s v="2022-11-10 07:26 (-05)"/>
    <x v="755"/>
    <x v="1538"/>
    <x v="4"/>
    <s v="On Demand"/>
    <x v="4"/>
    <x v="2"/>
    <x v="0"/>
    <s v="Power Zone"/>
    <x v="547"/>
    <x v="2178"/>
    <n v="159"/>
    <n v="89"/>
    <n v="0.34"/>
    <n v="86"/>
    <n v="15.21"/>
    <n v="7.6"/>
    <n v="352"/>
    <n v="168.39"/>
    <m/>
    <m/>
  </r>
  <r>
    <s v="2022-11-10 07:57 (-05)"/>
    <x v="755"/>
    <x v="1539"/>
    <x v="4"/>
    <s v="On Demand"/>
    <x v="4"/>
    <x v="3"/>
    <x v="0"/>
    <s v="Cool Down"/>
    <x v="10"/>
    <x v="2179"/>
    <n v="18"/>
    <n v="61"/>
    <n v="0.3"/>
    <n v="81"/>
    <n v="12.91"/>
    <n v="1.07"/>
    <n v="46"/>
    <n v="150.63"/>
    <m/>
    <m/>
  </r>
  <r>
    <s v="2022-11-10 08:14 (EST)"/>
    <x v="755"/>
    <x v="1540"/>
    <x v="4"/>
    <s v="On Demand"/>
    <x v="24"/>
    <x v="1"/>
    <x v="1"/>
    <s v="Core"/>
    <x v="108"/>
    <x v="2180"/>
    <m/>
    <m/>
    <m/>
    <m/>
    <m/>
    <m/>
    <n v="60"/>
    <n v="118.95"/>
    <m/>
    <m/>
  </r>
  <r>
    <s v="2022-11-10 08:25 (EST)"/>
    <x v="755"/>
    <x v="1541"/>
    <x v="4"/>
    <s v="On Demand"/>
    <x v="25"/>
    <x v="1"/>
    <x v="4"/>
    <s v="Flow"/>
    <x v="118"/>
    <x v="2181"/>
    <m/>
    <m/>
    <m/>
    <m/>
    <m/>
    <m/>
    <n v="38"/>
    <n v="97.11"/>
    <m/>
    <m/>
  </r>
  <r>
    <s v="2022-11-17 09:16 (EST)"/>
    <x v="756"/>
    <x v="1542"/>
    <x v="4"/>
    <s v="On Demand"/>
    <x v="43"/>
    <x v="2"/>
    <x v="6"/>
    <s v="Music Walk"/>
    <x v="504"/>
    <x v="2182"/>
    <n v="0"/>
    <m/>
    <m/>
    <m/>
    <n v="2.74"/>
    <n v="1.4"/>
    <n v="142"/>
    <n v="109.08"/>
    <m/>
    <m/>
  </r>
  <r>
    <s v="2022-11-17 09:47 (EST)"/>
    <x v="756"/>
    <x v="1543"/>
    <x v="4"/>
    <s v="On Demand"/>
    <x v="37"/>
    <x v="2"/>
    <x v="6"/>
    <s v="Music Walk"/>
    <x v="548"/>
    <x v="2183"/>
    <n v="0"/>
    <m/>
    <m/>
    <m/>
    <n v="2.74"/>
    <n v="1.22"/>
    <n v="102"/>
    <m/>
    <m/>
    <m/>
  </r>
  <r>
    <s v="2022-11-24 03:56 (PST)"/>
    <x v="757"/>
    <x v="1544"/>
    <x v="4"/>
    <s v="On Demand"/>
    <x v="23"/>
    <x v="1"/>
    <x v="5"/>
    <s v="Emotions"/>
    <x v="210"/>
    <x v="2184"/>
    <m/>
    <m/>
    <m/>
    <m/>
    <m/>
    <m/>
    <m/>
    <m/>
    <m/>
    <m/>
  </r>
  <r>
    <s v="2022-11-24 10:11 (-08)"/>
    <x v="757"/>
    <x v="1545"/>
    <x v="4"/>
    <s v="On Demand"/>
    <x v="6"/>
    <x v="0"/>
    <x v="0"/>
    <s v="Power Zone"/>
    <x v="85"/>
    <x v="2185"/>
    <n v="289"/>
    <n v="107"/>
    <n v="0.38"/>
    <n v="85"/>
    <n v="16.48"/>
    <n v="12.36"/>
    <n v="512"/>
    <n v="165.44"/>
    <m/>
    <m/>
  </r>
  <r>
    <s v="2022-11-24 10:58 (-08)"/>
    <x v="757"/>
    <x v="1230"/>
    <x v="4"/>
    <s v="On Demand"/>
    <x v="34"/>
    <x v="3"/>
    <x v="0"/>
    <s v="Scenic Ride"/>
    <x v="549"/>
    <x v="231"/>
    <n v="17"/>
    <n v="56"/>
    <n v="0.28999999999999998"/>
    <n v="83"/>
    <n v="12.56"/>
    <n v="1.04"/>
    <n v="21"/>
    <m/>
    <m/>
    <m/>
  </r>
  <r>
    <s v="2022-11-24 11:06 (-08)"/>
    <x v="757"/>
    <x v="1108"/>
    <x v="4"/>
    <s v="On Demand"/>
    <x v="35"/>
    <x v="1"/>
    <x v="1"/>
    <s v="Core"/>
    <x v="1"/>
    <x v="2186"/>
    <m/>
    <m/>
    <m/>
    <m/>
    <m/>
    <m/>
    <n v="46"/>
    <m/>
    <m/>
    <m/>
  </r>
  <r>
    <s v="2022-12-01 07:38 (PST)"/>
    <x v="758"/>
    <x v="70"/>
    <x v="4"/>
    <s v="On Demand"/>
    <x v="16"/>
    <x v="2"/>
    <x v="4"/>
    <s v="Flow"/>
    <x v="432"/>
    <x v="2187"/>
    <m/>
    <m/>
    <m/>
    <m/>
    <m/>
    <m/>
    <n v="98"/>
    <m/>
    <m/>
    <m/>
  </r>
  <r>
    <s v="2022-12-01 17:08 (-08)"/>
    <x v="758"/>
    <x v="707"/>
    <x v="4"/>
    <s v="On Demand"/>
    <x v="24"/>
    <x v="1"/>
    <x v="1"/>
    <s v="Core"/>
    <x v="108"/>
    <x v="2188"/>
    <m/>
    <m/>
    <m/>
    <m/>
    <m/>
    <m/>
    <n v="45"/>
    <n v="104.36"/>
    <m/>
    <m/>
  </r>
  <r>
    <s v="2022-12-01 17:21 (-08)"/>
    <x v="758"/>
    <x v="1492"/>
    <x v="4"/>
    <s v="On Demand"/>
    <x v="6"/>
    <x v="4"/>
    <x v="0"/>
    <s v="Power Zone"/>
    <x v="7"/>
    <x v="1590"/>
    <n v="353"/>
    <n v="98"/>
    <n v="0.36"/>
    <n v="85"/>
    <n v="16.010000000000002"/>
    <n v="16"/>
    <n v="643"/>
    <n v="159.38"/>
    <m/>
    <m/>
  </r>
  <r>
    <s v="2022-12-01 18:21 (-08)"/>
    <x v="758"/>
    <x v="542"/>
    <x v="4"/>
    <s v="On Demand"/>
    <x v="6"/>
    <x v="3"/>
    <x v="2"/>
    <s v="Pre &amp; Post-Ride Stretch"/>
    <x v="8"/>
    <x v="2189"/>
    <m/>
    <m/>
    <m/>
    <m/>
    <m/>
    <m/>
    <n v="30"/>
    <n v="118.56"/>
    <m/>
    <m/>
  </r>
  <r>
    <s v="2022-12-01 23:45 (PST)"/>
    <x v="758"/>
    <x v="212"/>
    <x v="4"/>
    <s v="On Demand"/>
    <x v="19"/>
    <x v="1"/>
    <x v="5"/>
    <s v="Fitness Focus"/>
    <x v="164"/>
    <x v="2190"/>
    <m/>
    <m/>
    <m/>
    <m/>
    <m/>
    <m/>
    <m/>
    <m/>
    <m/>
    <m/>
  </r>
  <r>
    <s v="2022-12-08 03:21 (PST)"/>
    <x v="759"/>
    <x v="1546"/>
    <x v="4"/>
    <s v="On Demand"/>
    <x v="23"/>
    <x v="1"/>
    <x v="5"/>
    <s v="Emotions"/>
    <x v="60"/>
    <x v="1265"/>
    <m/>
    <m/>
    <m/>
    <m/>
    <m/>
    <m/>
    <m/>
    <m/>
    <m/>
    <m/>
  </r>
  <r>
    <s v="2022-12-08 20:03 (-08)"/>
    <x v="759"/>
    <x v="1547"/>
    <x v="4"/>
    <s v="On Demand"/>
    <x v="6"/>
    <x v="5"/>
    <x v="7"/>
    <s v="Beginner"/>
    <x v="550"/>
    <x v="832"/>
    <n v="74"/>
    <m/>
    <m/>
    <m/>
    <n v="2.71"/>
    <n v="1.85"/>
    <n v="184"/>
    <n v="146.87"/>
    <m/>
    <m/>
  </r>
  <r>
    <s v="2022-12-08 20:25 (-08)"/>
    <x v="759"/>
    <x v="1548"/>
    <x v="4"/>
    <s v="On Demand"/>
    <x v="6"/>
    <x v="1"/>
    <x v="7"/>
    <s v="Warm Up/Cool Down"/>
    <x v="551"/>
    <x v="832"/>
    <n v="15"/>
    <m/>
    <m/>
    <m/>
    <n v="2.4500000000000002"/>
    <n v="0.48"/>
    <n v="89"/>
    <n v="143.66999999999999"/>
    <m/>
    <m/>
  </r>
  <r>
    <s v="2022-12-08 22:36 (PST)"/>
    <x v="759"/>
    <x v="102"/>
    <x v="4"/>
    <s v="On Demand"/>
    <x v="16"/>
    <x v="3"/>
    <x v="5"/>
    <s v="Emotions"/>
    <x v="384"/>
    <x v="1264"/>
    <m/>
    <m/>
    <m/>
    <m/>
    <m/>
    <m/>
    <m/>
    <m/>
    <m/>
    <m/>
  </r>
  <r>
    <s v="2022-12-15 22:20 (EST)"/>
    <x v="760"/>
    <x v="1549"/>
    <x v="4"/>
    <s v="On Demand"/>
    <x v="16"/>
    <x v="1"/>
    <x v="4"/>
    <s v="Focus Flow"/>
    <x v="118"/>
    <x v="2191"/>
    <m/>
    <m/>
    <m/>
    <m/>
    <m/>
    <m/>
    <n v="32"/>
    <n v="88.89"/>
    <m/>
    <m/>
  </r>
  <r>
    <s v="2022-12-15 22:47 (EST)"/>
    <x v="760"/>
    <x v="1550"/>
    <x v="4"/>
    <s v="On Demand"/>
    <x v="23"/>
    <x v="1"/>
    <x v="5"/>
    <s v="Breath"/>
    <x v="154"/>
    <x v="2192"/>
    <m/>
    <m/>
    <m/>
    <m/>
    <m/>
    <m/>
    <m/>
    <m/>
    <m/>
    <m/>
  </r>
  <r>
    <s v="2022-12-22 05:46 (EST)"/>
    <x v="761"/>
    <x v="1551"/>
    <x v="4"/>
    <s v="On Demand"/>
    <x v="28"/>
    <x v="1"/>
    <x v="5"/>
    <s v="Emotions"/>
    <x v="210"/>
    <x v="2193"/>
    <m/>
    <m/>
    <m/>
    <m/>
    <m/>
    <m/>
    <m/>
    <m/>
    <m/>
    <m/>
  </r>
  <r>
    <s v="2022-12-22 12:23 (PST)"/>
    <x v="761"/>
    <x v="1012"/>
    <x v="4"/>
    <s v="On Demand"/>
    <x v="16"/>
    <x v="1"/>
    <x v="4"/>
    <s v="Yoga Anywhere"/>
    <x v="201"/>
    <x v="2194"/>
    <m/>
    <m/>
    <m/>
    <m/>
    <m/>
    <m/>
    <n v="37"/>
    <n v="97.63"/>
    <m/>
    <m/>
  </r>
  <r>
    <s v="2022-12-22 21:03 (PST)"/>
    <x v="761"/>
    <x v="1552"/>
    <x v="4"/>
    <s v="On Demand"/>
    <x v="28"/>
    <x v="1"/>
    <x v="5"/>
    <s v="Emotions"/>
    <x v="210"/>
    <x v="2195"/>
    <m/>
    <m/>
    <m/>
    <m/>
    <m/>
    <m/>
    <m/>
    <m/>
    <m/>
    <m/>
  </r>
  <r>
    <s v="2022-12-29 08:40 (PST)"/>
    <x v="762"/>
    <x v="1553"/>
    <x v="4"/>
    <s v="On Demand"/>
    <x v="8"/>
    <x v="7"/>
    <x v="2"/>
    <s v="Foam Rolling"/>
    <x v="552"/>
    <x v="2196"/>
    <m/>
    <m/>
    <m/>
    <m/>
    <m/>
    <m/>
    <n v="34"/>
    <m/>
    <m/>
    <m/>
  </r>
  <r>
    <s v="2022-12-29 08:58 (PST)"/>
    <x v="762"/>
    <x v="1554"/>
    <x v="4"/>
    <s v="On Demand"/>
    <x v="16"/>
    <x v="2"/>
    <x v="4"/>
    <s v="Theme"/>
    <x v="63"/>
    <x v="2197"/>
    <m/>
    <m/>
    <m/>
    <m/>
    <m/>
    <m/>
    <n v="79"/>
    <m/>
    <m/>
    <m/>
  </r>
  <r>
    <s v="2022-12-29 10:45 (PST)"/>
    <x v="762"/>
    <x v="719"/>
    <x v="4"/>
    <s v="On Demand"/>
    <x v="44"/>
    <x v="2"/>
    <x v="6"/>
    <s v="Power Walk"/>
    <x v="553"/>
    <x v="2198"/>
    <n v="0"/>
    <m/>
    <m/>
    <m/>
    <n v="2.85"/>
    <n v="1.39"/>
    <n v="222"/>
    <n v="149.72"/>
    <m/>
    <m/>
  </r>
  <r>
    <s v="2022-12-29 11:15 (PST)"/>
    <x v="762"/>
    <x v="1555"/>
    <x v="4"/>
    <m/>
    <x v="34"/>
    <x v="26"/>
    <x v="6"/>
    <m/>
    <x v="554"/>
    <x v="231"/>
    <n v="0"/>
    <m/>
    <m/>
    <m/>
    <n v="3.14"/>
    <n v="2.58"/>
    <n v="302"/>
    <n v="120.44"/>
    <m/>
    <m/>
  </r>
  <r>
    <s v="2022-12-29 23:33 (PST)"/>
    <x v="762"/>
    <x v="331"/>
    <x v="4"/>
    <s v="On Demand"/>
    <x v="28"/>
    <x v="1"/>
    <x v="5"/>
    <s v="Mindfulness"/>
    <x v="294"/>
    <x v="2199"/>
    <m/>
    <m/>
    <m/>
    <m/>
    <m/>
    <m/>
    <m/>
    <m/>
    <m/>
    <m/>
  </r>
  <r>
    <s v="2023-01-05 07:38 (PST)"/>
    <x v="763"/>
    <x v="70"/>
    <x v="4"/>
    <s v="On Demand"/>
    <x v="7"/>
    <x v="2"/>
    <x v="4"/>
    <s v="Power"/>
    <x v="74"/>
    <x v="2200"/>
    <m/>
    <m/>
    <m/>
    <m/>
    <m/>
    <m/>
    <n v="96"/>
    <m/>
    <m/>
    <m/>
  </r>
  <r>
    <s v="2023-01-05 16:22 (-08)"/>
    <x v="763"/>
    <x v="1556"/>
    <x v="4"/>
    <s v="On Demand"/>
    <x v="11"/>
    <x v="2"/>
    <x v="1"/>
    <s v="Full Body"/>
    <x v="125"/>
    <x v="2201"/>
    <m/>
    <m/>
    <m/>
    <m/>
    <m/>
    <m/>
    <n v="248"/>
    <n v="138.15"/>
    <m/>
    <m/>
  </r>
  <r>
    <s v="2023-01-05 17:00 (-08)"/>
    <x v="763"/>
    <x v="538"/>
    <x v="4"/>
    <s v="On Demand"/>
    <x v="1"/>
    <x v="5"/>
    <x v="1"/>
    <s v="Core"/>
    <x v="555"/>
    <x v="2202"/>
    <m/>
    <m/>
    <m/>
    <m/>
    <m/>
    <m/>
    <n v="107"/>
    <n v="111.8"/>
    <m/>
    <m/>
  </r>
  <r>
    <s v="2023-01-05 22:29 (PST)"/>
    <x v="763"/>
    <x v="639"/>
    <x v="4"/>
    <s v="On Demand"/>
    <x v="28"/>
    <x v="3"/>
    <x v="5"/>
    <s v="Breath"/>
    <x v="264"/>
    <x v="2203"/>
    <m/>
    <m/>
    <m/>
    <m/>
    <m/>
    <m/>
    <m/>
    <m/>
    <m/>
    <m/>
  </r>
  <r>
    <s v="2023-01-12 03:42 (PST)"/>
    <x v="764"/>
    <x v="1557"/>
    <x v="4"/>
    <s v="On Demand"/>
    <x v="25"/>
    <x v="3"/>
    <x v="5"/>
    <s v="Relaxation"/>
    <x v="89"/>
    <x v="2020"/>
    <m/>
    <m/>
    <m/>
    <m/>
    <m/>
    <m/>
    <m/>
    <m/>
    <m/>
    <m/>
  </r>
  <r>
    <s v="2023-01-12 11:09 (PST)"/>
    <x v="764"/>
    <x v="871"/>
    <x v="4"/>
    <s v="On Demand"/>
    <x v="13"/>
    <x v="2"/>
    <x v="4"/>
    <s v="Slow Flow"/>
    <x v="50"/>
    <x v="2204"/>
    <m/>
    <m/>
    <m/>
    <m/>
    <m/>
    <m/>
    <n v="90"/>
    <m/>
    <m/>
    <m/>
  </r>
  <r>
    <s v="2023-01-12 14:05 (PST)"/>
    <x v="764"/>
    <x v="1558"/>
    <x v="4"/>
    <m/>
    <x v="34"/>
    <x v="27"/>
    <x v="6"/>
    <m/>
    <x v="556"/>
    <x v="231"/>
    <n v="0"/>
    <m/>
    <m/>
    <m/>
    <n v="3.27"/>
    <n v="1.89"/>
    <n v="131"/>
    <m/>
    <m/>
    <m/>
  </r>
  <r>
    <s v="2023-01-19 22:20 (PST)"/>
    <x v="765"/>
    <x v="766"/>
    <x v="4"/>
    <s v="On Demand"/>
    <x v="23"/>
    <x v="1"/>
    <x v="5"/>
    <s v="Emotions"/>
    <x v="46"/>
    <x v="2205"/>
    <m/>
    <m/>
    <m/>
    <m/>
    <m/>
    <m/>
    <m/>
    <m/>
    <m/>
    <m/>
  </r>
  <r>
    <s v="2023-01-26 07:29 (PST)"/>
    <x v="766"/>
    <x v="104"/>
    <x v="4"/>
    <s v="On Demand"/>
    <x v="16"/>
    <x v="2"/>
    <x v="4"/>
    <s v="Slow Flow"/>
    <x v="114"/>
    <x v="2206"/>
    <m/>
    <m/>
    <m/>
    <m/>
    <m/>
    <m/>
    <n v="95"/>
    <m/>
    <m/>
    <m/>
  </r>
  <r>
    <s v="2023-01-26 15:34 (-08)"/>
    <x v="766"/>
    <x v="544"/>
    <x v="4"/>
    <s v="On Demand"/>
    <x v="7"/>
    <x v="0"/>
    <x v="0"/>
    <s v="Power Zone"/>
    <x v="85"/>
    <x v="1547"/>
    <n v="283"/>
    <n v="105"/>
    <n v="0.37"/>
    <n v="85"/>
    <n v="16.350000000000001"/>
    <n v="12.26"/>
    <n v="503"/>
    <n v="163.19"/>
    <m/>
    <m/>
  </r>
  <r>
    <s v="2023-01-26 16:21 (-08)"/>
    <x v="766"/>
    <x v="146"/>
    <x v="4"/>
    <s v="On Demand"/>
    <x v="9"/>
    <x v="1"/>
    <x v="0"/>
    <s v="Low Impact"/>
    <x v="149"/>
    <x v="2207"/>
    <n v="36"/>
    <n v="60"/>
    <n v="0.28999999999999998"/>
    <n v="83"/>
    <n v="13.03"/>
    <n v="2.17"/>
    <n v="90"/>
    <n v="144.83000000000001"/>
    <m/>
    <m/>
  </r>
  <r>
    <s v="2023-01-26 16:31 (-08)"/>
    <x v="766"/>
    <x v="1559"/>
    <x v="4"/>
    <s v="On Demand"/>
    <x v="18"/>
    <x v="3"/>
    <x v="0"/>
    <s v="Cool Down"/>
    <x v="10"/>
    <x v="2208"/>
    <n v="15"/>
    <n v="50"/>
    <n v="0.27"/>
    <n v="84"/>
    <n v="11.89"/>
    <n v="0.99"/>
    <n v="38"/>
    <n v="133.86000000000001"/>
    <m/>
    <m/>
  </r>
  <r>
    <s v="2023-01-26 16:40 (-08)"/>
    <x v="766"/>
    <x v="547"/>
    <x v="4"/>
    <s v="On Demand"/>
    <x v="20"/>
    <x v="1"/>
    <x v="1"/>
    <s v="Upper Body"/>
    <x v="313"/>
    <x v="2209"/>
    <m/>
    <m/>
    <m/>
    <m/>
    <m/>
    <m/>
    <n v="67"/>
    <n v="123.47"/>
    <m/>
    <m/>
  </r>
  <r>
    <s v="2023-01-26 16:51 (-08)"/>
    <x v="766"/>
    <x v="1486"/>
    <x v="4"/>
    <s v="On Demand"/>
    <x v="20"/>
    <x v="5"/>
    <x v="1"/>
    <s v="Core"/>
    <x v="115"/>
    <x v="2210"/>
    <m/>
    <m/>
    <m/>
    <m/>
    <m/>
    <m/>
    <n v="114"/>
    <n v="115.34"/>
    <m/>
    <m/>
  </r>
  <r>
    <s v="2023-02-02 14:08 (-05)"/>
    <x v="767"/>
    <x v="1560"/>
    <x v="4"/>
    <s v="On Demand"/>
    <x v="4"/>
    <x v="0"/>
    <x v="0"/>
    <s v="Power Zone"/>
    <x v="557"/>
    <x v="2211"/>
    <n v="195"/>
    <n v="72"/>
    <n v="0.31"/>
    <n v="88"/>
    <n v="13.97"/>
    <n v="10.47"/>
    <n v="484"/>
    <n v="159.06"/>
    <m/>
    <m/>
  </r>
  <r>
    <s v="2023-02-02 14:54 (-05)"/>
    <x v="767"/>
    <x v="1561"/>
    <x v="4"/>
    <s v="On Demand"/>
    <x v="22"/>
    <x v="3"/>
    <x v="0"/>
    <s v="Cool Down"/>
    <x v="10"/>
    <x v="2212"/>
    <n v="8"/>
    <n v="26"/>
    <n v="0.2"/>
    <n v="76"/>
    <n v="8.52"/>
    <n v="0.71"/>
    <n v="33"/>
    <n v="125.26"/>
    <m/>
    <m/>
  </r>
  <r>
    <s v="2023-02-02 15:03 (-05)"/>
    <x v="767"/>
    <x v="1562"/>
    <x v="4"/>
    <s v="On Demand"/>
    <x v="20"/>
    <x v="1"/>
    <x v="1"/>
    <s v="Core"/>
    <x v="1"/>
    <x v="2213"/>
    <m/>
    <m/>
    <m/>
    <m/>
    <m/>
    <m/>
    <n v="55"/>
    <n v="113.25"/>
    <m/>
    <m/>
  </r>
  <r>
    <s v="2023-02-02 15:14 (-05)"/>
    <x v="767"/>
    <x v="1563"/>
    <x v="4"/>
    <s v="On Demand"/>
    <x v="0"/>
    <x v="1"/>
    <x v="1"/>
    <s v="Barre"/>
    <x v="558"/>
    <x v="2214"/>
    <m/>
    <m/>
    <m/>
    <m/>
    <m/>
    <m/>
    <n v="47"/>
    <m/>
    <m/>
    <m/>
  </r>
  <r>
    <s v="2023-02-02 15:26 (-05)"/>
    <x v="767"/>
    <x v="1564"/>
    <x v="4"/>
    <s v="On Demand"/>
    <x v="16"/>
    <x v="5"/>
    <x v="4"/>
    <s v="Flow"/>
    <x v="30"/>
    <x v="2215"/>
    <m/>
    <m/>
    <m/>
    <m/>
    <m/>
    <m/>
    <n v="85"/>
    <n v="101.99"/>
    <m/>
    <m/>
  </r>
  <r>
    <s v="2023-02-02 23:12 (EST)"/>
    <x v="767"/>
    <x v="1565"/>
    <x v="4"/>
    <s v="On Demand"/>
    <x v="13"/>
    <x v="1"/>
    <x v="5"/>
    <s v="Emotions"/>
    <x v="210"/>
    <x v="2216"/>
    <m/>
    <m/>
    <m/>
    <m/>
    <m/>
    <m/>
    <m/>
    <m/>
    <m/>
    <m/>
  </r>
  <r>
    <s v="2023-02-09 22:19 (PST)"/>
    <x v="768"/>
    <x v="814"/>
    <x v="4"/>
    <s v="On Demand"/>
    <x v="13"/>
    <x v="1"/>
    <x v="5"/>
    <s v="Sleep"/>
    <x v="39"/>
    <x v="1285"/>
    <m/>
    <m/>
    <m/>
    <m/>
    <m/>
    <m/>
    <m/>
    <m/>
    <m/>
    <m/>
  </r>
  <r>
    <s v="2023-02-16 10:37 (PST)"/>
    <x v="769"/>
    <x v="1566"/>
    <x v="4"/>
    <s v="On Demand"/>
    <x v="23"/>
    <x v="2"/>
    <x v="4"/>
    <s v="Flow"/>
    <x v="41"/>
    <x v="2217"/>
    <m/>
    <m/>
    <m/>
    <m/>
    <m/>
    <m/>
    <n v="99"/>
    <m/>
    <m/>
    <m/>
  </r>
  <r>
    <s v="2023-02-16 17:18 (PST)"/>
    <x v="769"/>
    <x v="1567"/>
    <x v="4"/>
    <m/>
    <x v="34"/>
    <x v="25"/>
    <x v="6"/>
    <m/>
    <x v="559"/>
    <x v="231"/>
    <n v="0"/>
    <m/>
    <m/>
    <m/>
    <n v="3.25"/>
    <n v="1.99"/>
    <n v="302"/>
    <n v="137.78"/>
    <m/>
    <m/>
  </r>
  <r>
    <s v="2023-02-23 22:32 (PST)"/>
    <x v="770"/>
    <x v="454"/>
    <x v="4"/>
    <s v="On Demand"/>
    <x v="19"/>
    <x v="5"/>
    <x v="5"/>
    <s v="Sleep"/>
    <x v="29"/>
    <x v="2218"/>
    <m/>
    <m/>
    <m/>
    <m/>
    <m/>
    <m/>
    <m/>
    <m/>
    <m/>
    <m/>
  </r>
  <r>
    <s v="2023-03-02 09:10 (PST)"/>
    <x v="771"/>
    <x v="1568"/>
    <x v="4"/>
    <s v="On Demand"/>
    <x v="23"/>
    <x v="2"/>
    <x v="4"/>
    <s v="Focus Flow"/>
    <x v="470"/>
    <x v="2219"/>
    <m/>
    <m/>
    <m/>
    <m/>
    <m/>
    <m/>
    <n v="99"/>
    <m/>
    <m/>
    <m/>
  </r>
  <r>
    <s v="2023-03-02 09:45 (PST)"/>
    <x v="771"/>
    <x v="852"/>
    <x v="4"/>
    <s v="On Demand"/>
    <x v="31"/>
    <x v="1"/>
    <x v="1"/>
    <s v="Core"/>
    <x v="132"/>
    <x v="2220"/>
    <m/>
    <m/>
    <m/>
    <m/>
    <m/>
    <m/>
    <n v="45"/>
    <m/>
    <m/>
    <m/>
  </r>
  <r>
    <s v="2023-03-02 15:34 (-08)"/>
    <x v="771"/>
    <x v="544"/>
    <x v="4"/>
    <s v="On Demand"/>
    <x v="6"/>
    <x v="5"/>
    <x v="7"/>
    <s v="Endurance"/>
    <x v="560"/>
    <x v="832"/>
    <n v="30"/>
    <m/>
    <m/>
    <m/>
    <n v="2.2000000000000002"/>
    <n v="1.0900000000000001"/>
    <n v="110"/>
    <n v="94.74"/>
    <m/>
    <m/>
  </r>
  <r>
    <s v="2023-03-02 16:52 (-08)"/>
    <x v="771"/>
    <x v="834"/>
    <x v="4"/>
    <s v="On Demand"/>
    <x v="11"/>
    <x v="0"/>
    <x v="1"/>
    <s v="Full Body"/>
    <x v="345"/>
    <x v="2221"/>
    <m/>
    <m/>
    <m/>
    <m/>
    <m/>
    <m/>
    <n v="320"/>
    <n v="127.86"/>
    <m/>
    <m/>
  </r>
  <r>
    <s v="2023-03-02 23:16 (PST)"/>
    <x v="771"/>
    <x v="176"/>
    <x v="4"/>
    <s v="On Demand"/>
    <x v="19"/>
    <x v="7"/>
    <x v="5"/>
    <s v="Mindfulness"/>
    <x v="561"/>
    <x v="2222"/>
    <m/>
    <m/>
    <m/>
    <m/>
    <m/>
    <m/>
    <m/>
    <m/>
    <m/>
    <m/>
  </r>
  <r>
    <s v="2023-03-09 11:33 (PST)"/>
    <x v="772"/>
    <x v="595"/>
    <x v="4"/>
    <s v="On Demand"/>
    <x v="13"/>
    <x v="0"/>
    <x v="4"/>
    <s v="Flow"/>
    <x v="562"/>
    <x v="2223"/>
    <m/>
    <m/>
    <m/>
    <m/>
    <m/>
    <m/>
    <n v="148"/>
    <m/>
    <m/>
    <m/>
  </r>
  <r>
    <s v="2023-03-09 16:36 (-08)"/>
    <x v="772"/>
    <x v="1569"/>
    <x v="4"/>
    <s v="On Demand"/>
    <x v="31"/>
    <x v="1"/>
    <x v="1"/>
    <s v="Core"/>
    <x v="1"/>
    <x v="330"/>
    <m/>
    <m/>
    <m/>
    <m/>
    <m/>
    <m/>
    <n v="53"/>
    <n v="113.27"/>
    <m/>
    <m/>
  </r>
  <r>
    <s v="2023-03-09 16:49 (-08)"/>
    <x v="772"/>
    <x v="1371"/>
    <x v="4"/>
    <s v="On Demand"/>
    <x v="9"/>
    <x v="0"/>
    <x v="0"/>
    <s v="Power Zone"/>
    <x v="27"/>
    <x v="2224"/>
    <n v="260"/>
    <n v="96"/>
    <n v="0.35"/>
    <n v="87"/>
    <n v="15.86"/>
    <n v="11.9"/>
    <n v="430"/>
    <n v="148.63"/>
    <m/>
    <m/>
  </r>
  <r>
    <s v="2023-03-09 17:38 (-08)"/>
    <x v="772"/>
    <x v="1570"/>
    <x v="4"/>
    <s v="On Demand"/>
    <x v="20"/>
    <x v="1"/>
    <x v="1"/>
    <s v="Arms &amp; Light Weights"/>
    <x v="28"/>
    <x v="2225"/>
    <m/>
    <m/>
    <m/>
    <m/>
    <m/>
    <m/>
    <n v="56"/>
    <n v="114.37"/>
    <m/>
    <m/>
  </r>
  <r>
    <s v="2023-03-09 17:48 (-08)"/>
    <x v="772"/>
    <x v="299"/>
    <x v="4"/>
    <s v="On Demand"/>
    <x v="6"/>
    <x v="3"/>
    <x v="2"/>
    <s v="Pre &amp; Post-Ride Stretch"/>
    <x v="8"/>
    <x v="299"/>
    <m/>
    <m/>
    <m/>
    <m/>
    <m/>
    <m/>
    <n v="20"/>
    <n v="100.03"/>
    <m/>
    <m/>
  </r>
  <r>
    <s v="2023-03-16 07:55 (PST)"/>
    <x v="773"/>
    <x v="1571"/>
    <x v="4"/>
    <s v="On Demand"/>
    <x v="13"/>
    <x v="2"/>
    <x v="4"/>
    <s v="Slow Flow"/>
    <x v="563"/>
    <x v="2226"/>
    <m/>
    <m/>
    <m/>
    <m/>
    <m/>
    <m/>
    <n v="92"/>
    <m/>
    <m/>
    <m/>
  </r>
  <r>
    <s v="2023-03-16 12:03 (PST)"/>
    <x v="773"/>
    <x v="757"/>
    <x v="4"/>
    <m/>
    <x v="34"/>
    <x v="14"/>
    <x v="6"/>
    <m/>
    <x v="564"/>
    <x v="231"/>
    <n v="0"/>
    <m/>
    <m/>
    <m/>
    <n v="3.32"/>
    <n v="2.06"/>
    <n v="319"/>
    <n v="135.24"/>
    <m/>
    <m/>
  </r>
  <r>
    <s v="2023-03-16 14:03 (-07)"/>
    <x v="773"/>
    <x v="1572"/>
    <x v="4"/>
    <s v="On Demand"/>
    <x v="4"/>
    <x v="1"/>
    <x v="0"/>
    <s v="Power Zone"/>
    <x v="356"/>
    <x v="2227"/>
    <n v="58"/>
    <n v="97"/>
    <n v="0.34"/>
    <n v="89"/>
    <n v="15.69"/>
    <n v="2.62"/>
    <n v="90"/>
    <n v="144.37"/>
    <m/>
    <m/>
  </r>
  <r>
    <s v="2023-03-16 14:15 (-07)"/>
    <x v="773"/>
    <x v="763"/>
    <x v="4"/>
    <s v="On Demand"/>
    <x v="4"/>
    <x v="5"/>
    <x v="0"/>
    <s v="Power Zone"/>
    <x v="88"/>
    <x v="2227"/>
    <n v="196"/>
    <n v="163"/>
    <n v="0.46"/>
    <n v="82"/>
    <n v="19.73"/>
    <n v="6.58"/>
    <n v="251"/>
    <n v="175.04"/>
    <m/>
    <m/>
  </r>
  <r>
    <s v="2023-03-16 14:36 (-07)"/>
    <x v="773"/>
    <x v="1573"/>
    <x v="4"/>
    <s v="On Demand"/>
    <x v="34"/>
    <x v="3"/>
    <x v="0"/>
    <s v="Scenic Ride"/>
    <x v="565"/>
    <x v="231"/>
    <n v="19"/>
    <n v="65"/>
    <n v="0.33"/>
    <n v="78"/>
    <n v="13.46"/>
    <n v="1.1000000000000001"/>
    <n v="44"/>
    <n v="143.05000000000001"/>
    <m/>
    <m/>
  </r>
  <r>
    <s v="2023-03-16 14:48 (-07)"/>
    <x v="773"/>
    <x v="1574"/>
    <x v="4"/>
    <s v="On Demand"/>
    <x v="31"/>
    <x v="7"/>
    <x v="1"/>
    <s v="Core"/>
    <x v="566"/>
    <x v="338"/>
    <m/>
    <m/>
    <m/>
    <m/>
    <m/>
    <m/>
    <n v="127"/>
    <n v="138.85"/>
    <m/>
    <m/>
  </r>
  <r>
    <s v="2023-03-16 15:04 (-07)"/>
    <x v="773"/>
    <x v="1575"/>
    <x v="4"/>
    <s v="On Demand"/>
    <x v="18"/>
    <x v="3"/>
    <x v="2"/>
    <s v="Pre &amp; Post-Ride Stretch"/>
    <x v="8"/>
    <x v="865"/>
    <m/>
    <m/>
    <m/>
    <m/>
    <m/>
    <m/>
    <n v="27"/>
    <n v="116.02"/>
    <m/>
    <m/>
  </r>
  <r>
    <s v="2023-03-16 22:00 (PST)"/>
    <x v="773"/>
    <x v="365"/>
    <x v="4"/>
    <s v="On Demand"/>
    <x v="28"/>
    <x v="1"/>
    <x v="5"/>
    <s v="Relaxation"/>
    <x v="34"/>
    <x v="2228"/>
    <m/>
    <m/>
    <m/>
    <m/>
    <m/>
    <m/>
    <m/>
    <m/>
    <m/>
    <m/>
  </r>
  <r>
    <s v="2023-03-23 16:42 (-04)"/>
    <x v="774"/>
    <x v="1576"/>
    <x v="4"/>
    <s v="On Demand"/>
    <x v="7"/>
    <x v="0"/>
    <x v="0"/>
    <s v="Power Zone"/>
    <x v="27"/>
    <x v="2229"/>
    <n v="214"/>
    <n v="79"/>
    <n v="0.32"/>
    <n v="87"/>
    <n v="14.53"/>
    <n v="10.93"/>
    <n v="528"/>
    <n v="167.27"/>
    <m/>
    <m/>
  </r>
  <r>
    <s v="2023-03-23 17:36 (-04)"/>
    <x v="774"/>
    <x v="1577"/>
    <x v="4"/>
    <s v="On Demand"/>
    <x v="31"/>
    <x v="7"/>
    <x v="1"/>
    <s v="Core"/>
    <x v="126"/>
    <x v="2230"/>
    <m/>
    <m/>
    <m/>
    <m/>
    <m/>
    <m/>
    <n v="107"/>
    <n v="127.74"/>
    <m/>
    <m/>
  </r>
  <r>
    <s v="2023-03-23 17:54 (-04)"/>
    <x v="774"/>
    <x v="1578"/>
    <x v="4"/>
    <s v="On Demand"/>
    <x v="17"/>
    <x v="1"/>
    <x v="1"/>
    <s v="Arms &amp; Light Weights"/>
    <x v="28"/>
    <x v="2231"/>
    <m/>
    <m/>
    <m/>
    <m/>
    <m/>
    <m/>
    <n v="73"/>
    <n v="129.08000000000001"/>
    <m/>
    <m/>
  </r>
  <r>
    <s v="2023-03-23 23:47 (EST)"/>
    <x v="774"/>
    <x v="1579"/>
    <x v="4"/>
    <s v="On Demand"/>
    <x v="19"/>
    <x v="1"/>
    <x v="5"/>
    <s v="Emotions"/>
    <x v="60"/>
    <x v="2232"/>
    <m/>
    <m/>
    <m/>
    <m/>
    <m/>
    <m/>
    <m/>
    <m/>
    <m/>
    <m/>
  </r>
  <r>
    <s v="2023-03-30 04:07 (PST)"/>
    <x v="775"/>
    <x v="1580"/>
    <x v="4"/>
    <s v="On Demand"/>
    <x v="28"/>
    <x v="1"/>
    <x v="5"/>
    <s v="Emotions"/>
    <x v="15"/>
    <x v="2233"/>
    <m/>
    <m/>
    <m/>
    <m/>
    <m/>
    <m/>
    <m/>
    <m/>
    <m/>
    <m/>
  </r>
  <r>
    <s v="2023-03-30 07:48 (PST)"/>
    <x v="775"/>
    <x v="194"/>
    <x v="4"/>
    <s v="On Demand"/>
    <x v="16"/>
    <x v="2"/>
    <x v="4"/>
    <s v="Slow Flow"/>
    <x v="114"/>
    <x v="2234"/>
    <m/>
    <m/>
    <m/>
    <m/>
    <m/>
    <m/>
    <n v="85"/>
    <m/>
    <m/>
    <m/>
  </r>
  <r>
    <s v="2023-03-30 13:34 (PST)"/>
    <x v="775"/>
    <x v="1581"/>
    <x v="4"/>
    <m/>
    <x v="34"/>
    <x v="28"/>
    <x v="0"/>
    <m/>
    <x v="567"/>
    <x v="231"/>
    <n v="0"/>
    <n v="0"/>
    <n v="0"/>
    <n v="0"/>
    <n v="12.99"/>
    <n v="18.350000000000001"/>
    <n v="1002"/>
    <n v="153.9"/>
    <m/>
    <m/>
  </r>
  <r>
    <s v="2023-03-30 22:01 (PST)"/>
    <x v="775"/>
    <x v="62"/>
    <x v="4"/>
    <s v="On Demand"/>
    <x v="25"/>
    <x v="7"/>
    <x v="5"/>
    <s v="Relaxation"/>
    <x v="199"/>
    <x v="2235"/>
    <m/>
    <m/>
    <m/>
    <m/>
    <m/>
    <m/>
    <m/>
    <m/>
    <m/>
    <m/>
  </r>
  <r>
    <s v="2023-04-06 12:56 (-07)"/>
    <x v="776"/>
    <x v="806"/>
    <x v="4"/>
    <s v="On Demand"/>
    <x v="1"/>
    <x v="1"/>
    <x v="1"/>
    <s v="Core"/>
    <x v="1"/>
    <x v="2236"/>
    <m/>
    <m/>
    <m/>
    <m/>
    <m/>
    <m/>
    <n v="53"/>
    <n v="108.35"/>
    <m/>
    <m/>
  </r>
  <r>
    <s v="2023-04-06 13:08 (-07)"/>
    <x v="776"/>
    <x v="1582"/>
    <x v="4"/>
    <s v="On Demand"/>
    <x v="6"/>
    <x v="0"/>
    <x v="0"/>
    <s v="Power Zone"/>
    <x v="102"/>
    <x v="902"/>
    <n v="0"/>
    <n v="0"/>
    <n v="0"/>
    <n v="0"/>
    <n v="0"/>
    <n v="0"/>
    <n v="0"/>
    <m/>
    <m/>
    <m/>
  </r>
  <r>
    <s v="2023-04-06 13:54 (-07)"/>
    <x v="776"/>
    <x v="1583"/>
    <x v="4"/>
    <s v="On Demand"/>
    <x v="15"/>
    <x v="7"/>
    <x v="0"/>
    <s v="Low Impact"/>
    <x v="249"/>
    <x v="2237"/>
    <n v="74"/>
    <n v="83"/>
    <n v="0.33"/>
    <n v="84"/>
    <n v="14.74"/>
    <n v="3.68"/>
    <n v="136"/>
    <n v="140.94"/>
    <m/>
    <m/>
  </r>
  <r>
    <s v="2023-04-06 14:15 (-07)"/>
    <x v="776"/>
    <x v="763"/>
    <x v="4"/>
    <s v="On Demand"/>
    <x v="12"/>
    <x v="3"/>
    <x v="2"/>
    <s v="Pre &amp; Post-Ride Stretch"/>
    <x v="8"/>
    <x v="2238"/>
    <m/>
    <m/>
    <m/>
    <m/>
    <m/>
    <m/>
    <n v="12"/>
    <m/>
    <m/>
    <m/>
  </r>
  <r>
    <s v="2023-04-06 22:45 (PST)"/>
    <x v="776"/>
    <x v="676"/>
    <x v="4"/>
    <s v="On Demand"/>
    <x v="19"/>
    <x v="1"/>
    <x v="5"/>
    <s v="Emotions"/>
    <x v="44"/>
    <x v="2239"/>
    <m/>
    <m/>
    <m/>
    <m/>
    <m/>
    <m/>
    <m/>
    <m/>
    <m/>
    <m/>
  </r>
  <r>
    <s v="2023-04-13 12:43 (PST)"/>
    <x v="777"/>
    <x v="1584"/>
    <x v="4"/>
    <m/>
    <x v="34"/>
    <x v="22"/>
    <x v="6"/>
    <m/>
    <x v="568"/>
    <x v="231"/>
    <n v="0"/>
    <m/>
    <m/>
    <m/>
    <n v="3.02"/>
    <n v="1.96"/>
    <n v="240"/>
    <n v="120.76"/>
    <m/>
    <m/>
  </r>
  <r>
    <s v="2023-04-13 22:47 (PST)"/>
    <x v="777"/>
    <x v="207"/>
    <x v="4"/>
    <s v="On Demand"/>
    <x v="23"/>
    <x v="1"/>
    <x v="5"/>
    <s v="Emotions"/>
    <x v="147"/>
    <x v="2240"/>
    <m/>
    <m/>
    <m/>
    <m/>
    <m/>
    <m/>
    <m/>
    <m/>
    <m/>
    <m/>
  </r>
  <r>
    <s v="2023-04-20 21:02 (PST)"/>
    <x v="778"/>
    <x v="807"/>
    <x v="4"/>
    <s v="On Demand"/>
    <x v="19"/>
    <x v="1"/>
    <x v="5"/>
    <s v="Emotions"/>
    <x v="109"/>
    <x v="2241"/>
    <m/>
    <m/>
    <m/>
    <m/>
    <m/>
    <m/>
    <m/>
    <m/>
    <m/>
    <m/>
  </r>
  <r>
    <s v="2023-04-27 15:58 (-07)"/>
    <x v="779"/>
    <x v="625"/>
    <x v="4"/>
    <s v="On Demand"/>
    <x v="9"/>
    <x v="0"/>
    <x v="0"/>
    <s v="Power Zone"/>
    <x v="85"/>
    <x v="2242"/>
    <n v="329"/>
    <n v="122"/>
    <n v="0.4"/>
    <n v="84"/>
    <n v="17.3"/>
    <n v="12.97"/>
    <n v="475"/>
    <n v="157.58000000000001"/>
    <m/>
    <m/>
  </r>
  <r>
    <s v="2023-04-27 16:44 (-07)"/>
    <x v="779"/>
    <x v="1507"/>
    <x v="4"/>
    <s v="On Demand"/>
    <x v="6"/>
    <x v="1"/>
    <x v="0"/>
    <s v="Low Impact"/>
    <x v="149"/>
    <x v="2243"/>
    <n v="40"/>
    <n v="67"/>
    <n v="0.28999999999999998"/>
    <n v="88"/>
    <n v="13.55"/>
    <n v="2.2599999999999998"/>
    <n v="78"/>
    <n v="133.19"/>
    <m/>
    <m/>
  </r>
  <r>
    <s v="2023-04-27 16:56 (-07)"/>
    <x v="779"/>
    <x v="256"/>
    <x v="4"/>
    <s v="On Demand"/>
    <x v="1"/>
    <x v="3"/>
    <x v="1"/>
    <s v="Core"/>
    <x v="6"/>
    <x v="2244"/>
    <m/>
    <m/>
    <m/>
    <m/>
    <m/>
    <m/>
    <n v="23"/>
    <n v="106.22"/>
    <m/>
    <m/>
  </r>
  <r>
    <s v="2023-04-27 17:02 (-07)"/>
    <x v="779"/>
    <x v="491"/>
    <x v="4"/>
    <s v="On Demand"/>
    <x v="4"/>
    <x v="3"/>
    <x v="2"/>
    <s v="Pre &amp; Post-Ride Stretch"/>
    <x v="8"/>
    <x v="2245"/>
    <m/>
    <m/>
    <m/>
    <m/>
    <m/>
    <m/>
    <n v="21"/>
    <n v="102.63"/>
    <m/>
    <m/>
  </r>
  <r>
    <s v="2023-05-04 15:36 (-07)"/>
    <x v="780"/>
    <x v="938"/>
    <x v="4"/>
    <s v="On Demand"/>
    <x v="21"/>
    <x v="1"/>
    <x v="1"/>
    <s v="Core"/>
    <x v="1"/>
    <x v="2246"/>
    <m/>
    <m/>
    <m/>
    <m/>
    <m/>
    <m/>
    <n v="38"/>
    <n v="96.95"/>
    <m/>
    <m/>
  </r>
  <r>
    <s v="2023-05-04 15:50 (-07)"/>
    <x v="780"/>
    <x v="931"/>
    <x v="4"/>
    <s v="On Demand"/>
    <x v="6"/>
    <x v="0"/>
    <x v="0"/>
    <s v="Power Zone"/>
    <x v="85"/>
    <x v="2094"/>
    <n v="324"/>
    <n v="120"/>
    <n v="0.38"/>
    <n v="86"/>
    <n v="16.78"/>
    <n v="12.58"/>
    <n v="482"/>
    <n v="158.66"/>
    <m/>
    <m/>
  </r>
  <r>
    <s v="2023-05-04 16:36 (-07)"/>
    <x v="780"/>
    <x v="1585"/>
    <x v="4"/>
    <s v="On Demand"/>
    <x v="15"/>
    <x v="3"/>
    <x v="0"/>
    <s v="Cool Down"/>
    <x v="10"/>
    <x v="2247"/>
    <n v="20"/>
    <n v="66"/>
    <n v="0.31"/>
    <n v="84"/>
    <n v="13.38"/>
    <n v="1.1100000000000001"/>
    <n v="37"/>
    <n v="131.47"/>
    <m/>
    <m/>
  </r>
  <r>
    <s v="2023-05-04 16:44 (-07)"/>
    <x v="780"/>
    <x v="1507"/>
    <x v="4"/>
    <s v="On Demand"/>
    <x v="4"/>
    <x v="3"/>
    <x v="2"/>
    <s v="Pre &amp; Post-Ride Stretch"/>
    <x v="8"/>
    <x v="2248"/>
    <m/>
    <m/>
    <m/>
    <m/>
    <m/>
    <m/>
    <n v="24"/>
    <n v="109.14"/>
    <m/>
    <m/>
  </r>
  <r>
    <s v="2023-05-04 22:48 (PST)"/>
    <x v="780"/>
    <x v="462"/>
    <x v="4"/>
    <s v="On Demand"/>
    <x v="16"/>
    <x v="7"/>
    <x v="5"/>
    <s v="Sleep"/>
    <x v="65"/>
    <x v="2249"/>
    <m/>
    <m/>
    <m/>
    <m/>
    <m/>
    <m/>
    <m/>
    <m/>
    <m/>
    <m/>
  </r>
  <r>
    <s v="2023-05-11 06:27 (PST)"/>
    <x v="781"/>
    <x v="444"/>
    <x v="4"/>
    <s v="On Demand"/>
    <x v="16"/>
    <x v="5"/>
    <x v="4"/>
    <s v="Focus Flow"/>
    <x v="40"/>
    <x v="2250"/>
    <m/>
    <m/>
    <m/>
    <m/>
    <m/>
    <m/>
    <n v="64"/>
    <m/>
    <m/>
    <m/>
  </r>
  <r>
    <s v="2023-05-11 15:38 (PST)"/>
    <x v="781"/>
    <x v="1586"/>
    <x v="4"/>
    <m/>
    <x v="34"/>
    <x v="10"/>
    <x v="6"/>
    <m/>
    <x v="569"/>
    <x v="231"/>
    <n v="0"/>
    <m/>
    <m/>
    <m/>
    <n v="2.99"/>
    <n v="2.0499999999999998"/>
    <n v="254"/>
    <n v="117.25"/>
    <m/>
    <m/>
  </r>
  <r>
    <s v="2023-05-11 16:40 (-07)"/>
    <x v="781"/>
    <x v="1255"/>
    <x v="4"/>
    <s v="On Demand"/>
    <x v="6"/>
    <x v="0"/>
    <x v="0"/>
    <s v="Power Zone"/>
    <x v="195"/>
    <x v="2251"/>
    <n v="314"/>
    <n v="116"/>
    <n v="0.34"/>
    <n v="85"/>
    <n v="15.87"/>
    <n v="11.9"/>
    <n v="423"/>
    <n v="146.93"/>
    <m/>
    <m/>
  </r>
  <r>
    <s v="2023-05-11 17:26 (-07)"/>
    <x v="781"/>
    <x v="1587"/>
    <x v="4"/>
    <s v="On Demand"/>
    <x v="7"/>
    <x v="3"/>
    <x v="0"/>
    <s v="Cool Down"/>
    <x v="10"/>
    <x v="2252"/>
    <n v="22"/>
    <n v="73"/>
    <n v="0.31"/>
    <n v="86"/>
    <n v="13.98"/>
    <n v="1.1599999999999999"/>
    <n v="30"/>
    <n v="121.1"/>
    <m/>
    <m/>
  </r>
  <r>
    <s v="2023-05-11 17:34 (-07)"/>
    <x v="781"/>
    <x v="1588"/>
    <x v="4"/>
    <s v="On Demand"/>
    <x v="1"/>
    <x v="3"/>
    <x v="2"/>
    <s v="Pre &amp; Post-Ride Stretch"/>
    <x v="8"/>
    <x v="2253"/>
    <m/>
    <m/>
    <m/>
    <m/>
    <m/>
    <m/>
    <n v="12"/>
    <m/>
    <m/>
    <m/>
  </r>
  <r>
    <s v="2023-05-11 22:09 (PST)"/>
    <x v="781"/>
    <x v="468"/>
    <x v="4"/>
    <s v="On Demand"/>
    <x v="13"/>
    <x v="1"/>
    <x v="5"/>
    <s v="Emotions"/>
    <x v="15"/>
    <x v="2254"/>
    <m/>
    <m/>
    <m/>
    <m/>
    <m/>
    <m/>
    <m/>
    <m/>
    <m/>
    <m/>
  </r>
  <r>
    <s v="2023-05-18 11:22 (PST)"/>
    <x v="782"/>
    <x v="1589"/>
    <x v="4"/>
    <m/>
    <x v="34"/>
    <x v="14"/>
    <x v="6"/>
    <m/>
    <x v="570"/>
    <x v="231"/>
    <n v="0"/>
    <m/>
    <m/>
    <m/>
    <n v="3.1"/>
    <n v="1.96"/>
    <n v="279"/>
    <n v="127"/>
    <m/>
    <m/>
  </r>
  <r>
    <s v="2023-05-18 15:51 (-07)"/>
    <x v="782"/>
    <x v="652"/>
    <x v="4"/>
    <s v="On Demand"/>
    <x v="1"/>
    <x v="5"/>
    <x v="1"/>
    <s v="Core"/>
    <x v="115"/>
    <x v="2255"/>
    <m/>
    <m/>
    <m/>
    <m/>
    <m/>
    <m/>
    <n v="97"/>
    <n v="106.83"/>
    <m/>
    <m/>
  </r>
  <r>
    <s v="2023-05-18 16:18 (-07)"/>
    <x v="782"/>
    <x v="622"/>
    <x v="4"/>
    <s v="On Demand"/>
    <x v="9"/>
    <x v="0"/>
    <x v="0"/>
    <s v="Power Zone"/>
    <x v="102"/>
    <x v="2256"/>
    <n v="89"/>
    <n v="86"/>
    <n v="0.35"/>
    <n v="82"/>
    <n v="14.6"/>
    <n v="4.1900000000000004"/>
    <n v="131"/>
    <n v="131.38999999999999"/>
    <m/>
    <m/>
  </r>
  <r>
    <s v="2023-05-25 06:46 (PST)"/>
    <x v="783"/>
    <x v="1392"/>
    <x v="4"/>
    <s v="On Demand"/>
    <x v="13"/>
    <x v="2"/>
    <x v="4"/>
    <s v="Focus Flow"/>
    <x v="209"/>
    <x v="2257"/>
    <m/>
    <m/>
    <m/>
    <m/>
    <m/>
    <m/>
    <n v="97"/>
    <m/>
    <m/>
    <m/>
  </r>
  <r>
    <s v="2023-05-25 22:27 (PST)"/>
    <x v="783"/>
    <x v="448"/>
    <x v="4"/>
    <s v="On Demand"/>
    <x v="16"/>
    <x v="1"/>
    <x v="5"/>
    <s v="Mindfulness"/>
    <x v="51"/>
    <x v="2258"/>
    <m/>
    <m/>
    <m/>
    <m/>
    <m/>
    <m/>
    <m/>
    <m/>
    <m/>
    <m/>
  </r>
  <r>
    <s v="2023-06-01 10:45 (PST)"/>
    <x v="784"/>
    <x v="719"/>
    <x v="4"/>
    <m/>
    <x v="34"/>
    <x v="11"/>
    <x v="6"/>
    <m/>
    <x v="571"/>
    <x v="231"/>
    <n v="0"/>
    <m/>
    <m/>
    <m/>
    <n v="3.16"/>
    <n v="2.04"/>
    <n v="288"/>
    <n v="126.14"/>
    <m/>
    <m/>
  </r>
  <r>
    <s v="2023-06-01 22:39 (PST)"/>
    <x v="784"/>
    <x v="426"/>
    <x v="4"/>
    <s v="On Demand"/>
    <x v="28"/>
    <x v="1"/>
    <x v="5"/>
    <s v="Relaxation"/>
    <x v="34"/>
    <x v="2259"/>
    <m/>
    <m/>
    <m/>
    <m/>
    <m/>
    <m/>
    <m/>
    <m/>
    <m/>
    <m/>
  </r>
  <r>
    <s v="2023-06-08 12:53 (PST)"/>
    <x v="785"/>
    <x v="741"/>
    <x v="4"/>
    <s v="On Demand"/>
    <x v="16"/>
    <x v="0"/>
    <x v="4"/>
    <s v="Flow"/>
    <x v="14"/>
    <x v="2260"/>
    <m/>
    <m/>
    <m/>
    <m/>
    <m/>
    <m/>
    <n v="135"/>
    <m/>
    <m/>
    <m/>
  </r>
  <r>
    <s v="2023-06-08 15:45 (-07)"/>
    <x v="785"/>
    <x v="617"/>
    <x v="4"/>
    <s v="On Demand"/>
    <x v="37"/>
    <x v="1"/>
    <x v="1"/>
    <s v="Core"/>
    <x v="1"/>
    <x v="2261"/>
    <m/>
    <m/>
    <m/>
    <m/>
    <m/>
    <m/>
    <n v="47"/>
    <n v="106.65"/>
    <m/>
    <m/>
  </r>
  <r>
    <s v="2023-06-08 15:57 (-07)"/>
    <x v="785"/>
    <x v="1529"/>
    <x v="4"/>
    <s v="On Demand"/>
    <x v="12"/>
    <x v="1"/>
    <x v="1"/>
    <s v="Upper Body"/>
    <x v="117"/>
    <x v="2262"/>
    <m/>
    <m/>
    <m/>
    <m/>
    <m/>
    <m/>
    <n v="68"/>
    <n v="126.55"/>
    <m/>
    <m/>
  </r>
  <r>
    <s v="2023-06-08 16:11 (-07)"/>
    <x v="785"/>
    <x v="1329"/>
    <x v="4"/>
    <s v="On Demand"/>
    <x v="6"/>
    <x v="0"/>
    <x v="0"/>
    <s v="Power Zone"/>
    <x v="27"/>
    <x v="2263"/>
    <n v="263"/>
    <n v="97"/>
    <n v="0.37"/>
    <n v="82"/>
    <n v="15.94"/>
    <n v="11.97"/>
    <n v="353"/>
    <n v="130.08000000000001"/>
    <m/>
    <m/>
  </r>
  <r>
    <s v="2023-06-08 17:02 (-07)"/>
    <x v="785"/>
    <x v="491"/>
    <x v="4"/>
    <s v="On Demand"/>
    <x v="10"/>
    <x v="3"/>
    <x v="2"/>
    <s v="Pre &amp; Post-Ride Stretch"/>
    <x v="8"/>
    <x v="2264"/>
    <m/>
    <m/>
    <m/>
    <m/>
    <m/>
    <m/>
    <n v="12"/>
    <m/>
    <m/>
    <m/>
  </r>
  <r>
    <s v="2023-06-15 05:50 (PST)"/>
    <x v="786"/>
    <x v="1590"/>
    <x v="4"/>
    <s v="On Demand"/>
    <x v="23"/>
    <x v="2"/>
    <x v="4"/>
    <s v="Focus Flow"/>
    <x v="253"/>
    <x v="2265"/>
    <m/>
    <m/>
    <m/>
    <m/>
    <m/>
    <m/>
    <n v="103"/>
    <m/>
    <m/>
    <m/>
  </r>
  <r>
    <s v="2023-06-15 06:25 (PST)"/>
    <x v="786"/>
    <x v="1591"/>
    <x v="4"/>
    <s v="On Demand"/>
    <x v="28"/>
    <x v="3"/>
    <x v="5"/>
    <s v="Emotions"/>
    <x v="429"/>
    <x v="2266"/>
    <m/>
    <m/>
    <m/>
    <m/>
    <m/>
    <m/>
    <m/>
    <m/>
    <m/>
    <m/>
  </r>
  <r>
    <s v="2023-06-15 22:02 (PST)"/>
    <x v="786"/>
    <x v="399"/>
    <x v="4"/>
    <s v="On Demand"/>
    <x v="16"/>
    <x v="7"/>
    <x v="5"/>
    <s v="Sleep"/>
    <x v="65"/>
    <x v="2267"/>
    <m/>
    <m/>
    <m/>
    <m/>
    <m/>
    <m/>
    <m/>
    <m/>
    <m/>
    <m/>
  </r>
  <r>
    <s v="2023-06-22 10:01 (PST)"/>
    <x v="787"/>
    <x v="858"/>
    <x v="4"/>
    <m/>
    <x v="34"/>
    <x v="25"/>
    <x v="6"/>
    <m/>
    <x v="572"/>
    <x v="231"/>
    <n v="0"/>
    <m/>
    <m/>
    <m/>
    <n v="3.3"/>
    <n v="1.91"/>
    <n v="289"/>
    <n v="132.82"/>
    <m/>
    <m/>
  </r>
  <r>
    <s v="2023-06-22 16:41 (-07)"/>
    <x v="787"/>
    <x v="1530"/>
    <x v="4"/>
    <s v="On Demand"/>
    <x v="11"/>
    <x v="0"/>
    <x v="1"/>
    <s v="Full Body"/>
    <x v="573"/>
    <x v="2268"/>
    <m/>
    <m/>
    <m/>
    <m/>
    <m/>
    <m/>
    <n v="388"/>
    <n v="140.44999999999999"/>
    <m/>
    <m/>
  </r>
  <r>
    <s v="2023-06-22 17:26 (-07)"/>
    <x v="787"/>
    <x v="1587"/>
    <x v="4"/>
    <s v="On Demand"/>
    <x v="20"/>
    <x v="1"/>
    <x v="2"/>
    <s v="Full Body Stretch"/>
    <x v="4"/>
    <x v="1302"/>
    <m/>
    <m/>
    <m/>
    <m/>
    <m/>
    <m/>
    <n v="45"/>
    <n v="103.99"/>
    <m/>
    <m/>
  </r>
  <r>
    <s v="2023-06-29 09:48 (PST)"/>
    <x v="788"/>
    <x v="1592"/>
    <x v="4"/>
    <s v="On Demand"/>
    <x v="16"/>
    <x v="2"/>
    <x v="4"/>
    <s v="Flow"/>
    <x v="574"/>
    <x v="2269"/>
    <m/>
    <m/>
    <m/>
    <m/>
    <m/>
    <m/>
    <n v="95"/>
    <m/>
    <m/>
    <m/>
  </r>
  <r>
    <s v="2023-06-29 16:04 (-07)"/>
    <x v="788"/>
    <x v="1593"/>
    <x v="4"/>
    <s v="On Demand"/>
    <x v="24"/>
    <x v="5"/>
    <x v="1"/>
    <s v="Core"/>
    <x v="575"/>
    <x v="2270"/>
    <m/>
    <m/>
    <m/>
    <m/>
    <m/>
    <m/>
    <n v="104"/>
    <n v="109.6"/>
    <m/>
    <m/>
  </r>
  <r>
    <s v="2023-06-29 16:26 (-07)"/>
    <x v="788"/>
    <x v="795"/>
    <x v="4"/>
    <s v="On Demand"/>
    <x v="24"/>
    <x v="2"/>
    <x v="1"/>
    <s v="Upper Body"/>
    <x v="576"/>
    <x v="2271"/>
    <m/>
    <m/>
    <m/>
    <m/>
    <m/>
    <m/>
    <n v="146"/>
    <n v="115.92"/>
    <m/>
    <m/>
  </r>
  <r>
    <s v="2023-06-29 22:10 (PST)"/>
    <x v="788"/>
    <x v="620"/>
    <x v="4"/>
    <s v="On Demand"/>
    <x v="19"/>
    <x v="7"/>
    <x v="5"/>
    <s v="Mindfulness"/>
    <x v="163"/>
    <x v="2272"/>
    <m/>
    <m/>
    <m/>
    <m/>
    <m/>
    <m/>
    <m/>
    <m/>
    <m/>
    <m/>
  </r>
  <r>
    <s v="2023-07-06 12:18 (PST)"/>
    <x v="789"/>
    <x v="191"/>
    <x v="4"/>
    <s v="On Demand"/>
    <x v="23"/>
    <x v="2"/>
    <x v="4"/>
    <s v="Flow"/>
    <x v="577"/>
    <x v="2273"/>
    <m/>
    <m/>
    <m/>
    <m/>
    <m/>
    <m/>
    <n v="100"/>
    <m/>
    <m/>
    <m/>
  </r>
  <r>
    <s v="2023-07-06 15:33 (-07)"/>
    <x v="789"/>
    <x v="1594"/>
    <x v="4"/>
    <s v="On Demand"/>
    <x v="12"/>
    <x v="1"/>
    <x v="1"/>
    <s v="Core"/>
    <x v="242"/>
    <x v="2274"/>
    <m/>
    <m/>
    <m/>
    <m/>
    <m/>
    <m/>
    <n v="51"/>
    <n v="109.66"/>
    <m/>
    <m/>
  </r>
  <r>
    <s v="2023-07-06 15:48 (-07)"/>
    <x v="789"/>
    <x v="1512"/>
    <x v="4"/>
    <s v="On Demand"/>
    <x v="24"/>
    <x v="2"/>
    <x v="1"/>
    <s v="Upper Body"/>
    <x v="153"/>
    <x v="2275"/>
    <m/>
    <m/>
    <m/>
    <m/>
    <m/>
    <m/>
    <n v="200"/>
    <n v="123.2"/>
    <m/>
    <m/>
  </r>
  <r>
    <s v="2023-07-06 16:28 (-07)"/>
    <x v="789"/>
    <x v="1595"/>
    <x v="4"/>
    <s v="On Demand"/>
    <x v="6"/>
    <x v="2"/>
    <x v="7"/>
    <s v="Endurance"/>
    <x v="152"/>
    <x v="2276"/>
    <n v="90"/>
    <m/>
    <m/>
    <m/>
    <n v="2.5099999999999998"/>
    <n v="2.8"/>
    <n v="243"/>
    <n v="135.74"/>
    <m/>
    <m/>
  </r>
  <r>
    <s v="2023-07-06 22:29 (PST)"/>
    <x v="789"/>
    <x v="639"/>
    <x v="4"/>
    <s v="On Demand"/>
    <x v="19"/>
    <x v="1"/>
    <x v="5"/>
    <s v="Meditation Basics"/>
    <x v="578"/>
    <x v="2277"/>
    <m/>
    <m/>
    <m/>
    <m/>
    <m/>
    <m/>
    <m/>
    <m/>
    <m/>
    <m/>
  </r>
  <r>
    <s v="2023-07-13 10:41 (PST)"/>
    <x v="790"/>
    <x v="187"/>
    <x v="4"/>
    <m/>
    <x v="34"/>
    <x v="9"/>
    <x v="6"/>
    <m/>
    <x v="579"/>
    <x v="231"/>
    <n v="0"/>
    <m/>
    <m/>
    <m/>
    <n v="3.08"/>
    <n v="1.93"/>
    <n v="149"/>
    <m/>
    <m/>
    <m/>
  </r>
  <r>
    <s v="2023-07-13 22:16 (PST)"/>
    <x v="790"/>
    <x v="51"/>
    <x v="4"/>
    <s v="On Demand"/>
    <x v="16"/>
    <x v="7"/>
    <x v="5"/>
    <s v="Mindfulness"/>
    <x v="163"/>
    <x v="2278"/>
    <m/>
    <m/>
    <m/>
    <m/>
    <m/>
    <m/>
    <m/>
    <m/>
    <m/>
    <m/>
  </r>
  <r>
    <s v="2023-07-20 15:48 (-07)"/>
    <x v="791"/>
    <x v="1512"/>
    <x v="4"/>
    <s v="On Demand"/>
    <x v="49"/>
    <x v="2"/>
    <x v="7"/>
    <s v="Endurance"/>
    <x v="152"/>
    <x v="2279"/>
    <n v="112"/>
    <m/>
    <m/>
    <m/>
    <n v="2.77"/>
    <n v="2.88"/>
    <n v="278"/>
    <n v="147.02000000000001"/>
    <m/>
    <m/>
  </r>
  <r>
    <s v="2023-07-20 16:22 (-07)"/>
    <x v="791"/>
    <x v="438"/>
    <x v="4"/>
    <s v="On Demand"/>
    <x v="24"/>
    <x v="1"/>
    <x v="1"/>
    <s v="Upper Body"/>
    <x v="117"/>
    <x v="2280"/>
    <m/>
    <m/>
    <m/>
    <m/>
    <m/>
    <m/>
    <n v="61"/>
    <n v="117.76"/>
    <m/>
    <m/>
  </r>
  <r>
    <s v="2023-07-20 16:35 (-07)"/>
    <x v="791"/>
    <x v="756"/>
    <x v="4"/>
    <s v="On Demand"/>
    <x v="4"/>
    <x v="1"/>
    <x v="1"/>
    <s v="Core"/>
    <x v="1"/>
    <x v="2281"/>
    <m/>
    <m/>
    <m/>
    <m/>
    <m/>
    <m/>
    <n v="50"/>
    <n v="107.9"/>
    <m/>
    <m/>
  </r>
  <r>
    <s v="2023-07-20 16:52 (-07)"/>
    <x v="791"/>
    <x v="1499"/>
    <x v="4"/>
    <s v="On Demand"/>
    <x v="0"/>
    <x v="1"/>
    <x v="1"/>
    <s v="Barre"/>
    <x v="580"/>
    <x v="2282"/>
    <m/>
    <m/>
    <m/>
    <m/>
    <m/>
    <m/>
    <n v="45"/>
    <n v="103.02"/>
    <m/>
    <m/>
  </r>
  <r>
    <s v="2023-08-03 08:02 (PST)"/>
    <x v="792"/>
    <x v="1490"/>
    <x v="4"/>
    <s v="On Demand"/>
    <x v="23"/>
    <x v="2"/>
    <x v="4"/>
    <s v="Slow Flow"/>
    <x v="581"/>
    <x v="2283"/>
    <m/>
    <m/>
    <m/>
    <m/>
    <m/>
    <m/>
    <n v="100"/>
    <m/>
    <m/>
    <m/>
  </r>
  <r>
    <s v="2023-08-03 12:11 (-07)"/>
    <x v="792"/>
    <x v="1344"/>
    <x v="4"/>
    <s v="On Demand"/>
    <x v="6"/>
    <x v="0"/>
    <x v="0"/>
    <s v="Power Zone"/>
    <x v="85"/>
    <x v="2284"/>
    <n v="293"/>
    <n v="109"/>
    <n v="0.36"/>
    <n v="86"/>
    <n v="15.88"/>
    <n v="11.91"/>
    <n v="456"/>
    <n v="152.99"/>
    <m/>
    <m/>
  </r>
  <r>
    <s v="2023-08-03 12:57 (-07)"/>
    <x v="792"/>
    <x v="1345"/>
    <x v="4"/>
    <s v="On Demand"/>
    <x v="29"/>
    <x v="3"/>
    <x v="0"/>
    <s v="Cool Down"/>
    <x v="10"/>
    <x v="914"/>
    <n v="17"/>
    <n v="56"/>
    <n v="0.3"/>
    <n v="77"/>
    <n v="12.51"/>
    <n v="1.04"/>
    <n v="36"/>
    <n v="131.02000000000001"/>
    <m/>
    <m/>
  </r>
  <r>
    <s v="2023-08-03 21:31 (PST)"/>
    <x v="792"/>
    <x v="1596"/>
    <x v="4"/>
    <s v="On Demand"/>
    <x v="13"/>
    <x v="7"/>
    <x v="5"/>
    <s v="Emotions"/>
    <x v="393"/>
    <x v="2285"/>
    <m/>
    <m/>
    <m/>
    <m/>
    <m/>
    <m/>
    <m/>
    <m/>
    <m/>
    <m/>
  </r>
  <r>
    <s v="2023-08-10 21:20 (PST)"/>
    <x v="793"/>
    <x v="1597"/>
    <x v="4"/>
    <s v="On Demand"/>
    <x v="19"/>
    <x v="2"/>
    <x v="5"/>
    <s v="Sleep"/>
    <x v="31"/>
    <x v="355"/>
    <m/>
    <m/>
    <m/>
    <m/>
    <m/>
    <m/>
    <m/>
    <m/>
    <m/>
    <m/>
  </r>
  <r>
    <s v="2023-08-17 17:31 (-07)"/>
    <x v="794"/>
    <x v="442"/>
    <x v="4"/>
    <s v="On Demand"/>
    <x v="24"/>
    <x v="2"/>
    <x v="1"/>
    <s v="Upper Body"/>
    <x v="153"/>
    <x v="2286"/>
    <m/>
    <m/>
    <m/>
    <m/>
    <m/>
    <m/>
    <n v="184"/>
    <n v="118.31"/>
    <m/>
    <m/>
  </r>
  <r>
    <s v="2023-08-17 18:03 (-07)"/>
    <x v="794"/>
    <x v="1196"/>
    <x v="4"/>
    <s v="On Demand"/>
    <x v="49"/>
    <x v="2"/>
    <x v="7"/>
    <s v="Endurance"/>
    <x v="152"/>
    <x v="2287"/>
    <n v="116"/>
    <m/>
    <m/>
    <m/>
    <n v="2.79"/>
    <n v="2.87"/>
    <n v="276"/>
    <n v="145.12"/>
    <m/>
    <m/>
  </r>
  <r>
    <s v="2023-08-24 15:48 (-07)"/>
    <x v="795"/>
    <x v="1512"/>
    <x v="4"/>
    <s v="On Demand"/>
    <x v="26"/>
    <x v="2"/>
    <x v="1"/>
    <s v="Full Body"/>
    <x v="582"/>
    <x v="1763"/>
    <m/>
    <m/>
    <m/>
    <m/>
    <m/>
    <m/>
    <n v="212"/>
    <n v="126.51"/>
    <m/>
    <m/>
  </r>
  <r>
    <s v="2023-08-24 16:21 (-07)"/>
    <x v="795"/>
    <x v="236"/>
    <x v="4"/>
    <s v="On Demand"/>
    <x v="31"/>
    <x v="1"/>
    <x v="1"/>
    <s v="Core"/>
    <x v="1"/>
    <x v="2288"/>
    <m/>
    <m/>
    <m/>
    <m/>
    <m/>
    <m/>
    <n v="35"/>
    <n v="91.21"/>
    <m/>
    <m/>
  </r>
  <r>
    <s v="2023-08-24 16:40 (-07)"/>
    <x v="795"/>
    <x v="1255"/>
    <x v="4"/>
    <s v="On Demand"/>
    <x v="46"/>
    <x v="2"/>
    <x v="7"/>
    <s v="Endurance"/>
    <x v="152"/>
    <x v="2289"/>
    <n v="115"/>
    <m/>
    <m/>
    <m/>
    <n v="2.64"/>
    <n v="2.95"/>
    <n v="247"/>
    <n v="136.52000000000001"/>
    <m/>
    <m/>
  </r>
  <r>
    <s v="2023-08-31 07:12 (PST)"/>
    <x v="796"/>
    <x v="532"/>
    <x v="4"/>
    <s v="On Demand"/>
    <x v="28"/>
    <x v="2"/>
    <x v="4"/>
    <s v="Slow Flow"/>
    <x v="50"/>
    <x v="2290"/>
    <m/>
    <m/>
    <m/>
    <m/>
    <m/>
    <m/>
    <n v="92"/>
    <m/>
    <m/>
    <m/>
  </r>
  <r>
    <s v="2023-08-31 15:43 (-07)"/>
    <x v="796"/>
    <x v="1598"/>
    <x v="4"/>
    <s v="On Demand"/>
    <x v="9"/>
    <x v="4"/>
    <x v="0"/>
    <s v="Power Zone"/>
    <x v="7"/>
    <x v="2291"/>
    <n v="396"/>
    <n v="110"/>
    <n v="0.38"/>
    <n v="85"/>
    <n v="16.66"/>
    <n v="16.670000000000002"/>
    <n v="628"/>
    <n v="155.97999999999999"/>
    <m/>
    <m/>
  </r>
  <r>
    <s v="2023-08-31 16:46 (-07)"/>
    <x v="796"/>
    <x v="653"/>
    <x v="4"/>
    <s v="On Demand"/>
    <x v="9"/>
    <x v="1"/>
    <x v="0"/>
    <s v="Music"/>
    <x v="583"/>
    <x v="2292"/>
    <n v="31"/>
    <n v="52"/>
    <n v="0.28000000000000003"/>
    <n v="80"/>
    <n v="12.13"/>
    <n v="2.02"/>
    <n v="70"/>
    <n v="125.76"/>
    <m/>
    <m/>
  </r>
  <r>
    <s v="2023-08-31 16:57 (-07)"/>
    <x v="796"/>
    <x v="1500"/>
    <x v="4"/>
    <s v="On Demand"/>
    <x v="36"/>
    <x v="1"/>
    <x v="1"/>
    <s v="Arms &amp; Light Weights"/>
    <x v="28"/>
    <x v="2293"/>
    <m/>
    <m/>
    <m/>
    <m/>
    <m/>
    <m/>
    <n v="55"/>
    <n v="112.9"/>
    <m/>
    <m/>
  </r>
  <r>
    <s v="2023-08-31 21:32 (PST)"/>
    <x v="796"/>
    <x v="1005"/>
    <x v="4"/>
    <s v="On Demand"/>
    <x v="16"/>
    <x v="1"/>
    <x v="5"/>
    <s v="Relaxation"/>
    <x v="71"/>
    <x v="2294"/>
    <m/>
    <m/>
    <m/>
    <m/>
    <m/>
    <m/>
    <m/>
    <m/>
    <m/>
    <m/>
  </r>
  <r>
    <s v="2023-09-07 20:26 (PST)"/>
    <x v="797"/>
    <x v="1599"/>
    <x v="4"/>
    <s v="On Demand"/>
    <x v="16"/>
    <x v="2"/>
    <x v="5"/>
    <s v="Sleep"/>
    <x v="31"/>
    <x v="2041"/>
    <m/>
    <m/>
    <m/>
    <m/>
    <m/>
    <m/>
    <m/>
    <m/>
    <m/>
    <m/>
  </r>
  <r>
    <s v="2023-09-14 14:24 (-07)"/>
    <x v="798"/>
    <x v="670"/>
    <x v="4"/>
    <s v="On Demand"/>
    <x v="6"/>
    <x v="4"/>
    <x v="0"/>
    <s v="Power Zone"/>
    <x v="7"/>
    <x v="714"/>
    <n v="419"/>
    <n v="116"/>
    <n v="0.39"/>
    <n v="85"/>
    <n v="17.12"/>
    <n v="17.12"/>
    <n v="651"/>
    <n v="159.34"/>
    <m/>
    <m/>
  </r>
  <r>
    <s v="2023-09-14 15:26 (-07)"/>
    <x v="798"/>
    <x v="1600"/>
    <x v="4"/>
    <s v="On Demand"/>
    <x v="1"/>
    <x v="3"/>
    <x v="0"/>
    <s v="Cool Down"/>
    <x v="10"/>
    <x v="2295"/>
    <n v="15"/>
    <n v="50"/>
    <n v="0.3"/>
    <n v="73"/>
    <n v="11.88"/>
    <n v="0.99"/>
    <n v="35"/>
    <n v="129.37"/>
    <m/>
    <m/>
  </r>
  <r>
    <s v="2023-09-14 15:34 (-07)"/>
    <x v="798"/>
    <x v="749"/>
    <x v="4"/>
    <s v="On Demand"/>
    <x v="42"/>
    <x v="1"/>
    <x v="2"/>
    <s v="Pre &amp; Post-Ride Stretch"/>
    <x v="263"/>
    <x v="1793"/>
    <m/>
    <m/>
    <m/>
    <m/>
    <m/>
    <m/>
    <n v="48"/>
    <n v="106.58"/>
    <m/>
    <m/>
  </r>
  <r>
    <s v="2023-09-21 13:39 (-07)"/>
    <x v="799"/>
    <x v="1601"/>
    <x v="4"/>
    <s v="On Demand"/>
    <x v="7"/>
    <x v="0"/>
    <x v="0"/>
    <s v="Power Zone"/>
    <x v="27"/>
    <x v="2296"/>
    <n v="285"/>
    <n v="111"/>
    <n v="0.39"/>
    <n v="83"/>
    <n v="16.850000000000001"/>
    <n v="12.32"/>
    <n v="477"/>
    <n v="160.54"/>
    <m/>
    <m/>
  </r>
  <r>
    <s v="2023-09-21 14:29 (-07)"/>
    <x v="799"/>
    <x v="1602"/>
    <x v="4"/>
    <s v="On Demand"/>
    <x v="9"/>
    <x v="1"/>
    <x v="0"/>
    <s v="Low Impact"/>
    <x v="149"/>
    <x v="2297"/>
    <n v="46"/>
    <n v="76"/>
    <n v="0.35"/>
    <n v="77"/>
    <n v="14.37"/>
    <n v="2.39"/>
    <n v="57"/>
    <m/>
    <m/>
    <m/>
  </r>
  <r>
    <s v="2023-09-21 14:40 (-07)"/>
    <x v="799"/>
    <x v="1603"/>
    <x v="4"/>
    <s v="On Demand"/>
    <x v="12"/>
    <x v="3"/>
    <x v="0"/>
    <s v="Cool Down"/>
    <x v="10"/>
    <x v="2298"/>
    <n v="19"/>
    <n v="62"/>
    <n v="0.3"/>
    <n v="83"/>
    <n v="13.19"/>
    <n v="1.1000000000000001"/>
    <n v="36"/>
    <n v="129.51"/>
    <m/>
    <m/>
  </r>
  <r>
    <s v="2023-09-21 14:48 (-07)"/>
    <x v="799"/>
    <x v="1574"/>
    <x v="4"/>
    <s v="On Demand"/>
    <x v="37"/>
    <x v="1"/>
    <x v="1"/>
    <s v="Core"/>
    <x v="1"/>
    <x v="2297"/>
    <m/>
    <m/>
    <m/>
    <m/>
    <m/>
    <m/>
    <n v="27"/>
    <n v="100.4"/>
    <m/>
    <m/>
  </r>
  <r>
    <s v="2023-09-21 16:24 (PST)"/>
    <x v="799"/>
    <x v="375"/>
    <x v="4"/>
    <s v="On Demand"/>
    <x v="13"/>
    <x v="2"/>
    <x v="4"/>
    <s v="Flow"/>
    <x v="124"/>
    <x v="2299"/>
    <m/>
    <m/>
    <m/>
    <m/>
    <m/>
    <m/>
    <n v="133"/>
    <n v="102.63"/>
    <m/>
    <m/>
  </r>
  <r>
    <s v="2023-09-21 22:34 (PST)"/>
    <x v="799"/>
    <x v="596"/>
    <x v="4"/>
    <s v="On Demand"/>
    <x v="16"/>
    <x v="1"/>
    <x v="5"/>
    <s v="Emotions"/>
    <x v="71"/>
    <x v="2300"/>
    <m/>
    <m/>
    <m/>
    <m/>
    <m/>
    <m/>
    <m/>
    <m/>
    <m/>
    <m/>
  </r>
  <r>
    <s v="2023-09-28 07:55 (PST)"/>
    <x v="800"/>
    <x v="1571"/>
    <x v="4"/>
    <s v="On Demand"/>
    <x v="23"/>
    <x v="2"/>
    <x v="4"/>
    <s v="Flow"/>
    <x v="584"/>
    <x v="2301"/>
    <m/>
    <m/>
    <m/>
    <m/>
    <m/>
    <m/>
    <n v="100"/>
    <m/>
    <m/>
    <m/>
  </r>
  <r>
    <s v="2023-09-28 15:03 (-07)"/>
    <x v="800"/>
    <x v="1604"/>
    <x v="4"/>
    <s v="On Demand"/>
    <x v="4"/>
    <x v="0"/>
    <x v="0"/>
    <s v="Power Zone"/>
    <x v="222"/>
    <x v="2302"/>
    <n v="296"/>
    <n v="109"/>
    <n v="0.39"/>
    <n v="81"/>
    <n v="16.649999999999999"/>
    <n v="12.49"/>
    <n v="497"/>
    <n v="163.61000000000001"/>
    <m/>
    <m/>
  </r>
  <r>
    <s v="2023-09-28 15:50 (-07)"/>
    <x v="800"/>
    <x v="931"/>
    <x v="4"/>
    <s v="On Demand"/>
    <x v="6"/>
    <x v="1"/>
    <x v="0"/>
    <s v="Low Impact"/>
    <x v="149"/>
    <x v="2303"/>
    <n v="35"/>
    <n v="59"/>
    <n v="0.31"/>
    <n v="79"/>
    <n v="12.72"/>
    <n v="2.12"/>
    <n v="82"/>
    <n v="136.32"/>
    <m/>
    <m/>
  </r>
  <r>
    <s v="2023-09-28 16:01 (-07)"/>
    <x v="800"/>
    <x v="266"/>
    <x v="4"/>
    <s v="On Demand"/>
    <x v="4"/>
    <x v="3"/>
    <x v="0"/>
    <s v="Cool Down"/>
    <x v="10"/>
    <x v="2304"/>
    <n v="14"/>
    <n v="48"/>
    <n v="0.28000000000000003"/>
    <n v="76"/>
    <n v="11.47"/>
    <n v="0.96"/>
    <n v="25"/>
    <n v="124.05"/>
    <m/>
    <m/>
  </r>
  <r>
    <s v="2023-09-28 16:15 (-07)"/>
    <x v="800"/>
    <x v="787"/>
    <x v="4"/>
    <s v="On Demand"/>
    <x v="35"/>
    <x v="1"/>
    <x v="1"/>
    <s v="Core"/>
    <x v="1"/>
    <x v="2305"/>
    <m/>
    <m/>
    <m/>
    <m/>
    <m/>
    <m/>
    <n v="47"/>
    <m/>
    <m/>
    <m/>
  </r>
  <r>
    <s v="2023-09-28 16:26 (-07)"/>
    <x v="800"/>
    <x v="795"/>
    <x v="4"/>
    <s v="On Demand"/>
    <x v="35"/>
    <x v="3"/>
    <x v="2"/>
    <s v="Lower Body Stretch"/>
    <x v="444"/>
    <x v="2306"/>
    <m/>
    <m/>
    <m/>
    <m/>
    <m/>
    <m/>
    <n v="12"/>
    <m/>
    <m/>
    <m/>
  </r>
  <r>
    <s v="2023-09-28 22:34 (PST)"/>
    <x v="800"/>
    <x v="596"/>
    <x v="4"/>
    <s v="On Demand"/>
    <x v="19"/>
    <x v="2"/>
    <x v="5"/>
    <s v="Sleep"/>
    <x v="31"/>
    <x v="2307"/>
    <m/>
    <m/>
    <m/>
    <m/>
    <m/>
    <m/>
    <m/>
    <m/>
    <m/>
    <m/>
  </r>
  <r>
    <s v="2023-10-05 22:52 (PST)"/>
    <x v="801"/>
    <x v="1605"/>
    <x v="4"/>
    <s v="On Demand"/>
    <x v="28"/>
    <x v="5"/>
    <x v="5"/>
    <s v="Sleep"/>
    <x v="29"/>
    <x v="1356"/>
    <m/>
    <m/>
    <m/>
    <m/>
    <m/>
    <m/>
    <m/>
    <m/>
    <m/>
    <m/>
  </r>
  <r>
    <s v="2023-10-12 16:11 (-07)"/>
    <x v="802"/>
    <x v="1329"/>
    <x v="4"/>
    <s v="On Demand"/>
    <x v="12"/>
    <x v="5"/>
    <x v="1"/>
    <s v="Upper Body"/>
    <x v="247"/>
    <x v="2308"/>
    <m/>
    <m/>
    <m/>
    <m/>
    <m/>
    <m/>
    <n v="123"/>
    <n v="126.07"/>
    <m/>
    <m/>
  </r>
  <r>
    <s v="2023-10-12 16:32 (-07)"/>
    <x v="802"/>
    <x v="455"/>
    <x v="4"/>
    <s v="On Demand"/>
    <x v="24"/>
    <x v="1"/>
    <x v="1"/>
    <s v="Upper Body"/>
    <x v="313"/>
    <x v="2308"/>
    <m/>
    <m/>
    <m/>
    <m/>
    <m/>
    <m/>
    <n v="66"/>
    <n v="122.1"/>
    <m/>
    <m/>
  </r>
  <r>
    <s v="2023-10-12 16:47 (-07)"/>
    <x v="802"/>
    <x v="783"/>
    <x v="4"/>
    <s v="On Demand"/>
    <x v="24"/>
    <x v="1"/>
    <x v="1"/>
    <s v="Core"/>
    <x v="108"/>
    <x v="2309"/>
    <m/>
    <m/>
    <m/>
    <m/>
    <m/>
    <m/>
    <n v="55"/>
    <n v="113.02"/>
    <m/>
    <m/>
  </r>
  <r>
    <s v="2023-10-12 16:59 (-07)"/>
    <x v="802"/>
    <x v="627"/>
    <x v="4"/>
    <s v="On Demand"/>
    <x v="38"/>
    <x v="5"/>
    <x v="7"/>
    <s v="Endurance"/>
    <x v="165"/>
    <x v="2310"/>
    <n v="76"/>
    <m/>
    <m/>
    <m/>
    <n v="2.73"/>
    <n v="2.04"/>
    <n v="178"/>
    <n v="142.93"/>
    <m/>
    <m/>
  </r>
  <r>
    <s v="2023-10-12 17:21 (-07)"/>
    <x v="802"/>
    <x v="229"/>
    <x v="4"/>
    <s v="On Demand"/>
    <x v="37"/>
    <x v="1"/>
    <x v="2"/>
    <s v="Full Body Stretch"/>
    <x v="4"/>
    <x v="2311"/>
    <m/>
    <m/>
    <m/>
    <m/>
    <m/>
    <m/>
    <n v="41"/>
    <n v="100.69"/>
    <m/>
    <m/>
  </r>
  <r>
    <s v="2023-10-12 22:49 (PST)"/>
    <x v="802"/>
    <x v="72"/>
    <x v="4"/>
    <s v="On Demand"/>
    <x v="13"/>
    <x v="1"/>
    <x v="5"/>
    <s v="Emotions"/>
    <x v="46"/>
    <x v="2312"/>
    <m/>
    <m/>
    <m/>
    <m/>
    <m/>
    <m/>
    <m/>
    <m/>
    <m/>
    <m/>
  </r>
  <r>
    <s v="2023-10-19 21:13 (PST)"/>
    <x v="803"/>
    <x v="338"/>
    <x v="4"/>
    <s v="On Demand"/>
    <x v="19"/>
    <x v="7"/>
    <x v="5"/>
    <s v="Emotions"/>
    <x v="286"/>
    <x v="2313"/>
    <m/>
    <m/>
    <m/>
    <m/>
    <m/>
    <m/>
    <m/>
    <n v="72.650000000000006"/>
    <m/>
    <m/>
  </r>
  <r>
    <s v="2023-10-19 21:30 (PST)"/>
    <x v="803"/>
    <x v="458"/>
    <x v="4"/>
    <s v="On Demand"/>
    <x v="7"/>
    <x v="1"/>
    <x v="4"/>
    <s v="Yoga Anywhere"/>
    <x v="48"/>
    <x v="1744"/>
    <m/>
    <m/>
    <m/>
    <m/>
    <m/>
    <m/>
    <n v="29"/>
    <n v="84.28"/>
    <m/>
    <m/>
  </r>
  <r>
    <s v="2023-10-26 22:36 (PST)"/>
    <x v="804"/>
    <x v="102"/>
    <x v="4"/>
    <s v="On Demand"/>
    <x v="25"/>
    <x v="7"/>
    <x v="5"/>
    <s v="Relaxation"/>
    <x v="199"/>
    <x v="2314"/>
    <m/>
    <m/>
    <m/>
    <m/>
    <m/>
    <m/>
    <m/>
    <m/>
    <m/>
    <m/>
  </r>
  <r>
    <s v="2023-11-02 22:30 (PST)"/>
    <x v="805"/>
    <x v="57"/>
    <x v="4"/>
    <s v="On Demand"/>
    <x v="16"/>
    <x v="1"/>
    <x v="5"/>
    <s v="Theme"/>
    <x v="68"/>
    <x v="2315"/>
    <m/>
    <m/>
    <m/>
    <m/>
    <m/>
    <m/>
    <m/>
    <m/>
    <m/>
    <m/>
  </r>
  <r>
    <s v="2023-11-09 10:15 (-08)"/>
    <x v="806"/>
    <x v="1606"/>
    <x v="4"/>
    <s v="On Demand"/>
    <x v="12"/>
    <x v="2"/>
    <x v="1"/>
    <s v="Upper Body"/>
    <x v="153"/>
    <x v="2316"/>
    <m/>
    <m/>
    <m/>
    <m/>
    <m/>
    <m/>
    <n v="180"/>
    <n v="118.1"/>
    <m/>
    <m/>
  </r>
  <r>
    <s v="2023-11-09 10:58 (-08)"/>
    <x v="806"/>
    <x v="1230"/>
    <x v="4"/>
    <s v="On Demand"/>
    <x v="7"/>
    <x v="2"/>
    <x v="0"/>
    <s v="Power Zone"/>
    <x v="5"/>
    <x v="303"/>
    <n v="192"/>
    <n v="107"/>
    <n v="0.37"/>
    <n v="87"/>
    <n v="16.489999999999998"/>
    <n v="8.25"/>
    <n v="294"/>
    <n v="150.74"/>
    <m/>
    <m/>
  </r>
  <r>
    <s v="2023-11-09 12:56 (PST)"/>
    <x v="806"/>
    <x v="1474"/>
    <x v="4"/>
    <s v="On Demand"/>
    <x v="23"/>
    <x v="2"/>
    <x v="4"/>
    <s v="Flow"/>
    <x v="585"/>
    <x v="2317"/>
    <m/>
    <m/>
    <m/>
    <m/>
    <m/>
    <m/>
    <n v="99"/>
    <m/>
    <m/>
    <m/>
  </r>
  <r>
    <s v="2023-11-16 22:51 (PST)"/>
    <x v="807"/>
    <x v="313"/>
    <x v="4"/>
    <s v="On Demand"/>
    <x v="19"/>
    <x v="1"/>
    <x v="5"/>
    <s v="Breath"/>
    <x v="154"/>
    <x v="2318"/>
    <m/>
    <m/>
    <m/>
    <m/>
    <m/>
    <m/>
    <m/>
    <m/>
    <m/>
    <m/>
  </r>
  <r>
    <s v="2023-11-30 09:07 (PST)"/>
    <x v="808"/>
    <x v="1607"/>
    <x v="4"/>
    <s v="On Demand"/>
    <x v="11"/>
    <x v="1"/>
    <x v="1"/>
    <s v="Core"/>
    <x v="1"/>
    <x v="2319"/>
    <m/>
    <m/>
    <m/>
    <m/>
    <m/>
    <m/>
    <n v="48"/>
    <n v="104.28"/>
    <m/>
    <m/>
  </r>
  <r>
    <s v="2023-11-30 09:37 (PST)"/>
    <x v="808"/>
    <x v="1608"/>
    <x v="4"/>
    <s v="On Demand"/>
    <x v="7"/>
    <x v="1"/>
    <x v="4"/>
    <s v="Flow"/>
    <x v="178"/>
    <x v="92"/>
    <m/>
    <m/>
    <m/>
    <m/>
    <m/>
    <m/>
    <n v="49"/>
    <n v="103.88"/>
    <m/>
    <m/>
  </r>
  <r>
    <s v="2023-12-07 21:58 (PST)"/>
    <x v="809"/>
    <x v="584"/>
    <x v="4"/>
    <s v="On Demand"/>
    <x v="23"/>
    <x v="1"/>
    <x v="5"/>
    <s v="Relaxation"/>
    <x v="71"/>
    <x v="2320"/>
    <m/>
    <m/>
    <m/>
    <m/>
    <m/>
    <m/>
    <m/>
    <m/>
    <m/>
    <m/>
  </r>
  <r>
    <s v="2023-12-14 14:47 (-08)"/>
    <x v="810"/>
    <x v="1609"/>
    <x v="4"/>
    <s v="On Demand"/>
    <x v="6"/>
    <x v="4"/>
    <x v="0"/>
    <s v="Power Zone"/>
    <x v="7"/>
    <x v="2321"/>
    <n v="384"/>
    <n v="102"/>
    <n v="0.37"/>
    <n v="84"/>
    <n v="16.21"/>
    <n v="16.54"/>
    <n v="641"/>
    <n v="164.89"/>
    <m/>
    <m/>
  </r>
  <r>
    <s v="2023-12-14 16:04 (-08)"/>
    <x v="810"/>
    <x v="1610"/>
    <x v="4"/>
    <s v="On Demand"/>
    <x v="4"/>
    <x v="1"/>
    <x v="1"/>
    <s v="Arms &amp; Light Weights"/>
    <x v="28"/>
    <x v="2322"/>
    <m/>
    <m/>
    <m/>
    <m/>
    <m/>
    <m/>
    <n v="65"/>
    <n v="119.93"/>
    <m/>
    <m/>
  </r>
  <r>
    <s v="2023-12-14 16:19 (-08)"/>
    <x v="810"/>
    <x v="545"/>
    <x v="4"/>
    <s v="On Demand"/>
    <x v="4"/>
    <x v="1"/>
    <x v="1"/>
    <s v="Core"/>
    <x v="108"/>
    <x v="2323"/>
    <m/>
    <m/>
    <m/>
    <m/>
    <m/>
    <m/>
    <n v="59"/>
    <n v="114.67"/>
    <m/>
    <m/>
  </r>
  <r>
    <s v="2023-12-14 16:30 (-08)"/>
    <x v="810"/>
    <x v="1611"/>
    <x v="4"/>
    <s v="On Demand"/>
    <x v="32"/>
    <x v="1"/>
    <x v="4"/>
    <s v="Focus Flow"/>
    <x v="118"/>
    <x v="2324"/>
    <m/>
    <m/>
    <m/>
    <m/>
    <m/>
    <m/>
    <n v="57"/>
    <n v="113.49"/>
    <m/>
    <m/>
  </r>
  <r>
    <s v="2023-12-21 09:32 (PST)"/>
    <x v="811"/>
    <x v="1473"/>
    <x v="4"/>
    <s v="On Demand"/>
    <x v="12"/>
    <x v="3"/>
    <x v="1"/>
    <s v="Core"/>
    <x v="6"/>
    <x v="2325"/>
    <m/>
    <m/>
    <m/>
    <m/>
    <m/>
    <m/>
    <n v="23"/>
    <m/>
    <m/>
    <m/>
  </r>
  <r>
    <s v="2023-12-21 09:39 (PST)"/>
    <x v="811"/>
    <x v="1129"/>
    <x v="4"/>
    <s v="On Demand"/>
    <x v="16"/>
    <x v="2"/>
    <x v="4"/>
    <s v="Slow Flow"/>
    <x v="50"/>
    <x v="2326"/>
    <m/>
    <m/>
    <m/>
    <m/>
    <m/>
    <m/>
    <n v="93"/>
    <m/>
    <m/>
    <m/>
  </r>
  <r>
    <s v="2023-12-21 15:23 (-08)"/>
    <x v="811"/>
    <x v="1612"/>
    <x v="4"/>
    <s v="On Demand"/>
    <x v="7"/>
    <x v="0"/>
    <x v="0"/>
    <s v="Power Zone"/>
    <x v="586"/>
    <x v="2327"/>
    <n v="272"/>
    <n v="101"/>
    <n v="0.37"/>
    <n v="83"/>
    <n v="16.12"/>
    <n v="12.09"/>
    <n v="504"/>
    <n v="161.55000000000001"/>
    <m/>
    <m/>
  </r>
  <r>
    <s v="2023-12-21 16:09 (-08)"/>
    <x v="811"/>
    <x v="1613"/>
    <x v="4"/>
    <s v="On Demand"/>
    <x v="7"/>
    <x v="1"/>
    <x v="1"/>
    <s v="Arms &amp; Light Weights"/>
    <x v="28"/>
    <x v="2328"/>
    <m/>
    <m/>
    <m/>
    <m/>
    <m/>
    <m/>
    <n v="64"/>
    <n v="118.23"/>
    <m/>
    <m/>
  </r>
  <r>
    <s v="2023-12-21 16:21 (-08)"/>
    <x v="811"/>
    <x v="146"/>
    <x v="4"/>
    <s v="On Demand"/>
    <x v="37"/>
    <x v="5"/>
    <x v="1"/>
    <s v="Lower Body"/>
    <x v="587"/>
    <x v="1013"/>
    <m/>
    <m/>
    <m/>
    <m/>
    <m/>
    <m/>
    <n v="144"/>
    <n v="126.04"/>
    <m/>
    <m/>
  </r>
  <r>
    <s v="2023-12-21 16:46 (-08)"/>
    <x v="811"/>
    <x v="548"/>
    <x v="4"/>
    <s v="On Demand"/>
    <x v="37"/>
    <x v="1"/>
    <x v="2"/>
    <s v="Lower Body Stretch"/>
    <x v="3"/>
    <x v="1013"/>
    <m/>
    <m/>
    <m/>
    <m/>
    <m/>
    <m/>
    <n v="52"/>
    <n v="107.95"/>
    <m/>
    <m/>
  </r>
  <r>
    <s v="2023-12-21 22:53 (PST)"/>
    <x v="811"/>
    <x v="964"/>
    <x v="4"/>
    <s v="On Demand"/>
    <x v="16"/>
    <x v="2"/>
    <x v="5"/>
    <s v="Sleep"/>
    <x v="31"/>
    <x v="1814"/>
    <m/>
    <m/>
    <m/>
    <m/>
    <m/>
    <m/>
    <m/>
    <m/>
    <m/>
    <m/>
  </r>
  <r>
    <s v="2023-12-28 10:13 (-08)"/>
    <x v="812"/>
    <x v="1614"/>
    <x v="4"/>
    <s v="On Demand"/>
    <x v="37"/>
    <x v="2"/>
    <x v="1"/>
    <s v="Lower Body"/>
    <x v="318"/>
    <x v="1013"/>
    <m/>
    <m/>
    <m/>
    <m/>
    <m/>
    <m/>
    <n v="193"/>
    <n v="113.72"/>
    <m/>
    <m/>
  </r>
  <r>
    <s v="2023-12-28 10:54 (-08)"/>
    <x v="812"/>
    <x v="978"/>
    <x v="4"/>
    <s v="On Demand"/>
    <x v="38"/>
    <x v="0"/>
    <x v="7"/>
    <s v="Endurance"/>
    <x v="588"/>
    <x v="2329"/>
    <n v="160"/>
    <m/>
    <m/>
    <m/>
    <n v="2.67"/>
    <n v="4.49"/>
    <n v="377"/>
    <n v="137.06"/>
    <m/>
    <m/>
  </r>
  <r>
    <s v="2023-12-28 11:59 (-08)"/>
    <x v="812"/>
    <x v="1615"/>
    <x v="4"/>
    <s v="On Demand"/>
    <x v="31"/>
    <x v="1"/>
    <x v="1"/>
    <s v="Core"/>
    <x v="1"/>
    <x v="2330"/>
    <m/>
    <m/>
    <m/>
    <m/>
    <m/>
    <m/>
    <n v="40"/>
    <n v="98.3"/>
    <m/>
    <m/>
  </r>
  <r>
    <s v="2023-12-28 22:31 (PST)"/>
    <x v="812"/>
    <x v="243"/>
    <x v="4"/>
    <s v="On Demand"/>
    <x v="13"/>
    <x v="1"/>
    <x v="5"/>
    <s v="Sleep"/>
    <x v="39"/>
    <x v="2331"/>
    <m/>
    <m/>
    <m/>
    <m/>
    <m/>
    <m/>
    <m/>
    <m/>
    <m/>
    <m/>
  </r>
  <r>
    <s v="2024-01-04 10:15 (PST)"/>
    <x v="813"/>
    <x v="1147"/>
    <x v="4"/>
    <s v="On Demand"/>
    <x v="7"/>
    <x v="2"/>
    <x v="4"/>
    <s v="Flow"/>
    <x v="136"/>
    <x v="2332"/>
    <m/>
    <m/>
    <m/>
    <m/>
    <m/>
    <m/>
    <n v="94"/>
    <m/>
    <m/>
    <m/>
  </r>
  <r>
    <s v="2024-01-04 11:54 (PST)"/>
    <x v="813"/>
    <x v="1616"/>
    <x v="4"/>
    <m/>
    <x v="34"/>
    <x v="14"/>
    <x v="6"/>
    <m/>
    <x v="589"/>
    <x v="231"/>
    <n v="0"/>
    <m/>
    <m/>
    <m/>
    <n v="3.05"/>
    <n v="1.92"/>
    <n v="156"/>
    <m/>
    <m/>
    <m/>
  </r>
  <r>
    <s v="2024-01-04 15:24 (-08)"/>
    <x v="813"/>
    <x v="1617"/>
    <x v="4"/>
    <s v="On Demand"/>
    <x v="31"/>
    <x v="1"/>
    <x v="1"/>
    <s v="Core"/>
    <x v="590"/>
    <x v="2333"/>
    <m/>
    <m/>
    <m/>
    <m/>
    <m/>
    <m/>
    <n v="62"/>
    <n v="117.68"/>
    <m/>
    <m/>
  </r>
  <r>
    <s v="2024-01-04 15:38 (-08)"/>
    <x v="813"/>
    <x v="1618"/>
    <x v="4"/>
    <s v="On Demand"/>
    <x v="9"/>
    <x v="2"/>
    <x v="0"/>
    <s v="Power Zone"/>
    <x v="5"/>
    <x v="2334"/>
    <n v="161"/>
    <n v="90"/>
    <n v="0.35"/>
    <n v="86"/>
    <n v="15.42"/>
    <n v="7.71"/>
    <n v="241"/>
    <n v="133.80000000000001"/>
    <m/>
    <m/>
  </r>
  <r>
    <s v="2024-01-04 16:10 (-08)"/>
    <x v="813"/>
    <x v="833"/>
    <x v="4"/>
    <s v="On Demand"/>
    <x v="18"/>
    <x v="1"/>
    <x v="1"/>
    <s v="Arms &amp; Light Weights"/>
    <x v="28"/>
    <x v="2335"/>
    <m/>
    <m/>
    <m/>
    <m/>
    <m/>
    <m/>
    <n v="45"/>
    <n v="102.68"/>
    <m/>
    <m/>
  </r>
  <r>
    <s v="2024-01-04 21:55 (PST)"/>
    <x v="813"/>
    <x v="60"/>
    <x v="4"/>
    <s v="On Demand"/>
    <x v="16"/>
    <x v="1"/>
    <x v="5"/>
    <s v="Mindfulness"/>
    <x v="51"/>
    <x v="2336"/>
    <m/>
    <m/>
    <m/>
    <m/>
    <m/>
    <m/>
    <m/>
    <m/>
    <m/>
    <m/>
  </r>
  <r>
    <s v="2024-01-11 23:07 (PST)"/>
    <x v="814"/>
    <x v="119"/>
    <x v="4"/>
    <s v="On Demand"/>
    <x v="19"/>
    <x v="1"/>
    <x v="5"/>
    <s v="Emotions"/>
    <x v="46"/>
    <x v="2337"/>
    <m/>
    <m/>
    <m/>
    <m/>
    <m/>
    <m/>
    <m/>
    <m/>
    <m/>
    <m/>
  </r>
  <r>
    <s v="2018-08-21 16:40 (PST)"/>
    <x v="815"/>
    <x v="633"/>
    <x v="5"/>
    <s v="On Demand"/>
    <x v="0"/>
    <x v="5"/>
    <x v="0"/>
    <s v="Beginner"/>
    <x v="480"/>
    <x v="1822"/>
    <n v="104"/>
    <n v="87"/>
    <n v="0.41"/>
    <n v="68"/>
    <n v="14.68"/>
    <n v="4.88"/>
    <n v="137"/>
    <m/>
    <m/>
    <m/>
  </r>
  <r>
    <s v="2018-09-11 16:19 (PST)"/>
    <x v="816"/>
    <x v="1509"/>
    <x v="5"/>
    <s v="On Demand"/>
    <x v="0"/>
    <x v="0"/>
    <x v="0"/>
    <s v="Music"/>
    <x v="168"/>
    <x v="391"/>
    <n v="250"/>
    <n v="93"/>
    <n v="0.39"/>
    <n v="75"/>
    <n v="15.44"/>
    <n v="11.57"/>
    <n v="331"/>
    <m/>
    <m/>
    <m/>
  </r>
  <r>
    <s v="2018-09-25 16:22 (PST)"/>
    <x v="817"/>
    <x v="1276"/>
    <x v="5"/>
    <s v="On Demand"/>
    <x v="0"/>
    <x v="2"/>
    <x v="0"/>
    <s v="Music"/>
    <x v="591"/>
    <x v="2338"/>
    <n v="174"/>
    <n v="97"/>
    <n v="0.4"/>
    <n v="77"/>
    <n v="15.9"/>
    <n v="7.94"/>
    <n v="231"/>
    <m/>
    <m/>
    <m/>
  </r>
  <r>
    <s v="2018-10-02 16:14 (PST)"/>
    <x v="818"/>
    <x v="1619"/>
    <x v="5"/>
    <s v="On Demand"/>
    <x v="0"/>
    <x v="2"/>
    <x v="0"/>
    <s v="Music"/>
    <x v="167"/>
    <x v="2339"/>
    <n v="176"/>
    <n v="98"/>
    <n v="0.41"/>
    <n v="73"/>
    <n v="15.88"/>
    <n v="7.93"/>
    <n v="232"/>
    <m/>
    <m/>
    <m/>
  </r>
  <r>
    <s v="2018-10-09 16:19 (PST)"/>
    <x v="819"/>
    <x v="1509"/>
    <x v="5"/>
    <s v="On Demand"/>
    <x v="0"/>
    <x v="0"/>
    <x v="0"/>
    <s v="Music"/>
    <x v="592"/>
    <x v="2340"/>
    <n v="237"/>
    <n v="88"/>
    <n v="0.37"/>
    <n v="80"/>
    <n v="15.27"/>
    <n v="11.45"/>
    <n v="313"/>
    <m/>
    <m/>
    <m/>
  </r>
  <r>
    <s v="2018-10-16 16:14 (PST)"/>
    <x v="820"/>
    <x v="1619"/>
    <x v="5"/>
    <s v="On Demand"/>
    <x v="0"/>
    <x v="5"/>
    <x v="0"/>
    <s v="Music"/>
    <x v="593"/>
    <x v="2341"/>
    <n v="20"/>
    <n v="86"/>
    <n v="0.33"/>
    <n v="90"/>
    <n v="14.77"/>
    <n v="0.95"/>
    <n v="26"/>
    <m/>
    <m/>
    <m/>
  </r>
  <r>
    <s v="2018-10-30 12:10 (PST)"/>
    <x v="821"/>
    <x v="330"/>
    <x v="5"/>
    <s v="On Demand"/>
    <x v="0"/>
    <x v="2"/>
    <x v="0"/>
    <s v="Music"/>
    <x v="170"/>
    <x v="2342"/>
    <n v="163"/>
    <n v="91"/>
    <n v="0.38"/>
    <n v="78"/>
    <n v="15.37"/>
    <n v="7.68"/>
    <n v="216"/>
    <m/>
    <m/>
    <m/>
  </r>
  <r>
    <s v="2018-11-20 11:50 (PST)"/>
    <x v="822"/>
    <x v="1620"/>
    <x v="5"/>
    <s v="On Demand"/>
    <x v="0"/>
    <x v="2"/>
    <x v="0"/>
    <s v="Music"/>
    <x v="170"/>
    <x v="2343"/>
    <n v="175"/>
    <n v="97"/>
    <n v="0.37"/>
    <n v="83"/>
    <n v="15.81"/>
    <n v="7.9"/>
    <n v="231"/>
    <m/>
    <m/>
    <m/>
  </r>
  <r>
    <s v="2018-12-11 11:41 (PST)"/>
    <x v="823"/>
    <x v="1621"/>
    <x v="5"/>
    <s v="On Demand"/>
    <x v="0"/>
    <x v="2"/>
    <x v="0"/>
    <s v="Music"/>
    <x v="167"/>
    <x v="2344"/>
    <n v="153"/>
    <n v="85"/>
    <n v="0.39"/>
    <n v="73"/>
    <n v="14.98"/>
    <n v="7.48"/>
    <n v="202"/>
    <m/>
    <m/>
    <m/>
  </r>
  <r>
    <s v="2019-06-11 12:12 (PST)"/>
    <x v="824"/>
    <x v="1622"/>
    <x v="5"/>
    <s v="On Demand"/>
    <x v="0"/>
    <x v="2"/>
    <x v="0"/>
    <s v="Music"/>
    <x v="170"/>
    <x v="2345"/>
    <n v="187"/>
    <n v="104"/>
    <n v="0.4"/>
    <n v="80"/>
    <n v="16.309999999999999"/>
    <n v="8.15"/>
    <n v="246"/>
    <m/>
    <m/>
    <m/>
  </r>
  <r>
    <s v="2019-06-18 12:15 (PST)"/>
    <x v="825"/>
    <x v="1389"/>
    <x v="5"/>
    <s v="On Demand"/>
    <x v="0"/>
    <x v="2"/>
    <x v="0"/>
    <s v="Music"/>
    <x v="170"/>
    <x v="2346"/>
    <n v="179"/>
    <n v="99"/>
    <n v="0.39"/>
    <n v="80"/>
    <n v="15.91"/>
    <n v="7.95"/>
    <n v="235"/>
    <m/>
    <m/>
    <m/>
  </r>
  <r>
    <s v="2019-06-25 11:53 (PST)"/>
    <x v="826"/>
    <x v="1206"/>
    <x v="5"/>
    <s v="On Demand"/>
    <x v="0"/>
    <x v="2"/>
    <x v="0"/>
    <s v="Intervals"/>
    <x v="172"/>
    <x v="2347"/>
    <n v="136"/>
    <n v="76"/>
    <n v="0.4"/>
    <n v="58"/>
    <n v="12.27"/>
    <n v="6.13"/>
    <n v="179"/>
    <m/>
    <m/>
    <m/>
  </r>
  <r>
    <s v="2019-07-02 15:18 (PST)"/>
    <x v="827"/>
    <x v="1623"/>
    <x v="5"/>
    <s v="On Demand"/>
    <x v="0"/>
    <x v="2"/>
    <x v="0"/>
    <s v="Music"/>
    <x v="170"/>
    <x v="2348"/>
    <n v="166"/>
    <n v="92"/>
    <n v="0.39"/>
    <n v="77"/>
    <n v="15.21"/>
    <n v="7.6"/>
    <n v="218"/>
    <m/>
    <m/>
    <m/>
  </r>
  <r>
    <s v="2019-07-16 12:39 (PST)"/>
    <x v="828"/>
    <x v="1624"/>
    <x v="5"/>
    <s v="On Demand"/>
    <x v="20"/>
    <x v="5"/>
    <x v="0"/>
    <s v="Music"/>
    <x v="594"/>
    <x v="2349"/>
    <n v="101"/>
    <n v="85"/>
    <n v="0.34"/>
    <n v="89"/>
    <n v="15.05"/>
    <n v="5.01"/>
    <n v="134"/>
    <m/>
    <m/>
    <m/>
  </r>
  <r>
    <s v="2019-11-05 06:37 (PST)"/>
    <x v="829"/>
    <x v="61"/>
    <x v="5"/>
    <s v="On Demand"/>
    <x v="1"/>
    <x v="2"/>
    <x v="0"/>
    <s v="Theme"/>
    <x v="595"/>
    <x v="2350"/>
    <n v="154"/>
    <n v="88"/>
    <n v="0.4"/>
    <n v="72"/>
    <n v="15.2"/>
    <n v="7.46"/>
    <n v="203"/>
    <m/>
    <m/>
    <m/>
  </r>
  <r>
    <s v="2020-01-07 20:14 (PST)"/>
    <x v="830"/>
    <x v="1235"/>
    <x v="5"/>
    <s v="On Demand"/>
    <x v="1"/>
    <x v="1"/>
    <x v="1"/>
    <s v="Core"/>
    <x v="1"/>
    <x v="21"/>
    <m/>
    <m/>
    <m/>
    <m/>
    <m/>
    <m/>
    <n v="56"/>
    <m/>
    <m/>
    <m/>
  </r>
  <r>
    <s v="2020-01-28 17:38 (PST)"/>
    <x v="831"/>
    <x v="1240"/>
    <x v="5"/>
    <s v="On Demand"/>
    <x v="1"/>
    <x v="3"/>
    <x v="2"/>
    <s v="Full Body Stretch"/>
    <x v="213"/>
    <x v="43"/>
    <m/>
    <m/>
    <m/>
    <m/>
    <m/>
    <m/>
    <n v="14"/>
    <m/>
    <m/>
    <m/>
  </r>
  <r>
    <s v="2020-02-04 21:51 (PST)"/>
    <x v="832"/>
    <x v="1093"/>
    <x v="5"/>
    <s v="On Demand"/>
    <x v="16"/>
    <x v="5"/>
    <x v="4"/>
    <s v="Flow"/>
    <x v="30"/>
    <x v="2351"/>
    <m/>
    <m/>
    <m/>
    <m/>
    <m/>
    <m/>
    <n v="80"/>
    <m/>
    <m/>
    <m/>
  </r>
  <r>
    <s v="2020-02-04 22:15 (PST)"/>
    <x v="832"/>
    <x v="593"/>
    <x v="5"/>
    <s v="On Demand"/>
    <x v="1"/>
    <x v="1"/>
    <x v="1"/>
    <s v="Core"/>
    <x v="1"/>
    <x v="21"/>
    <m/>
    <m/>
    <m/>
    <m/>
    <m/>
    <m/>
    <n v="56"/>
    <m/>
    <m/>
    <m/>
  </r>
  <r>
    <s v="2020-03-10 21:13 (PST)"/>
    <x v="833"/>
    <x v="338"/>
    <x v="5"/>
    <s v="On Demand"/>
    <x v="7"/>
    <x v="5"/>
    <x v="4"/>
    <s v="Flow"/>
    <x v="30"/>
    <x v="2352"/>
    <m/>
    <m/>
    <m/>
    <m/>
    <m/>
    <m/>
    <n v="75"/>
    <m/>
    <m/>
    <m/>
  </r>
  <r>
    <s v="2020-03-10 21:36 (PST)"/>
    <x v="833"/>
    <x v="1153"/>
    <x v="5"/>
    <s v="On Demand"/>
    <x v="1"/>
    <x v="3"/>
    <x v="1"/>
    <s v="Core"/>
    <x v="6"/>
    <x v="43"/>
    <m/>
    <m/>
    <m/>
    <m/>
    <m/>
    <m/>
    <n v="10"/>
    <m/>
    <m/>
    <m/>
  </r>
  <r>
    <s v="2020-03-24 20:11 (PST)"/>
    <x v="834"/>
    <x v="888"/>
    <x v="5"/>
    <s v="On Demand"/>
    <x v="19"/>
    <x v="0"/>
    <x v="4"/>
    <s v="Flow"/>
    <x v="14"/>
    <x v="2353"/>
    <m/>
    <m/>
    <m/>
    <m/>
    <m/>
    <m/>
    <n v="177"/>
    <m/>
    <m/>
    <m/>
  </r>
  <r>
    <s v="2020-10-20 19:00 (PST)"/>
    <x v="835"/>
    <x v="1625"/>
    <x v="5"/>
    <s v="On Demand"/>
    <x v="6"/>
    <x v="3"/>
    <x v="2"/>
    <s v="Pre-Run Stretch"/>
    <x v="324"/>
    <x v="1031"/>
    <m/>
    <m/>
    <m/>
    <m/>
    <m/>
    <m/>
    <n v="28"/>
    <m/>
    <m/>
    <m/>
  </r>
  <r>
    <s v="2020-10-20 19:48 (PST)"/>
    <x v="835"/>
    <x v="1626"/>
    <x v="5"/>
    <s v="On Demand"/>
    <x v="5"/>
    <x v="1"/>
    <x v="2"/>
    <s v="Full Body Stretch"/>
    <x v="4"/>
    <x v="2354"/>
    <m/>
    <m/>
    <m/>
    <m/>
    <m/>
    <m/>
    <n v="28"/>
    <m/>
    <m/>
    <m/>
  </r>
  <r>
    <s v="2020-11-03 06:25 (PST)"/>
    <x v="836"/>
    <x v="1591"/>
    <x v="5"/>
    <s v="On Demand"/>
    <x v="6"/>
    <x v="7"/>
    <x v="0"/>
    <s v="Low Impact"/>
    <x v="249"/>
    <x v="2355"/>
    <n v="56"/>
    <n v="62"/>
    <n v="0.33"/>
    <n v="74"/>
    <n v="12.96"/>
    <n v="3.24"/>
    <n v="77"/>
    <m/>
    <m/>
    <m/>
  </r>
  <r>
    <s v="2020-11-03 06:43 (PST)"/>
    <x v="836"/>
    <x v="1627"/>
    <x v="5"/>
    <s v="On Demand"/>
    <x v="6"/>
    <x v="5"/>
    <x v="0"/>
    <s v="Power Zone"/>
    <x v="596"/>
    <x v="2356"/>
    <n v="81"/>
    <n v="75"/>
    <n v="0.32"/>
    <n v="85"/>
    <n v="14.19"/>
    <n v="4.24"/>
    <n v="111"/>
    <m/>
    <m/>
    <m/>
  </r>
  <r>
    <s v="2020-11-10 06:50 (PST)"/>
    <x v="837"/>
    <x v="562"/>
    <x v="5"/>
    <s v="On Demand"/>
    <x v="6"/>
    <x v="1"/>
    <x v="0"/>
    <s v="Low Impact"/>
    <x v="192"/>
    <x v="2355"/>
    <n v="36"/>
    <n v="60"/>
    <n v="0.32"/>
    <n v="78"/>
    <n v="12.97"/>
    <n v="2.16"/>
    <n v="49"/>
    <m/>
    <m/>
    <m/>
  </r>
  <r>
    <s v="2020-11-10 07:02 (PST)"/>
    <x v="837"/>
    <x v="389"/>
    <x v="5"/>
    <s v="On Demand"/>
    <x v="9"/>
    <x v="2"/>
    <x v="0"/>
    <s v="Power Zone"/>
    <x v="424"/>
    <x v="2357"/>
    <n v="138"/>
    <n v="77"/>
    <n v="0.31"/>
    <n v="90"/>
    <n v="14.34"/>
    <n v="7.17"/>
    <n v="189"/>
    <m/>
    <m/>
    <m/>
  </r>
  <r>
    <s v="2020-11-10 07:34 (PST)"/>
    <x v="837"/>
    <x v="130"/>
    <x v="5"/>
    <s v="On Demand"/>
    <x v="9"/>
    <x v="3"/>
    <x v="2"/>
    <s v="Pre &amp; Post-Ride Stretch"/>
    <x v="8"/>
    <x v="2358"/>
    <m/>
    <m/>
    <m/>
    <m/>
    <m/>
    <m/>
    <n v="13"/>
    <m/>
    <m/>
    <m/>
  </r>
  <r>
    <s v="2020-11-17 06:46 (PST)"/>
    <x v="838"/>
    <x v="1392"/>
    <x v="5"/>
    <s v="On Demand"/>
    <x v="7"/>
    <x v="0"/>
    <x v="0"/>
    <s v="Power Zone"/>
    <x v="85"/>
    <x v="2359"/>
    <n v="216"/>
    <n v="80"/>
    <n v="0.34"/>
    <n v="84"/>
    <n v="14.64"/>
    <n v="10.97"/>
    <n v="295"/>
    <m/>
    <m/>
    <m/>
  </r>
  <r>
    <s v="2020-11-17 07:36 (PST)"/>
    <x v="838"/>
    <x v="97"/>
    <x v="5"/>
    <s v="On Demand"/>
    <x v="7"/>
    <x v="5"/>
    <x v="4"/>
    <s v="Focus Flow"/>
    <x v="194"/>
    <x v="1430"/>
    <m/>
    <m/>
    <m/>
    <m/>
    <m/>
    <m/>
    <n v="72"/>
    <m/>
    <m/>
    <m/>
  </r>
  <r>
    <s v="2020-11-24 06:58 (PST)"/>
    <x v="839"/>
    <x v="42"/>
    <x v="5"/>
    <s v="On Demand"/>
    <x v="5"/>
    <x v="2"/>
    <x v="0"/>
    <s v="Power Zone"/>
    <x v="5"/>
    <x v="2360"/>
    <n v="132"/>
    <n v="73"/>
    <n v="0.31"/>
    <n v="88"/>
    <n v="14.19"/>
    <n v="7.1"/>
    <n v="181"/>
    <m/>
    <m/>
    <m/>
  </r>
  <r>
    <s v="2020-12-01 07:02 (PST)"/>
    <x v="840"/>
    <x v="389"/>
    <x v="5"/>
    <s v="On Demand"/>
    <x v="7"/>
    <x v="2"/>
    <x v="0"/>
    <s v="Intervals"/>
    <x v="172"/>
    <x v="2361"/>
    <n v="130"/>
    <n v="72"/>
    <n v="0.34"/>
    <n v="70"/>
    <n v="12.65"/>
    <n v="6.32"/>
    <n v="178"/>
    <m/>
    <m/>
    <m/>
  </r>
  <r>
    <s v="2020-12-08 07:10 (PST)"/>
    <x v="841"/>
    <x v="11"/>
    <x v="5"/>
    <s v="On Demand"/>
    <x v="12"/>
    <x v="0"/>
    <x v="0"/>
    <s v="Music"/>
    <x v="597"/>
    <x v="2362"/>
    <n v="212"/>
    <n v="78"/>
    <n v="0.37"/>
    <n v="72"/>
    <n v="13.87"/>
    <n v="10.4"/>
    <n v="290"/>
    <m/>
    <m/>
    <m/>
  </r>
  <r>
    <s v="2020-12-08 07:57 (PST)"/>
    <x v="841"/>
    <x v="12"/>
    <x v="5"/>
    <s v="On Demand"/>
    <x v="4"/>
    <x v="3"/>
    <x v="2"/>
    <s v="Lower Body Stretch"/>
    <x v="444"/>
    <x v="2363"/>
    <m/>
    <m/>
    <m/>
    <m/>
    <m/>
    <m/>
    <n v="13"/>
    <m/>
    <m/>
    <m/>
  </r>
  <r>
    <s v="2020-12-15 07:13 (PST)"/>
    <x v="842"/>
    <x v="500"/>
    <x v="5"/>
    <s v="On Demand"/>
    <x v="7"/>
    <x v="0"/>
    <x v="0"/>
    <s v="Power Zone"/>
    <x v="85"/>
    <x v="2364"/>
    <n v="226"/>
    <n v="84"/>
    <n v="0.35"/>
    <n v="81"/>
    <n v="14.94"/>
    <n v="11.2"/>
    <n v="279"/>
    <m/>
    <m/>
    <m/>
  </r>
  <r>
    <s v="2020-12-15 07:59 (PST)"/>
    <x v="842"/>
    <x v="799"/>
    <x v="5"/>
    <s v="On Demand"/>
    <x v="22"/>
    <x v="3"/>
    <x v="2"/>
    <s v="Pre &amp; Post-Ride Stretch"/>
    <x v="8"/>
    <x v="2365"/>
    <m/>
    <m/>
    <m/>
    <m/>
    <m/>
    <m/>
    <n v="11"/>
    <m/>
    <m/>
    <m/>
  </r>
  <r>
    <s v="2020-12-22 17:46 (PST)"/>
    <x v="843"/>
    <x v="1241"/>
    <x v="5"/>
    <s v="On Demand"/>
    <x v="9"/>
    <x v="0"/>
    <x v="0"/>
    <s v="Power Zone"/>
    <x v="598"/>
    <x v="2366"/>
    <n v="235"/>
    <n v="87"/>
    <n v="0.35"/>
    <n v="84"/>
    <n v="15.13"/>
    <n v="11.34"/>
    <n v="290"/>
    <m/>
    <m/>
    <m/>
  </r>
  <r>
    <s v="2020-12-22 18:32 (PST)"/>
    <x v="843"/>
    <x v="1628"/>
    <x v="5"/>
    <s v="On Demand"/>
    <x v="9"/>
    <x v="3"/>
    <x v="0"/>
    <s v="Cool Down"/>
    <x v="10"/>
    <x v="1065"/>
    <n v="18"/>
    <n v="61"/>
    <n v="0.3"/>
    <n v="84"/>
    <n v="13.14"/>
    <n v="1.0900000000000001"/>
    <n v="23"/>
    <m/>
    <m/>
    <m/>
  </r>
  <r>
    <s v="2020-12-22 18:43 (PST)"/>
    <x v="843"/>
    <x v="1629"/>
    <x v="5"/>
    <s v="On Demand"/>
    <x v="10"/>
    <x v="1"/>
    <x v="1"/>
    <s v="Pilates"/>
    <x v="413"/>
    <x v="417"/>
    <m/>
    <m/>
    <m/>
    <m/>
    <m/>
    <m/>
    <n v="46"/>
    <m/>
    <m/>
    <m/>
  </r>
  <r>
    <s v="2020-12-29 18:30 (PST)"/>
    <x v="844"/>
    <x v="1630"/>
    <x v="5"/>
    <s v="On Demand"/>
    <x v="7"/>
    <x v="0"/>
    <x v="0"/>
    <s v="Power Zone"/>
    <x v="85"/>
    <x v="2367"/>
    <n v="254"/>
    <n v="94"/>
    <n v="0.37"/>
    <n v="83"/>
    <n v="15.54"/>
    <n v="11.66"/>
    <n v="314"/>
    <m/>
    <m/>
    <m/>
  </r>
  <r>
    <s v="2020-12-29 19:16 (PST)"/>
    <x v="844"/>
    <x v="20"/>
    <x v="5"/>
    <s v="On Demand"/>
    <x v="17"/>
    <x v="3"/>
    <x v="0"/>
    <s v="Cool Down"/>
    <x v="10"/>
    <x v="2368"/>
    <n v="23"/>
    <n v="76"/>
    <n v="0.37"/>
    <n v="73"/>
    <n v="14.4"/>
    <n v="1.19"/>
    <n v="28"/>
    <m/>
    <m/>
    <m/>
  </r>
  <r>
    <s v="2020-12-29 19:24 (PST)"/>
    <x v="844"/>
    <x v="1631"/>
    <x v="5"/>
    <s v="On Demand"/>
    <x v="1"/>
    <x v="1"/>
    <x v="1"/>
    <s v="Arms &amp; Light Weights"/>
    <x v="18"/>
    <x v="2369"/>
    <m/>
    <m/>
    <m/>
    <m/>
    <m/>
    <m/>
    <n v="46"/>
    <m/>
    <m/>
    <m/>
  </r>
  <r>
    <s v="2021-01-05 16:27 (PST)"/>
    <x v="845"/>
    <x v="1123"/>
    <x v="5"/>
    <s v="On Demand"/>
    <x v="6"/>
    <x v="0"/>
    <x v="0"/>
    <s v="Power Zone"/>
    <x v="27"/>
    <x v="2370"/>
    <n v="238"/>
    <n v="88"/>
    <n v="0.33"/>
    <n v="92"/>
    <n v="15.33"/>
    <n v="11.5"/>
    <n v="294"/>
    <m/>
    <m/>
    <m/>
  </r>
  <r>
    <s v="2021-01-12 18:28 (PST)"/>
    <x v="846"/>
    <x v="1632"/>
    <x v="5"/>
    <s v="On Demand"/>
    <x v="11"/>
    <x v="4"/>
    <x v="3"/>
    <s v="Body Focus"/>
    <x v="599"/>
    <x v="2371"/>
    <n v="171"/>
    <m/>
    <m/>
    <m/>
    <n v="14.31"/>
    <n v="7.98"/>
    <n v="306"/>
    <m/>
    <m/>
    <m/>
  </r>
  <r>
    <s v="2021-01-12 19:30 (PST)"/>
    <x v="846"/>
    <x v="21"/>
    <x v="5"/>
    <s v="On Demand"/>
    <x v="53"/>
    <x v="1"/>
    <x v="2"/>
    <s v="Full Body Stretch"/>
    <x v="4"/>
    <x v="2372"/>
    <m/>
    <m/>
    <m/>
    <m/>
    <m/>
    <m/>
    <n v="23"/>
    <m/>
    <m/>
    <m/>
  </r>
  <r>
    <s v="2021-01-19 16:50 (-08)"/>
    <x v="847"/>
    <x v="1470"/>
    <x v="5"/>
    <s v="On Demand"/>
    <x v="6"/>
    <x v="2"/>
    <x v="0"/>
    <s v="Power Zone"/>
    <x v="5"/>
    <x v="2373"/>
    <n v="137"/>
    <n v="76"/>
    <n v="0.32"/>
    <n v="89"/>
    <n v="14.36"/>
    <n v="7.18"/>
    <n v="170"/>
    <m/>
    <m/>
    <m/>
  </r>
  <r>
    <s v="2021-01-19 17:20 (-08)"/>
    <x v="847"/>
    <x v="575"/>
    <x v="5"/>
    <s v="On Demand"/>
    <x v="6"/>
    <x v="3"/>
    <x v="2"/>
    <s v="Pre &amp; Post-Ride Stretch"/>
    <x v="8"/>
    <x v="24"/>
    <m/>
    <m/>
    <m/>
    <m/>
    <m/>
    <m/>
    <n v="12"/>
    <m/>
    <m/>
    <m/>
  </r>
  <r>
    <s v="2021-01-19 17:27 (-08)"/>
    <x v="847"/>
    <x v="160"/>
    <x v="5"/>
    <s v="On Demand"/>
    <x v="0"/>
    <x v="1"/>
    <x v="1"/>
    <s v="Arms &amp; Light Weights"/>
    <x v="18"/>
    <x v="2374"/>
    <m/>
    <m/>
    <m/>
    <m/>
    <m/>
    <m/>
    <n v="46"/>
    <m/>
    <m/>
    <m/>
  </r>
  <r>
    <s v="2021-01-19 21:24 (PST)"/>
    <x v="847"/>
    <x v="1152"/>
    <x v="5"/>
    <s v="On Demand"/>
    <x v="7"/>
    <x v="2"/>
    <x v="4"/>
    <s v="Flow"/>
    <x v="41"/>
    <x v="2375"/>
    <m/>
    <m/>
    <m/>
    <m/>
    <m/>
    <m/>
    <n v="98"/>
    <m/>
    <m/>
    <m/>
  </r>
  <r>
    <s v="2021-01-26 07:18 (-08)"/>
    <x v="848"/>
    <x v="1633"/>
    <x v="5"/>
    <s v="On Demand"/>
    <x v="9"/>
    <x v="2"/>
    <x v="0"/>
    <s v="Power Zone"/>
    <x v="5"/>
    <x v="2376"/>
    <n v="125"/>
    <n v="70"/>
    <n v="0.31"/>
    <n v="86"/>
    <n v="13.82"/>
    <n v="6.91"/>
    <n v="155"/>
    <m/>
    <m/>
    <m/>
  </r>
  <r>
    <s v="2021-01-26 07:51 (-08)"/>
    <x v="848"/>
    <x v="1634"/>
    <x v="5"/>
    <s v="On Demand"/>
    <x v="11"/>
    <x v="7"/>
    <x v="1"/>
    <s v="Full Body"/>
    <x v="21"/>
    <x v="2377"/>
    <m/>
    <m/>
    <m/>
    <m/>
    <m/>
    <m/>
    <n v="69"/>
    <m/>
    <m/>
    <m/>
  </r>
  <r>
    <s v="2021-01-26 20:18 (PST)"/>
    <x v="848"/>
    <x v="556"/>
    <x v="5"/>
    <s v="On Demand"/>
    <x v="7"/>
    <x v="0"/>
    <x v="4"/>
    <s v="Flow"/>
    <x v="14"/>
    <x v="2378"/>
    <m/>
    <m/>
    <m/>
    <m/>
    <m/>
    <m/>
    <n v="150"/>
    <m/>
    <m/>
    <m/>
  </r>
  <r>
    <s v="2021-01-26 21:06 (PST)"/>
    <x v="848"/>
    <x v="1216"/>
    <x v="5"/>
    <s v="On Demand"/>
    <x v="16"/>
    <x v="1"/>
    <x v="5"/>
    <s v="Emotions"/>
    <x v="60"/>
    <x v="2379"/>
    <m/>
    <m/>
    <m/>
    <m/>
    <m/>
    <m/>
    <m/>
    <m/>
    <m/>
    <m/>
  </r>
  <r>
    <s v="2021-02-02 07:07 (-08)"/>
    <x v="849"/>
    <x v="24"/>
    <x v="5"/>
    <s v="On Demand"/>
    <x v="5"/>
    <x v="2"/>
    <x v="0"/>
    <s v="Power Zone"/>
    <x v="5"/>
    <x v="2380"/>
    <n v="141"/>
    <n v="78"/>
    <n v="0.32"/>
    <n v="88"/>
    <n v="14.54"/>
    <n v="7.27"/>
    <n v="175"/>
    <m/>
    <m/>
    <m/>
  </r>
  <r>
    <s v="2021-02-02 07:40 (-08)"/>
    <x v="849"/>
    <x v="1635"/>
    <x v="5"/>
    <s v="On Demand"/>
    <x v="11"/>
    <x v="7"/>
    <x v="1"/>
    <s v="Full Body"/>
    <x v="21"/>
    <x v="2381"/>
    <m/>
    <m/>
    <m/>
    <m/>
    <m/>
    <m/>
    <n v="69"/>
    <m/>
    <m/>
    <m/>
  </r>
  <r>
    <s v="2021-02-09 06:53 (PST)"/>
    <x v="850"/>
    <x v="5"/>
    <x v="5"/>
    <s v="On Demand"/>
    <x v="7"/>
    <x v="0"/>
    <x v="0"/>
    <s v="Power Zone"/>
    <x v="27"/>
    <x v="2382"/>
    <n v="233"/>
    <n v="86"/>
    <n v="0.35"/>
    <n v="82"/>
    <n v="15.15"/>
    <n v="11.36"/>
    <n v="288"/>
    <m/>
    <m/>
    <m/>
  </r>
  <r>
    <s v="2021-02-09 07:40 (PST)"/>
    <x v="850"/>
    <x v="484"/>
    <x v="5"/>
    <s v="On Demand"/>
    <x v="7"/>
    <x v="3"/>
    <x v="2"/>
    <s v="Pre &amp; Post-Ride Stretch"/>
    <x v="8"/>
    <x v="417"/>
    <m/>
    <m/>
    <m/>
    <m/>
    <m/>
    <m/>
    <n v="12"/>
    <m/>
    <m/>
    <m/>
  </r>
  <r>
    <s v="2021-02-09 07:46 (PST)"/>
    <x v="850"/>
    <x v="177"/>
    <x v="5"/>
    <s v="On Demand"/>
    <x v="4"/>
    <x v="1"/>
    <x v="1"/>
    <s v="Core"/>
    <x v="1"/>
    <x v="2383"/>
    <m/>
    <m/>
    <m/>
    <m/>
    <m/>
    <m/>
    <n v="46"/>
    <m/>
    <m/>
    <m/>
  </r>
  <r>
    <s v="2021-02-16 07:05 (PST)"/>
    <x v="851"/>
    <x v="69"/>
    <x v="5"/>
    <s v="On Demand"/>
    <x v="7"/>
    <x v="2"/>
    <x v="0"/>
    <s v="Power Zone"/>
    <x v="5"/>
    <x v="2384"/>
    <n v="148"/>
    <n v="82"/>
    <n v="0.34"/>
    <n v="85"/>
    <n v="14.85"/>
    <n v="7.43"/>
    <n v="183"/>
    <m/>
    <m/>
    <m/>
  </r>
  <r>
    <s v="2021-02-16 07:36 (PST)"/>
    <x v="851"/>
    <x v="97"/>
    <x v="5"/>
    <s v="On Demand"/>
    <x v="7"/>
    <x v="1"/>
    <x v="1"/>
    <s v="Bodyweight"/>
    <x v="186"/>
    <x v="2385"/>
    <m/>
    <m/>
    <m/>
    <m/>
    <m/>
    <m/>
    <n v="46"/>
    <m/>
    <m/>
    <m/>
  </r>
  <r>
    <s v="2021-02-16 07:50 (PST)"/>
    <x v="851"/>
    <x v="71"/>
    <x v="5"/>
    <s v="On Demand"/>
    <x v="7"/>
    <x v="3"/>
    <x v="2"/>
    <s v="Pre &amp; Post-Ride Stretch"/>
    <x v="8"/>
    <x v="2386"/>
    <m/>
    <m/>
    <m/>
    <m/>
    <m/>
    <m/>
    <n v="19"/>
    <n v="101.73"/>
    <m/>
    <m/>
  </r>
  <r>
    <s v="2021-02-23 06:13 (PST)"/>
    <x v="852"/>
    <x v="1636"/>
    <x v="5"/>
    <s v="On Demand"/>
    <x v="6"/>
    <x v="0"/>
    <x v="0"/>
    <s v="Power Zone"/>
    <x v="85"/>
    <x v="1410"/>
    <n v="229"/>
    <n v="85"/>
    <n v="0.32"/>
    <n v="86"/>
    <n v="14.39"/>
    <n v="10.78"/>
    <n v="283"/>
    <m/>
    <m/>
    <m/>
  </r>
  <r>
    <s v="2021-02-23 06:59 (PST)"/>
    <x v="852"/>
    <x v="524"/>
    <x v="5"/>
    <s v="On Demand"/>
    <x v="6"/>
    <x v="3"/>
    <x v="0"/>
    <s v="Cool Down"/>
    <x v="10"/>
    <x v="28"/>
    <n v="17"/>
    <n v="56"/>
    <n v="0.27"/>
    <n v="90"/>
    <n v="12.48"/>
    <n v="1.03"/>
    <n v="21"/>
    <m/>
    <m/>
    <m/>
  </r>
  <r>
    <s v="2021-02-23 07:05 (PST)"/>
    <x v="852"/>
    <x v="69"/>
    <x v="5"/>
    <s v="On Demand"/>
    <x v="6"/>
    <x v="3"/>
    <x v="2"/>
    <s v="Pre &amp; Post-Ride Stretch"/>
    <x v="8"/>
    <x v="8"/>
    <m/>
    <m/>
    <m/>
    <m/>
    <m/>
    <m/>
    <n v="12"/>
    <m/>
    <m/>
    <m/>
  </r>
  <r>
    <s v="2021-02-23 19:22 (PST)"/>
    <x v="852"/>
    <x v="1637"/>
    <x v="5"/>
    <s v="On Demand"/>
    <x v="5"/>
    <x v="7"/>
    <x v="1"/>
    <s v="Core"/>
    <x v="126"/>
    <x v="2387"/>
    <m/>
    <m/>
    <m/>
    <m/>
    <m/>
    <m/>
    <n v="69"/>
    <m/>
    <m/>
    <m/>
  </r>
  <r>
    <s v="2021-02-23 19:39 (PST)"/>
    <x v="852"/>
    <x v="1638"/>
    <x v="5"/>
    <s v="On Demand"/>
    <x v="23"/>
    <x v="5"/>
    <x v="4"/>
    <s v="Focus Flow"/>
    <x v="600"/>
    <x v="2388"/>
    <m/>
    <m/>
    <m/>
    <m/>
    <m/>
    <m/>
    <n v="64"/>
    <m/>
    <m/>
    <m/>
  </r>
  <r>
    <s v="2021-03-02 06:53 (-08)"/>
    <x v="853"/>
    <x v="1639"/>
    <x v="5"/>
    <s v="On Demand"/>
    <x v="6"/>
    <x v="0"/>
    <x v="0"/>
    <s v="Power Zone"/>
    <x v="195"/>
    <x v="2389"/>
    <n v="241"/>
    <n v="89"/>
    <n v="0.34"/>
    <n v="85"/>
    <n v="14.72"/>
    <n v="11.04"/>
    <n v="298"/>
    <m/>
    <m/>
    <m/>
  </r>
  <r>
    <s v="2021-03-02 07:39 (-08)"/>
    <x v="853"/>
    <x v="1640"/>
    <x v="5"/>
    <s v="On Demand"/>
    <x v="7"/>
    <x v="2"/>
    <x v="0"/>
    <s v="Power Zone"/>
    <x v="196"/>
    <x v="630"/>
    <n v="141"/>
    <n v="78"/>
    <n v="0.34"/>
    <n v="82"/>
    <n v="14.4"/>
    <n v="7.2"/>
    <n v="174"/>
    <m/>
    <m/>
    <m/>
  </r>
  <r>
    <s v="2021-03-02 08:11 (-08)"/>
    <x v="853"/>
    <x v="1641"/>
    <x v="5"/>
    <s v="On Demand"/>
    <x v="7"/>
    <x v="3"/>
    <x v="2"/>
    <s v="Pre &amp; Post-Ride Stretch"/>
    <x v="8"/>
    <x v="26"/>
    <m/>
    <m/>
    <m/>
    <m/>
    <m/>
    <m/>
    <n v="11"/>
    <m/>
    <m/>
    <m/>
  </r>
  <r>
    <s v="2021-03-09 07:03 (-08)"/>
    <x v="854"/>
    <x v="1642"/>
    <x v="5"/>
    <s v="On Demand"/>
    <x v="6"/>
    <x v="0"/>
    <x v="0"/>
    <s v="Power Zone"/>
    <x v="27"/>
    <x v="599"/>
    <n v="224"/>
    <n v="83"/>
    <n v="0.34"/>
    <n v="84"/>
    <n v="14.88"/>
    <n v="11.17"/>
    <n v="277"/>
    <m/>
    <m/>
    <m/>
  </r>
  <r>
    <s v="2021-03-09 07:51 (-08)"/>
    <x v="854"/>
    <x v="1634"/>
    <x v="5"/>
    <s v="On Demand"/>
    <x v="11"/>
    <x v="7"/>
    <x v="1"/>
    <s v="Full Body"/>
    <x v="21"/>
    <x v="2390"/>
    <m/>
    <m/>
    <m/>
    <m/>
    <m/>
    <m/>
    <n v="69"/>
    <m/>
    <m/>
    <m/>
  </r>
  <r>
    <s v="2021-03-09 22:49 (PST)"/>
    <x v="854"/>
    <x v="72"/>
    <x v="5"/>
    <s v="On Demand"/>
    <x v="16"/>
    <x v="5"/>
    <x v="5"/>
    <s v="Emotions"/>
    <x v="64"/>
    <x v="2391"/>
    <m/>
    <m/>
    <m/>
    <m/>
    <m/>
    <m/>
    <m/>
    <m/>
    <m/>
    <m/>
  </r>
  <r>
    <s v="2021-03-16 07:11 (-07)"/>
    <x v="855"/>
    <x v="1643"/>
    <x v="5"/>
    <s v="On Demand"/>
    <x v="7"/>
    <x v="0"/>
    <x v="0"/>
    <s v="Power Zone"/>
    <x v="85"/>
    <x v="2392"/>
    <n v="245"/>
    <n v="91"/>
    <n v="0.35"/>
    <n v="84"/>
    <n v="15.21"/>
    <n v="11.41"/>
    <n v="303"/>
    <m/>
    <m/>
    <m/>
  </r>
  <r>
    <s v="2021-03-16 08:22 (PST)"/>
    <x v="855"/>
    <x v="1644"/>
    <x v="5"/>
    <s v="On Demand"/>
    <x v="7"/>
    <x v="1"/>
    <x v="4"/>
    <s v="Focus Flow"/>
    <x v="118"/>
    <x v="1083"/>
    <m/>
    <m/>
    <m/>
    <m/>
    <m/>
    <m/>
    <n v="33"/>
    <m/>
    <m/>
    <m/>
  </r>
  <r>
    <s v="2021-03-16 22:30 (PST)"/>
    <x v="855"/>
    <x v="57"/>
    <x v="5"/>
    <s v="On Demand"/>
    <x v="16"/>
    <x v="5"/>
    <x v="5"/>
    <s v="Relaxation"/>
    <x v="84"/>
    <x v="1208"/>
    <m/>
    <m/>
    <m/>
    <m/>
    <m/>
    <m/>
    <m/>
    <m/>
    <m/>
    <m/>
  </r>
  <r>
    <s v="2021-03-23 07:01 (PST)"/>
    <x v="856"/>
    <x v="14"/>
    <x v="5"/>
    <s v="Live"/>
    <x v="23"/>
    <x v="2"/>
    <x v="4"/>
    <s v="Flow"/>
    <x v="601"/>
    <x v="2393"/>
    <m/>
    <m/>
    <m/>
    <m/>
    <m/>
    <m/>
    <n v="102"/>
    <m/>
    <m/>
    <m/>
  </r>
  <r>
    <s v="2021-03-23 22:18 (PST)"/>
    <x v="856"/>
    <x v="117"/>
    <x v="5"/>
    <s v="On Demand"/>
    <x v="19"/>
    <x v="5"/>
    <x v="5"/>
    <s v="Sleep"/>
    <x v="29"/>
    <x v="1069"/>
    <m/>
    <m/>
    <m/>
    <m/>
    <m/>
    <m/>
    <m/>
    <m/>
    <m/>
    <m/>
  </r>
  <r>
    <s v="2021-03-30 06:54 (-07)"/>
    <x v="857"/>
    <x v="469"/>
    <x v="5"/>
    <s v="On Demand"/>
    <x v="18"/>
    <x v="0"/>
    <x v="0"/>
    <s v="Intervals"/>
    <x v="602"/>
    <x v="2394"/>
    <n v="225"/>
    <n v="83"/>
    <n v="0.4"/>
    <n v="62"/>
    <n v="12.86"/>
    <n v="9.65"/>
    <n v="278"/>
    <m/>
    <m/>
    <m/>
  </r>
  <r>
    <s v="2021-03-30 07:40 (-07)"/>
    <x v="857"/>
    <x v="1187"/>
    <x v="5"/>
    <s v="On Demand"/>
    <x v="7"/>
    <x v="1"/>
    <x v="0"/>
    <s v="Low Impact"/>
    <x v="192"/>
    <x v="2395"/>
    <n v="37"/>
    <n v="62"/>
    <n v="0.3"/>
    <n v="83"/>
    <n v="13.13"/>
    <n v="2.19"/>
    <n v="46"/>
    <m/>
    <m/>
    <m/>
  </r>
  <r>
    <s v="2021-03-30 07:50 (-07)"/>
    <x v="857"/>
    <x v="48"/>
    <x v="5"/>
    <s v="On Demand"/>
    <x v="7"/>
    <x v="3"/>
    <x v="2"/>
    <s v="Pre &amp; Post-Ride Stretch"/>
    <x v="8"/>
    <x v="454"/>
    <m/>
    <m/>
    <m/>
    <m/>
    <m/>
    <m/>
    <n v="12"/>
    <m/>
    <m/>
    <m/>
  </r>
  <r>
    <s v="2021-03-30 21:59 (PST)"/>
    <x v="857"/>
    <x v="96"/>
    <x v="5"/>
    <s v="On Demand"/>
    <x v="16"/>
    <x v="5"/>
    <x v="5"/>
    <s v="Relaxation"/>
    <x v="84"/>
    <x v="1084"/>
    <m/>
    <m/>
    <m/>
    <m/>
    <m/>
    <m/>
    <m/>
    <m/>
    <m/>
    <m/>
  </r>
  <r>
    <s v="2021-04-06 06:56 (-07)"/>
    <x v="858"/>
    <x v="1645"/>
    <x v="5"/>
    <s v="On Demand"/>
    <x v="6"/>
    <x v="4"/>
    <x v="0"/>
    <s v="Power Zone"/>
    <x v="7"/>
    <x v="2396"/>
    <n v="335"/>
    <n v="93"/>
    <n v="0.36"/>
    <n v="84"/>
    <n v="15.67"/>
    <n v="15.68"/>
    <n v="415"/>
    <m/>
    <m/>
    <m/>
  </r>
  <r>
    <s v="2021-04-06 07:59 (-07)"/>
    <x v="858"/>
    <x v="86"/>
    <x v="5"/>
    <s v="On Demand"/>
    <x v="12"/>
    <x v="3"/>
    <x v="2"/>
    <s v="Pre &amp; Post-Ride Stretch"/>
    <x v="8"/>
    <x v="458"/>
    <m/>
    <m/>
    <m/>
    <m/>
    <m/>
    <m/>
    <n v="12"/>
    <m/>
    <m/>
    <m/>
  </r>
  <r>
    <s v="2021-04-06 22:10 (PST)"/>
    <x v="858"/>
    <x v="620"/>
    <x v="5"/>
    <s v="On Demand"/>
    <x v="13"/>
    <x v="5"/>
    <x v="5"/>
    <s v="Emotions"/>
    <x v="32"/>
    <x v="2397"/>
    <m/>
    <m/>
    <m/>
    <m/>
    <m/>
    <m/>
    <m/>
    <m/>
    <m/>
    <m/>
  </r>
  <r>
    <s v="2021-04-13 22:16 (PST)"/>
    <x v="859"/>
    <x v="51"/>
    <x v="5"/>
    <s v="On Demand"/>
    <x v="16"/>
    <x v="5"/>
    <x v="5"/>
    <s v="Sleep"/>
    <x v="29"/>
    <x v="48"/>
    <m/>
    <m/>
    <m/>
    <m/>
    <m/>
    <m/>
    <m/>
    <m/>
    <m/>
    <m/>
  </r>
  <r>
    <s v="2021-04-20 06:48 (-07)"/>
    <x v="860"/>
    <x v="1646"/>
    <x v="5"/>
    <s v="On Demand"/>
    <x v="7"/>
    <x v="0"/>
    <x v="0"/>
    <s v="Power Zone"/>
    <x v="27"/>
    <x v="2398"/>
    <n v="231"/>
    <n v="85"/>
    <n v="0.35"/>
    <n v="83"/>
    <n v="15.06"/>
    <n v="11.3"/>
    <n v="286"/>
    <m/>
    <m/>
    <m/>
  </r>
  <r>
    <s v="2021-04-20 07:34 (-07)"/>
    <x v="860"/>
    <x v="452"/>
    <x v="5"/>
    <s v="On Demand"/>
    <x v="7"/>
    <x v="3"/>
    <x v="2"/>
    <s v="Pre &amp; Post-Ride Stretch"/>
    <x v="8"/>
    <x v="454"/>
    <m/>
    <m/>
    <m/>
    <m/>
    <m/>
    <m/>
    <n v="12"/>
    <m/>
    <m/>
    <m/>
  </r>
  <r>
    <s v="2021-04-20 07:40 (-07)"/>
    <x v="860"/>
    <x v="1187"/>
    <x v="5"/>
    <s v="On Demand"/>
    <x v="15"/>
    <x v="1"/>
    <x v="1"/>
    <s v="Arms &amp; Light Weights"/>
    <x v="28"/>
    <x v="2399"/>
    <m/>
    <m/>
    <m/>
    <m/>
    <m/>
    <m/>
    <n v="46"/>
    <m/>
    <m/>
    <m/>
  </r>
  <r>
    <s v="2021-04-20 07:51 (-07)"/>
    <x v="860"/>
    <x v="1416"/>
    <x v="5"/>
    <s v="On Demand"/>
    <x v="5"/>
    <x v="7"/>
    <x v="1"/>
    <s v="Core"/>
    <x v="126"/>
    <x v="2400"/>
    <m/>
    <m/>
    <m/>
    <m/>
    <m/>
    <m/>
    <n v="69"/>
    <m/>
    <m/>
    <m/>
  </r>
  <r>
    <s v="2021-04-20 22:07 (PST)"/>
    <x v="860"/>
    <x v="1413"/>
    <x v="5"/>
    <s v="On Demand"/>
    <x v="19"/>
    <x v="7"/>
    <x v="5"/>
    <s v="Sleep"/>
    <x v="65"/>
    <x v="2401"/>
    <m/>
    <m/>
    <m/>
    <m/>
    <m/>
    <m/>
    <m/>
    <m/>
    <m/>
    <m/>
  </r>
  <r>
    <s v="2021-04-27 22:15 (PST)"/>
    <x v="861"/>
    <x v="593"/>
    <x v="5"/>
    <s v="On Demand"/>
    <x v="16"/>
    <x v="2"/>
    <x v="5"/>
    <s v="Sleep"/>
    <x v="31"/>
    <x v="2402"/>
    <m/>
    <m/>
    <m/>
    <m/>
    <m/>
    <m/>
    <m/>
    <m/>
    <m/>
    <m/>
  </r>
  <r>
    <s v="2021-05-04 18:47 (-07)"/>
    <x v="862"/>
    <x v="510"/>
    <x v="5"/>
    <s v="On Demand"/>
    <x v="6"/>
    <x v="0"/>
    <x v="0"/>
    <s v="Power Zone"/>
    <x v="85"/>
    <x v="2403"/>
    <n v="265"/>
    <n v="98"/>
    <n v="0.36"/>
    <n v="86"/>
    <n v="15.87"/>
    <n v="11.91"/>
    <n v="328"/>
    <m/>
    <m/>
    <m/>
  </r>
  <r>
    <s v="2021-05-04 19:32 (-07)"/>
    <x v="862"/>
    <x v="1647"/>
    <x v="5"/>
    <s v="On Demand"/>
    <x v="6"/>
    <x v="3"/>
    <x v="0"/>
    <s v="Cool Down"/>
    <x v="10"/>
    <x v="85"/>
    <n v="21"/>
    <n v="71"/>
    <n v="0.3"/>
    <n v="92"/>
    <n v="13.9"/>
    <n v="1.1599999999999999"/>
    <n v="26"/>
    <m/>
    <m/>
    <m/>
  </r>
  <r>
    <s v="2021-05-04 19:38 (-07)"/>
    <x v="862"/>
    <x v="1648"/>
    <x v="5"/>
    <s v="On Demand"/>
    <x v="6"/>
    <x v="3"/>
    <x v="2"/>
    <s v="Pre &amp; Post-Ride Stretch"/>
    <x v="8"/>
    <x v="61"/>
    <m/>
    <m/>
    <m/>
    <m/>
    <m/>
    <m/>
    <n v="12"/>
    <m/>
    <m/>
    <m/>
  </r>
  <r>
    <s v="2021-05-04 19:43 (-07)"/>
    <x v="862"/>
    <x v="644"/>
    <x v="5"/>
    <s v="On Demand"/>
    <x v="4"/>
    <x v="3"/>
    <x v="1"/>
    <s v="Core"/>
    <x v="6"/>
    <x v="2404"/>
    <m/>
    <m/>
    <m/>
    <m/>
    <m/>
    <m/>
    <n v="23"/>
    <m/>
    <m/>
    <m/>
  </r>
  <r>
    <s v="2021-05-04 22:22 (PST)"/>
    <x v="862"/>
    <x v="493"/>
    <x v="5"/>
    <s v="On Demand"/>
    <x v="16"/>
    <x v="1"/>
    <x v="5"/>
    <s v="Theme"/>
    <x v="603"/>
    <x v="2405"/>
    <m/>
    <m/>
    <m/>
    <m/>
    <m/>
    <m/>
    <m/>
    <m/>
    <m/>
    <m/>
  </r>
  <r>
    <s v="2021-05-11 07:28 (PST)"/>
    <x v="863"/>
    <x v="234"/>
    <x v="5"/>
    <s v="On Demand"/>
    <x v="7"/>
    <x v="5"/>
    <x v="4"/>
    <s v="Focus Flow"/>
    <x v="194"/>
    <x v="2406"/>
    <m/>
    <m/>
    <m/>
    <m/>
    <m/>
    <m/>
    <n v="63"/>
    <n v="89.34"/>
    <m/>
    <m/>
  </r>
  <r>
    <s v="2021-05-11 07:52 (PST)"/>
    <x v="863"/>
    <x v="297"/>
    <x v="5"/>
    <s v="On Demand"/>
    <x v="7"/>
    <x v="1"/>
    <x v="4"/>
    <s v="Focus Flow"/>
    <x v="118"/>
    <x v="1083"/>
    <m/>
    <m/>
    <m/>
    <m/>
    <m/>
    <m/>
    <n v="33"/>
    <m/>
    <m/>
    <m/>
  </r>
  <r>
    <s v="2021-05-11 20:48 (-07)"/>
    <x v="863"/>
    <x v="1649"/>
    <x v="5"/>
    <s v="On Demand"/>
    <x v="5"/>
    <x v="2"/>
    <x v="0"/>
    <s v="Power Zone"/>
    <x v="184"/>
    <x v="2407"/>
    <n v="152"/>
    <n v="85"/>
    <n v="0.33"/>
    <n v="89"/>
    <n v="15.01"/>
    <n v="7.51"/>
    <n v="188"/>
    <m/>
    <m/>
    <m/>
  </r>
  <r>
    <s v="2021-05-11 21:27 (-07)"/>
    <x v="863"/>
    <x v="1650"/>
    <x v="5"/>
    <s v="On Demand"/>
    <x v="12"/>
    <x v="1"/>
    <x v="1"/>
    <s v="Arms &amp; Light Weights"/>
    <x v="28"/>
    <x v="2408"/>
    <m/>
    <m/>
    <m/>
    <m/>
    <m/>
    <m/>
    <n v="46"/>
    <m/>
    <m/>
    <m/>
  </r>
  <r>
    <s v="2021-05-11 22:29 (PST)"/>
    <x v="863"/>
    <x v="639"/>
    <x v="5"/>
    <s v="On Demand"/>
    <x v="23"/>
    <x v="7"/>
    <x v="5"/>
    <s v="Sleep"/>
    <x v="65"/>
    <x v="2409"/>
    <m/>
    <m/>
    <m/>
    <m/>
    <m/>
    <m/>
    <m/>
    <m/>
    <m/>
    <m/>
  </r>
  <r>
    <s v="2021-05-18 16:50 (-07)"/>
    <x v="864"/>
    <x v="812"/>
    <x v="5"/>
    <s v="On Demand"/>
    <x v="7"/>
    <x v="0"/>
    <x v="0"/>
    <s v="Power Zone"/>
    <x v="85"/>
    <x v="2410"/>
    <n v="264"/>
    <n v="98"/>
    <n v="0.36"/>
    <n v="86"/>
    <n v="15.68"/>
    <n v="11.76"/>
    <n v="325"/>
    <m/>
    <m/>
    <m/>
  </r>
  <r>
    <s v="2021-05-18 17:36 (-07)"/>
    <x v="864"/>
    <x v="1651"/>
    <x v="5"/>
    <s v="On Demand"/>
    <x v="7"/>
    <x v="3"/>
    <x v="2"/>
    <s v="Pre &amp; Post-Ride Stretch"/>
    <x v="8"/>
    <x v="1895"/>
    <m/>
    <m/>
    <m/>
    <m/>
    <m/>
    <m/>
    <n v="11"/>
    <m/>
    <m/>
    <m/>
  </r>
  <r>
    <s v="2021-05-18 22:19 (PST)"/>
    <x v="864"/>
    <x v="814"/>
    <x v="5"/>
    <s v="On Demand"/>
    <x v="7"/>
    <x v="1"/>
    <x v="5"/>
    <s v="Breath"/>
    <x v="49"/>
    <x v="2411"/>
    <m/>
    <m/>
    <m/>
    <m/>
    <m/>
    <m/>
    <m/>
    <m/>
    <m/>
    <m/>
  </r>
  <r>
    <s v="2021-05-25 07:02 (-07)"/>
    <x v="865"/>
    <x v="52"/>
    <x v="5"/>
    <s v="On Demand"/>
    <x v="7"/>
    <x v="2"/>
    <x v="0"/>
    <s v="Power Zone"/>
    <x v="274"/>
    <x v="1878"/>
    <n v="155"/>
    <n v="86"/>
    <n v="0.34"/>
    <n v="86"/>
    <n v="15.09"/>
    <n v="7.55"/>
    <n v="191"/>
    <m/>
    <m/>
    <m/>
  </r>
  <r>
    <s v="2021-05-25 07:32 (-07)"/>
    <x v="865"/>
    <x v="476"/>
    <x v="5"/>
    <s v="On Demand"/>
    <x v="7"/>
    <x v="3"/>
    <x v="2"/>
    <s v="Pre &amp; Post-Ride Stretch"/>
    <x v="8"/>
    <x v="499"/>
    <m/>
    <m/>
    <m/>
    <m/>
    <m/>
    <m/>
    <n v="12"/>
    <m/>
    <m/>
    <m/>
  </r>
  <r>
    <s v="2021-05-25 07:39 (-07)"/>
    <x v="865"/>
    <x v="453"/>
    <x v="5"/>
    <s v="On Demand"/>
    <x v="26"/>
    <x v="1"/>
    <x v="1"/>
    <s v="Core"/>
    <x v="1"/>
    <x v="2412"/>
    <m/>
    <m/>
    <m/>
    <m/>
    <m/>
    <m/>
    <n v="46"/>
    <m/>
    <m/>
    <m/>
  </r>
  <r>
    <s v="2021-05-25 07:51 (-07)"/>
    <x v="865"/>
    <x v="1416"/>
    <x v="5"/>
    <s v="On Demand"/>
    <x v="20"/>
    <x v="7"/>
    <x v="1"/>
    <s v="Upper Body"/>
    <x v="604"/>
    <x v="2413"/>
    <m/>
    <m/>
    <m/>
    <m/>
    <m/>
    <m/>
    <n v="69"/>
    <m/>
    <m/>
    <m/>
  </r>
  <r>
    <s v="2021-05-25 22:23 (PST)"/>
    <x v="865"/>
    <x v="1044"/>
    <x v="5"/>
    <s v="On Demand"/>
    <x v="25"/>
    <x v="2"/>
    <x v="5"/>
    <s v="Sleep"/>
    <x v="31"/>
    <x v="2414"/>
    <m/>
    <m/>
    <m/>
    <m/>
    <m/>
    <m/>
    <m/>
    <m/>
    <m/>
    <m/>
  </r>
  <r>
    <s v="2021-06-01 06:55 (PST)"/>
    <x v="866"/>
    <x v="1652"/>
    <x v="5"/>
    <s v="On Demand"/>
    <x v="7"/>
    <x v="0"/>
    <x v="4"/>
    <s v="Slow Flow"/>
    <x v="33"/>
    <x v="2415"/>
    <m/>
    <m/>
    <m/>
    <m/>
    <m/>
    <m/>
    <n v="149"/>
    <m/>
    <m/>
    <m/>
  </r>
  <r>
    <s v="2021-06-01 22:29 (PST)"/>
    <x v="866"/>
    <x v="639"/>
    <x v="5"/>
    <s v="On Demand"/>
    <x v="19"/>
    <x v="1"/>
    <x v="5"/>
    <s v="Emotions"/>
    <x v="128"/>
    <x v="2416"/>
    <m/>
    <m/>
    <m/>
    <m/>
    <m/>
    <m/>
    <m/>
    <m/>
    <m/>
    <m/>
  </r>
  <r>
    <s v="2021-06-08 17:39 (-07)"/>
    <x v="867"/>
    <x v="616"/>
    <x v="5"/>
    <s v="On Demand"/>
    <x v="4"/>
    <x v="0"/>
    <x v="0"/>
    <s v="Power Zone"/>
    <x v="27"/>
    <x v="2417"/>
    <n v="242"/>
    <n v="90"/>
    <n v="0.36"/>
    <n v="84"/>
    <n v="15.43"/>
    <n v="11.57"/>
    <n v="298"/>
    <m/>
    <m/>
    <m/>
  </r>
  <r>
    <s v="2021-06-08 18:26 (-07)"/>
    <x v="867"/>
    <x v="498"/>
    <x v="5"/>
    <s v="On Demand"/>
    <x v="15"/>
    <x v="1"/>
    <x v="1"/>
    <s v="Arms &amp; Light Weights"/>
    <x v="28"/>
    <x v="2418"/>
    <m/>
    <m/>
    <m/>
    <m/>
    <m/>
    <m/>
    <n v="46"/>
    <m/>
    <m/>
    <m/>
  </r>
  <r>
    <s v="2021-06-08 18:36 (-07)"/>
    <x v="867"/>
    <x v="1653"/>
    <x v="5"/>
    <s v="On Demand"/>
    <x v="4"/>
    <x v="3"/>
    <x v="2"/>
    <s v="Pre &amp; Post-Ride Stretch"/>
    <x v="8"/>
    <x v="2419"/>
    <m/>
    <m/>
    <m/>
    <m/>
    <m/>
    <m/>
    <n v="11"/>
    <m/>
    <m/>
    <m/>
  </r>
  <r>
    <s v="2021-06-08 18:43 (-07)"/>
    <x v="867"/>
    <x v="681"/>
    <x v="5"/>
    <s v="On Demand"/>
    <x v="5"/>
    <x v="1"/>
    <x v="1"/>
    <s v="Core"/>
    <x v="1"/>
    <x v="2420"/>
    <m/>
    <m/>
    <m/>
    <m/>
    <m/>
    <m/>
    <n v="46"/>
    <m/>
    <m/>
    <m/>
  </r>
  <r>
    <s v="2021-06-08 22:48 (PST)"/>
    <x v="867"/>
    <x v="462"/>
    <x v="5"/>
    <s v="On Demand"/>
    <x v="19"/>
    <x v="7"/>
    <x v="5"/>
    <s v="Sleep"/>
    <x v="65"/>
    <x v="2421"/>
    <m/>
    <m/>
    <m/>
    <m/>
    <m/>
    <m/>
    <m/>
    <m/>
    <m/>
    <m/>
  </r>
  <r>
    <s v="2021-06-15 06:35 (-07)"/>
    <x v="868"/>
    <x v="478"/>
    <x v="5"/>
    <s v="On Demand"/>
    <x v="18"/>
    <x v="3"/>
    <x v="0"/>
    <s v="Warm Up"/>
    <x v="22"/>
    <x v="2422"/>
    <n v="20"/>
    <n v="67"/>
    <n v="0.28999999999999998"/>
    <n v="93"/>
    <n v="13.55"/>
    <n v="1.1200000000000001"/>
    <n v="25"/>
    <m/>
    <m/>
    <m/>
  </r>
  <r>
    <s v="2021-06-15 06:41 (-07)"/>
    <x v="868"/>
    <x v="1180"/>
    <x v="5"/>
    <s v="On Demand"/>
    <x v="4"/>
    <x v="0"/>
    <x v="0"/>
    <s v="Power Zone"/>
    <x v="27"/>
    <x v="751"/>
    <n v="265"/>
    <n v="98"/>
    <n v="0.37"/>
    <n v="83"/>
    <n v="15.97"/>
    <n v="11.97"/>
    <n v="326"/>
    <m/>
    <m/>
    <m/>
  </r>
  <r>
    <s v="2021-06-15 07:26 (-07)"/>
    <x v="868"/>
    <x v="1182"/>
    <x v="5"/>
    <s v="On Demand"/>
    <x v="22"/>
    <x v="1"/>
    <x v="0"/>
    <s v="Cool Down"/>
    <x v="17"/>
    <x v="2423"/>
    <n v="50"/>
    <n v="84"/>
    <n v="0.36"/>
    <n v="77"/>
    <n v="14.88"/>
    <n v="2.48"/>
    <n v="62"/>
    <m/>
    <m/>
    <m/>
  </r>
  <r>
    <s v="2021-06-15 07:37 (-07)"/>
    <x v="868"/>
    <x v="1422"/>
    <x v="5"/>
    <s v="On Demand"/>
    <x v="22"/>
    <x v="3"/>
    <x v="2"/>
    <s v="Pre &amp; Post-Ride Stretch"/>
    <x v="8"/>
    <x v="2424"/>
    <m/>
    <m/>
    <m/>
    <m/>
    <m/>
    <m/>
    <n v="11"/>
    <m/>
    <m/>
    <m/>
  </r>
  <r>
    <s v="2021-06-15 22:33 (PST)"/>
    <x v="868"/>
    <x v="232"/>
    <x v="5"/>
    <s v="On Demand"/>
    <x v="19"/>
    <x v="1"/>
    <x v="5"/>
    <s v="Sleep"/>
    <x v="39"/>
    <x v="2425"/>
    <m/>
    <m/>
    <m/>
    <m/>
    <m/>
    <m/>
    <m/>
    <m/>
    <m/>
    <m/>
  </r>
  <r>
    <s v="2021-06-22 20:32 (-07)"/>
    <x v="869"/>
    <x v="1654"/>
    <x v="5"/>
    <s v="On Demand"/>
    <x v="6"/>
    <x v="2"/>
    <x v="0"/>
    <s v="Power Zone"/>
    <x v="5"/>
    <x v="2426"/>
    <n v="167"/>
    <n v="93"/>
    <n v="0.36"/>
    <n v="84"/>
    <n v="15.6"/>
    <n v="7.8"/>
    <n v="206"/>
    <m/>
    <m/>
    <m/>
  </r>
  <r>
    <s v="2021-06-22 21:05 (-07)"/>
    <x v="869"/>
    <x v="1655"/>
    <x v="5"/>
    <s v="On Demand"/>
    <x v="6"/>
    <x v="3"/>
    <x v="2"/>
    <s v="Pre &amp; Post-Ride Stretch"/>
    <x v="8"/>
    <x v="61"/>
    <m/>
    <m/>
    <m/>
    <m/>
    <m/>
    <m/>
    <n v="11"/>
    <m/>
    <m/>
    <m/>
  </r>
  <r>
    <s v="2021-06-22 21:11 (-07)"/>
    <x v="869"/>
    <x v="1656"/>
    <x v="5"/>
    <s v="On Demand"/>
    <x v="17"/>
    <x v="1"/>
    <x v="1"/>
    <s v="Arms &amp; Light Weights"/>
    <x v="28"/>
    <x v="2427"/>
    <m/>
    <m/>
    <m/>
    <m/>
    <m/>
    <m/>
    <n v="46"/>
    <m/>
    <m/>
    <m/>
  </r>
  <r>
    <s v="2021-06-22 21:22 (-07)"/>
    <x v="869"/>
    <x v="1657"/>
    <x v="5"/>
    <s v="On Demand"/>
    <x v="1"/>
    <x v="1"/>
    <x v="1"/>
    <s v="Core"/>
    <x v="605"/>
    <x v="2428"/>
    <m/>
    <m/>
    <m/>
    <m/>
    <m/>
    <m/>
    <n v="46"/>
    <m/>
    <m/>
    <m/>
  </r>
  <r>
    <s v="2021-06-22 22:37 (PST)"/>
    <x v="869"/>
    <x v="247"/>
    <x v="5"/>
    <s v="On Demand"/>
    <x v="16"/>
    <x v="3"/>
    <x v="5"/>
    <s v="Sleep"/>
    <x v="58"/>
    <x v="1915"/>
    <m/>
    <m/>
    <m/>
    <m/>
    <m/>
    <m/>
    <m/>
    <m/>
    <m/>
    <m/>
  </r>
  <r>
    <s v="2021-06-29 07:00 (PST)"/>
    <x v="870"/>
    <x v="385"/>
    <x v="5"/>
    <s v="On Demand"/>
    <x v="16"/>
    <x v="4"/>
    <x v="4"/>
    <s v="Flow"/>
    <x v="24"/>
    <x v="2429"/>
    <m/>
    <m/>
    <m/>
    <m/>
    <m/>
    <m/>
    <n v="195"/>
    <m/>
    <m/>
    <m/>
  </r>
  <r>
    <s v="2021-06-29 22:57 (PST)"/>
    <x v="870"/>
    <x v="1658"/>
    <x v="5"/>
    <s v="On Demand"/>
    <x v="25"/>
    <x v="7"/>
    <x v="5"/>
    <s v="Sleep"/>
    <x v="65"/>
    <x v="2430"/>
    <m/>
    <m/>
    <m/>
    <m/>
    <m/>
    <m/>
    <m/>
    <m/>
    <m/>
    <m/>
  </r>
  <r>
    <s v="2021-07-06 11:15 (-07)"/>
    <x v="871"/>
    <x v="1659"/>
    <x v="5"/>
    <s v="On Demand"/>
    <x v="7"/>
    <x v="0"/>
    <x v="0"/>
    <s v="Power Zone"/>
    <x v="85"/>
    <x v="2431"/>
    <n v="277"/>
    <n v="103"/>
    <n v="0.38"/>
    <n v="82"/>
    <n v="16.149999999999999"/>
    <n v="12.12"/>
    <n v="342"/>
    <m/>
    <m/>
    <m/>
  </r>
  <r>
    <s v="2021-07-06 12:10 (-07)"/>
    <x v="871"/>
    <x v="927"/>
    <x v="5"/>
    <s v="On Demand"/>
    <x v="6"/>
    <x v="2"/>
    <x v="0"/>
    <s v="Power Zone"/>
    <x v="606"/>
    <x v="2432"/>
    <n v="166"/>
    <n v="92"/>
    <n v="0.36"/>
    <n v="83"/>
    <n v="15.48"/>
    <n v="7.75"/>
    <n v="204"/>
    <m/>
    <m/>
    <m/>
  </r>
  <r>
    <s v="2021-07-06 12:40 (-07)"/>
    <x v="871"/>
    <x v="804"/>
    <x v="5"/>
    <s v="On Demand"/>
    <x v="6"/>
    <x v="3"/>
    <x v="2"/>
    <s v="Pre &amp; Post-Ride Stretch"/>
    <x v="8"/>
    <x v="61"/>
    <m/>
    <m/>
    <m/>
    <m/>
    <m/>
    <m/>
    <n v="12"/>
    <m/>
    <m/>
    <m/>
  </r>
  <r>
    <s v="2021-07-06 12:50 (-07)"/>
    <x v="871"/>
    <x v="916"/>
    <x v="5"/>
    <s v="On Demand"/>
    <x v="5"/>
    <x v="5"/>
    <x v="1"/>
    <s v="Core"/>
    <x v="115"/>
    <x v="2433"/>
    <m/>
    <m/>
    <m/>
    <m/>
    <m/>
    <m/>
    <n v="92"/>
    <m/>
    <m/>
    <m/>
  </r>
  <r>
    <s v="2021-07-06 22:27 (PST)"/>
    <x v="871"/>
    <x v="448"/>
    <x v="5"/>
    <s v="On Demand"/>
    <x v="25"/>
    <x v="7"/>
    <x v="5"/>
    <s v="Relaxation"/>
    <x v="199"/>
    <x v="484"/>
    <m/>
    <m/>
    <m/>
    <m/>
    <m/>
    <m/>
    <m/>
    <m/>
    <m/>
    <m/>
  </r>
  <r>
    <s v="2021-07-13 17:09 (-07)"/>
    <x v="872"/>
    <x v="607"/>
    <x v="5"/>
    <s v="On Demand"/>
    <x v="4"/>
    <x v="2"/>
    <x v="0"/>
    <s v="Power Zone"/>
    <x v="424"/>
    <x v="2434"/>
    <n v="185"/>
    <n v="103"/>
    <n v="0.37"/>
    <n v="84"/>
    <n v="16.04"/>
    <n v="8.02"/>
    <n v="228"/>
    <m/>
    <m/>
    <m/>
  </r>
  <r>
    <s v="2021-07-13 17:39 (-07)"/>
    <x v="872"/>
    <x v="616"/>
    <x v="5"/>
    <s v="On Demand"/>
    <x v="4"/>
    <x v="3"/>
    <x v="2"/>
    <s v="Pre &amp; Post-Ride Stretch"/>
    <x v="8"/>
    <x v="2419"/>
    <m/>
    <m/>
    <m/>
    <m/>
    <m/>
    <m/>
    <n v="11"/>
    <m/>
    <m/>
    <m/>
  </r>
  <r>
    <s v="2021-07-13 17:46 (-07)"/>
    <x v="872"/>
    <x v="238"/>
    <x v="5"/>
    <s v="On Demand"/>
    <x v="1"/>
    <x v="5"/>
    <x v="1"/>
    <s v="Core"/>
    <x v="115"/>
    <x v="2435"/>
    <m/>
    <m/>
    <m/>
    <m/>
    <m/>
    <m/>
    <n v="92"/>
    <m/>
    <m/>
    <m/>
  </r>
  <r>
    <s v="2021-07-13 18:06 (-07)"/>
    <x v="872"/>
    <x v="784"/>
    <x v="5"/>
    <s v="On Demand"/>
    <x v="4"/>
    <x v="1"/>
    <x v="1"/>
    <s v="Bodyweight"/>
    <x v="186"/>
    <x v="2436"/>
    <m/>
    <m/>
    <m/>
    <m/>
    <m/>
    <m/>
    <n v="46"/>
    <m/>
    <m/>
    <m/>
  </r>
  <r>
    <s v="2021-07-13 22:12 (PST)"/>
    <x v="872"/>
    <x v="233"/>
    <x v="5"/>
    <s v="On Demand"/>
    <x v="25"/>
    <x v="1"/>
    <x v="5"/>
    <s v="Relaxation"/>
    <x v="71"/>
    <x v="2437"/>
    <m/>
    <m/>
    <m/>
    <m/>
    <m/>
    <m/>
    <m/>
    <m/>
    <m/>
    <m/>
  </r>
  <r>
    <s v="2021-07-20 06:47 (-07)"/>
    <x v="873"/>
    <x v="690"/>
    <x v="5"/>
    <s v="On Demand"/>
    <x v="6"/>
    <x v="0"/>
    <x v="0"/>
    <s v="Power Zone"/>
    <x v="27"/>
    <x v="2438"/>
    <n v="255"/>
    <n v="95"/>
    <n v="0.37"/>
    <n v="83"/>
    <n v="15.72"/>
    <n v="11.79"/>
    <n v="315"/>
    <m/>
    <m/>
    <m/>
  </r>
  <r>
    <s v="2021-07-20 07:33 (-07)"/>
    <x v="873"/>
    <x v="1660"/>
    <x v="5"/>
    <s v="On Demand"/>
    <x v="1"/>
    <x v="1"/>
    <x v="0"/>
    <s v="Low Impact"/>
    <x v="192"/>
    <x v="2439"/>
    <n v="47"/>
    <n v="78"/>
    <n v="0.34"/>
    <n v="81"/>
    <n v="14.58"/>
    <n v="2.4300000000000002"/>
    <n v="58"/>
    <m/>
    <m/>
    <m/>
  </r>
  <r>
    <s v="2021-07-20 07:47 (-07)"/>
    <x v="873"/>
    <x v="1661"/>
    <x v="5"/>
    <s v="On Demand"/>
    <x v="6"/>
    <x v="3"/>
    <x v="2"/>
    <s v="Pre &amp; Post-Ride Stretch"/>
    <x v="8"/>
    <x v="61"/>
    <m/>
    <m/>
    <m/>
    <m/>
    <m/>
    <m/>
    <n v="11"/>
    <m/>
    <m/>
    <m/>
  </r>
  <r>
    <s v="2021-07-20 22:40 (PST)"/>
    <x v="873"/>
    <x v="67"/>
    <x v="5"/>
    <s v="On Demand"/>
    <x v="23"/>
    <x v="1"/>
    <x v="5"/>
    <s v="Relaxation"/>
    <x v="71"/>
    <x v="2440"/>
    <m/>
    <m/>
    <m/>
    <m/>
    <m/>
    <m/>
    <m/>
    <m/>
    <m/>
    <m/>
  </r>
  <r>
    <s v="2021-07-27 01:09 (PST)"/>
    <x v="874"/>
    <x v="1662"/>
    <x v="5"/>
    <s v="On Demand"/>
    <x v="16"/>
    <x v="5"/>
    <x v="5"/>
    <s v="Emotions"/>
    <x v="29"/>
    <x v="209"/>
    <m/>
    <m/>
    <m/>
    <m/>
    <m/>
    <m/>
    <m/>
    <m/>
    <m/>
    <m/>
  </r>
  <r>
    <s v="2021-07-27 07:17 (-07)"/>
    <x v="874"/>
    <x v="1663"/>
    <x v="5"/>
    <s v="On Demand"/>
    <x v="4"/>
    <x v="0"/>
    <x v="0"/>
    <s v="Power Zone"/>
    <x v="27"/>
    <x v="751"/>
    <n v="271"/>
    <n v="100"/>
    <n v="0.37"/>
    <n v="84"/>
    <n v="16.18"/>
    <n v="12.14"/>
    <n v="334"/>
    <m/>
    <m/>
    <m/>
  </r>
  <r>
    <s v="2021-07-27 08:03 (-07)"/>
    <x v="874"/>
    <x v="53"/>
    <x v="5"/>
    <s v="On Demand"/>
    <x v="4"/>
    <x v="1"/>
    <x v="0"/>
    <s v="Cool Down"/>
    <x v="17"/>
    <x v="83"/>
    <n v="52"/>
    <n v="87"/>
    <n v="0.39"/>
    <n v="74"/>
    <n v="15.24"/>
    <n v="2.54"/>
    <n v="64"/>
    <m/>
    <m/>
    <m/>
  </r>
  <r>
    <s v="2021-07-27 08:16 (-07)"/>
    <x v="874"/>
    <x v="1664"/>
    <x v="5"/>
    <s v="On Demand"/>
    <x v="4"/>
    <x v="3"/>
    <x v="2"/>
    <s v="Pre &amp; Post-Ride Stretch"/>
    <x v="8"/>
    <x v="2419"/>
    <m/>
    <m/>
    <m/>
    <m/>
    <m/>
    <m/>
    <n v="11"/>
    <m/>
    <m/>
    <m/>
  </r>
  <r>
    <s v="2021-07-27 23:24 (PST)"/>
    <x v="874"/>
    <x v="1268"/>
    <x v="5"/>
    <s v="On Demand"/>
    <x v="19"/>
    <x v="1"/>
    <x v="5"/>
    <s v="Relaxation"/>
    <x v="34"/>
    <x v="2441"/>
    <m/>
    <m/>
    <m/>
    <m/>
    <m/>
    <m/>
    <m/>
    <m/>
    <m/>
    <m/>
  </r>
  <r>
    <s v="2021-08-03 07:16 (-07)"/>
    <x v="875"/>
    <x v="1665"/>
    <x v="5"/>
    <s v="On Demand"/>
    <x v="6"/>
    <x v="0"/>
    <x v="0"/>
    <s v="Power Zone"/>
    <x v="85"/>
    <x v="2442"/>
    <n v="284"/>
    <n v="105"/>
    <n v="0.38"/>
    <n v="84"/>
    <n v="16.420000000000002"/>
    <n v="12.32"/>
    <n v="350"/>
    <m/>
    <m/>
    <m/>
  </r>
  <r>
    <s v="2021-08-03 08:01 (-07)"/>
    <x v="875"/>
    <x v="1666"/>
    <x v="5"/>
    <s v="On Demand"/>
    <x v="6"/>
    <x v="3"/>
    <x v="0"/>
    <s v="Cool Down"/>
    <x v="10"/>
    <x v="85"/>
    <n v="21"/>
    <n v="71"/>
    <n v="0.32"/>
    <n v="82"/>
    <n v="14.01"/>
    <n v="1.17"/>
    <n v="26"/>
    <m/>
    <m/>
    <m/>
  </r>
  <r>
    <s v="2021-08-03 08:06 (-07)"/>
    <x v="875"/>
    <x v="73"/>
    <x v="5"/>
    <s v="On Demand"/>
    <x v="6"/>
    <x v="3"/>
    <x v="2"/>
    <s v="Pre &amp; Post-Ride Stretch"/>
    <x v="8"/>
    <x v="61"/>
    <m/>
    <m/>
    <m/>
    <m/>
    <m/>
    <m/>
    <n v="11"/>
    <m/>
    <m/>
    <m/>
  </r>
  <r>
    <s v="2021-08-03 22:23 (PST)"/>
    <x v="875"/>
    <x v="1044"/>
    <x v="5"/>
    <s v="On Demand"/>
    <x v="13"/>
    <x v="7"/>
    <x v="5"/>
    <s v="Emotions"/>
    <x v="204"/>
    <x v="507"/>
    <m/>
    <m/>
    <m/>
    <m/>
    <m/>
    <m/>
    <m/>
    <m/>
    <m/>
    <m/>
  </r>
  <r>
    <s v="2021-08-10 07:20 (PST)"/>
    <x v="876"/>
    <x v="507"/>
    <x v="5"/>
    <s v="On Demand"/>
    <x v="7"/>
    <x v="0"/>
    <x v="4"/>
    <s v="Flow"/>
    <x v="14"/>
    <x v="2443"/>
    <m/>
    <m/>
    <m/>
    <m/>
    <m/>
    <m/>
    <n v="147"/>
    <m/>
    <m/>
    <m/>
  </r>
  <r>
    <s v="2021-08-10 21:51 (PST)"/>
    <x v="876"/>
    <x v="1093"/>
    <x v="5"/>
    <s v="On Demand"/>
    <x v="25"/>
    <x v="5"/>
    <x v="5"/>
    <s v="Relaxation"/>
    <x v="112"/>
    <x v="2444"/>
    <m/>
    <m/>
    <m/>
    <m/>
    <m/>
    <m/>
    <m/>
    <m/>
    <m/>
    <m/>
  </r>
  <r>
    <s v="2021-08-17 07:04 (-07)"/>
    <x v="877"/>
    <x v="1667"/>
    <x v="5"/>
    <s v="On Demand"/>
    <x v="4"/>
    <x v="0"/>
    <x v="0"/>
    <s v="Power Zone"/>
    <x v="85"/>
    <x v="2445"/>
    <n v="278"/>
    <n v="103"/>
    <n v="0.36"/>
    <n v="86"/>
    <n v="16.07"/>
    <n v="12.06"/>
    <n v="343"/>
    <m/>
    <m/>
    <m/>
  </r>
  <r>
    <s v="2021-08-17 07:50 (-07)"/>
    <x v="877"/>
    <x v="48"/>
    <x v="5"/>
    <s v="On Demand"/>
    <x v="37"/>
    <x v="1"/>
    <x v="1"/>
    <s v="Core"/>
    <x v="1"/>
    <x v="2446"/>
    <m/>
    <m/>
    <m/>
    <m/>
    <m/>
    <m/>
    <n v="46"/>
    <m/>
    <m/>
    <m/>
  </r>
  <r>
    <s v="2021-08-17 08:01 (-07)"/>
    <x v="877"/>
    <x v="1666"/>
    <x v="5"/>
    <s v="On Demand"/>
    <x v="4"/>
    <x v="3"/>
    <x v="2"/>
    <s v="Pre &amp; Post-Ride Stretch"/>
    <x v="8"/>
    <x v="1883"/>
    <m/>
    <m/>
    <m/>
    <m/>
    <m/>
    <m/>
    <n v="11"/>
    <m/>
    <m/>
    <m/>
  </r>
  <r>
    <s v="2021-08-17 22:14 (PST)"/>
    <x v="877"/>
    <x v="361"/>
    <x v="5"/>
    <s v="On Demand"/>
    <x v="19"/>
    <x v="7"/>
    <x v="5"/>
    <s v="Sleep"/>
    <x v="65"/>
    <x v="2447"/>
    <m/>
    <m/>
    <m/>
    <m/>
    <m/>
    <m/>
    <m/>
    <m/>
    <m/>
    <m/>
  </r>
  <r>
    <s v="2021-08-24 07:31 (PST)"/>
    <x v="878"/>
    <x v="594"/>
    <x v="5"/>
    <s v="On Demand"/>
    <x v="28"/>
    <x v="2"/>
    <x v="4"/>
    <s v="Focus Flow"/>
    <x v="90"/>
    <x v="2448"/>
    <m/>
    <m/>
    <m/>
    <m/>
    <m/>
    <m/>
    <n v="96"/>
    <m/>
    <m/>
    <m/>
  </r>
  <r>
    <s v="2021-08-24 17:07 (-07)"/>
    <x v="878"/>
    <x v="939"/>
    <x v="5"/>
    <s v="On Demand"/>
    <x v="7"/>
    <x v="0"/>
    <x v="0"/>
    <s v="Power Zone"/>
    <x v="27"/>
    <x v="2449"/>
    <n v="264"/>
    <n v="98"/>
    <n v="0.38"/>
    <n v="82"/>
    <n v="15.94"/>
    <n v="11.96"/>
    <n v="326"/>
    <m/>
    <m/>
    <m/>
  </r>
  <r>
    <s v="2021-08-24 17:54 (-07)"/>
    <x v="878"/>
    <x v="674"/>
    <x v="5"/>
    <s v="On Demand"/>
    <x v="5"/>
    <x v="1"/>
    <x v="1"/>
    <s v="Upper Body"/>
    <x v="117"/>
    <x v="2420"/>
    <m/>
    <m/>
    <m/>
    <m/>
    <m/>
    <m/>
    <n v="46"/>
    <m/>
    <m/>
    <m/>
  </r>
  <r>
    <s v="2021-08-24 18:05 (-07)"/>
    <x v="878"/>
    <x v="1185"/>
    <x v="5"/>
    <s v="On Demand"/>
    <x v="24"/>
    <x v="5"/>
    <x v="1"/>
    <s v="Core"/>
    <x v="115"/>
    <x v="2450"/>
    <m/>
    <m/>
    <m/>
    <m/>
    <m/>
    <m/>
    <n v="92"/>
    <m/>
    <m/>
    <m/>
  </r>
  <r>
    <s v="2021-08-24 18:26 (-07)"/>
    <x v="878"/>
    <x v="498"/>
    <x v="5"/>
    <s v="On Demand"/>
    <x v="5"/>
    <x v="3"/>
    <x v="2"/>
    <s v="Pre &amp; Post-Ride Stretch"/>
    <x v="8"/>
    <x v="549"/>
    <m/>
    <m/>
    <m/>
    <m/>
    <m/>
    <m/>
    <n v="12"/>
    <m/>
    <m/>
    <m/>
  </r>
  <r>
    <s v="2021-08-24 22:57 (PST)"/>
    <x v="878"/>
    <x v="1658"/>
    <x v="5"/>
    <s v="On Demand"/>
    <x v="25"/>
    <x v="7"/>
    <x v="5"/>
    <s v="Emotions"/>
    <x v="250"/>
    <x v="151"/>
    <m/>
    <m/>
    <m/>
    <m/>
    <m/>
    <m/>
    <m/>
    <m/>
    <m/>
    <m/>
  </r>
  <r>
    <s v="2021-08-31 07:09 (PST)"/>
    <x v="879"/>
    <x v="1"/>
    <x v="5"/>
    <s v="On Demand"/>
    <x v="7"/>
    <x v="0"/>
    <x v="4"/>
    <s v="Slow Flow"/>
    <x v="33"/>
    <x v="2451"/>
    <m/>
    <m/>
    <m/>
    <m/>
    <m/>
    <m/>
    <n v="144"/>
    <m/>
    <m/>
    <m/>
  </r>
  <r>
    <s v="2021-08-31 22:29 (PST)"/>
    <x v="879"/>
    <x v="639"/>
    <x v="5"/>
    <s v="On Demand"/>
    <x v="16"/>
    <x v="5"/>
    <x v="5"/>
    <s v="Sleep"/>
    <x v="29"/>
    <x v="1128"/>
    <m/>
    <m/>
    <m/>
    <m/>
    <m/>
    <m/>
    <m/>
    <m/>
    <m/>
    <m/>
  </r>
  <r>
    <s v="2021-09-07 06:57 (PST)"/>
    <x v="880"/>
    <x v="387"/>
    <x v="5"/>
    <s v="On Demand"/>
    <x v="7"/>
    <x v="4"/>
    <x v="4"/>
    <s v="Flow"/>
    <x v="24"/>
    <x v="2452"/>
    <m/>
    <m/>
    <m/>
    <m/>
    <m/>
    <m/>
    <n v="195"/>
    <m/>
    <m/>
    <m/>
  </r>
  <r>
    <s v="2021-09-07 18:08 (-07)"/>
    <x v="880"/>
    <x v="758"/>
    <x v="5"/>
    <s v="On Demand"/>
    <x v="5"/>
    <x v="4"/>
    <x v="0"/>
    <s v="Power Zone"/>
    <x v="7"/>
    <x v="100"/>
    <n v="362"/>
    <n v="101"/>
    <n v="0.37"/>
    <n v="83"/>
    <n v="16.149999999999999"/>
    <n v="16.149999999999999"/>
    <n v="446"/>
    <m/>
    <m/>
    <m/>
  </r>
  <r>
    <s v="2021-09-07 19:09 (-07)"/>
    <x v="880"/>
    <x v="1668"/>
    <x v="5"/>
    <s v="On Demand"/>
    <x v="5"/>
    <x v="1"/>
    <x v="0"/>
    <s v="Cool Down"/>
    <x v="17"/>
    <x v="503"/>
    <n v="46"/>
    <n v="77"/>
    <n v="0.34"/>
    <n v="82"/>
    <n v="14.37"/>
    <n v="2.4"/>
    <n v="57"/>
    <m/>
    <m/>
    <m/>
  </r>
  <r>
    <s v="2021-09-07 19:19 (-07)"/>
    <x v="880"/>
    <x v="761"/>
    <x v="5"/>
    <s v="On Demand"/>
    <x v="5"/>
    <x v="3"/>
    <x v="2"/>
    <s v="Pre &amp; Post-Ride Stretch"/>
    <x v="8"/>
    <x v="549"/>
    <m/>
    <m/>
    <m/>
    <m/>
    <m/>
    <m/>
    <n v="11"/>
    <m/>
    <m/>
    <m/>
  </r>
  <r>
    <s v="2021-09-07 22:40 (PST)"/>
    <x v="880"/>
    <x v="67"/>
    <x v="5"/>
    <s v="On Demand"/>
    <x v="25"/>
    <x v="2"/>
    <x v="5"/>
    <s v="Relaxation"/>
    <x v="455"/>
    <x v="2453"/>
    <m/>
    <m/>
    <m/>
    <m/>
    <m/>
    <m/>
    <m/>
    <m/>
    <m/>
    <m/>
  </r>
  <r>
    <s v="2021-09-14 07:13 (PST)"/>
    <x v="881"/>
    <x v="500"/>
    <x v="5"/>
    <s v="On Demand"/>
    <x v="23"/>
    <x v="0"/>
    <x v="4"/>
    <s v="Flow"/>
    <x v="14"/>
    <x v="2454"/>
    <m/>
    <m/>
    <m/>
    <m/>
    <m/>
    <m/>
    <n v="149"/>
    <m/>
    <m/>
    <m/>
  </r>
  <r>
    <s v="2021-09-14 22:33 (PST)"/>
    <x v="881"/>
    <x v="232"/>
    <x v="5"/>
    <s v="On Demand"/>
    <x v="19"/>
    <x v="1"/>
    <x v="5"/>
    <s v="Sleep"/>
    <x v="39"/>
    <x v="2455"/>
    <m/>
    <m/>
    <m/>
    <m/>
    <m/>
    <m/>
    <m/>
    <m/>
    <m/>
    <m/>
  </r>
  <r>
    <s v="2021-09-21 07:01 (-07)"/>
    <x v="882"/>
    <x v="695"/>
    <x v="5"/>
    <s v="On Demand"/>
    <x v="4"/>
    <x v="4"/>
    <x v="0"/>
    <s v="Power Zone"/>
    <x v="23"/>
    <x v="1509"/>
    <n v="371"/>
    <n v="103"/>
    <n v="0.37"/>
    <n v="84"/>
    <n v="16.2"/>
    <n v="16.2"/>
    <n v="457"/>
    <m/>
    <m/>
    <m/>
  </r>
  <r>
    <s v="2021-09-21 08:03 (-07)"/>
    <x v="882"/>
    <x v="53"/>
    <x v="5"/>
    <s v="On Demand"/>
    <x v="4"/>
    <x v="1"/>
    <x v="0"/>
    <s v="Cool Down"/>
    <x v="17"/>
    <x v="83"/>
    <n v="21"/>
    <n v="36"/>
    <n v="0.22"/>
    <n v="85"/>
    <n v="10.1"/>
    <n v="1.69"/>
    <n v="27"/>
    <m/>
    <m/>
    <m/>
  </r>
  <r>
    <s v="2021-09-21 08:15 (-07)"/>
    <x v="882"/>
    <x v="905"/>
    <x v="5"/>
    <s v="On Demand"/>
    <x v="6"/>
    <x v="3"/>
    <x v="2"/>
    <s v="Pre &amp; Post-Ride Stretch"/>
    <x v="8"/>
    <x v="111"/>
    <m/>
    <m/>
    <m/>
    <m/>
    <m/>
    <m/>
    <n v="12"/>
    <m/>
    <m/>
    <m/>
  </r>
  <r>
    <s v="2021-09-21 22:17 (PST)"/>
    <x v="882"/>
    <x v="841"/>
    <x v="5"/>
    <s v="On Demand"/>
    <x v="13"/>
    <x v="1"/>
    <x v="5"/>
    <s v="Sleep"/>
    <x v="39"/>
    <x v="2456"/>
    <m/>
    <m/>
    <m/>
    <m/>
    <m/>
    <m/>
    <m/>
    <m/>
    <m/>
    <m/>
  </r>
  <r>
    <s v="2021-09-28 07:11 (PST)"/>
    <x v="883"/>
    <x v="13"/>
    <x v="5"/>
    <s v="On Demand"/>
    <x v="23"/>
    <x v="2"/>
    <x v="4"/>
    <s v="Focus Flow"/>
    <x v="86"/>
    <x v="2457"/>
    <m/>
    <m/>
    <m/>
    <m/>
    <m/>
    <m/>
    <n v="100"/>
    <m/>
    <m/>
    <m/>
  </r>
  <r>
    <s v="2021-09-28 07:43 (PST)"/>
    <x v="883"/>
    <x v="567"/>
    <x v="5"/>
    <s v="On Demand"/>
    <x v="31"/>
    <x v="1"/>
    <x v="1"/>
    <s v="Core"/>
    <x v="1"/>
    <x v="2458"/>
    <m/>
    <m/>
    <m/>
    <m/>
    <m/>
    <m/>
    <n v="46"/>
    <m/>
    <m/>
    <m/>
  </r>
  <r>
    <s v="2021-09-28 15:16 (PST)"/>
    <x v="883"/>
    <x v="1491"/>
    <x v="5"/>
    <s v="On Demand"/>
    <x v="7"/>
    <x v="1"/>
    <x v="4"/>
    <s v="Flow"/>
    <x v="178"/>
    <x v="2459"/>
    <m/>
    <m/>
    <m/>
    <m/>
    <m/>
    <m/>
    <n v="34"/>
    <m/>
    <m/>
    <m/>
  </r>
  <r>
    <s v="2021-09-28 17:50 (-07)"/>
    <x v="883"/>
    <x v="508"/>
    <x v="5"/>
    <s v="On Demand"/>
    <x v="22"/>
    <x v="3"/>
    <x v="0"/>
    <s v="Warm Up"/>
    <x v="22"/>
    <x v="2460"/>
    <n v="23"/>
    <n v="77"/>
    <n v="0.32"/>
    <n v="87"/>
    <n v="14.42"/>
    <n v="1.2"/>
    <n v="28"/>
    <m/>
    <m/>
    <m/>
  </r>
  <r>
    <s v="2021-09-28 17:55 (-07)"/>
    <x v="883"/>
    <x v="608"/>
    <x v="5"/>
    <s v="On Demand"/>
    <x v="6"/>
    <x v="0"/>
    <x v="0"/>
    <s v="Power Zone"/>
    <x v="27"/>
    <x v="1498"/>
    <n v="264"/>
    <n v="98"/>
    <n v="0.37"/>
    <n v="83"/>
    <n v="15.93"/>
    <n v="11.95"/>
    <n v="325"/>
    <m/>
    <m/>
    <m/>
  </r>
  <r>
    <s v="2021-09-28 18:41 (-07)"/>
    <x v="883"/>
    <x v="509"/>
    <x v="5"/>
    <s v="On Demand"/>
    <x v="6"/>
    <x v="3"/>
    <x v="0"/>
    <s v="Cool Down"/>
    <x v="10"/>
    <x v="111"/>
    <n v="18"/>
    <n v="61"/>
    <n v="0.3"/>
    <n v="83"/>
    <n v="13.09"/>
    <n v="1.0900000000000001"/>
    <n v="22"/>
    <m/>
    <m/>
    <m/>
  </r>
  <r>
    <s v="2021-09-28 18:46 (-07)"/>
    <x v="883"/>
    <x v="1072"/>
    <x v="5"/>
    <s v="On Demand"/>
    <x v="6"/>
    <x v="3"/>
    <x v="2"/>
    <s v="Pre &amp; Post-Ride Stretch"/>
    <x v="8"/>
    <x v="111"/>
    <m/>
    <m/>
    <m/>
    <m/>
    <m/>
    <m/>
    <n v="12"/>
    <m/>
    <m/>
    <m/>
  </r>
  <r>
    <s v="2021-09-28 22:16 (PST)"/>
    <x v="883"/>
    <x v="51"/>
    <x v="5"/>
    <s v="On Demand"/>
    <x v="13"/>
    <x v="1"/>
    <x v="5"/>
    <s v="Sleep"/>
    <x v="39"/>
    <x v="1348"/>
    <m/>
    <m/>
    <m/>
    <m/>
    <m/>
    <m/>
    <m/>
    <m/>
    <m/>
    <m/>
  </r>
  <r>
    <s v="2021-10-05 06:52 (-07)"/>
    <x v="884"/>
    <x v="1669"/>
    <x v="5"/>
    <s v="On Demand"/>
    <x v="6"/>
    <x v="0"/>
    <x v="0"/>
    <s v="Power Zone"/>
    <x v="85"/>
    <x v="2461"/>
    <n v="288"/>
    <n v="107"/>
    <n v="0.38"/>
    <n v="84"/>
    <n v="16.420000000000002"/>
    <n v="12.32"/>
    <n v="355"/>
    <m/>
    <m/>
    <m/>
  </r>
  <r>
    <s v="2021-10-05 07:38 (-07)"/>
    <x v="884"/>
    <x v="66"/>
    <x v="5"/>
    <s v="On Demand"/>
    <x v="6"/>
    <x v="3"/>
    <x v="0"/>
    <s v="Cool Down"/>
    <x v="10"/>
    <x v="111"/>
    <n v="17"/>
    <n v="55"/>
    <n v="0.3"/>
    <n v="80"/>
    <n v="12.5"/>
    <n v="1.04"/>
    <n v="21"/>
    <m/>
    <m/>
    <m/>
  </r>
  <r>
    <s v="2021-10-05 07:43 (-07)"/>
    <x v="884"/>
    <x v="88"/>
    <x v="5"/>
    <s v="On Demand"/>
    <x v="6"/>
    <x v="3"/>
    <x v="2"/>
    <s v="Pre &amp; Post-Ride Stretch"/>
    <x v="8"/>
    <x v="111"/>
    <m/>
    <m/>
    <m/>
    <m/>
    <m/>
    <m/>
    <n v="11"/>
    <m/>
    <m/>
    <m/>
  </r>
  <r>
    <s v="2021-10-12 07:10 (PST)"/>
    <x v="885"/>
    <x v="11"/>
    <x v="5"/>
    <s v="On Demand"/>
    <x v="16"/>
    <x v="0"/>
    <x v="4"/>
    <s v="Flow"/>
    <x v="14"/>
    <x v="2462"/>
    <m/>
    <m/>
    <m/>
    <m/>
    <m/>
    <m/>
    <n v="150"/>
    <m/>
    <m/>
    <m/>
  </r>
  <r>
    <s v="2021-10-12 18:31 (-07)"/>
    <x v="885"/>
    <x v="112"/>
    <x v="5"/>
    <s v="On Demand"/>
    <x v="6"/>
    <x v="2"/>
    <x v="0"/>
    <s v="Power Zone"/>
    <x v="5"/>
    <x v="2463"/>
    <n v="172"/>
    <n v="95"/>
    <n v="0.36"/>
    <n v="84"/>
    <n v="15.73"/>
    <n v="7.86"/>
    <n v="211"/>
    <m/>
    <m/>
    <m/>
  </r>
  <r>
    <s v="2021-10-12 19:02 (-07)"/>
    <x v="885"/>
    <x v="1670"/>
    <x v="5"/>
    <s v="On Demand"/>
    <x v="26"/>
    <x v="5"/>
    <x v="1"/>
    <s v="Upper Body"/>
    <x v="285"/>
    <x v="2464"/>
    <m/>
    <m/>
    <m/>
    <m/>
    <m/>
    <m/>
    <n v="92"/>
    <m/>
    <m/>
    <m/>
  </r>
  <r>
    <s v="2021-10-12 19:24 (-07)"/>
    <x v="885"/>
    <x v="1671"/>
    <x v="5"/>
    <s v="On Demand"/>
    <x v="21"/>
    <x v="1"/>
    <x v="1"/>
    <s v="Core"/>
    <x v="1"/>
    <x v="2465"/>
    <m/>
    <m/>
    <m/>
    <m/>
    <m/>
    <m/>
    <n v="46"/>
    <m/>
    <m/>
    <m/>
  </r>
  <r>
    <s v="2021-10-12 19:35 (-07)"/>
    <x v="885"/>
    <x v="436"/>
    <x v="5"/>
    <s v="On Demand"/>
    <x v="1"/>
    <x v="3"/>
    <x v="2"/>
    <s v="Pre &amp; Post-Ride Stretch"/>
    <x v="8"/>
    <x v="527"/>
    <m/>
    <m/>
    <m/>
    <m/>
    <m/>
    <m/>
    <n v="12"/>
    <m/>
    <m/>
    <m/>
  </r>
  <r>
    <s v="2021-10-12 22:15 (PST)"/>
    <x v="885"/>
    <x v="593"/>
    <x v="5"/>
    <s v="On Demand"/>
    <x v="13"/>
    <x v="1"/>
    <x v="5"/>
    <s v="Emotions"/>
    <x v="128"/>
    <x v="2466"/>
    <m/>
    <m/>
    <m/>
    <m/>
    <m/>
    <m/>
    <m/>
    <m/>
    <m/>
    <m/>
  </r>
  <r>
    <s v="2021-10-19 07:34 (PST)"/>
    <x v="886"/>
    <x v="130"/>
    <x v="5"/>
    <s v="On Demand"/>
    <x v="7"/>
    <x v="5"/>
    <x v="4"/>
    <s v="Theme"/>
    <x v="607"/>
    <x v="2467"/>
    <m/>
    <m/>
    <m/>
    <m/>
    <m/>
    <m/>
    <n v="64"/>
    <m/>
    <m/>
    <m/>
  </r>
  <r>
    <s v="2021-10-19 19:11 (-07)"/>
    <x v="886"/>
    <x v="488"/>
    <x v="5"/>
    <s v="On Demand"/>
    <x v="6"/>
    <x v="0"/>
    <x v="0"/>
    <s v="Power Zone"/>
    <x v="27"/>
    <x v="2468"/>
    <n v="239"/>
    <n v="88"/>
    <n v="0.38"/>
    <n v="79"/>
    <n v="15.3"/>
    <n v="11.48"/>
    <n v="294"/>
    <m/>
    <m/>
    <m/>
  </r>
  <r>
    <s v="2021-10-19 19:59 (-07)"/>
    <x v="886"/>
    <x v="242"/>
    <x v="5"/>
    <s v="On Demand"/>
    <x v="45"/>
    <x v="3"/>
    <x v="2"/>
    <s v="Pre &amp; Post-Ride Stretch"/>
    <x v="8"/>
    <x v="2469"/>
    <m/>
    <m/>
    <m/>
    <m/>
    <m/>
    <m/>
    <n v="11"/>
    <m/>
    <m/>
    <m/>
  </r>
  <r>
    <s v="2021-10-19 22:07 (PST)"/>
    <x v="886"/>
    <x v="1413"/>
    <x v="5"/>
    <s v="On Demand"/>
    <x v="25"/>
    <x v="5"/>
    <x v="5"/>
    <s v="Relaxation"/>
    <x v="112"/>
    <x v="1348"/>
    <m/>
    <m/>
    <m/>
    <m/>
    <m/>
    <m/>
    <m/>
    <m/>
    <m/>
    <m/>
  </r>
  <r>
    <s v="2021-10-26 07:19 (PST)"/>
    <x v="887"/>
    <x v="296"/>
    <x v="5"/>
    <s v="On Demand"/>
    <x v="7"/>
    <x v="2"/>
    <x v="4"/>
    <s v="Slow Flow"/>
    <x v="50"/>
    <x v="2470"/>
    <m/>
    <m/>
    <m/>
    <m/>
    <m/>
    <m/>
    <n v="97"/>
    <m/>
    <m/>
    <m/>
  </r>
  <r>
    <s v="2021-10-26 17:28 (-07)"/>
    <x v="887"/>
    <x v="1456"/>
    <x v="5"/>
    <s v="On Demand"/>
    <x v="4"/>
    <x v="2"/>
    <x v="0"/>
    <s v="Power Zone"/>
    <x v="5"/>
    <x v="2471"/>
    <n v="169"/>
    <n v="94"/>
    <n v="0.36"/>
    <n v="86"/>
    <n v="15.66"/>
    <n v="7.83"/>
    <n v="208"/>
    <m/>
    <m/>
    <m/>
  </r>
  <r>
    <s v="2021-10-26 18:01 (-07)"/>
    <x v="887"/>
    <x v="612"/>
    <x v="5"/>
    <s v="On Demand"/>
    <x v="11"/>
    <x v="5"/>
    <x v="1"/>
    <s v="Upper Body"/>
    <x v="285"/>
    <x v="2472"/>
    <m/>
    <m/>
    <m/>
    <m/>
    <m/>
    <m/>
    <n v="92"/>
    <m/>
    <m/>
    <m/>
  </r>
  <r>
    <s v="2021-10-26 18:22 (-07)"/>
    <x v="887"/>
    <x v="495"/>
    <x v="5"/>
    <s v="On Demand"/>
    <x v="24"/>
    <x v="1"/>
    <x v="1"/>
    <s v="Core"/>
    <x v="1"/>
    <x v="2473"/>
    <m/>
    <m/>
    <m/>
    <m/>
    <m/>
    <m/>
    <n v="46"/>
    <m/>
    <m/>
    <m/>
  </r>
  <r>
    <s v="2021-10-26 18:34 (-07)"/>
    <x v="887"/>
    <x v="512"/>
    <x v="5"/>
    <s v="On Demand"/>
    <x v="4"/>
    <x v="3"/>
    <x v="2"/>
    <s v="Lower Body Stretch"/>
    <x v="444"/>
    <x v="2474"/>
    <m/>
    <m/>
    <m/>
    <m/>
    <m/>
    <m/>
    <n v="11"/>
    <m/>
    <m/>
    <m/>
  </r>
  <r>
    <s v="2021-10-26 22:22 (PST)"/>
    <x v="887"/>
    <x v="493"/>
    <x v="5"/>
    <s v="On Demand"/>
    <x v="13"/>
    <x v="1"/>
    <x v="5"/>
    <s v="Relaxation"/>
    <x v="34"/>
    <x v="2475"/>
    <m/>
    <m/>
    <m/>
    <m/>
    <m/>
    <m/>
    <m/>
    <m/>
    <m/>
    <m/>
  </r>
  <r>
    <s v="2021-11-02 01:39 (PST)"/>
    <x v="888"/>
    <x v="1672"/>
    <x v="5"/>
    <s v="On Demand"/>
    <x v="19"/>
    <x v="7"/>
    <x v="5"/>
    <s v="Breath"/>
    <x v="428"/>
    <x v="2476"/>
    <m/>
    <m/>
    <m/>
    <m/>
    <m/>
    <m/>
    <m/>
    <m/>
    <m/>
    <m/>
  </r>
  <r>
    <s v="2021-11-02 20:25 (PST)"/>
    <x v="888"/>
    <x v="381"/>
    <x v="5"/>
    <s v="On Demand"/>
    <x v="25"/>
    <x v="1"/>
    <x v="5"/>
    <s v="Emotions"/>
    <x v="71"/>
    <x v="2477"/>
    <m/>
    <m/>
    <m/>
    <m/>
    <m/>
    <m/>
    <m/>
    <m/>
    <m/>
    <m/>
  </r>
  <r>
    <s v="2021-11-09 06:47 (PST)"/>
    <x v="889"/>
    <x v="1673"/>
    <x v="5"/>
    <s v="On Demand"/>
    <x v="16"/>
    <x v="2"/>
    <x v="4"/>
    <s v="Focus Flow"/>
    <x v="86"/>
    <x v="2478"/>
    <m/>
    <m/>
    <m/>
    <m/>
    <m/>
    <m/>
    <n v="98"/>
    <m/>
    <m/>
    <m/>
  </r>
  <r>
    <s v="2021-11-09 17:32 (-08)"/>
    <x v="889"/>
    <x v="1674"/>
    <x v="5"/>
    <s v="On Demand"/>
    <x v="4"/>
    <x v="5"/>
    <x v="0"/>
    <s v="Low Impact"/>
    <x v="608"/>
    <x v="2479"/>
    <n v="101"/>
    <n v="84"/>
    <n v="0.34"/>
    <n v="84"/>
    <n v="14.95"/>
    <n v="4.9800000000000004"/>
    <n v="125"/>
    <m/>
    <m/>
    <m/>
  </r>
  <r>
    <s v="2021-11-09 22:36 (PST)"/>
    <x v="889"/>
    <x v="102"/>
    <x v="5"/>
    <s v="On Demand"/>
    <x v="23"/>
    <x v="1"/>
    <x v="5"/>
    <s v="Breath"/>
    <x v="154"/>
    <x v="2480"/>
    <m/>
    <m/>
    <m/>
    <m/>
    <m/>
    <m/>
    <m/>
    <m/>
    <m/>
    <m/>
  </r>
  <r>
    <s v="2021-11-16 07:05 (PST)"/>
    <x v="890"/>
    <x v="69"/>
    <x v="5"/>
    <s v="On Demand"/>
    <x v="7"/>
    <x v="2"/>
    <x v="4"/>
    <s v="Flow"/>
    <x v="609"/>
    <x v="2481"/>
    <m/>
    <m/>
    <m/>
    <m/>
    <m/>
    <m/>
    <n v="94"/>
    <m/>
    <m/>
    <m/>
  </r>
  <r>
    <s v="2021-11-16 11:36 (-08)"/>
    <x v="890"/>
    <x v="288"/>
    <x v="5"/>
    <s v="On Demand"/>
    <x v="5"/>
    <x v="0"/>
    <x v="0"/>
    <s v="Power Zone"/>
    <x v="85"/>
    <x v="2482"/>
    <n v="254"/>
    <n v="94"/>
    <n v="0.36"/>
    <n v="84"/>
    <n v="15.52"/>
    <n v="11.64"/>
    <n v="314"/>
    <m/>
    <m/>
    <m/>
  </r>
  <r>
    <s v="2021-11-16 12:26 (-08)"/>
    <x v="890"/>
    <x v="131"/>
    <x v="5"/>
    <s v="On Demand"/>
    <x v="5"/>
    <x v="3"/>
    <x v="2"/>
    <s v="Pre &amp; Post-Ride Stretch"/>
    <x v="8"/>
    <x v="2483"/>
    <m/>
    <m/>
    <m/>
    <m/>
    <m/>
    <m/>
    <n v="11"/>
    <m/>
    <m/>
    <m/>
  </r>
  <r>
    <s v="2021-11-16 22:01 (PST)"/>
    <x v="890"/>
    <x v="62"/>
    <x v="5"/>
    <s v="On Demand"/>
    <x v="13"/>
    <x v="1"/>
    <x v="5"/>
    <s v="Relaxation"/>
    <x v="34"/>
    <x v="2484"/>
    <m/>
    <m/>
    <m/>
    <m/>
    <m/>
    <m/>
    <m/>
    <m/>
    <m/>
    <m/>
  </r>
  <r>
    <s v="2021-11-23 07:18 (PST)"/>
    <x v="891"/>
    <x v="1448"/>
    <x v="5"/>
    <s v="On Demand"/>
    <x v="7"/>
    <x v="2"/>
    <x v="4"/>
    <s v="Theme"/>
    <x v="610"/>
    <x v="2485"/>
    <m/>
    <m/>
    <m/>
    <m/>
    <m/>
    <m/>
    <n v="97"/>
    <m/>
    <m/>
    <m/>
  </r>
  <r>
    <s v="2021-11-23 13:06 (PST)"/>
    <x v="891"/>
    <x v="1014"/>
    <x v="5"/>
    <s v="On Demand"/>
    <x v="11"/>
    <x v="2"/>
    <x v="6"/>
    <s v="Music Walk"/>
    <x v="611"/>
    <x v="2486"/>
    <n v="0"/>
    <m/>
    <m/>
    <m/>
    <n v="3.49"/>
    <n v="1.74"/>
    <n v="167"/>
    <n v="133.28"/>
    <m/>
    <m/>
  </r>
  <r>
    <s v="2021-11-23 20:32 (-08)"/>
    <x v="891"/>
    <x v="1675"/>
    <x v="5"/>
    <s v="On Demand"/>
    <x v="11"/>
    <x v="2"/>
    <x v="3"/>
    <s v="Body Focus"/>
    <x v="612"/>
    <x v="2487"/>
    <n v="110"/>
    <m/>
    <m/>
    <m/>
    <n v="15.84"/>
    <n v="4.78"/>
    <n v="170"/>
    <m/>
    <m/>
    <m/>
  </r>
  <r>
    <s v="2021-11-23 21:03 (-08)"/>
    <x v="891"/>
    <x v="1676"/>
    <x v="5"/>
    <s v="On Demand"/>
    <x v="20"/>
    <x v="3"/>
    <x v="2"/>
    <s v="Pre &amp; Post-Ride Stretch"/>
    <x v="8"/>
    <x v="613"/>
    <m/>
    <m/>
    <m/>
    <m/>
    <m/>
    <m/>
    <n v="11"/>
    <m/>
    <m/>
    <m/>
  </r>
  <r>
    <s v="2021-11-23 23:08 (PST)"/>
    <x v="891"/>
    <x v="163"/>
    <x v="5"/>
    <s v="On Demand"/>
    <x v="13"/>
    <x v="5"/>
    <x v="5"/>
    <s v="Sleep"/>
    <x v="29"/>
    <x v="2488"/>
    <m/>
    <m/>
    <m/>
    <m/>
    <m/>
    <m/>
    <m/>
    <m/>
    <m/>
    <m/>
  </r>
  <r>
    <s v="2021-11-30 06:51 (PST)"/>
    <x v="892"/>
    <x v="1677"/>
    <x v="5"/>
    <s v="On Demand"/>
    <x v="28"/>
    <x v="2"/>
    <x v="4"/>
    <s v="Flow"/>
    <x v="69"/>
    <x v="2489"/>
    <m/>
    <m/>
    <m/>
    <m/>
    <m/>
    <m/>
    <n v="98"/>
    <m/>
    <m/>
    <m/>
  </r>
  <r>
    <s v="2021-11-30 12:09 (PST)"/>
    <x v="892"/>
    <x v="724"/>
    <x v="5"/>
    <s v="On Demand"/>
    <x v="31"/>
    <x v="2"/>
    <x v="6"/>
    <s v="Music Walk"/>
    <x v="504"/>
    <x v="2490"/>
    <n v="0"/>
    <m/>
    <m/>
    <m/>
    <n v="3.47"/>
    <n v="1.73"/>
    <n v="182"/>
    <n v="121.57"/>
    <m/>
    <m/>
  </r>
  <r>
    <s v="2021-11-30 17:18 (-08)"/>
    <x v="892"/>
    <x v="590"/>
    <x v="5"/>
    <s v="On Demand"/>
    <x v="11"/>
    <x v="0"/>
    <x v="3"/>
    <s v="Music"/>
    <x v="613"/>
    <x v="2491"/>
    <n v="156"/>
    <m/>
    <m/>
    <m/>
    <n v="16.13"/>
    <n v="6.7"/>
    <n v="255"/>
    <m/>
    <m/>
    <m/>
  </r>
  <r>
    <s v="2021-11-30 18:09 (-08)"/>
    <x v="892"/>
    <x v="300"/>
    <x v="5"/>
    <s v="On Demand"/>
    <x v="1"/>
    <x v="3"/>
    <x v="1"/>
    <s v="Core"/>
    <x v="6"/>
    <x v="571"/>
    <m/>
    <m/>
    <m/>
    <m/>
    <m/>
    <m/>
    <n v="23"/>
    <m/>
    <m/>
    <m/>
  </r>
  <r>
    <s v="2021-11-30 18:14 (-08)"/>
    <x v="892"/>
    <x v="560"/>
    <x v="5"/>
    <s v="On Demand"/>
    <x v="1"/>
    <x v="3"/>
    <x v="2"/>
    <s v="Full Body Stretch"/>
    <x v="213"/>
    <x v="571"/>
    <m/>
    <m/>
    <m/>
    <m/>
    <m/>
    <m/>
    <n v="12"/>
    <m/>
    <m/>
    <m/>
  </r>
  <r>
    <s v="2021-11-30 22:37 (PST)"/>
    <x v="892"/>
    <x v="247"/>
    <x v="5"/>
    <s v="On Demand"/>
    <x v="19"/>
    <x v="7"/>
    <x v="5"/>
    <s v="Relaxation"/>
    <x v="106"/>
    <x v="2492"/>
    <m/>
    <m/>
    <m/>
    <m/>
    <m/>
    <m/>
    <m/>
    <m/>
    <m/>
    <m/>
  </r>
  <r>
    <s v="2021-12-07 06:56 (PST)"/>
    <x v="893"/>
    <x v="585"/>
    <x v="5"/>
    <s v="On Demand"/>
    <x v="16"/>
    <x v="2"/>
    <x v="4"/>
    <s v="Flow"/>
    <x v="41"/>
    <x v="2493"/>
    <m/>
    <m/>
    <m/>
    <m/>
    <m/>
    <m/>
    <n v="101"/>
    <m/>
    <m/>
    <m/>
  </r>
  <r>
    <s v="2021-12-07 08:26 (PST)"/>
    <x v="893"/>
    <x v="1155"/>
    <x v="5"/>
    <s v="On Demand"/>
    <x v="13"/>
    <x v="3"/>
    <x v="5"/>
    <s v="Emotions"/>
    <x v="166"/>
    <x v="2494"/>
    <m/>
    <m/>
    <m/>
    <m/>
    <m/>
    <m/>
    <m/>
    <n v="72.91"/>
    <m/>
    <m/>
  </r>
  <r>
    <s v="2021-12-07 12:40 (PST)"/>
    <x v="893"/>
    <x v="1145"/>
    <x v="5"/>
    <s v="On Demand"/>
    <x v="2"/>
    <x v="2"/>
    <x v="6"/>
    <s v="Music Walk"/>
    <x v="614"/>
    <x v="193"/>
    <n v="0"/>
    <m/>
    <m/>
    <m/>
    <n v="0"/>
    <n v="0"/>
    <n v="172"/>
    <n v="129.97999999999999"/>
    <m/>
    <m/>
  </r>
  <r>
    <s v="2021-12-07 17:16 (-08)"/>
    <x v="893"/>
    <x v="159"/>
    <x v="5"/>
    <s v="On Demand"/>
    <x v="6"/>
    <x v="0"/>
    <x v="0"/>
    <s v="Power Zone"/>
    <x v="85"/>
    <x v="2495"/>
    <n v="283"/>
    <n v="105"/>
    <n v="0.37"/>
    <n v="85"/>
    <n v="16.309999999999999"/>
    <n v="12.24"/>
    <n v="349"/>
    <m/>
    <m/>
    <m/>
  </r>
  <r>
    <s v="2021-12-07 18:02 (-08)"/>
    <x v="893"/>
    <x v="1678"/>
    <x v="5"/>
    <s v="On Demand"/>
    <x v="29"/>
    <x v="1"/>
    <x v="0"/>
    <s v="Cool Down"/>
    <x v="615"/>
    <x v="142"/>
    <n v="46"/>
    <n v="76"/>
    <n v="0.33"/>
    <n v="84"/>
    <n v="14.44"/>
    <n v="2.41"/>
    <n v="56"/>
    <m/>
    <m/>
    <m/>
  </r>
  <r>
    <s v="2021-12-07 18:15 (-08)"/>
    <x v="893"/>
    <x v="1479"/>
    <x v="5"/>
    <s v="On Demand"/>
    <x v="1"/>
    <x v="7"/>
    <x v="1"/>
    <s v="Core"/>
    <x v="126"/>
    <x v="2496"/>
    <m/>
    <m/>
    <m/>
    <m/>
    <m/>
    <m/>
    <n v="69"/>
    <m/>
    <m/>
    <m/>
  </r>
  <r>
    <s v="2021-12-07 18:30 (-08)"/>
    <x v="893"/>
    <x v="140"/>
    <x v="5"/>
    <s v="On Demand"/>
    <x v="1"/>
    <x v="3"/>
    <x v="2"/>
    <s v="Full Body Stretch"/>
    <x v="213"/>
    <x v="571"/>
    <m/>
    <m/>
    <m/>
    <m/>
    <m/>
    <m/>
    <n v="11"/>
    <m/>
    <m/>
    <m/>
  </r>
  <r>
    <s v="2021-12-07 22:19 (PST)"/>
    <x v="893"/>
    <x v="814"/>
    <x v="5"/>
    <s v="On Demand"/>
    <x v="23"/>
    <x v="1"/>
    <x v="5"/>
    <s v="Sleep"/>
    <x v="39"/>
    <x v="2494"/>
    <m/>
    <m/>
    <m/>
    <m/>
    <m/>
    <m/>
    <m/>
    <m/>
    <m/>
    <m/>
  </r>
  <r>
    <s v="2021-12-14 07:27 (PST)"/>
    <x v="894"/>
    <x v="614"/>
    <x v="5"/>
    <s v="On Demand"/>
    <x v="16"/>
    <x v="2"/>
    <x v="4"/>
    <s v="Slow Flow"/>
    <x v="220"/>
    <x v="2497"/>
    <m/>
    <m/>
    <m/>
    <m/>
    <m/>
    <m/>
    <n v="99"/>
    <m/>
    <m/>
    <m/>
  </r>
  <r>
    <s v="2021-12-14 16:23 (-08)"/>
    <x v="894"/>
    <x v="534"/>
    <x v="5"/>
    <s v="On Demand"/>
    <x v="22"/>
    <x v="3"/>
    <x v="0"/>
    <s v="Warm Up"/>
    <x v="616"/>
    <x v="2498"/>
    <n v="23"/>
    <n v="78"/>
    <n v="0.31"/>
    <n v="91"/>
    <n v="14.58"/>
    <n v="1.21"/>
    <n v="29"/>
    <m/>
    <m/>
    <m/>
  </r>
  <r>
    <s v="2021-12-14 16:30 (-08)"/>
    <x v="894"/>
    <x v="1611"/>
    <x v="5"/>
    <s v="On Demand"/>
    <x v="6"/>
    <x v="0"/>
    <x v="0"/>
    <s v="Power Zone"/>
    <x v="195"/>
    <x v="2499"/>
    <n v="269"/>
    <n v="100"/>
    <n v="0.34"/>
    <n v="88"/>
    <n v="15.41"/>
    <n v="11.56"/>
    <n v="332"/>
    <m/>
    <m/>
    <m/>
  </r>
  <r>
    <s v="2021-12-14 17:16 (-08)"/>
    <x v="894"/>
    <x v="159"/>
    <x v="5"/>
    <s v="On Demand"/>
    <x v="12"/>
    <x v="3"/>
    <x v="0"/>
    <s v="Cool Down"/>
    <x v="10"/>
    <x v="2500"/>
    <n v="18"/>
    <n v="60"/>
    <n v="0.3"/>
    <n v="83"/>
    <n v="12.93"/>
    <n v="1.07"/>
    <n v="22"/>
    <m/>
    <m/>
    <m/>
  </r>
  <r>
    <s v="2021-12-14 17:33 (PST)"/>
    <x v="894"/>
    <x v="865"/>
    <x v="5"/>
    <s v="On Demand"/>
    <x v="22"/>
    <x v="3"/>
    <x v="2"/>
    <s v="Pre &amp; Post-Ride Stretch"/>
    <x v="8"/>
    <x v="2501"/>
    <m/>
    <m/>
    <m/>
    <m/>
    <m/>
    <m/>
    <n v="11"/>
    <m/>
    <m/>
    <m/>
  </r>
  <r>
    <s v="2021-12-14 21:54 (PST)"/>
    <x v="894"/>
    <x v="152"/>
    <x v="5"/>
    <s v="On Demand"/>
    <x v="13"/>
    <x v="1"/>
    <x v="5"/>
    <s v="Mindfulness"/>
    <x v="51"/>
    <x v="2502"/>
    <m/>
    <m/>
    <m/>
    <m/>
    <m/>
    <m/>
    <m/>
    <m/>
    <m/>
    <m/>
  </r>
  <r>
    <s v="2021-12-21 07:22 (PST)"/>
    <x v="895"/>
    <x v="811"/>
    <x v="5"/>
    <s v="On Demand"/>
    <x v="13"/>
    <x v="2"/>
    <x v="4"/>
    <s v="Flow"/>
    <x v="41"/>
    <x v="2503"/>
    <m/>
    <m/>
    <m/>
    <m/>
    <m/>
    <m/>
    <n v="99"/>
    <m/>
    <m/>
    <m/>
  </r>
  <r>
    <s v="2021-12-21 18:08 (-08)"/>
    <x v="895"/>
    <x v="1679"/>
    <x v="5"/>
    <s v="On Demand"/>
    <x v="10"/>
    <x v="3"/>
    <x v="0"/>
    <s v="Warm Up"/>
    <x v="617"/>
    <x v="2504"/>
    <n v="24"/>
    <n v="80"/>
    <n v="0.33"/>
    <n v="85"/>
    <n v="14.72"/>
    <n v="1.23"/>
    <n v="30"/>
    <m/>
    <m/>
    <m/>
  </r>
  <r>
    <s v="2021-12-21 18:14 (-08)"/>
    <x v="895"/>
    <x v="560"/>
    <x v="5"/>
    <s v="On Demand"/>
    <x v="6"/>
    <x v="0"/>
    <x v="0"/>
    <s v="Power Zone"/>
    <x v="195"/>
    <x v="2505"/>
    <n v="267"/>
    <n v="99"/>
    <n v="0.31"/>
    <n v="92"/>
    <n v="14.86"/>
    <n v="11.15"/>
    <n v="329"/>
    <m/>
    <m/>
    <m/>
  </r>
  <r>
    <s v="2021-12-21 19:00 (-08)"/>
    <x v="895"/>
    <x v="1680"/>
    <x v="5"/>
    <s v="On Demand"/>
    <x v="6"/>
    <x v="3"/>
    <x v="0"/>
    <s v="Cool Down"/>
    <x v="10"/>
    <x v="137"/>
    <n v="16"/>
    <n v="53"/>
    <n v="0.28000000000000003"/>
    <n v="84"/>
    <n v="12.24"/>
    <n v="1.02"/>
    <n v="19"/>
    <m/>
    <m/>
    <m/>
  </r>
  <r>
    <s v="2021-12-21 19:29 (PST)"/>
    <x v="895"/>
    <x v="1681"/>
    <x v="5"/>
    <s v="On Demand"/>
    <x v="16"/>
    <x v="5"/>
    <x v="4"/>
    <s v="Focus Flow"/>
    <x v="61"/>
    <x v="2506"/>
    <m/>
    <m/>
    <m/>
    <m/>
    <m/>
    <m/>
    <n v="69"/>
    <m/>
    <m/>
    <m/>
  </r>
  <r>
    <s v="2021-12-21 22:34 (PST)"/>
    <x v="895"/>
    <x v="596"/>
    <x v="5"/>
    <s v="On Demand"/>
    <x v="25"/>
    <x v="5"/>
    <x v="5"/>
    <s v="Sleep"/>
    <x v="29"/>
    <x v="614"/>
    <m/>
    <m/>
    <m/>
    <m/>
    <m/>
    <m/>
    <m/>
    <m/>
    <m/>
    <m/>
  </r>
  <r>
    <s v="2021-12-28 07:09 (PST)"/>
    <x v="896"/>
    <x v="1"/>
    <x v="5"/>
    <s v="On Demand"/>
    <x v="28"/>
    <x v="2"/>
    <x v="4"/>
    <s v="Flow"/>
    <x v="41"/>
    <x v="2507"/>
    <m/>
    <m/>
    <m/>
    <m/>
    <m/>
    <m/>
    <n v="99"/>
    <m/>
    <m/>
    <m/>
  </r>
  <r>
    <s v="2021-12-28 11:55 (PST)"/>
    <x v="896"/>
    <x v="899"/>
    <x v="5"/>
    <s v="On Demand"/>
    <x v="23"/>
    <x v="1"/>
    <x v="4"/>
    <s v="Focus Flow"/>
    <x v="440"/>
    <x v="2508"/>
    <m/>
    <m/>
    <m/>
    <m/>
    <m/>
    <m/>
    <n v="35"/>
    <m/>
    <m/>
    <m/>
  </r>
  <r>
    <s v="2021-12-28 15:33 (-08)"/>
    <x v="896"/>
    <x v="293"/>
    <x v="5"/>
    <s v="On Demand"/>
    <x v="4"/>
    <x v="1"/>
    <x v="0"/>
    <s v="Low Impact"/>
    <x v="192"/>
    <x v="2509"/>
    <n v="52"/>
    <n v="87"/>
    <n v="0.33"/>
    <n v="90"/>
    <n v="15.23"/>
    <n v="2.54"/>
    <n v="64"/>
    <m/>
    <m/>
    <m/>
  </r>
  <r>
    <s v="2021-12-28 15:45 (-08)"/>
    <x v="896"/>
    <x v="1682"/>
    <x v="5"/>
    <s v="On Demand"/>
    <x v="7"/>
    <x v="0"/>
    <x v="0"/>
    <s v="Power Zone"/>
    <x v="27"/>
    <x v="2510"/>
    <n v="260"/>
    <n v="96"/>
    <n v="0.36"/>
    <n v="85"/>
    <n v="15.81"/>
    <n v="11.87"/>
    <n v="320"/>
    <m/>
    <m/>
    <m/>
  </r>
  <r>
    <s v="2021-12-28 16:33 (-08)"/>
    <x v="896"/>
    <x v="181"/>
    <x v="5"/>
    <s v="On Demand"/>
    <x v="4"/>
    <x v="1"/>
    <x v="1"/>
    <s v="Core"/>
    <x v="1"/>
    <x v="2511"/>
    <m/>
    <m/>
    <m/>
    <m/>
    <m/>
    <m/>
    <n v="46"/>
    <m/>
    <m/>
    <m/>
  </r>
  <r>
    <s v="2021-12-28 16:44 (-08)"/>
    <x v="896"/>
    <x v="147"/>
    <x v="5"/>
    <s v="On Demand"/>
    <x v="4"/>
    <x v="1"/>
    <x v="2"/>
    <s v="Full Body Stretch"/>
    <x v="618"/>
    <x v="2512"/>
    <m/>
    <m/>
    <m/>
    <m/>
    <m/>
    <m/>
    <n v="23"/>
    <m/>
    <m/>
    <m/>
  </r>
  <r>
    <s v="2021-12-28 22:18 (PST)"/>
    <x v="896"/>
    <x v="117"/>
    <x v="5"/>
    <s v="On Demand"/>
    <x v="19"/>
    <x v="3"/>
    <x v="5"/>
    <s v="Sleep"/>
    <x v="58"/>
    <x v="2513"/>
    <m/>
    <m/>
    <m/>
    <m/>
    <m/>
    <m/>
    <m/>
    <m/>
    <m/>
    <m/>
  </r>
  <r>
    <s v="2022-01-04 07:13 (PST)"/>
    <x v="897"/>
    <x v="500"/>
    <x v="5"/>
    <s v="On Demand"/>
    <x v="16"/>
    <x v="2"/>
    <x v="4"/>
    <s v="Theme"/>
    <x v="63"/>
    <x v="2514"/>
    <m/>
    <m/>
    <m/>
    <m/>
    <m/>
    <m/>
    <n v="84"/>
    <m/>
    <m/>
    <m/>
  </r>
  <r>
    <s v="2022-01-04 16:34 (-08)"/>
    <x v="897"/>
    <x v="1683"/>
    <x v="5"/>
    <s v="On Demand"/>
    <x v="21"/>
    <x v="3"/>
    <x v="1"/>
    <s v="Core"/>
    <x v="6"/>
    <x v="2515"/>
    <m/>
    <m/>
    <m/>
    <m/>
    <m/>
    <m/>
    <n v="23"/>
    <m/>
    <m/>
    <m/>
  </r>
  <r>
    <s v="2022-01-04 16:41 (-08)"/>
    <x v="897"/>
    <x v="1684"/>
    <x v="5"/>
    <s v="On Demand"/>
    <x v="6"/>
    <x v="0"/>
    <x v="0"/>
    <s v="Power Zone"/>
    <x v="102"/>
    <x v="586"/>
    <n v="273"/>
    <n v="101"/>
    <n v="0.37"/>
    <n v="86"/>
    <n v="16.2"/>
    <n v="12.15"/>
    <n v="337"/>
    <m/>
    <m/>
    <m/>
  </r>
  <r>
    <s v="2022-01-04 17:26 (-08)"/>
    <x v="897"/>
    <x v="1685"/>
    <x v="5"/>
    <s v="On Demand"/>
    <x v="6"/>
    <x v="3"/>
    <x v="0"/>
    <s v="Cool Down"/>
    <x v="10"/>
    <x v="137"/>
    <n v="18"/>
    <n v="61"/>
    <n v="0.3"/>
    <n v="85"/>
    <n v="13.11"/>
    <n v="1.1000000000000001"/>
    <n v="23"/>
    <m/>
    <m/>
    <m/>
  </r>
  <r>
    <s v="2022-01-04 17:33 (-08)"/>
    <x v="897"/>
    <x v="828"/>
    <x v="5"/>
    <s v="On Demand"/>
    <x v="1"/>
    <x v="1"/>
    <x v="1"/>
    <s v="Arms &amp; Light Weights"/>
    <x v="28"/>
    <x v="2516"/>
    <m/>
    <m/>
    <m/>
    <m/>
    <m/>
    <m/>
    <n v="46"/>
    <m/>
    <m/>
    <m/>
  </r>
  <r>
    <s v="2022-01-04 17:44 (-08)"/>
    <x v="897"/>
    <x v="1114"/>
    <x v="5"/>
    <s v="On Demand"/>
    <x v="6"/>
    <x v="3"/>
    <x v="2"/>
    <s v="Pre &amp; Post-Ride Stretch"/>
    <x v="8"/>
    <x v="137"/>
    <m/>
    <m/>
    <m/>
    <m/>
    <m/>
    <m/>
    <n v="12"/>
    <m/>
    <m/>
    <m/>
  </r>
  <r>
    <s v="2022-01-04 22:17 (PST)"/>
    <x v="897"/>
    <x v="841"/>
    <x v="5"/>
    <s v="On Demand"/>
    <x v="16"/>
    <x v="1"/>
    <x v="5"/>
    <s v="Sleep"/>
    <x v="39"/>
    <x v="157"/>
    <m/>
    <m/>
    <m/>
    <m/>
    <m/>
    <m/>
    <m/>
    <m/>
    <m/>
    <m/>
  </r>
  <r>
    <s v="2022-01-11 07:00 (PST)"/>
    <x v="898"/>
    <x v="385"/>
    <x v="5"/>
    <s v="On Demand"/>
    <x v="7"/>
    <x v="2"/>
    <x v="4"/>
    <s v="Flow"/>
    <x v="41"/>
    <x v="2517"/>
    <m/>
    <m/>
    <m/>
    <m/>
    <m/>
    <m/>
    <n v="98"/>
    <m/>
    <m/>
    <m/>
  </r>
  <r>
    <s v="2022-01-11 22:22 (PST)"/>
    <x v="898"/>
    <x v="493"/>
    <x v="5"/>
    <s v="On Demand"/>
    <x v="25"/>
    <x v="5"/>
    <x v="5"/>
    <s v="Mindfulness"/>
    <x v="38"/>
    <x v="2518"/>
    <m/>
    <m/>
    <m/>
    <m/>
    <m/>
    <m/>
    <m/>
    <m/>
    <m/>
    <m/>
  </r>
  <r>
    <s v="2022-01-18 07:12 (PST)"/>
    <x v="899"/>
    <x v="532"/>
    <x v="5"/>
    <s v="On Demand"/>
    <x v="25"/>
    <x v="2"/>
    <x v="4"/>
    <s v="Flow"/>
    <x v="542"/>
    <x v="2519"/>
    <m/>
    <m/>
    <m/>
    <m/>
    <m/>
    <m/>
    <n v="80"/>
    <m/>
    <m/>
    <m/>
  </r>
  <r>
    <s v="2022-01-18 20:57 (-08)"/>
    <x v="899"/>
    <x v="1686"/>
    <x v="5"/>
    <s v="On Demand"/>
    <x v="20"/>
    <x v="5"/>
    <x v="0"/>
    <s v="Low Impact"/>
    <x v="67"/>
    <x v="163"/>
    <n v="102"/>
    <n v="85"/>
    <n v="0.34"/>
    <n v="86"/>
    <n v="15.04"/>
    <n v="5.01"/>
    <n v="125"/>
    <m/>
    <m/>
    <m/>
  </r>
  <r>
    <s v="2022-01-18 21:20 (-08)"/>
    <x v="899"/>
    <x v="1687"/>
    <x v="5"/>
    <s v="On Demand"/>
    <x v="1"/>
    <x v="3"/>
    <x v="1"/>
    <s v="Core"/>
    <x v="6"/>
    <x v="2520"/>
    <m/>
    <m/>
    <m/>
    <m/>
    <m/>
    <m/>
    <n v="23"/>
    <m/>
    <m/>
    <m/>
  </r>
  <r>
    <s v="2022-01-18 22:17 (PST)"/>
    <x v="899"/>
    <x v="841"/>
    <x v="5"/>
    <s v="On Demand"/>
    <x v="16"/>
    <x v="5"/>
    <x v="5"/>
    <s v="Sleep"/>
    <x v="29"/>
    <x v="2521"/>
    <m/>
    <m/>
    <m/>
    <m/>
    <m/>
    <m/>
    <m/>
    <m/>
    <m/>
    <m/>
  </r>
  <r>
    <s v="2022-01-25 11:59 (PST)"/>
    <x v="900"/>
    <x v="723"/>
    <x v="5"/>
    <s v="On Demand"/>
    <x v="25"/>
    <x v="2"/>
    <x v="4"/>
    <s v="Flow"/>
    <x v="69"/>
    <x v="614"/>
    <m/>
    <m/>
    <m/>
    <m/>
    <m/>
    <m/>
    <n v="90"/>
    <m/>
    <m/>
    <m/>
  </r>
  <r>
    <s v="2022-01-25 16:55 (-08)"/>
    <x v="900"/>
    <x v="280"/>
    <x v="5"/>
    <s v="On Demand"/>
    <x v="9"/>
    <x v="2"/>
    <x v="0"/>
    <s v="Power Zone"/>
    <x v="5"/>
    <x v="2522"/>
    <n v="168"/>
    <n v="93"/>
    <n v="0.34"/>
    <n v="89"/>
    <n v="15.64"/>
    <n v="7.82"/>
    <n v="207"/>
    <m/>
    <m/>
    <m/>
  </r>
  <r>
    <s v="2022-01-25 17:26 (-08)"/>
    <x v="900"/>
    <x v="1685"/>
    <x v="5"/>
    <s v="On Demand"/>
    <x v="34"/>
    <x v="1"/>
    <x v="0"/>
    <s v="Scenic Ride"/>
    <x v="619"/>
    <x v="231"/>
    <n v="48"/>
    <n v="79"/>
    <n v="0.34"/>
    <n v="82"/>
    <n v="14.67"/>
    <n v="2.4500000000000002"/>
    <n v="59"/>
    <m/>
    <m/>
    <m/>
  </r>
  <r>
    <s v="2022-01-25 17:38 (-08)"/>
    <x v="900"/>
    <x v="1570"/>
    <x v="5"/>
    <s v="On Demand"/>
    <x v="1"/>
    <x v="1"/>
    <x v="1"/>
    <s v="Core"/>
    <x v="1"/>
    <x v="165"/>
    <m/>
    <m/>
    <m/>
    <m/>
    <m/>
    <m/>
    <n v="46"/>
    <m/>
    <m/>
    <m/>
  </r>
  <r>
    <s v="2022-01-25 22:19 (PST)"/>
    <x v="900"/>
    <x v="814"/>
    <x v="5"/>
    <s v="On Demand"/>
    <x v="23"/>
    <x v="5"/>
    <x v="5"/>
    <s v="Emotions"/>
    <x v="64"/>
    <x v="2523"/>
    <m/>
    <m/>
    <m/>
    <m/>
    <m/>
    <m/>
    <m/>
    <m/>
    <m/>
    <m/>
  </r>
  <r>
    <s v="2022-02-01 15:13 (PST)"/>
    <x v="901"/>
    <x v="17"/>
    <x v="5"/>
    <s v="On Demand"/>
    <x v="11"/>
    <x v="2"/>
    <x v="6"/>
    <s v="Music Walk"/>
    <x v="620"/>
    <x v="2524"/>
    <n v="0"/>
    <m/>
    <m/>
    <m/>
    <n v="0"/>
    <n v="0"/>
    <n v="110"/>
    <m/>
    <m/>
    <m/>
  </r>
  <r>
    <s v="2022-02-01 16:47 (-08)"/>
    <x v="901"/>
    <x v="279"/>
    <x v="5"/>
    <s v="On Demand"/>
    <x v="1"/>
    <x v="1"/>
    <x v="1"/>
    <s v="Core"/>
    <x v="1"/>
    <x v="165"/>
    <m/>
    <m/>
    <m/>
    <m/>
    <m/>
    <m/>
    <n v="46"/>
    <m/>
    <m/>
    <m/>
  </r>
  <r>
    <s v="2022-02-01 17:00 (-08)"/>
    <x v="901"/>
    <x v="538"/>
    <x v="5"/>
    <s v="On Demand"/>
    <x v="6"/>
    <x v="0"/>
    <x v="0"/>
    <s v="Power Zone"/>
    <x v="195"/>
    <x v="2389"/>
    <n v="279"/>
    <n v="103"/>
    <n v="0.35"/>
    <n v="86"/>
    <n v="15.49"/>
    <n v="11.53"/>
    <n v="344"/>
    <m/>
    <m/>
    <m/>
  </r>
  <r>
    <s v="2022-02-01 17:51 (-08)"/>
    <x v="901"/>
    <x v="579"/>
    <x v="5"/>
    <s v="On Demand"/>
    <x v="6"/>
    <x v="3"/>
    <x v="0"/>
    <s v="Cool Down"/>
    <x v="10"/>
    <x v="156"/>
    <n v="17"/>
    <n v="58"/>
    <n v="0.28000000000000003"/>
    <n v="89"/>
    <n v="12.81"/>
    <n v="1.07"/>
    <n v="21"/>
    <m/>
    <m/>
    <m/>
  </r>
  <r>
    <s v="2022-02-01 17:59 (-08)"/>
    <x v="901"/>
    <x v="541"/>
    <x v="5"/>
    <s v="On Demand"/>
    <x v="12"/>
    <x v="1"/>
    <x v="1"/>
    <s v="Arms &amp; Light Weights"/>
    <x v="28"/>
    <x v="174"/>
    <m/>
    <m/>
    <m/>
    <m/>
    <m/>
    <m/>
    <n v="33"/>
    <m/>
    <m/>
    <m/>
  </r>
  <r>
    <s v="2022-02-01 21:06 (PST)"/>
    <x v="901"/>
    <x v="1216"/>
    <x v="5"/>
    <s v="On Demand"/>
    <x v="13"/>
    <x v="5"/>
    <x v="5"/>
    <s v="Sleep"/>
    <x v="29"/>
    <x v="2525"/>
    <m/>
    <m/>
    <m/>
    <m/>
    <m/>
    <m/>
    <m/>
    <m/>
    <m/>
    <m/>
  </r>
  <r>
    <s v="2022-02-01 22:56 (PST)"/>
    <x v="901"/>
    <x v="820"/>
    <x v="5"/>
    <s v="On Demand"/>
    <x v="25"/>
    <x v="1"/>
    <x v="5"/>
    <s v="Sleep"/>
    <x v="39"/>
    <x v="1576"/>
    <m/>
    <m/>
    <m/>
    <m/>
    <m/>
    <m/>
    <m/>
    <m/>
    <m/>
    <m/>
  </r>
  <r>
    <s v="2022-02-08 07:32 (PST)"/>
    <x v="902"/>
    <x v="394"/>
    <x v="5"/>
    <s v="On Demand"/>
    <x v="7"/>
    <x v="2"/>
    <x v="4"/>
    <s v="Flow"/>
    <x v="542"/>
    <x v="2526"/>
    <m/>
    <m/>
    <m/>
    <m/>
    <m/>
    <m/>
    <n v="97"/>
    <m/>
    <m/>
    <m/>
  </r>
  <r>
    <s v="2022-02-08 16:13 (PST)"/>
    <x v="902"/>
    <x v="1688"/>
    <x v="5"/>
    <s v="On Demand"/>
    <x v="37"/>
    <x v="5"/>
    <x v="6"/>
    <s v="Music Walk"/>
    <x v="524"/>
    <x v="2527"/>
    <n v="0"/>
    <m/>
    <m/>
    <m/>
    <n v="0"/>
    <n v="0"/>
    <n v="71"/>
    <m/>
    <m/>
    <m/>
  </r>
  <r>
    <s v="2022-02-08 16:50 (-08)"/>
    <x v="902"/>
    <x v="1470"/>
    <x v="5"/>
    <s v="On Demand"/>
    <x v="4"/>
    <x v="0"/>
    <x v="0"/>
    <s v="Power Zone"/>
    <x v="27"/>
    <x v="2528"/>
    <n v="267"/>
    <n v="99"/>
    <n v="0.36"/>
    <n v="87"/>
    <n v="16.059999999999999"/>
    <n v="12.05"/>
    <n v="329"/>
    <m/>
    <m/>
    <m/>
  </r>
  <r>
    <s v="2022-02-08 23:15 (PST)"/>
    <x v="902"/>
    <x v="216"/>
    <x v="5"/>
    <s v="On Demand"/>
    <x v="25"/>
    <x v="5"/>
    <x v="5"/>
    <s v="Relaxation"/>
    <x v="112"/>
    <x v="1186"/>
    <m/>
    <m/>
    <m/>
    <m/>
    <m/>
    <m/>
    <m/>
    <m/>
    <m/>
    <m/>
  </r>
  <r>
    <s v="2022-02-15 15:30 (PST)"/>
    <x v="903"/>
    <x v="360"/>
    <x v="5"/>
    <s v="On Demand"/>
    <x v="3"/>
    <x v="0"/>
    <x v="6"/>
    <s v="Power Walk"/>
    <x v="138"/>
    <x v="2529"/>
    <n v="0"/>
    <m/>
    <m/>
    <m/>
    <n v="0"/>
    <n v="0"/>
    <n v="166"/>
    <n v="126.42"/>
    <m/>
    <m/>
  </r>
  <r>
    <s v="2022-02-15 19:18 (-08)"/>
    <x v="903"/>
    <x v="1689"/>
    <x v="5"/>
    <s v="On Demand"/>
    <x v="7"/>
    <x v="3"/>
    <x v="0"/>
    <s v="Warm Up"/>
    <x v="22"/>
    <x v="2530"/>
    <n v="20"/>
    <n v="67"/>
    <n v="0.28999999999999998"/>
    <n v="89"/>
    <n v="13.31"/>
    <n v="1.1100000000000001"/>
    <n v="25"/>
    <m/>
    <m/>
    <m/>
  </r>
  <r>
    <s v="2022-02-15 19:24 (-08)"/>
    <x v="903"/>
    <x v="1690"/>
    <x v="5"/>
    <s v="On Demand"/>
    <x v="7"/>
    <x v="2"/>
    <x v="0"/>
    <s v="Power Zone"/>
    <x v="5"/>
    <x v="2531"/>
    <n v="176"/>
    <n v="98"/>
    <n v="0.36"/>
    <n v="87"/>
    <n v="15.88"/>
    <n v="7.94"/>
    <n v="217"/>
    <m/>
    <m/>
    <m/>
  </r>
  <r>
    <s v="2022-02-15 19:55 (-08)"/>
    <x v="903"/>
    <x v="1691"/>
    <x v="5"/>
    <s v="On Demand"/>
    <x v="9"/>
    <x v="3"/>
    <x v="2"/>
    <s v="Pre &amp; Post-Ride Stretch"/>
    <x v="8"/>
    <x v="2532"/>
    <m/>
    <m/>
    <m/>
    <m/>
    <m/>
    <m/>
    <n v="12"/>
    <m/>
    <m/>
    <m/>
  </r>
  <r>
    <s v="2022-02-15 22:32 (PST)"/>
    <x v="903"/>
    <x v="454"/>
    <x v="5"/>
    <s v="On Demand"/>
    <x v="13"/>
    <x v="5"/>
    <x v="5"/>
    <s v="Relaxation"/>
    <x v="35"/>
    <x v="2533"/>
    <m/>
    <m/>
    <m/>
    <m/>
    <m/>
    <m/>
    <m/>
    <m/>
    <m/>
    <m/>
  </r>
  <r>
    <s v="2022-02-22 07:16 (PST)"/>
    <x v="904"/>
    <x v="107"/>
    <x v="5"/>
    <s v="On Demand"/>
    <x v="7"/>
    <x v="2"/>
    <x v="4"/>
    <s v="Slow Flow"/>
    <x v="50"/>
    <x v="2075"/>
    <m/>
    <m/>
    <m/>
    <m/>
    <m/>
    <m/>
    <n v="91"/>
    <m/>
    <m/>
    <m/>
  </r>
  <r>
    <s v="2022-02-22 12:58 (PST)"/>
    <x v="904"/>
    <x v="1692"/>
    <x v="5"/>
    <s v="On Demand"/>
    <x v="26"/>
    <x v="2"/>
    <x v="6"/>
    <s v="Music Walk"/>
    <x v="621"/>
    <x v="2534"/>
    <n v="0"/>
    <m/>
    <m/>
    <m/>
    <n v="0"/>
    <n v="0"/>
    <n v="170"/>
    <n v="122.24"/>
    <m/>
    <m/>
  </r>
  <r>
    <s v="2022-02-22 17:30 (-08)"/>
    <x v="904"/>
    <x v="1693"/>
    <x v="5"/>
    <s v="On Demand"/>
    <x v="6"/>
    <x v="0"/>
    <x v="0"/>
    <s v="Power Zone"/>
    <x v="85"/>
    <x v="2535"/>
    <n v="301"/>
    <n v="111"/>
    <n v="0.38"/>
    <n v="86"/>
    <n v="16.8"/>
    <n v="12.6"/>
    <n v="371"/>
    <m/>
    <m/>
    <m/>
  </r>
  <r>
    <s v="2022-02-22 18:16 (-08)"/>
    <x v="904"/>
    <x v="1694"/>
    <x v="5"/>
    <s v="On Demand"/>
    <x v="15"/>
    <x v="3"/>
    <x v="0"/>
    <s v="Cool Down"/>
    <x v="10"/>
    <x v="1196"/>
    <n v="24"/>
    <n v="80"/>
    <n v="0.34"/>
    <n v="86"/>
    <n v="14.76"/>
    <n v="1.23"/>
    <n v="30"/>
    <m/>
    <m/>
    <m/>
  </r>
  <r>
    <s v="2022-02-22 18:23 (-08)"/>
    <x v="904"/>
    <x v="555"/>
    <x v="5"/>
    <s v="On Demand"/>
    <x v="21"/>
    <x v="1"/>
    <x v="1"/>
    <s v="Core"/>
    <x v="1"/>
    <x v="2536"/>
    <m/>
    <m/>
    <m/>
    <m/>
    <m/>
    <m/>
    <n v="46"/>
    <m/>
    <m/>
    <m/>
  </r>
  <r>
    <s v="2022-02-22 22:11 (PST)"/>
    <x v="904"/>
    <x v="137"/>
    <x v="5"/>
    <s v="On Demand"/>
    <x v="25"/>
    <x v="5"/>
    <x v="5"/>
    <s v="Emotions"/>
    <x v="347"/>
    <x v="2537"/>
    <m/>
    <m/>
    <m/>
    <m/>
    <m/>
    <m/>
    <m/>
    <m/>
    <m/>
    <m/>
  </r>
  <r>
    <s v="2022-03-01 00:45 (PST)"/>
    <x v="905"/>
    <x v="1695"/>
    <x v="5"/>
    <s v="On Demand"/>
    <x v="16"/>
    <x v="1"/>
    <x v="5"/>
    <s v="Breath"/>
    <x v="154"/>
    <x v="2538"/>
    <m/>
    <m/>
    <m/>
    <m/>
    <m/>
    <m/>
    <m/>
    <m/>
    <m/>
    <m/>
  </r>
  <r>
    <s v="2022-03-01 05:21 (PST)"/>
    <x v="905"/>
    <x v="1696"/>
    <x v="5"/>
    <s v="On Demand"/>
    <x v="16"/>
    <x v="1"/>
    <x v="5"/>
    <s v="Relaxation"/>
    <x v="34"/>
    <x v="2539"/>
    <m/>
    <m/>
    <m/>
    <m/>
    <m/>
    <m/>
    <m/>
    <m/>
    <m/>
    <m/>
  </r>
  <r>
    <s v="2022-03-01 06:56 (PST)"/>
    <x v="905"/>
    <x v="585"/>
    <x v="5"/>
    <s v="On Demand"/>
    <x v="21"/>
    <x v="1"/>
    <x v="1"/>
    <s v="Core"/>
    <x v="1"/>
    <x v="2540"/>
    <m/>
    <m/>
    <m/>
    <m/>
    <m/>
    <m/>
    <n v="45"/>
    <m/>
    <m/>
    <m/>
  </r>
  <r>
    <s v="2022-03-01 07:08 (PST)"/>
    <x v="905"/>
    <x v="414"/>
    <x v="5"/>
    <s v="On Demand"/>
    <x v="16"/>
    <x v="2"/>
    <x v="4"/>
    <s v="Focus Flow"/>
    <x v="193"/>
    <x v="2541"/>
    <m/>
    <m/>
    <m/>
    <m/>
    <m/>
    <m/>
    <n v="97"/>
    <m/>
    <m/>
    <m/>
  </r>
  <r>
    <s v="2022-03-01 14:03 (PST)"/>
    <x v="905"/>
    <x v="1382"/>
    <x v="5"/>
    <s v="On Demand"/>
    <x v="31"/>
    <x v="0"/>
    <x v="6"/>
    <s v="Power Walk"/>
    <x v="138"/>
    <x v="2542"/>
    <n v="0"/>
    <m/>
    <m/>
    <m/>
    <n v="0"/>
    <n v="0"/>
    <n v="175"/>
    <n v="116.42"/>
    <m/>
    <m/>
  </r>
  <r>
    <s v="2022-03-01 20:24 (PST)"/>
    <x v="905"/>
    <x v="1697"/>
    <x v="5"/>
    <s v="On Demand"/>
    <x v="8"/>
    <x v="1"/>
    <x v="2"/>
    <s v="Foam Rolling"/>
    <x v="381"/>
    <x v="1607"/>
    <m/>
    <m/>
    <m/>
    <m/>
    <m/>
    <m/>
    <n v="22"/>
    <m/>
    <m/>
    <m/>
  </r>
  <r>
    <s v="2022-03-01 20:36 (PST)"/>
    <x v="905"/>
    <x v="358"/>
    <x v="5"/>
    <s v="On Demand"/>
    <x v="8"/>
    <x v="1"/>
    <x v="2"/>
    <s v="Foam Rolling"/>
    <x v="380"/>
    <x v="1607"/>
    <m/>
    <m/>
    <m/>
    <m/>
    <m/>
    <m/>
    <n v="22"/>
    <m/>
    <m/>
    <m/>
  </r>
  <r>
    <s v="2022-03-01 20:50 (PST)"/>
    <x v="905"/>
    <x v="1698"/>
    <x v="5"/>
    <s v="On Demand"/>
    <x v="16"/>
    <x v="1"/>
    <x v="4"/>
    <s v="Focus Flow"/>
    <x v="622"/>
    <x v="2543"/>
    <m/>
    <m/>
    <m/>
    <m/>
    <m/>
    <m/>
    <n v="33"/>
    <m/>
    <m/>
    <m/>
  </r>
  <r>
    <s v="2022-03-01 22:19 (PST)"/>
    <x v="905"/>
    <x v="814"/>
    <x v="5"/>
    <s v="On Demand"/>
    <x v="19"/>
    <x v="7"/>
    <x v="5"/>
    <s v="Sleep"/>
    <x v="65"/>
    <x v="1596"/>
    <m/>
    <m/>
    <m/>
    <m/>
    <m/>
    <m/>
    <m/>
    <m/>
    <m/>
    <m/>
  </r>
  <r>
    <s v="2022-03-08 07:16 (PST)"/>
    <x v="906"/>
    <x v="107"/>
    <x v="5"/>
    <s v="On Demand"/>
    <x v="16"/>
    <x v="2"/>
    <x v="4"/>
    <s v="Flow"/>
    <x v="69"/>
    <x v="2544"/>
    <m/>
    <m/>
    <m/>
    <m/>
    <m/>
    <m/>
    <n v="92"/>
    <m/>
    <m/>
    <m/>
  </r>
  <r>
    <s v="2022-03-08 17:11 (PST)"/>
    <x v="906"/>
    <x v="1699"/>
    <x v="5"/>
    <s v="On Demand"/>
    <x v="57"/>
    <x v="2"/>
    <x v="6"/>
    <s v="Podcast"/>
    <x v="623"/>
    <x v="2545"/>
    <n v="0"/>
    <m/>
    <m/>
    <m/>
    <n v="0"/>
    <n v="0"/>
    <n v="117"/>
    <m/>
    <m/>
    <m/>
  </r>
  <r>
    <s v="2022-03-08 18:59 (-08)"/>
    <x v="906"/>
    <x v="1700"/>
    <x v="5"/>
    <s v="On Demand"/>
    <x v="1"/>
    <x v="7"/>
    <x v="1"/>
    <s v="Core"/>
    <x v="624"/>
    <x v="2546"/>
    <m/>
    <m/>
    <m/>
    <m/>
    <m/>
    <m/>
    <n v="69"/>
    <m/>
    <m/>
    <m/>
  </r>
  <r>
    <s v="2022-03-08 19:20 (-08)"/>
    <x v="906"/>
    <x v="1701"/>
    <x v="5"/>
    <s v="On Demand"/>
    <x v="6"/>
    <x v="5"/>
    <x v="0"/>
    <s v="Low Impact"/>
    <x v="360"/>
    <x v="2039"/>
    <n v="93"/>
    <n v="78"/>
    <n v="0.31"/>
    <n v="91"/>
    <n v="14.57"/>
    <n v="4.8499999999999996"/>
    <n v="115"/>
    <m/>
    <m/>
    <m/>
  </r>
  <r>
    <s v="2022-03-08 19:45 (-08)"/>
    <x v="906"/>
    <x v="143"/>
    <x v="5"/>
    <s v="On Demand"/>
    <x v="29"/>
    <x v="1"/>
    <x v="1"/>
    <s v="Arms &amp; Light Weights"/>
    <x v="28"/>
    <x v="2547"/>
    <m/>
    <m/>
    <m/>
    <m/>
    <m/>
    <m/>
    <n v="46"/>
    <m/>
    <m/>
    <m/>
  </r>
  <r>
    <s v="2022-03-08 22:14 (PST)"/>
    <x v="906"/>
    <x v="361"/>
    <x v="5"/>
    <s v="On Demand"/>
    <x v="19"/>
    <x v="5"/>
    <x v="5"/>
    <s v="Relaxation"/>
    <x v="84"/>
    <x v="2548"/>
    <m/>
    <m/>
    <m/>
    <m/>
    <m/>
    <m/>
    <m/>
    <m/>
    <m/>
    <m/>
  </r>
  <r>
    <s v="2022-03-15 07:33 (PST)"/>
    <x v="907"/>
    <x v="118"/>
    <x v="5"/>
    <s v="On Demand"/>
    <x v="13"/>
    <x v="2"/>
    <x v="4"/>
    <s v="Slow Flow"/>
    <x v="625"/>
    <x v="2549"/>
    <m/>
    <m/>
    <m/>
    <m/>
    <m/>
    <m/>
    <n v="102"/>
    <m/>
    <m/>
    <m/>
  </r>
  <r>
    <s v="2022-03-15 14:41 (PST)"/>
    <x v="907"/>
    <x v="1702"/>
    <x v="5"/>
    <s v="On Demand"/>
    <x v="58"/>
    <x v="2"/>
    <x v="6"/>
    <s v="Podcast"/>
    <x v="626"/>
    <x v="2550"/>
    <n v="0"/>
    <m/>
    <m/>
    <m/>
    <n v="3.74"/>
    <n v="1.77"/>
    <n v="196"/>
    <n v="135.80000000000001"/>
    <m/>
    <m/>
  </r>
  <r>
    <s v="2022-03-15 20:03 (-07)"/>
    <x v="907"/>
    <x v="1703"/>
    <x v="5"/>
    <s v="On Demand"/>
    <x v="6"/>
    <x v="2"/>
    <x v="0"/>
    <s v="Power Zone"/>
    <x v="184"/>
    <x v="2551"/>
    <n v="160"/>
    <n v="89"/>
    <n v="0.34"/>
    <n v="87"/>
    <n v="15.32"/>
    <n v="7.66"/>
    <n v="301"/>
    <n v="154.26"/>
    <m/>
    <m/>
  </r>
  <r>
    <s v="2022-03-15 20:37 (-07)"/>
    <x v="907"/>
    <x v="1419"/>
    <x v="5"/>
    <s v="On Demand"/>
    <x v="50"/>
    <x v="5"/>
    <x v="1"/>
    <s v="Bodyweight"/>
    <x v="197"/>
    <x v="2552"/>
    <m/>
    <m/>
    <m/>
    <m/>
    <m/>
    <m/>
    <n v="140"/>
    <n v="126.85"/>
    <m/>
    <m/>
  </r>
  <r>
    <s v="2022-03-15 22:21 (PST)"/>
    <x v="907"/>
    <x v="740"/>
    <x v="5"/>
    <s v="On Demand"/>
    <x v="23"/>
    <x v="5"/>
    <x v="5"/>
    <s v="Relaxation"/>
    <x v="84"/>
    <x v="674"/>
    <m/>
    <m/>
    <m/>
    <m/>
    <m/>
    <m/>
    <m/>
    <m/>
    <m/>
    <m/>
  </r>
  <r>
    <s v="2022-03-22 20:36 (-07)"/>
    <x v="908"/>
    <x v="1704"/>
    <x v="5"/>
    <s v="On Demand"/>
    <x v="1"/>
    <x v="5"/>
    <x v="0"/>
    <s v="Low Impact"/>
    <x v="67"/>
    <x v="2553"/>
    <n v="94"/>
    <n v="79"/>
    <n v="0.34"/>
    <n v="81"/>
    <n v="14.54"/>
    <n v="4.8499999999999996"/>
    <n v="187"/>
    <n v="148.43"/>
    <m/>
    <m/>
  </r>
  <r>
    <s v="2022-03-22 22:14 (PST)"/>
    <x v="908"/>
    <x v="361"/>
    <x v="5"/>
    <s v="On Demand"/>
    <x v="28"/>
    <x v="1"/>
    <x v="5"/>
    <s v="Relaxation"/>
    <x v="34"/>
    <x v="2554"/>
    <m/>
    <m/>
    <m/>
    <m/>
    <m/>
    <m/>
    <m/>
    <m/>
    <m/>
    <m/>
  </r>
  <r>
    <s v="2022-03-29 15:54 (PST)"/>
    <x v="909"/>
    <x v="1705"/>
    <x v="5"/>
    <s v="On Demand"/>
    <x v="59"/>
    <x v="2"/>
    <x v="6"/>
    <s v="Podcast"/>
    <x v="627"/>
    <x v="2555"/>
    <n v="0"/>
    <m/>
    <m/>
    <m/>
    <n v="3.49"/>
    <n v="1.68"/>
    <n v="183"/>
    <n v="120.79"/>
    <m/>
    <m/>
  </r>
  <r>
    <s v="2022-03-29 17:20 (-07)"/>
    <x v="909"/>
    <x v="619"/>
    <x v="5"/>
    <s v="On Demand"/>
    <x v="18"/>
    <x v="3"/>
    <x v="0"/>
    <s v="Warm Up"/>
    <x v="22"/>
    <x v="2556"/>
    <n v="22"/>
    <n v="73"/>
    <n v="0.28999999999999998"/>
    <n v="97"/>
    <n v="14.19"/>
    <n v="1.18"/>
    <n v="31"/>
    <n v="126.01"/>
    <m/>
    <m/>
  </r>
  <r>
    <s v="2022-03-29 17:27 (-07)"/>
    <x v="909"/>
    <x v="109"/>
    <x v="5"/>
    <s v="On Demand"/>
    <x v="6"/>
    <x v="0"/>
    <x v="0"/>
    <s v="Power Zone"/>
    <x v="85"/>
    <x v="2557"/>
    <n v="283"/>
    <n v="105"/>
    <n v="0.36"/>
    <n v="86"/>
    <n v="16.03"/>
    <n v="12.03"/>
    <n v="458"/>
    <n v="156.9"/>
    <m/>
    <m/>
  </r>
  <r>
    <s v="2022-03-29 18:14 (-07)"/>
    <x v="909"/>
    <x v="648"/>
    <x v="5"/>
    <s v="On Demand"/>
    <x v="42"/>
    <x v="3"/>
    <x v="0"/>
    <s v="Cool Down"/>
    <x v="10"/>
    <x v="2558"/>
    <n v="16"/>
    <n v="52"/>
    <n v="0.28000000000000003"/>
    <n v="83"/>
    <n v="12.19"/>
    <n v="1.01"/>
    <n v="31"/>
    <n v="124.68"/>
    <m/>
    <m/>
  </r>
  <r>
    <s v="2022-03-29 18:25 (-07)"/>
    <x v="909"/>
    <x v="688"/>
    <x v="5"/>
    <s v="On Demand"/>
    <x v="7"/>
    <x v="3"/>
    <x v="2"/>
    <s v="Pre &amp; Post-Ride Stretch"/>
    <x v="8"/>
    <x v="684"/>
    <m/>
    <m/>
    <m/>
    <m/>
    <m/>
    <m/>
    <n v="21"/>
    <n v="103.55"/>
    <m/>
    <m/>
  </r>
  <r>
    <s v="2022-03-29 22:02 (PST)"/>
    <x v="909"/>
    <x v="399"/>
    <x v="5"/>
    <s v="On Demand"/>
    <x v="13"/>
    <x v="1"/>
    <x v="5"/>
    <s v="Sleep"/>
    <x v="39"/>
    <x v="678"/>
    <m/>
    <m/>
    <m/>
    <m/>
    <m/>
    <m/>
    <m/>
    <m/>
    <m/>
    <m/>
  </r>
  <r>
    <s v="2022-04-05 15:30 (PST)"/>
    <x v="910"/>
    <x v="360"/>
    <x v="5"/>
    <s v="On Demand"/>
    <x v="60"/>
    <x v="2"/>
    <x v="6"/>
    <s v="Podcast"/>
    <x v="628"/>
    <x v="2559"/>
    <n v="0"/>
    <m/>
    <m/>
    <m/>
    <n v="3.46"/>
    <n v="1.67"/>
    <n v="170"/>
    <n v="115.32"/>
    <m/>
    <m/>
  </r>
  <r>
    <s v="2022-04-05 17:15 (-07)"/>
    <x v="910"/>
    <x v="248"/>
    <x v="5"/>
    <s v="On Demand"/>
    <x v="6"/>
    <x v="0"/>
    <x v="0"/>
    <s v="Power Zone"/>
    <x v="629"/>
    <x v="2560"/>
    <n v="279"/>
    <n v="103"/>
    <n v="0.37"/>
    <n v="86"/>
    <n v="16.329999999999998"/>
    <n v="12.25"/>
    <n v="428"/>
    <n v="149.72999999999999"/>
    <m/>
    <m/>
  </r>
  <r>
    <s v="2022-04-05 18:01 (-07)"/>
    <x v="910"/>
    <x v="612"/>
    <x v="5"/>
    <s v="On Demand"/>
    <x v="22"/>
    <x v="3"/>
    <x v="0"/>
    <s v="Cool Down"/>
    <x v="10"/>
    <x v="200"/>
    <n v="22"/>
    <n v="73"/>
    <n v="0.35"/>
    <n v="76"/>
    <n v="14.15"/>
    <n v="1.18"/>
    <n v="35"/>
    <n v="129.21"/>
    <m/>
    <m/>
  </r>
  <r>
    <s v="2022-04-05 18:09 (-07)"/>
    <x v="910"/>
    <x v="518"/>
    <x v="5"/>
    <s v="On Demand"/>
    <x v="20"/>
    <x v="3"/>
    <x v="2"/>
    <s v="Pre &amp; Post-Ride Stretch"/>
    <x v="8"/>
    <x v="2561"/>
    <m/>
    <m/>
    <m/>
    <m/>
    <m/>
    <m/>
    <n v="19"/>
    <n v="100.74"/>
    <m/>
    <m/>
  </r>
  <r>
    <s v="2022-04-05 20:58 (PST)"/>
    <x v="910"/>
    <x v="1706"/>
    <x v="5"/>
    <s v="On Demand"/>
    <x v="23"/>
    <x v="5"/>
    <x v="4"/>
    <s v="Focus Flow"/>
    <x v="40"/>
    <x v="2562"/>
    <m/>
    <m/>
    <m/>
    <m/>
    <m/>
    <m/>
    <n v="66"/>
    <m/>
    <m/>
    <m/>
  </r>
  <r>
    <s v="2022-04-05 21:22 (PST)"/>
    <x v="910"/>
    <x v="341"/>
    <x v="5"/>
    <s v="On Demand"/>
    <x v="28"/>
    <x v="1"/>
    <x v="4"/>
    <s v="Focus Flow"/>
    <x v="133"/>
    <x v="2563"/>
    <m/>
    <m/>
    <m/>
    <m/>
    <m/>
    <m/>
    <n v="35"/>
    <m/>
    <m/>
    <m/>
  </r>
  <r>
    <s v="2022-04-05 21:35 (PST)"/>
    <x v="910"/>
    <x v="1707"/>
    <x v="5"/>
    <s v="On Demand"/>
    <x v="8"/>
    <x v="1"/>
    <x v="2"/>
    <s v="Foam Rolling"/>
    <x v="381"/>
    <x v="1607"/>
    <m/>
    <m/>
    <m/>
    <m/>
    <m/>
    <m/>
    <n v="23"/>
    <m/>
    <m/>
    <m/>
  </r>
  <r>
    <s v="2022-04-05 22:29 (PST)"/>
    <x v="910"/>
    <x v="639"/>
    <x v="5"/>
    <s v="On Demand"/>
    <x v="25"/>
    <x v="5"/>
    <x v="5"/>
    <s v="Relaxation"/>
    <x v="112"/>
    <x v="690"/>
    <m/>
    <m/>
    <m/>
    <m/>
    <m/>
    <m/>
    <m/>
    <m/>
    <m/>
    <m/>
  </r>
  <r>
    <s v="2022-04-12 07:40 (PST)"/>
    <x v="911"/>
    <x v="484"/>
    <x v="5"/>
    <s v="On Demand"/>
    <x v="23"/>
    <x v="2"/>
    <x v="4"/>
    <s v="Slow Flow"/>
    <x v="50"/>
    <x v="2564"/>
    <m/>
    <m/>
    <m/>
    <m/>
    <m/>
    <m/>
    <n v="101"/>
    <m/>
    <m/>
    <m/>
  </r>
  <r>
    <s v="2022-04-12 17:26 (-07)"/>
    <x v="911"/>
    <x v="1587"/>
    <x v="5"/>
    <s v="On Demand"/>
    <x v="6"/>
    <x v="2"/>
    <x v="1"/>
    <s v="Strength for Runners"/>
    <x v="630"/>
    <x v="2565"/>
    <m/>
    <m/>
    <m/>
    <m/>
    <m/>
    <m/>
    <n v="200"/>
    <n v="131.47"/>
    <m/>
    <m/>
  </r>
  <r>
    <s v="2022-04-12 17:58 (-07)"/>
    <x v="911"/>
    <x v="636"/>
    <x v="5"/>
    <s v="On Demand"/>
    <x v="8"/>
    <x v="1"/>
    <x v="1"/>
    <s v="Barre"/>
    <x v="519"/>
    <x v="680"/>
    <m/>
    <m/>
    <m/>
    <m/>
    <m/>
    <m/>
    <n v="42"/>
    <n v="102.41"/>
    <m/>
    <m/>
  </r>
  <r>
    <s v="2022-04-12 18:11 (-07)"/>
    <x v="911"/>
    <x v="1708"/>
    <x v="5"/>
    <s v="On Demand"/>
    <x v="3"/>
    <x v="1"/>
    <x v="1"/>
    <s v="Core"/>
    <x v="1"/>
    <x v="2566"/>
    <m/>
    <m/>
    <m/>
    <m/>
    <m/>
    <m/>
    <n v="47"/>
    <n v="108.72"/>
    <m/>
    <m/>
  </r>
  <r>
    <s v="2022-04-12 18:27 (-07)"/>
    <x v="911"/>
    <x v="115"/>
    <x v="5"/>
    <s v="On Demand"/>
    <x v="15"/>
    <x v="7"/>
    <x v="0"/>
    <s v="Low Impact"/>
    <x v="249"/>
    <x v="2567"/>
    <n v="73"/>
    <n v="81"/>
    <n v="0.33"/>
    <n v="88"/>
    <n v="14.68"/>
    <n v="3.68"/>
    <n v="119"/>
    <n v="136.78"/>
    <m/>
    <m/>
  </r>
  <r>
    <s v="2022-04-19 07:57 (PST)"/>
    <x v="912"/>
    <x v="12"/>
    <x v="5"/>
    <s v="On Demand"/>
    <x v="23"/>
    <x v="2"/>
    <x v="4"/>
    <s v="Slow Flow"/>
    <x v="50"/>
    <x v="2568"/>
    <m/>
    <m/>
    <m/>
    <m/>
    <m/>
    <m/>
    <n v="98"/>
    <m/>
    <m/>
    <m/>
  </r>
  <r>
    <s v="2022-04-19 16:53 (PST)"/>
    <x v="912"/>
    <x v="1121"/>
    <x v="5"/>
    <s v="On Demand"/>
    <x v="61"/>
    <x v="2"/>
    <x v="6"/>
    <s v="Podcast"/>
    <x v="631"/>
    <x v="2569"/>
    <n v="0"/>
    <m/>
    <m/>
    <m/>
    <n v="1.82"/>
    <n v="0.86"/>
    <n v="160"/>
    <n v="116.44"/>
    <m/>
    <m/>
  </r>
  <r>
    <s v="2022-04-19 18:52 (-07)"/>
    <x v="912"/>
    <x v="103"/>
    <x v="5"/>
    <s v="On Demand"/>
    <x v="50"/>
    <x v="1"/>
    <x v="1"/>
    <s v="Core"/>
    <x v="1"/>
    <x v="2570"/>
    <m/>
    <m/>
    <m/>
    <m/>
    <m/>
    <m/>
    <n v="36"/>
    <n v="95.79"/>
    <m/>
    <m/>
  </r>
  <r>
    <s v="2022-04-19 19:04 (-07)"/>
    <x v="912"/>
    <x v="1709"/>
    <x v="5"/>
    <s v="On Demand"/>
    <x v="33"/>
    <x v="5"/>
    <x v="1"/>
    <s v="Upper Body"/>
    <x v="285"/>
    <x v="2571"/>
    <m/>
    <m/>
    <m/>
    <m/>
    <m/>
    <m/>
    <n v="79"/>
    <n v="99.06"/>
    <m/>
    <m/>
  </r>
  <r>
    <s v="2022-04-19 19:31 (-07)"/>
    <x v="912"/>
    <x v="497"/>
    <x v="5"/>
    <s v="On Demand"/>
    <x v="1"/>
    <x v="5"/>
    <x v="0"/>
    <s v="Low Impact"/>
    <x v="360"/>
    <x v="2572"/>
    <n v="83"/>
    <n v="69"/>
    <n v="0.3"/>
    <n v="89"/>
    <n v="13.79"/>
    <n v="4.5999999999999996"/>
    <n v="118"/>
    <n v="135.47"/>
    <m/>
    <m/>
  </r>
  <r>
    <s v="2022-04-19 21:57 (PST)"/>
    <x v="912"/>
    <x v="824"/>
    <x v="5"/>
    <s v="On Demand"/>
    <x v="19"/>
    <x v="7"/>
    <x v="5"/>
    <s v="Relaxation"/>
    <x v="106"/>
    <x v="1620"/>
    <m/>
    <m/>
    <m/>
    <m/>
    <m/>
    <m/>
    <m/>
    <m/>
    <m/>
    <m/>
  </r>
  <r>
    <s v="2022-04-26 07:18 (PST)"/>
    <x v="913"/>
    <x v="1448"/>
    <x v="5"/>
    <s v="On Demand"/>
    <x v="28"/>
    <x v="2"/>
    <x v="4"/>
    <s v="Flow"/>
    <x v="632"/>
    <x v="2573"/>
    <m/>
    <m/>
    <m/>
    <m/>
    <m/>
    <m/>
    <n v="95"/>
    <m/>
    <m/>
    <m/>
  </r>
  <r>
    <s v="2022-04-26 22:43 (PST)"/>
    <x v="913"/>
    <x v="477"/>
    <x v="5"/>
    <s v="On Demand"/>
    <x v="13"/>
    <x v="5"/>
    <x v="5"/>
    <s v="Relaxation"/>
    <x v="35"/>
    <x v="2574"/>
    <m/>
    <m/>
    <m/>
    <m/>
    <m/>
    <m/>
    <m/>
    <m/>
    <m/>
    <m/>
  </r>
  <r>
    <s v="2022-05-03 07:57 (PST)"/>
    <x v="914"/>
    <x v="12"/>
    <x v="5"/>
    <s v="On Demand"/>
    <x v="23"/>
    <x v="2"/>
    <x v="4"/>
    <s v="Slow Flow"/>
    <x v="50"/>
    <x v="2575"/>
    <m/>
    <m/>
    <m/>
    <m/>
    <m/>
    <m/>
    <n v="101"/>
    <m/>
    <m/>
    <m/>
  </r>
  <r>
    <s v="2022-05-03 11:32 (PST)"/>
    <x v="914"/>
    <x v="1263"/>
    <x v="5"/>
    <s v="On Demand"/>
    <x v="31"/>
    <x v="1"/>
    <x v="1"/>
    <s v="Core"/>
    <x v="1"/>
    <x v="2576"/>
    <m/>
    <m/>
    <m/>
    <m/>
    <m/>
    <m/>
    <m/>
    <m/>
    <m/>
    <m/>
  </r>
  <r>
    <s v="2022-05-03 16:13 (PST)"/>
    <x v="914"/>
    <x v="1688"/>
    <x v="5"/>
    <s v="On Demand"/>
    <x v="62"/>
    <x v="2"/>
    <x v="6"/>
    <s v="Podcast"/>
    <x v="633"/>
    <x v="2577"/>
    <n v="0"/>
    <m/>
    <m/>
    <m/>
    <n v="3.13"/>
    <n v="1.49"/>
    <n v="141"/>
    <m/>
    <m/>
    <m/>
  </r>
  <r>
    <s v="2022-05-03 20:07 (-07)"/>
    <x v="914"/>
    <x v="1462"/>
    <x v="5"/>
    <s v="On Demand"/>
    <x v="6"/>
    <x v="0"/>
    <x v="0"/>
    <s v="Power Zone"/>
    <x v="27"/>
    <x v="2578"/>
    <n v="271"/>
    <n v="100"/>
    <n v="0.37"/>
    <n v="85"/>
    <n v="16.11"/>
    <n v="12.08"/>
    <n v="425"/>
    <n v="149.54"/>
    <m/>
    <m/>
  </r>
  <r>
    <s v="2022-05-03 20:55 (-07)"/>
    <x v="914"/>
    <x v="1710"/>
    <x v="5"/>
    <s v="On Demand"/>
    <x v="42"/>
    <x v="3"/>
    <x v="2"/>
    <s v="Pre &amp; Post-Ride Stretch"/>
    <x v="8"/>
    <x v="207"/>
    <m/>
    <m/>
    <m/>
    <m/>
    <m/>
    <m/>
    <n v="11"/>
    <m/>
    <m/>
    <m/>
  </r>
  <r>
    <s v="2022-05-03 22:07 (PST)"/>
    <x v="914"/>
    <x v="1413"/>
    <x v="5"/>
    <s v="On Demand"/>
    <x v="23"/>
    <x v="1"/>
    <x v="5"/>
    <s v="Emotions"/>
    <x v="109"/>
    <x v="2579"/>
    <m/>
    <m/>
    <m/>
    <m/>
    <m/>
    <m/>
    <m/>
    <m/>
    <m/>
    <m/>
  </r>
  <r>
    <s v="2022-05-10 07:32 (PST)"/>
    <x v="915"/>
    <x v="394"/>
    <x v="5"/>
    <s v="On Demand"/>
    <x v="16"/>
    <x v="2"/>
    <x v="4"/>
    <s v="Flow"/>
    <x v="41"/>
    <x v="2580"/>
    <m/>
    <m/>
    <m/>
    <m/>
    <m/>
    <m/>
    <n v="97"/>
    <m/>
    <m/>
    <m/>
  </r>
  <r>
    <s v="2022-05-10 20:14 (PST)"/>
    <x v="915"/>
    <x v="1235"/>
    <x v="5"/>
    <s v="On Demand"/>
    <x v="37"/>
    <x v="2"/>
    <x v="6"/>
    <s v="Music Walk"/>
    <x v="548"/>
    <x v="2581"/>
    <n v="0"/>
    <m/>
    <m/>
    <m/>
    <n v="3.88"/>
    <n v="1.93"/>
    <n v="188"/>
    <m/>
    <m/>
    <m/>
  </r>
  <r>
    <s v="2022-05-10 22:53 (PST)"/>
    <x v="915"/>
    <x v="964"/>
    <x v="5"/>
    <s v="On Demand"/>
    <x v="25"/>
    <x v="7"/>
    <x v="5"/>
    <s v="Mindfulness"/>
    <x v="42"/>
    <x v="2080"/>
    <m/>
    <m/>
    <m/>
    <m/>
    <m/>
    <m/>
    <m/>
    <m/>
    <m/>
    <m/>
  </r>
  <r>
    <s v="2022-05-17 04:44 (PST)"/>
    <x v="916"/>
    <x v="1711"/>
    <x v="5"/>
    <s v="On Demand"/>
    <x v="28"/>
    <x v="3"/>
    <x v="5"/>
    <s v="Breath"/>
    <x v="264"/>
    <x v="2582"/>
    <m/>
    <m/>
    <m/>
    <m/>
    <m/>
    <m/>
    <m/>
    <m/>
    <m/>
    <m/>
  </r>
  <r>
    <s v="2022-05-17 05:17 (PST)"/>
    <x v="916"/>
    <x v="1712"/>
    <x v="5"/>
    <s v="On Demand"/>
    <x v="23"/>
    <x v="3"/>
    <x v="5"/>
    <s v="Emotions"/>
    <x v="127"/>
    <x v="2583"/>
    <m/>
    <m/>
    <m/>
    <m/>
    <m/>
    <m/>
    <m/>
    <m/>
    <m/>
    <m/>
  </r>
  <r>
    <s v="2022-05-17 07:12 (PST)"/>
    <x v="916"/>
    <x v="532"/>
    <x v="5"/>
    <s v="On Demand"/>
    <x v="16"/>
    <x v="2"/>
    <x v="4"/>
    <s v="Focus Flow"/>
    <x v="187"/>
    <x v="2584"/>
    <m/>
    <m/>
    <m/>
    <m/>
    <m/>
    <m/>
    <n v="101"/>
    <m/>
    <m/>
    <m/>
  </r>
  <r>
    <s v="2022-05-17 14:00 (PST)"/>
    <x v="916"/>
    <x v="1441"/>
    <x v="5"/>
    <s v="On Demand"/>
    <x v="5"/>
    <x v="2"/>
    <x v="6"/>
    <s v="Walk + Run"/>
    <x v="237"/>
    <x v="2585"/>
    <n v="0"/>
    <m/>
    <m/>
    <m/>
    <n v="4.24"/>
    <n v="2.0099999999999998"/>
    <n v="259"/>
    <m/>
    <m/>
    <m/>
  </r>
  <r>
    <s v="2022-05-17 18:56 (-07)"/>
    <x v="916"/>
    <x v="1713"/>
    <x v="5"/>
    <s v="On Demand"/>
    <x v="1"/>
    <x v="1"/>
    <x v="1"/>
    <s v="Core"/>
    <x v="634"/>
    <x v="2586"/>
    <m/>
    <m/>
    <m/>
    <m/>
    <m/>
    <m/>
    <n v="46"/>
    <m/>
    <m/>
    <m/>
  </r>
  <r>
    <s v="2022-05-17 19:09 (-07)"/>
    <x v="916"/>
    <x v="1668"/>
    <x v="5"/>
    <s v="On Demand"/>
    <x v="6"/>
    <x v="0"/>
    <x v="0"/>
    <s v="Power Zone"/>
    <x v="27"/>
    <x v="2587"/>
    <n v="280"/>
    <n v="104"/>
    <n v="0.38"/>
    <n v="82"/>
    <n v="16.350000000000001"/>
    <n v="12.26"/>
    <n v="438"/>
    <n v="150.85"/>
    <m/>
    <m/>
  </r>
  <r>
    <s v="2022-05-17 19:55 (-07)"/>
    <x v="916"/>
    <x v="122"/>
    <x v="5"/>
    <s v="On Demand"/>
    <x v="6"/>
    <x v="3"/>
    <x v="2"/>
    <s v="Pre &amp; Post-Ride Stretch"/>
    <x v="8"/>
    <x v="737"/>
    <m/>
    <m/>
    <m/>
    <m/>
    <m/>
    <m/>
    <n v="11"/>
    <m/>
    <m/>
    <m/>
  </r>
  <r>
    <s v="2022-05-17 22:11 (PST)"/>
    <x v="916"/>
    <x v="137"/>
    <x v="5"/>
    <s v="On Demand"/>
    <x v="16"/>
    <x v="1"/>
    <x v="5"/>
    <s v="Theme"/>
    <x v="157"/>
    <x v="2588"/>
    <m/>
    <m/>
    <m/>
    <m/>
    <m/>
    <m/>
    <m/>
    <m/>
    <m/>
    <m/>
  </r>
  <r>
    <s v="2022-05-24 10:37 (PST)"/>
    <x v="917"/>
    <x v="1566"/>
    <x v="5"/>
    <s v="On Demand"/>
    <x v="16"/>
    <x v="2"/>
    <x v="4"/>
    <s v="Slow Flow"/>
    <x v="220"/>
    <x v="2589"/>
    <m/>
    <m/>
    <m/>
    <m/>
    <m/>
    <m/>
    <n v="91"/>
    <m/>
    <m/>
    <m/>
  </r>
  <r>
    <s v="2022-05-24 11:10 (PST)"/>
    <x v="917"/>
    <x v="1302"/>
    <x v="5"/>
    <s v="On Demand"/>
    <x v="1"/>
    <x v="1"/>
    <x v="1"/>
    <s v="Core"/>
    <x v="1"/>
    <x v="2590"/>
    <m/>
    <m/>
    <m/>
    <m/>
    <m/>
    <m/>
    <n v="44"/>
    <m/>
    <m/>
    <m/>
  </r>
  <r>
    <s v="2022-05-24 14:09 (PST)"/>
    <x v="917"/>
    <x v="1714"/>
    <x v="5"/>
    <s v="On Demand"/>
    <x v="15"/>
    <x v="5"/>
    <x v="6"/>
    <s v="Music Walk"/>
    <x v="258"/>
    <x v="2585"/>
    <n v="0"/>
    <m/>
    <m/>
    <m/>
    <n v="3.61"/>
    <n v="1.2"/>
    <n v="73"/>
    <m/>
    <m/>
    <m/>
  </r>
  <r>
    <s v="2022-05-24 14:29 (PST)"/>
    <x v="917"/>
    <x v="1386"/>
    <x v="5"/>
    <s v="On Demand"/>
    <x v="3"/>
    <x v="5"/>
    <x v="6"/>
    <s v="Theme Walk"/>
    <x v="635"/>
    <x v="1215"/>
    <n v="0"/>
    <m/>
    <m/>
    <m/>
    <n v="3.39"/>
    <n v="1.07"/>
    <n v="70"/>
    <m/>
    <m/>
    <m/>
  </r>
  <r>
    <s v="2022-05-24 22:04 (PST)"/>
    <x v="917"/>
    <x v="529"/>
    <x v="5"/>
    <s v="On Demand"/>
    <x v="13"/>
    <x v="1"/>
    <x v="5"/>
    <s v="Relaxation"/>
    <x v="34"/>
    <x v="2591"/>
    <m/>
    <m/>
    <m/>
    <m/>
    <m/>
    <m/>
    <m/>
    <m/>
    <m/>
    <m/>
  </r>
  <r>
    <s v="2022-05-31 13:15 (PST)"/>
    <x v="918"/>
    <x v="1715"/>
    <x v="5"/>
    <s v="On Demand"/>
    <x v="52"/>
    <x v="5"/>
    <x v="6"/>
    <s v="Theme Walk"/>
    <x v="636"/>
    <x v="2592"/>
    <n v="0"/>
    <m/>
    <m/>
    <m/>
    <n v="3.59"/>
    <n v="1.2"/>
    <n v="73"/>
    <m/>
    <m/>
    <m/>
  </r>
  <r>
    <s v="2022-05-31 13:35 (PST)"/>
    <x v="918"/>
    <x v="1716"/>
    <x v="5"/>
    <s v="On Demand"/>
    <x v="5"/>
    <x v="5"/>
    <x v="6"/>
    <s v="Music Walk"/>
    <x v="518"/>
    <x v="651"/>
    <n v="0"/>
    <m/>
    <m/>
    <m/>
    <n v="3.52"/>
    <n v="1.17"/>
    <n v="73"/>
    <m/>
    <m/>
    <m/>
  </r>
  <r>
    <s v="2022-05-31 22:41 (PST)"/>
    <x v="918"/>
    <x v="230"/>
    <x v="5"/>
    <s v="On Demand"/>
    <x v="25"/>
    <x v="7"/>
    <x v="5"/>
    <s v="Breath"/>
    <x v="637"/>
    <x v="2092"/>
    <m/>
    <m/>
    <m/>
    <m/>
    <m/>
    <m/>
    <m/>
    <m/>
    <m/>
    <m/>
  </r>
  <r>
    <s v="2022-06-07 07:15 (PST)"/>
    <x v="919"/>
    <x v="792"/>
    <x v="5"/>
    <s v="On Demand"/>
    <x v="28"/>
    <x v="2"/>
    <x v="4"/>
    <s v="Flow"/>
    <x v="638"/>
    <x v="2593"/>
    <m/>
    <m/>
    <m/>
    <m/>
    <m/>
    <m/>
    <n v="90"/>
    <m/>
    <m/>
    <m/>
  </r>
  <r>
    <s v="2022-06-07 17:07 (-07)"/>
    <x v="919"/>
    <x v="939"/>
    <x v="5"/>
    <s v="On Demand"/>
    <x v="35"/>
    <x v="1"/>
    <x v="1"/>
    <s v="Core"/>
    <x v="1"/>
    <x v="2594"/>
    <m/>
    <m/>
    <m/>
    <m/>
    <m/>
    <m/>
    <n v="42"/>
    <n v="101.06"/>
    <m/>
    <m/>
  </r>
  <r>
    <s v="2022-06-07 17:20 (-07)"/>
    <x v="919"/>
    <x v="619"/>
    <x v="5"/>
    <s v="On Demand"/>
    <x v="6"/>
    <x v="0"/>
    <x v="0"/>
    <s v="Power Zone"/>
    <x v="27"/>
    <x v="2595"/>
    <n v="284"/>
    <n v="105"/>
    <n v="0.37"/>
    <n v="86"/>
    <n v="16.45"/>
    <n v="12.34"/>
    <n v="349"/>
    <m/>
    <m/>
    <m/>
  </r>
  <r>
    <s v="2022-06-07 18:08 (-07)"/>
    <x v="919"/>
    <x v="758"/>
    <x v="5"/>
    <s v="On Demand"/>
    <x v="12"/>
    <x v="1"/>
    <x v="1"/>
    <s v="Arms &amp; Light Weights"/>
    <x v="28"/>
    <x v="2596"/>
    <m/>
    <m/>
    <m/>
    <m/>
    <m/>
    <m/>
    <n v="55"/>
    <n v="114.2"/>
    <m/>
    <m/>
  </r>
  <r>
    <s v="2022-06-07 18:23 (-07)"/>
    <x v="919"/>
    <x v="1717"/>
    <x v="5"/>
    <s v="On Demand"/>
    <x v="16"/>
    <x v="5"/>
    <x v="4"/>
    <s v="Focus Flow"/>
    <x v="40"/>
    <x v="2597"/>
    <m/>
    <m/>
    <m/>
    <m/>
    <m/>
    <m/>
    <n v="76"/>
    <n v="97.82"/>
    <m/>
    <m/>
  </r>
  <r>
    <s v="2022-06-07 22:20 (PST)"/>
    <x v="919"/>
    <x v="766"/>
    <x v="5"/>
    <s v="On Demand"/>
    <x v="25"/>
    <x v="3"/>
    <x v="5"/>
    <s v="Sleep"/>
    <x v="58"/>
    <x v="2598"/>
    <m/>
    <m/>
    <m/>
    <m/>
    <m/>
    <m/>
    <m/>
    <m/>
    <m/>
    <m/>
  </r>
  <r>
    <s v="2022-06-14 06:56 (PST)"/>
    <x v="920"/>
    <x v="585"/>
    <x v="5"/>
    <s v="On Demand"/>
    <x v="13"/>
    <x v="2"/>
    <x v="4"/>
    <s v="Theme"/>
    <x v="639"/>
    <x v="2599"/>
    <m/>
    <m/>
    <m/>
    <m/>
    <m/>
    <m/>
    <n v="88"/>
    <m/>
    <m/>
    <m/>
  </r>
  <r>
    <s v="2022-06-14 15:06 (-07)"/>
    <x v="920"/>
    <x v="1327"/>
    <x v="5"/>
    <s v="On Demand"/>
    <x v="8"/>
    <x v="1"/>
    <x v="1"/>
    <s v="Barre"/>
    <x v="519"/>
    <x v="2600"/>
    <m/>
    <m/>
    <m/>
    <m/>
    <m/>
    <m/>
    <n v="39"/>
    <n v="97.05"/>
    <m/>
    <m/>
  </r>
  <r>
    <s v="2022-06-14 15:17 (-07)"/>
    <x v="920"/>
    <x v="1209"/>
    <x v="5"/>
    <s v="On Demand"/>
    <x v="37"/>
    <x v="1"/>
    <x v="1"/>
    <s v="Core"/>
    <x v="1"/>
    <x v="2601"/>
    <m/>
    <m/>
    <m/>
    <m/>
    <m/>
    <m/>
    <n v="50"/>
    <n v="108.6"/>
    <m/>
    <m/>
  </r>
  <r>
    <s v="2022-06-14 15:29 (-07)"/>
    <x v="920"/>
    <x v="1718"/>
    <x v="5"/>
    <s v="On Demand"/>
    <x v="24"/>
    <x v="1"/>
    <x v="1"/>
    <s v="Upper Body"/>
    <x v="510"/>
    <x v="2602"/>
    <m/>
    <m/>
    <m/>
    <m/>
    <m/>
    <m/>
    <n v="63"/>
    <n v="111.81"/>
    <m/>
    <m/>
  </r>
  <r>
    <s v="2022-06-14 22:39 (PST)"/>
    <x v="920"/>
    <x v="426"/>
    <x v="5"/>
    <s v="On Demand"/>
    <x v="25"/>
    <x v="1"/>
    <x v="5"/>
    <s v="Relaxation"/>
    <x v="81"/>
    <x v="2603"/>
    <m/>
    <m/>
    <m/>
    <m/>
    <m/>
    <m/>
    <m/>
    <m/>
    <m/>
    <m/>
  </r>
  <r>
    <s v="2022-06-21 15:14 (PST)"/>
    <x v="921"/>
    <x v="1719"/>
    <x v="5"/>
    <s v="On Demand"/>
    <x v="5"/>
    <x v="5"/>
    <x v="6"/>
    <s v="Music Walk"/>
    <x v="104"/>
    <x v="2604"/>
    <n v="0"/>
    <m/>
    <m/>
    <m/>
    <n v="6.48"/>
    <n v="1.54"/>
    <n v="73"/>
    <m/>
    <m/>
    <m/>
  </r>
  <r>
    <s v="2022-06-21 15:34 (PST)"/>
    <x v="921"/>
    <x v="1720"/>
    <x v="5"/>
    <s v="On Demand"/>
    <x v="3"/>
    <x v="5"/>
    <x v="6"/>
    <s v="Music Walk"/>
    <x v="640"/>
    <x v="2605"/>
    <n v="0"/>
    <m/>
    <m/>
    <m/>
    <n v="5.4"/>
    <n v="1.42"/>
    <n v="61"/>
    <m/>
    <m/>
    <m/>
  </r>
  <r>
    <s v="2022-06-21 22:18 (PST)"/>
    <x v="921"/>
    <x v="117"/>
    <x v="5"/>
    <s v="On Demand"/>
    <x v="25"/>
    <x v="1"/>
    <x v="5"/>
    <s v="Relaxation"/>
    <x v="34"/>
    <x v="2606"/>
    <m/>
    <m/>
    <m/>
    <m/>
    <m/>
    <m/>
    <m/>
    <m/>
    <m/>
    <m/>
  </r>
  <r>
    <s v="2022-06-28 02:57 (PST)"/>
    <x v="922"/>
    <x v="1721"/>
    <x v="5"/>
    <s v="On Demand"/>
    <x v="28"/>
    <x v="1"/>
    <x v="5"/>
    <s v="Emotions"/>
    <x v="15"/>
    <x v="2607"/>
    <m/>
    <m/>
    <m/>
    <m/>
    <m/>
    <m/>
    <m/>
    <m/>
    <m/>
    <m/>
  </r>
  <r>
    <s v="2022-06-28 10:23 (PST)"/>
    <x v="922"/>
    <x v="1722"/>
    <x v="5"/>
    <s v="On Demand"/>
    <x v="23"/>
    <x v="2"/>
    <x v="4"/>
    <s v="Power"/>
    <x v="121"/>
    <x v="2608"/>
    <m/>
    <m/>
    <m/>
    <m/>
    <m/>
    <m/>
    <n v="97"/>
    <m/>
    <m/>
    <m/>
  </r>
  <r>
    <s v="2022-06-28 10:58 (PST)"/>
    <x v="922"/>
    <x v="870"/>
    <x v="5"/>
    <s v="On Demand"/>
    <x v="24"/>
    <x v="1"/>
    <x v="1"/>
    <s v="Core"/>
    <x v="108"/>
    <x v="2609"/>
    <m/>
    <m/>
    <m/>
    <m/>
    <m/>
    <m/>
    <n v="43"/>
    <m/>
    <m/>
    <m/>
  </r>
  <r>
    <s v="2022-07-05 03:02 (PST)"/>
    <x v="923"/>
    <x v="1723"/>
    <x v="5"/>
    <s v="On Demand"/>
    <x v="23"/>
    <x v="1"/>
    <x v="5"/>
    <s v="Relaxation"/>
    <x v="71"/>
    <x v="2610"/>
    <m/>
    <m/>
    <m/>
    <m/>
    <m/>
    <m/>
    <m/>
    <m/>
    <m/>
    <m/>
  </r>
  <r>
    <s v="2022-07-05 08:23 (PST)"/>
    <x v="923"/>
    <x v="209"/>
    <x v="5"/>
    <s v="On Demand"/>
    <x v="13"/>
    <x v="2"/>
    <x v="4"/>
    <s v="Flow"/>
    <x v="41"/>
    <x v="2611"/>
    <m/>
    <m/>
    <m/>
    <m/>
    <m/>
    <m/>
    <n v="97"/>
    <m/>
    <m/>
    <m/>
  </r>
  <r>
    <s v="2022-07-05 16:14 (-07)"/>
    <x v="923"/>
    <x v="626"/>
    <x v="5"/>
    <s v="On Demand"/>
    <x v="31"/>
    <x v="7"/>
    <x v="1"/>
    <s v="Core"/>
    <x v="126"/>
    <x v="2612"/>
    <m/>
    <m/>
    <m/>
    <m/>
    <m/>
    <m/>
    <n v="74"/>
    <n v="106.62"/>
    <m/>
    <m/>
  </r>
  <r>
    <s v="2022-07-05 16:31 (-07)"/>
    <x v="923"/>
    <x v="796"/>
    <x v="5"/>
    <s v="On Demand"/>
    <x v="21"/>
    <x v="5"/>
    <x v="1"/>
    <s v="Upper Body"/>
    <x v="247"/>
    <x v="2613"/>
    <m/>
    <m/>
    <m/>
    <m/>
    <m/>
    <m/>
    <n v="92"/>
    <m/>
    <m/>
    <m/>
  </r>
  <r>
    <s v="2022-07-05 16:52 (-07)"/>
    <x v="923"/>
    <x v="1499"/>
    <x v="5"/>
    <s v="On Demand"/>
    <x v="31"/>
    <x v="1"/>
    <x v="1"/>
    <s v="Lower Body"/>
    <x v="332"/>
    <x v="2614"/>
    <m/>
    <m/>
    <m/>
    <m/>
    <m/>
    <m/>
    <n v="59"/>
    <n v="117.63"/>
    <m/>
    <m/>
  </r>
  <r>
    <s v="2022-07-05 17:06 (-07)"/>
    <x v="923"/>
    <x v="628"/>
    <x v="5"/>
    <s v="On Demand"/>
    <x v="6"/>
    <x v="7"/>
    <x v="0"/>
    <s v="Low Impact"/>
    <x v="641"/>
    <x v="2615"/>
    <n v="65"/>
    <n v="72"/>
    <n v="0.32"/>
    <n v="85"/>
    <n v="13.98"/>
    <n v="3.5"/>
    <n v="102"/>
    <n v="125.43"/>
    <m/>
    <m/>
  </r>
  <r>
    <s v="2022-07-12 10:52 (PST)"/>
    <x v="924"/>
    <x v="1724"/>
    <x v="5"/>
    <s v="On Demand"/>
    <x v="13"/>
    <x v="2"/>
    <x v="4"/>
    <s v="Flow"/>
    <x v="224"/>
    <x v="2616"/>
    <m/>
    <m/>
    <m/>
    <m/>
    <m/>
    <m/>
    <n v="94"/>
    <m/>
    <m/>
    <m/>
  </r>
  <r>
    <s v="2022-07-12 17:24 (-07)"/>
    <x v="924"/>
    <x v="624"/>
    <x v="5"/>
    <s v="On Demand"/>
    <x v="12"/>
    <x v="3"/>
    <x v="1"/>
    <s v="Warm Up"/>
    <x v="116"/>
    <x v="248"/>
    <m/>
    <m/>
    <m/>
    <m/>
    <m/>
    <m/>
    <n v="15"/>
    <n v="92.88"/>
    <m/>
    <m/>
  </r>
  <r>
    <s v="2022-07-12 17:31 (-07)"/>
    <x v="924"/>
    <x v="442"/>
    <x v="5"/>
    <s v="On Demand"/>
    <x v="12"/>
    <x v="1"/>
    <x v="1"/>
    <s v="Upper Body"/>
    <x v="117"/>
    <x v="248"/>
    <m/>
    <m/>
    <m/>
    <m/>
    <m/>
    <m/>
    <n v="56"/>
    <n v="114.29"/>
    <m/>
    <m/>
  </r>
  <r>
    <s v="2022-07-12 17:43 (-07)"/>
    <x v="924"/>
    <x v="504"/>
    <x v="5"/>
    <s v="On Demand"/>
    <x v="21"/>
    <x v="1"/>
    <x v="1"/>
    <s v="Core"/>
    <x v="242"/>
    <x v="2617"/>
    <m/>
    <m/>
    <m/>
    <m/>
    <m/>
    <m/>
    <n v="43"/>
    <n v="99.92"/>
    <m/>
    <m/>
  </r>
  <r>
    <s v="2022-07-12 17:57 (-07)"/>
    <x v="924"/>
    <x v="1517"/>
    <x v="5"/>
    <s v="On Demand"/>
    <x v="6"/>
    <x v="0"/>
    <x v="0"/>
    <s v="Power Zone"/>
    <x v="195"/>
    <x v="2618"/>
    <n v="309"/>
    <n v="114"/>
    <n v="0.38"/>
    <n v="85"/>
    <n v="16.59"/>
    <n v="12.45"/>
    <n v="401"/>
    <n v="143.86000000000001"/>
    <m/>
    <m/>
  </r>
  <r>
    <s v="2022-07-12 18:44 (-07)"/>
    <x v="924"/>
    <x v="699"/>
    <x v="5"/>
    <s v="On Demand"/>
    <x v="4"/>
    <x v="1"/>
    <x v="0"/>
    <s v="Cool Down"/>
    <x v="17"/>
    <x v="2619"/>
    <n v="35"/>
    <n v="59"/>
    <n v="0.3"/>
    <n v="81"/>
    <n v="12.88"/>
    <n v="2.15"/>
    <n v="56"/>
    <n v="111.98"/>
    <m/>
    <m/>
  </r>
  <r>
    <s v="2022-07-12 18:55 (-07)"/>
    <x v="924"/>
    <x v="759"/>
    <x v="5"/>
    <s v="On Demand"/>
    <x v="29"/>
    <x v="3"/>
    <x v="2"/>
    <s v="Pre &amp; Post-Ride Stretch"/>
    <x v="8"/>
    <x v="689"/>
    <m/>
    <m/>
    <m/>
    <m/>
    <m/>
    <m/>
    <n v="16"/>
    <n v="97.03"/>
    <m/>
    <m/>
  </r>
  <r>
    <s v="2022-07-12 22:39 (PST)"/>
    <x v="924"/>
    <x v="426"/>
    <x v="5"/>
    <s v="On Demand"/>
    <x v="16"/>
    <x v="1"/>
    <x v="5"/>
    <s v="Emotions"/>
    <x v="147"/>
    <x v="1650"/>
    <m/>
    <m/>
    <m/>
    <m/>
    <m/>
    <m/>
    <m/>
    <m/>
    <m/>
    <m/>
  </r>
  <r>
    <s v="2022-07-19 13:46 (PST)"/>
    <x v="925"/>
    <x v="1725"/>
    <x v="5"/>
    <s v="On Demand"/>
    <x v="31"/>
    <x v="1"/>
    <x v="1"/>
    <s v="Core"/>
    <x v="1"/>
    <x v="2620"/>
    <m/>
    <m/>
    <m/>
    <m/>
    <m/>
    <m/>
    <n v="44"/>
    <m/>
    <m/>
    <m/>
  </r>
  <r>
    <s v="2022-07-19 16:00 (-07)"/>
    <x v="925"/>
    <x v="1532"/>
    <x v="5"/>
    <s v="On Demand"/>
    <x v="6"/>
    <x v="4"/>
    <x v="0"/>
    <s v="Power Zone"/>
    <x v="7"/>
    <x v="2621"/>
    <n v="378"/>
    <n v="105"/>
    <n v="0.38"/>
    <n v="85"/>
    <n v="16.43"/>
    <n v="16.43"/>
    <n v="568"/>
    <n v="148.58000000000001"/>
    <m/>
    <m/>
  </r>
  <r>
    <s v="2022-07-19 17:01 (-07)"/>
    <x v="925"/>
    <x v="204"/>
    <x v="5"/>
    <s v="On Demand"/>
    <x v="4"/>
    <x v="3"/>
    <x v="2"/>
    <s v="Lower Body Stretch"/>
    <x v="444"/>
    <x v="2622"/>
    <m/>
    <m/>
    <m/>
    <m/>
    <m/>
    <m/>
    <n v="14"/>
    <n v="96.6"/>
    <m/>
    <m/>
  </r>
  <r>
    <s v="2022-07-19 23:12 (PST)"/>
    <x v="925"/>
    <x v="1007"/>
    <x v="5"/>
    <s v="On Demand"/>
    <x v="23"/>
    <x v="5"/>
    <x v="5"/>
    <s v="Sleep"/>
    <x v="29"/>
    <x v="2623"/>
    <m/>
    <m/>
    <m/>
    <m/>
    <m/>
    <m/>
    <m/>
    <m/>
    <m/>
    <m/>
  </r>
  <r>
    <s v="2022-07-26 07:04 (PST)"/>
    <x v="926"/>
    <x v="494"/>
    <x v="5"/>
    <s v="On Demand"/>
    <x v="7"/>
    <x v="0"/>
    <x v="4"/>
    <s v="Flow"/>
    <x v="14"/>
    <x v="2624"/>
    <m/>
    <m/>
    <m/>
    <m/>
    <m/>
    <m/>
    <n v="136"/>
    <m/>
    <m/>
    <m/>
  </r>
  <r>
    <s v="2022-07-26 13:38 (-07)"/>
    <x v="926"/>
    <x v="669"/>
    <x v="5"/>
    <s v="On Demand"/>
    <x v="6"/>
    <x v="2"/>
    <x v="0"/>
    <s v="Power Zone"/>
    <x v="5"/>
    <x v="1740"/>
    <n v="205"/>
    <n v="114"/>
    <n v="0.39"/>
    <n v="85"/>
    <n v="16.91"/>
    <n v="8.4499999999999993"/>
    <n v="307"/>
    <n v="155.41"/>
    <m/>
    <m/>
  </r>
  <r>
    <s v="2022-07-26 14:12 (-07)"/>
    <x v="926"/>
    <x v="1267"/>
    <x v="5"/>
    <s v="On Demand"/>
    <x v="12"/>
    <x v="7"/>
    <x v="1"/>
    <s v="Upper Body"/>
    <x v="119"/>
    <x v="248"/>
    <m/>
    <m/>
    <m/>
    <m/>
    <m/>
    <m/>
    <n v="69"/>
    <m/>
    <m/>
    <m/>
  </r>
  <r>
    <s v="2022-07-26 14:28 (-07)"/>
    <x v="926"/>
    <x v="1726"/>
    <x v="5"/>
    <s v="On Demand"/>
    <x v="2"/>
    <x v="5"/>
    <x v="1"/>
    <s v="Strength for Runners"/>
    <x v="642"/>
    <x v="2625"/>
    <m/>
    <m/>
    <m/>
    <m/>
    <m/>
    <m/>
    <n v="173"/>
    <n v="141.61000000000001"/>
    <m/>
    <m/>
  </r>
  <r>
    <s v="2022-07-26 22:28 (PST)"/>
    <x v="926"/>
    <x v="472"/>
    <x v="5"/>
    <s v="On Demand"/>
    <x v="25"/>
    <x v="3"/>
    <x v="5"/>
    <s v="Breath"/>
    <x v="264"/>
    <x v="2626"/>
    <m/>
    <m/>
    <m/>
    <m/>
    <m/>
    <m/>
    <m/>
    <m/>
    <m/>
    <m/>
  </r>
  <r>
    <s v="2022-08-02 12:25 (PST)"/>
    <x v="927"/>
    <x v="1727"/>
    <x v="5"/>
    <s v="On Demand"/>
    <x v="15"/>
    <x v="5"/>
    <x v="6"/>
    <s v="Music Walk"/>
    <x v="643"/>
    <x v="247"/>
    <n v="0"/>
    <m/>
    <m/>
    <m/>
    <n v="3.74"/>
    <n v="1.18"/>
    <n v="77"/>
    <m/>
    <m/>
    <m/>
  </r>
  <r>
    <s v="2022-08-02 12:46 (PST)"/>
    <x v="927"/>
    <x v="1484"/>
    <x v="5"/>
    <s v="On Demand"/>
    <x v="26"/>
    <x v="1"/>
    <x v="6"/>
    <s v="Warm Up/Cool Down Walk"/>
    <x v="269"/>
    <x v="247"/>
    <n v="0"/>
    <m/>
    <m/>
    <m/>
    <n v="3.85"/>
    <n v="0.59"/>
    <n v="37"/>
    <m/>
    <m/>
    <m/>
  </r>
  <r>
    <s v="2022-08-02 22:06 (PST)"/>
    <x v="927"/>
    <x v="355"/>
    <x v="5"/>
    <s v="On Demand"/>
    <x v="16"/>
    <x v="7"/>
    <x v="5"/>
    <s v="Relaxation"/>
    <x v="106"/>
    <x v="2627"/>
    <m/>
    <m/>
    <m/>
    <m/>
    <m/>
    <m/>
    <m/>
    <m/>
    <m/>
    <m/>
  </r>
  <r>
    <s v="2022-08-02 22:50 (PST)"/>
    <x v="927"/>
    <x v="762"/>
    <x v="5"/>
    <s v="On Demand"/>
    <x v="13"/>
    <x v="7"/>
    <x v="5"/>
    <s v="Sleep"/>
    <x v="65"/>
    <x v="2628"/>
    <m/>
    <m/>
    <m/>
    <m/>
    <m/>
    <m/>
    <m/>
    <m/>
    <m/>
    <m/>
  </r>
  <r>
    <s v="2022-08-09 10:01 (PST)"/>
    <x v="928"/>
    <x v="858"/>
    <x v="5"/>
    <s v="On Demand"/>
    <x v="1"/>
    <x v="7"/>
    <x v="1"/>
    <s v="Core"/>
    <x v="126"/>
    <x v="2629"/>
    <m/>
    <m/>
    <m/>
    <m/>
    <m/>
    <m/>
    <n v="62"/>
    <n v="96.33"/>
    <m/>
    <m/>
  </r>
  <r>
    <s v="2022-08-09 10:17 (PST)"/>
    <x v="928"/>
    <x v="909"/>
    <x v="5"/>
    <s v="On Demand"/>
    <x v="16"/>
    <x v="0"/>
    <x v="4"/>
    <s v="Flow"/>
    <x v="14"/>
    <x v="2630"/>
    <m/>
    <m/>
    <m/>
    <m/>
    <m/>
    <m/>
    <n v="151"/>
    <n v="89.1"/>
    <m/>
    <m/>
  </r>
  <r>
    <s v="2022-08-16 16:32 (PST)"/>
    <x v="929"/>
    <x v="1503"/>
    <x v="5"/>
    <s v="On Demand"/>
    <x v="28"/>
    <x v="2"/>
    <x v="4"/>
    <s v="Flow"/>
    <x v="644"/>
    <x v="2631"/>
    <m/>
    <m/>
    <m/>
    <m/>
    <m/>
    <m/>
    <n v="69"/>
    <m/>
    <m/>
    <m/>
  </r>
  <r>
    <s v="2022-08-16 22:41 (PST)"/>
    <x v="929"/>
    <x v="230"/>
    <x v="5"/>
    <s v="On Demand"/>
    <x v="16"/>
    <x v="1"/>
    <x v="5"/>
    <s v="Sleep"/>
    <x v="39"/>
    <x v="1245"/>
    <m/>
    <m/>
    <m/>
    <m/>
    <m/>
    <m/>
    <m/>
    <m/>
    <m/>
    <m/>
  </r>
  <r>
    <s v="2022-08-23 16:21 (-07)"/>
    <x v="930"/>
    <x v="236"/>
    <x v="5"/>
    <s v="On Demand"/>
    <x v="35"/>
    <x v="1"/>
    <x v="1"/>
    <s v="Core"/>
    <x v="1"/>
    <x v="2632"/>
    <m/>
    <m/>
    <m/>
    <m/>
    <m/>
    <m/>
    <n v="57"/>
    <n v="114.59"/>
    <m/>
    <m/>
  </r>
  <r>
    <s v="2022-08-23 16:32 (-07)"/>
    <x v="930"/>
    <x v="455"/>
    <x v="5"/>
    <s v="On Demand"/>
    <x v="8"/>
    <x v="1"/>
    <x v="1"/>
    <s v="Barre"/>
    <x v="645"/>
    <x v="2633"/>
    <m/>
    <m/>
    <m/>
    <m/>
    <m/>
    <m/>
    <n v="67"/>
    <n v="124.39"/>
    <m/>
    <m/>
  </r>
  <r>
    <s v="2022-08-23 16:43 (-07)"/>
    <x v="930"/>
    <x v="750"/>
    <x v="5"/>
    <s v="On Demand"/>
    <x v="8"/>
    <x v="5"/>
    <x v="1"/>
    <s v="Barre"/>
    <x v="646"/>
    <x v="2634"/>
    <m/>
    <m/>
    <m/>
    <m/>
    <m/>
    <m/>
    <n v="122"/>
    <n v="119.23"/>
    <m/>
    <m/>
  </r>
  <r>
    <s v="2022-08-23 17:06 (-07)"/>
    <x v="930"/>
    <x v="628"/>
    <x v="5"/>
    <s v="On Demand"/>
    <x v="12"/>
    <x v="1"/>
    <x v="1"/>
    <s v="Upper Body"/>
    <x v="647"/>
    <x v="262"/>
    <m/>
    <m/>
    <m/>
    <m/>
    <m/>
    <m/>
    <n v="61"/>
    <n v="122.67"/>
    <m/>
    <m/>
  </r>
  <r>
    <s v="2022-08-23 23:27 (PST)"/>
    <x v="930"/>
    <x v="144"/>
    <x v="5"/>
    <s v="On Demand"/>
    <x v="16"/>
    <x v="1"/>
    <x v="5"/>
    <s v="Theme"/>
    <x v="648"/>
    <x v="2635"/>
    <m/>
    <m/>
    <m/>
    <m/>
    <m/>
    <m/>
    <m/>
    <m/>
    <m/>
    <m/>
  </r>
  <r>
    <s v="2022-08-30 06:16 (-07)"/>
    <x v="931"/>
    <x v="1728"/>
    <x v="5"/>
    <s v="On Demand"/>
    <x v="7"/>
    <x v="0"/>
    <x v="0"/>
    <s v="Power Zone"/>
    <x v="27"/>
    <x v="2636"/>
    <n v="307"/>
    <n v="114"/>
    <n v="0.39"/>
    <n v="84"/>
    <n v="16.940000000000001"/>
    <n v="12.71"/>
    <n v="437"/>
    <n v="150.91999999999999"/>
    <m/>
    <m/>
  </r>
  <r>
    <s v="2022-08-30 07:02 (-07)"/>
    <x v="931"/>
    <x v="52"/>
    <x v="5"/>
    <s v="On Demand"/>
    <x v="17"/>
    <x v="1"/>
    <x v="1"/>
    <s v="Arms &amp; Light Weights"/>
    <x v="649"/>
    <x v="2637"/>
    <m/>
    <m/>
    <m/>
    <m/>
    <m/>
    <m/>
    <n v="59"/>
    <n v="118.06"/>
    <m/>
    <m/>
  </r>
  <r>
    <s v="2022-08-30 07:13 (-07)"/>
    <x v="931"/>
    <x v="665"/>
    <x v="5"/>
    <s v="On Demand"/>
    <x v="18"/>
    <x v="3"/>
    <x v="2"/>
    <s v="Pre &amp; Post-Ride Stretch"/>
    <x v="650"/>
    <x v="262"/>
    <m/>
    <m/>
    <m/>
    <m/>
    <m/>
    <m/>
    <n v="18"/>
    <n v="100.64"/>
    <m/>
    <m/>
  </r>
  <r>
    <s v="2022-08-30 22:44 (PST)"/>
    <x v="931"/>
    <x v="373"/>
    <x v="5"/>
    <s v="On Demand"/>
    <x v="23"/>
    <x v="1"/>
    <x v="5"/>
    <s v="Mindfulness"/>
    <x v="51"/>
    <x v="268"/>
    <m/>
    <m/>
    <m/>
    <m/>
    <m/>
    <m/>
    <m/>
    <m/>
    <m/>
    <m/>
  </r>
  <r>
    <s v="2022-09-06 02:16 (PST)"/>
    <x v="932"/>
    <x v="1729"/>
    <x v="5"/>
    <s v="On Demand"/>
    <x v="25"/>
    <x v="1"/>
    <x v="5"/>
    <s v="Relaxation"/>
    <x v="81"/>
    <x v="81"/>
    <m/>
    <m/>
    <m/>
    <m/>
    <m/>
    <m/>
    <m/>
    <m/>
    <m/>
    <m/>
  </r>
  <r>
    <s v="2022-09-06 18:18 (-07)"/>
    <x v="932"/>
    <x v="1501"/>
    <x v="5"/>
    <s v="On Demand"/>
    <x v="5"/>
    <x v="0"/>
    <x v="0"/>
    <s v="Power Zone"/>
    <x v="27"/>
    <x v="248"/>
    <n v="321"/>
    <n v="119"/>
    <n v="0.39"/>
    <n v="87"/>
    <n v="17.29"/>
    <n v="12.96"/>
    <n v="432"/>
    <n v="151.9"/>
    <m/>
    <m/>
  </r>
  <r>
    <s v="2022-09-06 19:04 (-07)"/>
    <x v="932"/>
    <x v="1709"/>
    <x v="5"/>
    <s v="On Demand"/>
    <x v="63"/>
    <x v="3"/>
    <x v="0"/>
    <s v="Cool Down"/>
    <x v="10"/>
    <x v="2638"/>
    <n v="21"/>
    <n v="69"/>
    <n v="0.32"/>
    <n v="82"/>
    <n v="13.85"/>
    <n v="1.1499999999999999"/>
    <n v="25"/>
    <m/>
    <m/>
    <m/>
  </r>
  <r>
    <s v="2022-09-06 19:10 (-07)"/>
    <x v="932"/>
    <x v="471"/>
    <x v="5"/>
    <s v="On Demand"/>
    <x v="24"/>
    <x v="1"/>
    <x v="1"/>
    <s v="Core"/>
    <x v="108"/>
    <x v="2639"/>
    <m/>
    <m/>
    <m/>
    <m/>
    <m/>
    <m/>
    <n v="46"/>
    <n v="106.33"/>
    <m/>
    <m/>
  </r>
  <r>
    <s v="2022-09-06 22:41 (PST)"/>
    <x v="932"/>
    <x v="230"/>
    <x v="5"/>
    <s v="On Demand"/>
    <x v="19"/>
    <x v="1"/>
    <x v="5"/>
    <s v="Emotions"/>
    <x v="147"/>
    <x v="2640"/>
    <m/>
    <m/>
    <m/>
    <m/>
    <m/>
    <m/>
    <m/>
    <m/>
    <m/>
    <m/>
  </r>
  <r>
    <s v="2022-09-13 02:57 (PST)"/>
    <x v="933"/>
    <x v="1721"/>
    <x v="5"/>
    <s v="On Demand"/>
    <x v="19"/>
    <x v="1"/>
    <x v="5"/>
    <s v="Relaxation"/>
    <x v="71"/>
    <x v="1576"/>
    <m/>
    <m/>
    <m/>
    <m/>
    <m/>
    <m/>
    <m/>
    <m/>
    <m/>
    <m/>
  </r>
  <r>
    <s v="2022-09-13 22:07 (PST)"/>
    <x v="933"/>
    <x v="1413"/>
    <x v="5"/>
    <s v="On Demand"/>
    <x v="25"/>
    <x v="1"/>
    <x v="5"/>
    <s v="Mindfulness"/>
    <x v="294"/>
    <x v="2641"/>
    <m/>
    <m/>
    <m/>
    <m/>
    <m/>
    <m/>
    <m/>
    <m/>
    <m/>
    <m/>
  </r>
  <r>
    <s v="2022-09-20 16:17 (-07)"/>
    <x v="934"/>
    <x v="1334"/>
    <x v="5"/>
    <s v="On Demand"/>
    <x v="35"/>
    <x v="1"/>
    <x v="1"/>
    <s v="Core"/>
    <x v="1"/>
    <x v="2642"/>
    <m/>
    <m/>
    <m/>
    <m/>
    <m/>
    <m/>
    <n v="47"/>
    <n v="107.21"/>
    <m/>
    <m/>
  </r>
  <r>
    <s v="2022-09-20 16:40 (-07)"/>
    <x v="934"/>
    <x v="1255"/>
    <x v="5"/>
    <s v="On Demand"/>
    <x v="6"/>
    <x v="2"/>
    <x v="0"/>
    <s v="Power Zone"/>
    <x v="5"/>
    <x v="2643"/>
    <n v="196"/>
    <n v="109"/>
    <n v="0.37"/>
    <n v="87"/>
    <n v="16.48"/>
    <n v="8.24"/>
    <n v="240"/>
    <m/>
    <m/>
    <m/>
  </r>
  <r>
    <s v="2022-09-27 07:26 (PST)"/>
    <x v="935"/>
    <x v="6"/>
    <x v="5"/>
    <s v="On Demand"/>
    <x v="7"/>
    <x v="2"/>
    <x v="4"/>
    <s v="Focus Flow"/>
    <x v="651"/>
    <x v="2644"/>
    <m/>
    <m/>
    <m/>
    <m/>
    <m/>
    <m/>
    <n v="95"/>
    <m/>
    <m/>
    <m/>
  </r>
  <r>
    <s v="2022-09-27 18:05 (-07)"/>
    <x v="935"/>
    <x v="1185"/>
    <x v="5"/>
    <s v="On Demand"/>
    <x v="24"/>
    <x v="7"/>
    <x v="1"/>
    <s v="Core"/>
    <x v="254"/>
    <x v="2645"/>
    <m/>
    <m/>
    <m/>
    <m/>
    <m/>
    <m/>
    <n v="76"/>
    <n v="108.5"/>
    <m/>
    <m/>
  </r>
  <r>
    <s v="2022-09-27 18:22 (-07)"/>
    <x v="935"/>
    <x v="495"/>
    <x v="5"/>
    <s v="On Demand"/>
    <x v="6"/>
    <x v="2"/>
    <x v="0"/>
    <s v="Power Zone"/>
    <x v="5"/>
    <x v="124"/>
    <n v="200"/>
    <n v="111"/>
    <n v="0.37"/>
    <n v="90"/>
    <n v="16.82"/>
    <n v="8.41"/>
    <n v="291"/>
    <n v="150.77000000000001"/>
    <m/>
    <m/>
  </r>
  <r>
    <s v="2022-09-27 18:54 (-07)"/>
    <x v="935"/>
    <x v="121"/>
    <x v="5"/>
    <s v="On Demand"/>
    <x v="11"/>
    <x v="2"/>
    <x v="1"/>
    <s v="Full Body"/>
    <x v="652"/>
    <x v="2646"/>
    <m/>
    <m/>
    <m/>
    <m/>
    <m/>
    <m/>
    <n v="221"/>
    <n v="130.69"/>
    <m/>
    <m/>
  </r>
  <r>
    <s v="2022-09-27 19:27 (-07)"/>
    <x v="935"/>
    <x v="515"/>
    <x v="5"/>
    <s v="On Demand"/>
    <x v="7"/>
    <x v="1"/>
    <x v="4"/>
    <s v="Focus Flow"/>
    <x v="653"/>
    <x v="2647"/>
    <m/>
    <m/>
    <m/>
    <m/>
    <m/>
    <m/>
    <n v="32"/>
    <n v="92.17"/>
    <m/>
    <m/>
  </r>
  <r>
    <s v="2022-09-27 22:55 (PST)"/>
    <x v="935"/>
    <x v="1065"/>
    <x v="5"/>
    <s v="On Demand"/>
    <x v="23"/>
    <x v="5"/>
    <x v="5"/>
    <s v="Theme"/>
    <x v="654"/>
    <x v="2648"/>
    <m/>
    <m/>
    <m/>
    <m/>
    <m/>
    <m/>
    <m/>
    <m/>
    <m/>
    <m/>
  </r>
  <r>
    <s v="2022-10-04 16:13 (-07)"/>
    <x v="936"/>
    <x v="1730"/>
    <x v="5"/>
    <s v="On Demand"/>
    <x v="11"/>
    <x v="2"/>
    <x v="1"/>
    <s v="Full Body"/>
    <x v="536"/>
    <x v="2649"/>
    <m/>
    <m/>
    <m/>
    <m/>
    <m/>
    <m/>
    <n v="273"/>
    <n v="146.61000000000001"/>
    <m/>
    <m/>
  </r>
  <r>
    <s v="2022-10-04 16:46 (-07)"/>
    <x v="936"/>
    <x v="653"/>
    <x v="5"/>
    <s v="On Demand"/>
    <x v="7"/>
    <x v="2"/>
    <x v="0"/>
    <s v="Power Zone"/>
    <x v="5"/>
    <x v="2650"/>
    <n v="199"/>
    <n v="110"/>
    <n v="0.38"/>
    <n v="86"/>
    <n v="16.73"/>
    <n v="8.3699999999999992"/>
    <n v="321"/>
    <n v="159.34"/>
    <m/>
    <m/>
  </r>
  <r>
    <s v="2022-10-11 13:33 (PST)"/>
    <x v="937"/>
    <x v="1731"/>
    <x v="5"/>
    <s v="On Demand"/>
    <x v="21"/>
    <x v="0"/>
    <x v="6"/>
    <s v="Music Walk"/>
    <x v="655"/>
    <x v="2651"/>
    <n v="0"/>
    <m/>
    <m/>
    <m/>
    <n v="3.46"/>
    <n v="2.12"/>
    <n v="158"/>
    <n v="145.31"/>
    <m/>
    <m/>
  </r>
  <r>
    <s v="2022-10-18 16:36 (-07)"/>
    <x v="938"/>
    <x v="1585"/>
    <x v="5"/>
    <s v="On Demand"/>
    <x v="20"/>
    <x v="5"/>
    <x v="1"/>
    <s v="Core"/>
    <x v="115"/>
    <x v="2652"/>
    <m/>
    <m/>
    <m/>
    <m/>
    <m/>
    <m/>
    <n v="85"/>
    <n v="100.82"/>
    <m/>
    <m/>
  </r>
  <r>
    <s v="2022-10-18 16:59 (-07)"/>
    <x v="938"/>
    <x v="627"/>
    <x v="5"/>
    <s v="On Demand"/>
    <x v="11"/>
    <x v="2"/>
    <x v="1"/>
    <s v="Full Body"/>
    <x v="536"/>
    <x v="2653"/>
    <m/>
    <m/>
    <m/>
    <m/>
    <m/>
    <m/>
    <n v="262"/>
    <n v="144.27000000000001"/>
    <m/>
    <m/>
  </r>
  <r>
    <s v="2022-10-18 22:32 (PST)"/>
    <x v="938"/>
    <x v="454"/>
    <x v="5"/>
    <s v="On Demand"/>
    <x v="25"/>
    <x v="1"/>
    <x v="5"/>
    <s v="Emotions"/>
    <x v="151"/>
    <x v="2654"/>
    <m/>
    <m/>
    <m/>
    <m/>
    <m/>
    <m/>
    <m/>
    <m/>
    <m/>
    <m/>
  </r>
  <r>
    <s v="2022-10-25 12:37 (PST)"/>
    <x v="939"/>
    <x v="1134"/>
    <x v="5"/>
    <s v="On Demand"/>
    <x v="7"/>
    <x v="2"/>
    <x v="4"/>
    <s v="Flow"/>
    <x v="41"/>
    <x v="2655"/>
    <m/>
    <m/>
    <m/>
    <m/>
    <m/>
    <m/>
    <n v="92"/>
    <m/>
    <m/>
    <m/>
  </r>
  <r>
    <s v="2022-10-25 15:51 (PST)"/>
    <x v="939"/>
    <x v="705"/>
    <x v="5"/>
    <s v="On Demand"/>
    <x v="21"/>
    <x v="1"/>
    <x v="6"/>
    <s v="Warm Up/Cool Down Walk"/>
    <x v="266"/>
    <x v="2656"/>
    <n v="0"/>
    <m/>
    <m/>
    <m/>
    <n v="3.4"/>
    <n v="0.56999999999999995"/>
    <n v="47"/>
    <n v="120.69"/>
    <m/>
    <m/>
  </r>
  <r>
    <s v="2022-10-25 16:01 (PST)"/>
    <x v="939"/>
    <x v="392"/>
    <x v="5"/>
    <s v="On Demand"/>
    <x v="3"/>
    <x v="5"/>
    <x v="6"/>
    <s v="Music Walk"/>
    <x v="656"/>
    <x v="2657"/>
    <n v="0"/>
    <m/>
    <m/>
    <m/>
    <n v="3.32"/>
    <n v="1.1399999999999999"/>
    <n v="73"/>
    <m/>
    <m/>
    <m/>
  </r>
  <r>
    <s v="2022-10-25 16:43 (PST)"/>
    <x v="939"/>
    <x v="1732"/>
    <x v="5"/>
    <s v="On Demand"/>
    <x v="16"/>
    <x v="1"/>
    <x v="5"/>
    <s v="Emotions"/>
    <x v="15"/>
    <x v="2658"/>
    <m/>
    <m/>
    <m/>
    <m/>
    <m/>
    <m/>
    <m/>
    <n v="72.209999999999994"/>
    <m/>
    <m/>
  </r>
  <r>
    <s v="2022-10-25 22:07 (PST)"/>
    <x v="939"/>
    <x v="1413"/>
    <x v="5"/>
    <s v="On Demand"/>
    <x v="28"/>
    <x v="3"/>
    <x v="5"/>
    <s v="Emotions"/>
    <x v="202"/>
    <x v="2659"/>
    <m/>
    <m/>
    <m/>
    <m/>
    <m/>
    <m/>
    <m/>
    <m/>
    <m/>
    <m/>
  </r>
  <r>
    <s v="2022-11-01 21:40 (GMT)"/>
    <x v="940"/>
    <x v="1733"/>
    <x v="5"/>
    <s v="On Demand"/>
    <x v="16"/>
    <x v="1"/>
    <x v="5"/>
    <s v="Theme"/>
    <x v="68"/>
    <x v="2660"/>
    <m/>
    <m/>
    <m/>
    <m/>
    <m/>
    <m/>
    <m/>
    <m/>
    <m/>
    <m/>
  </r>
  <r>
    <s v="2022-11-15 09:54 (EST)"/>
    <x v="941"/>
    <x v="1734"/>
    <x v="5"/>
    <s v="On Demand"/>
    <x v="7"/>
    <x v="2"/>
    <x v="4"/>
    <s v="Focus Flow"/>
    <x v="499"/>
    <x v="2661"/>
    <m/>
    <m/>
    <m/>
    <m/>
    <m/>
    <m/>
    <n v="131"/>
    <n v="102.89"/>
    <m/>
    <m/>
  </r>
  <r>
    <s v="2022-11-15 10:25 (EST)"/>
    <x v="941"/>
    <x v="1735"/>
    <x v="5"/>
    <s v="On Demand"/>
    <x v="11"/>
    <x v="1"/>
    <x v="1"/>
    <s v="Core"/>
    <x v="1"/>
    <x v="1269"/>
    <m/>
    <m/>
    <m/>
    <m/>
    <m/>
    <m/>
    <n v="58"/>
    <n v="116.62"/>
    <m/>
    <m/>
  </r>
  <r>
    <s v="2022-11-15 22:42 (EST)"/>
    <x v="941"/>
    <x v="1736"/>
    <x v="5"/>
    <s v="On Demand"/>
    <x v="28"/>
    <x v="7"/>
    <x v="5"/>
    <s v="Sleep"/>
    <x v="65"/>
    <x v="2662"/>
    <m/>
    <m/>
    <m/>
    <m/>
    <m/>
    <m/>
    <m/>
    <m/>
    <m/>
    <m/>
  </r>
  <r>
    <s v="2022-11-22 13:39 (PST)"/>
    <x v="942"/>
    <x v="1737"/>
    <x v="5"/>
    <s v="On Demand"/>
    <x v="16"/>
    <x v="2"/>
    <x v="4"/>
    <s v="Flow"/>
    <x v="150"/>
    <x v="2663"/>
    <m/>
    <m/>
    <m/>
    <m/>
    <m/>
    <m/>
    <n v="98"/>
    <m/>
    <m/>
    <m/>
  </r>
  <r>
    <s v="2022-11-22 14:12 (PST)"/>
    <x v="942"/>
    <x v="1738"/>
    <x v="5"/>
    <s v="On Demand"/>
    <x v="4"/>
    <x v="1"/>
    <x v="1"/>
    <s v="Core"/>
    <x v="1"/>
    <x v="2664"/>
    <m/>
    <m/>
    <m/>
    <m/>
    <m/>
    <m/>
    <n v="44"/>
    <m/>
    <m/>
    <m/>
  </r>
  <r>
    <s v="2022-11-22 14:24 (PST)"/>
    <x v="942"/>
    <x v="1451"/>
    <x v="5"/>
    <s v="On Demand"/>
    <x v="8"/>
    <x v="1"/>
    <x v="1"/>
    <s v="Barre"/>
    <x v="558"/>
    <x v="2665"/>
    <m/>
    <m/>
    <m/>
    <m/>
    <m/>
    <m/>
    <n v="43"/>
    <m/>
    <m/>
    <m/>
  </r>
  <r>
    <s v="2022-11-22 15:25 (PST)"/>
    <x v="942"/>
    <x v="1739"/>
    <x v="5"/>
    <s v="On Demand"/>
    <x v="40"/>
    <x v="5"/>
    <x v="6"/>
    <s v="Power Walk"/>
    <x v="110"/>
    <x v="2666"/>
    <n v="0"/>
    <m/>
    <m/>
    <m/>
    <n v="3.1"/>
    <n v="1.03"/>
    <n v="166"/>
    <n v="143.78"/>
    <m/>
    <m/>
  </r>
  <r>
    <s v="2022-11-22 15:46 (PST)"/>
    <x v="942"/>
    <x v="1740"/>
    <x v="5"/>
    <s v="On Demand"/>
    <x v="54"/>
    <x v="7"/>
    <x v="6"/>
    <s v="Music Walk"/>
    <x v="657"/>
    <x v="2667"/>
    <n v="0"/>
    <m/>
    <m/>
    <m/>
    <n v="3.13"/>
    <n v="0.79"/>
    <n v="117"/>
    <n v="135.04"/>
    <m/>
    <m/>
  </r>
  <r>
    <s v="2022-11-22 16:34 (-08)"/>
    <x v="942"/>
    <x v="1683"/>
    <x v="5"/>
    <s v="On Demand"/>
    <x v="6"/>
    <x v="2"/>
    <x v="0"/>
    <s v="Power Zone"/>
    <x v="5"/>
    <x v="2668"/>
    <n v="176"/>
    <n v="98"/>
    <n v="0.36"/>
    <n v="85"/>
    <n v="15.96"/>
    <n v="7.98"/>
    <n v="334"/>
    <n v="166.38"/>
    <m/>
    <m/>
  </r>
  <r>
    <s v="2022-11-22 17:06 (-08)"/>
    <x v="942"/>
    <x v="539"/>
    <x v="5"/>
    <s v="On Demand"/>
    <x v="12"/>
    <x v="1"/>
    <x v="1"/>
    <s v="Arms &amp; Light Weights"/>
    <x v="28"/>
    <x v="2669"/>
    <m/>
    <m/>
    <m/>
    <m/>
    <m/>
    <m/>
    <n v="88"/>
    <n v="143.21"/>
    <m/>
    <m/>
  </r>
  <r>
    <s v="2022-11-29 16:25 (-08)"/>
    <x v="943"/>
    <x v="546"/>
    <x v="5"/>
    <s v="On Demand"/>
    <x v="7"/>
    <x v="0"/>
    <x v="0"/>
    <s v="Power Zone"/>
    <x v="27"/>
    <x v="2670"/>
    <n v="269"/>
    <n v="100"/>
    <n v="0.37"/>
    <n v="84"/>
    <n v="16.09"/>
    <n v="12.07"/>
    <n v="482"/>
    <n v="169.79"/>
    <m/>
    <m/>
  </r>
  <r>
    <s v="2022-11-29 17:11 (-08)"/>
    <x v="943"/>
    <x v="1741"/>
    <x v="5"/>
    <s v="On Demand"/>
    <x v="22"/>
    <x v="3"/>
    <x v="0"/>
    <s v="Cool Down"/>
    <x v="10"/>
    <x v="2671"/>
    <n v="11"/>
    <n v="38"/>
    <n v="0.24"/>
    <n v="81"/>
    <n v="10.44"/>
    <n v="0.87"/>
    <n v="37"/>
    <n v="129"/>
    <m/>
    <m/>
  </r>
  <r>
    <s v="2022-11-29 17:18 (-08)"/>
    <x v="943"/>
    <x v="590"/>
    <x v="5"/>
    <s v="On Demand"/>
    <x v="22"/>
    <x v="1"/>
    <x v="1"/>
    <s v="Arms &amp; Light Weights"/>
    <x v="28"/>
    <x v="2672"/>
    <m/>
    <m/>
    <m/>
    <m/>
    <m/>
    <m/>
    <n v="75"/>
    <n v="130.61000000000001"/>
    <m/>
    <m/>
  </r>
  <r>
    <s v="2022-11-29 18:14 (PST)"/>
    <x v="943"/>
    <x v="19"/>
    <x v="5"/>
    <s v="On Demand"/>
    <x v="7"/>
    <x v="2"/>
    <x v="4"/>
    <s v="Flow"/>
    <x v="577"/>
    <x v="2673"/>
    <m/>
    <m/>
    <m/>
    <m/>
    <m/>
    <m/>
    <n v="94"/>
    <m/>
    <m/>
    <m/>
  </r>
  <r>
    <s v="2022-11-29 22:23 (PST)"/>
    <x v="943"/>
    <x v="1044"/>
    <x v="5"/>
    <s v="On Demand"/>
    <x v="19"/>
    <x v="7"/>
    <x v="5"/>
    <s v="Relaxation"/>
    <x v="94"/>
    <x v="1690"/>
    <m/>
    <m/>
    <m/>
    <m/>
    <m/>
    <m/>
    <m/>
    <m/>
    <m/>
    <m/>
  </r>
  <r>
    <s v="2022-12-06 00:26 (PST)"/>
    <x v="944"/>
    <x v="1742"/>
    <x v="5"/>
    <s v="On Demand"/>
    <x v="23"/>
    <x v="1"/>
    <x v="5"/>
    <s v="Family &amp; Pre/Postnatal"/>
    <x v="658"/>
    <x v="2674"/>
    <m/>
    <m/>
    <m/>
    <m/>
    <m/>
    <m/>
    <m/>
    <m/>
    <m/>
    <m/>
  </r>
  <r>
    <s v="2022-12-06 11:19 (PST)"/>
    <x v="944"/>
    <x v="598"/>
    <x v="5"/>
    <s v="On Demand"/>
    <x v="43"/>
    <x v="5"/>
    <x v="6"/>
    <s v="Theme Walk"/>
    <x v="659"/>
    <x v="2675"/>
    <n v="0"/>
    <m/>
    <m/>
    <m/>
    <n v="3.25"/>
    <n v="1.06"/>
    <n v="143"/>
    <n v="130.51"/>
    <m/>
    <m/>
  </r>
  <r>
    <s v="2022-12-06 11:40 (PST)"/>
    <x v="944"/>
    <x v="1743"/>
    <x v="5"/>
    <s v="On Demand"/>
    <x v="43"/>
    <x v="1"/>
    <x v="8"/>
    <s v="Warm Up/Cool Down Run"/>
    <x v="259"/>
    <x v="2139"/>
    <n v="0"/>
    <m/>
    <m/>
    <m/>
    <n v="3.51"/>
    <n v="0.57999999999999996"/>
    <n v="52"/>
    <m/>
    <n v="0"/>
    <d v="1899-12-30T17:05:00"/>
  </r>
  <r>
    <s v="2022-12-06 15:26 (-08)"/>
    <x v="944"/>
    <x v="1744"/>
    <x v="5"/>
    <s v="On Demand"/>
    <x v="4"/>
    <x v="2"/>
    <x v="0"/>
    <s v="Power Zone"/>
    <x v="196"/>
    <x v="2676"/>
    <n v="171"/>
    <n v="95"/>
    <n v="0.35"/>
    <n v="86"/>
    <n v="15.73"/>
    <n v="7.86"/>
    <n v="311"/>
    <n v="156.47"/>
    <m/>
    <m/>
  </r>
  <r>
    <s v="2022-12-06 16:03 (-08)"/>
    <x v="944"/>
    <x v="1251"/>
    <x v="5"/>
    <s v="On Demand"/>
    <x v="31"/>
    <x v="5"/>
    <x v="1"/>
    <s v="Upper Body"/>
    <x v="141"/>
    <x v="2677"/>
    <m/>
    <m/>
    <m/>
    <m/>
    <m/>
    <m/>
    <n v="117"/>
    <n v="120.35"/>
    <m/>
    <m/>
  </r>
  <r>
    <s v="2022-12-06 16:25 (-08)"/>
    <x v="944"/>
    <x v="546"/>
    <x v="5"/>
    <s v="On Demand"/>
    <x v="1"/>
    <x v="5"/>
    <x v="1"/>
    <s v="Core"/>
    <x v="115"/>
    <x v="2678"/>
    <m/>
    <m/>
    <m/>
    <m/>
    <m/>
    <m/>
    <n v="106"/>
    <n v="110.25"/>
    <m/>
    <m/>
  </r>
  <r>
    <s v="2022-12-06 16:46 (-08)"/>
    <x v="944"/>
    <x v="548"/>
    <x v="5"/>
    <s v="On Demand"/>
    <x v="10"/>
    <x v="3"/>
    <x v="2"/>
    <s v="Pre &amp; Post-Ride Stretch"/>
    <x v="8"/>
    <x v="2679"/>
    <m/>
    <m/>
    <m/>
    <m/>
    <m/>
    <m/>
    <n v="12"/>
    <m/>
    <m/>
    <m/>
  </r>
  <r>
    <s v="2022-12-06 22:33 (PST)"/>
    <x v="944"/>
    <x v="232"/>
    <x v="5"/>
    <s v="On Demand"/>
    <x v="28"/>
    <x v="7"/>
    <x v="5"/>
    <s v="Emotions"/>
    <x v="219"/>
    <x v="2680"/>
    <m/>
    <m/>
    <m/>
    <m/>
    <m/>
    <m/>
    <m/>
    <m/>
    <m/>
    <m/>
  </r>
  <r>
    <s v="2022-12-13 08:10 (EST)"/>
    <x v="945"/>
    <x v="1745"/>
    <x v="5"/>
    <s v="On Demand"/>
    <x v="7"/>
    <x v="0"/>
    <x v="4"/>
    <s v="Slow Flow"/>
    <x v="33"/>
    <x v="2681"/>
    <m/>
    <m/>
    <m/>
    <m/>
    <m/>
    <m/>
    <n v="154"/>
    <n v="92.09"/>
    <m/>
    <m/>
  </r>
  <r>
    <s v="2022-12-13 23:37 (EST)"/>
    <x v="945"/>
    <x v="1746"/>
    <x v="5"/>
    <s v="On Demand"/>
    <x v="19"/>
    <x v="1"/>
    <x v="5"/>
    <s v="Theme"/>
    <x v="320"/>
    <x v="2682"/>
    <m/>
    <m/>
    <m/>
    <m/>
    <m/>
    <m/>
    <m/>
    <m/>
    <m/>
    <m/>
  </r>
  <r>
    <s v="2022-12-20 09:32 (EST)"/>
    <x v="946"/>
    <x v="1747"/>
    <x v="5"/>
    <s v="On Demand"/>
    <x v="16"/>
    <x v="2"/>
    <x v="4"/>
    <s v="Focus Flow"/>
    <x v="660"/>
    <x v="2683"/>
    <m/>
    <m/>
    <m/>
    <m/>
    <m/>
    <m/>
    <n v="101"/>
    <n v="86.91"/>
    <m/>
    <m/>
  </r>
  <r>
    <s v="2022-12-20 22:14 (EST)"/>
    <x v="946"/>
    <x v="1748"/>
    <x v="5"/>
    <s v="On Demand"/>
    <x v="23"/>
    <x v="1"/>
    <x v="5"/>
    <s v="Emotions"/>
    <x v="147"/>
    <x v="2684"/>
    <m/>
    <m/>
    <m/>
    <m/>
    <m/>
    <m/>
    <m/>
    <m/>
    <m/>
    <m/>
  </r>
  <r>
    <s v="2022-12-27 08:02 (PST)"/>
    <x v="947"/>
    <x v="1490"/>
    <x v="5"/>
    <s v="On Demand"/>
    <x v="13"/>
    <x v="2"/>
    <x v="4"/>
    <s v="Slow Flow"/>
    <x v="50"/>
    <x v="2685"/>
    <m/>
    <m/>
    <m/>
    <m/>
    <m/>
    <m/>
    <n v="97"/>
    <m/>
    <m/>
    <m/>
  </r>
  <r>
    <s v="2022-12-27 16:05 (-08)"/>
    <x v="947"/>
    <x v="1749"/>
    <x v="5"/>
    <s v="On Demand"/>
    <x v="37"/>
    <x v="0"/>
    <x v="9"/>
    <s v="Body Focus"/>
    <x v="181"/>
    <x v="832"/>
    <n v="139"/>
    <m/>
    <m/>
    <m/>
    <n v="2.99"/>
    <n v="3.08"/>
    <n v="464"/>
    <n v="154.69999999999999"/>
    <m/>
    <m/>
  </r>
  <r>
    <s v="2022-12-27 16:53 (-08)"/>
    <x v="947"/>
    <x v="1494"/>
    <x v="5"/>
    <s v="On Demand"/>
    <x v="46"/>
    <x v="3"/>
    <x v="7"/>
    <s v="Warm Up/Cool Down"/>
    <x v="302"/>
    <x v="832"/>
    <n v="12"/>
    <m/>
    <m/>
    <m/>
    <n v="2.76"/>
    <n v="0.41"/>
    <n v="35"/>
    <n v="126.35"/>
    <m/>
    <m/>
  </r>
  <r>
    <s v="2022-12-27 17:04 (-08)"/>
    <x v="947"/>
    <x v="1750"/>
    <x v="5"/>
    <s v="On Demand"/>
    <x v="36"/>
    <x v="1"/>
    <x v="1"/>
    <s v="Arms &amp; Light Weights"/>
    <x v="28"/>
    <x v="2686"/>
    <m/>
    <m/>
    <m/>
    <m/>
    <m/>
    <m/>
    <n v="49"/>
    <n v="106.65"/>
    <m/>
    <m/>
  </r>
  <r>
    <s v="2022-12-27 17:16 (-08)"/>
    <x v="947"/>
    <x v="159"/>
    <x v="5"/>
    <s v="On Demand"/>
    <x v="37"/>
    <x v="3"/>
    <x v="2"/>
    <s v="Pre &amp; Post-Row Stretch"/>
    <x v="476"/>
    <x v="2687"/>
    <m/>
    <m/>
    <m/>
    <m/>
    <m/>
    <m/>
    <n v="16"/>
    <n v="89.55"/>
    <m/>
    <m/>
  </r>
  <r>
    <s v="2022-12-27 22:44 (PST)"/>
    <x v="947"/>
    <x v="373"/>
    <x v="5"/>
    <s v="On Demand"/>
    <x v="25"/>
    <x v="1"/>
    <x v="5"/>
    <s v="Sleep"/>
    <x v="39"/>
    <x v="477"/>
    <m/>
    <m/>
    <m/>
    <m/>
    <m/>
    <m/>
    <m/>
    <m/>
    <m/>
    <m/>
  </r>
  <r>
    <s v="2023-01-03 03:45 (PST)"/>
    <x v="948"/>
    <x v="134"/>
    <x v="5"/>
    <s v="On Demand"/>
    <x v="19"/>
    <x v="1"/>
    <x v="5"/>
    <s v="Mindfulness"/>
    <x v="51"/>
    <x v="2688"/>
    <m/>
    <m/>
    <m/>
    <m/>
    <m/>
    <m/>
    <m/>
    <m/>
    <m/>
    <m/>
  </r>
  <r>
    <s v="2023-01-03 07:36 (PST)"/>
    <x v="948"/>
    <x v="97"/>
    <x v="5"/>
    <s v="On Demand"/>
    <x v="7"/>
    <x v="2"/>
    <x v="4"/>
    <s v="Theme"/>
    <x v="661"/>
    <x v="2689"/>
    <m/>
    <m/>
    <m/>
    <m/>
    <m/>
    <m/>
    <n v="92"/>
    <m/>
    <m/>
    <m/>
  </r>
  <r>
    <s v="2023-01-03 12:19 (PST)"/>
    <x v="948"/>
    <x v="1388"/>
    <x v="5"/>
    <s v="On Demand"/>
    <x v="43"/>
    <x v="2"/>
    <x v="6"/>
    <s v="Theme Walk"/>
    <x v="662"/>
    <x v="2690"/>
    <n v="0"/>
    <m/>
    <m/>
    <m/>
    <n v="3.36"/>
    <n v="1.67"/>
    <n v="254"/>
    <n v="140.33000000000001"/>
    <m/>
    <m/>
  </r>
  <r>
    <s v="2023-01-03 12:49 (PST)"/>
    <x v="948"/>
    <x v="1751"/>
    <x v="5"/>
    <m/>
    <x v="34"/>
    <x v="21"/>
    <x v="6"/>
    <m/>
    <x v="663"/>
    <x v="231"/>
    <n v="0"/>
    <m/>
    <m/>
    <m/>
    <n v="3.16"/>
    <n v="0.18"/>
    <n v="14"/>
    <m/>
    <m/>
    <m/>
  </r>
  <r>
    <s v="2023-01-03 16:08 (-08)"/>
    <x v="948"/>
    <x v="571"/>
    <x v="5"/>
    <s v="On Demand"/>
    <x v="6"/>
    <x v="0"/>
    <x v="0"/>
    <s v="Power Zone"/>
    <x v="85"/>
    <x v="2691"/>
    <n v="270"/>
    <n v="100"/>
    <n v="0.34"/>
    <n v="88"/>
    <n v="15.73"/>
    <n v="11.8"/>
    <n v="482"/>
    <n v="158.81"/>
    <m/>
    <m/>
  </r>
  <r>
    <s v="2023-01-03 16:54 (-08)"/>
    <x v="948"/>
    <x v="1752"/>
    <x v="5"/>
    <s v="On Demand"/>
    <x v="9"/>
    <x v="3"/>
    <x v="0"/>
    <s v="Cool Down"/>
    <x v="10"/>
    <x v="2692"/>
    <n v="15"/>
    <n v="50"/>
    <n v="0.26"/>
    <n v="88"/>
    <n v="12.01"/>
    <n v="1"/>
    <n v="35"/>
    <n v="121.14"/>
    <m/>
    <m/>
  </r>
  <r>
    <s v="2023-01-03 17:00 (-08)"/>
    <x v="948"/>
    <x v="538"/>
    <x v="5"/>
    <s v="On Demand"/>
    <x v="6"/>
    <x v="3"/>
    <x v="2"/>
    <s v="Pre &amp; Post-Ride Stretch"/>
    <x v="8"/>
    <x v="299"/>
    <m/>
    <m/>
    <m/>
    <m/>
    <m/>
    <m/>
    <n v="12"/>
    <m/>
    <m/>
    <m/>
  </r>
  <r>
    <s v="2023-01-03 22:06 (PST)"/>
    <x v="948"/>
    <x v="355"/>
    <x v="5"/>
    <s v="On Demand"/>
    <x v="19"/>
    <x v="1"/>
    <x v="5"/>
    <s v="Emotions"/>
    <x v="60"/>
    <x v="2693"/>
    <m/>
    <m/>
    <m/>
    <m/>
    <m/>
    <m/>
    <m/>
    <m/>
    <m/>
    <m/>
  </r>
  <r>
    <s v="2023-01-10 03:25 (PST)"/>
    <x v="949"/>
    <x v="1753"/>
    <x v="5"/>
    <s v="On Demand"/>
    <x v="19"/>
    <x v="3"/>
    <x v="5"/>
    <s v="Emotions"/>
    <x v="140"/>
    <x v="2694"/>
    <m/>
    <m/>
    <m/>
    <m/>
    <m/>
    <m/>
    <m/>
    <m/>
    <m/>
    <m/>
  </r>
  <r>
    <s v="2023-01-10 11:09 (PST)"/>
    <x v="949"/>
    <x v="871"/>
    <x v="5"/>
    <s v="On Demand"/>
    <x v="23"/>
    <x v="2"/>
    <x v="4"/>
    <s v="Focus Flow"/>
    <x v="90"/>
    <x v="2695"/>
    <m/>
    <m/>
    <m/>
    <m/>
    <m/>
    <m/>
    <n v="88"/>
    <m/>
    <m/>
    <m/>
  </r>
  <r>
    <s v="2023-01-10 19:00 (-08)"/>
    <x v="949"/>
    <x v="1680"/>
    <x v="5"/>
    <s v="On Demand"/>
    <x v="9"/>
    <x v="0"/>
    <x v="0"/>
    <s v="Power Zone"/>
    <x v="27"/>
    <x v="2696"/>
    <n v="237"/>
    <n v="88"/>
    <n v="0.36"/>
    <n v="81"/>
    <n v="15.29"/>
    <n v="11.47"/>
    <n v="429"/>
    <n v="148.37"/>
    <m/>
    <m/>
  </r>
  <r>
    <s v="2023-01-10 19:48 (-08)"/>
    <x v="949"/>
    <x v="1754"/>
    <x v="5"/>
    <s v="On Demand"/>
    <x v="1"/>
    <x v="5"/>
    <x v="1"/>
    <s v="Core"/>
    <x v="115"/>
    <x v="2697"/>
    <m/>
    <m/>
    <m/>
    <m/>
    <m/>
    <m/>
    <n v="102"/>
    <n v="107.49"/>
    <m/>
    <m/>
  </r>
  <r>
    <s v="2023-01-10 21:46 (PST)"/>
    <x v="949"/>
    <x v="432"/>
    <x v="5"/>
    <s v="On Demand"/>
    <x v="28"/>
    <x v="7"/>
    <x v="5"/>
    <s v="Relaxation"/>
    <x v="94"/>
    <x v="1707"/>
    <m/>
    <m/>
    <m/>
    <m/>
    <m/>
    <m/>
    <m/>
    <m/>
    <m/>
    <m/>
  </r>
  <r>
    <s v="2023-01-17 08:17 (PST)"/>
    <x v="950"/>
    <x v="1755"/>
    <x v="5"/>
    <s v="On Demand"/>
    <x v="13"/>
    <x v="2"/>
    <x v="4"/>
    <s v="Slow Flow"/>
    <x v="114"/>
    <x v="2698"/>
    <m/>
    <m/>
    <m/>
    <m/>
    <m/>
    <m/>
    <n v="98"/>
    <m/>
    <m/>
    <m/>
  </r>
  <r>
    <s v="2023-01-17 13:40 (PST)"/>
    <x v="950"/>
    <x v="1756"/>
    <x v="5"/>
    <s v="On Demand"/>
    <x v="15"/>
    <x v="1"/>
    <x v="6"/>
    <s v="Warm Up/Cool Down Walk"/>
    <x v="266"/>
    <x v="2699"/>
    <n v="0"/>
    <m/>
    <m/>
    <m/>
    <n v="2.72"/>
    <n v="0.01"/>
    <n v="2"/>
    <m/>
    <m/>
    <m/>
  </r>
  <r>
    <s v="2023-01-17 16:00 (-08)"/>
    <x v="950"/>
    <x v="1757"/>
    <x v="5"/>
    <s v="On Demand"/>
    <x v="6"/>
    <x v="0"/>
    <x v="0"/>
    <s v="Power Zone"/>
    <x v="664"/>
    <x v="2700"/>
    <n v="265"/>
    <n v="98"/>
    <n v="0.36"/>
    <n v="86"/>
    <n v="16.010000000000002"/>
    <n v="12.01"/>
    <n v="506"/>
    <n v="163.76"/>
    <m/>
    <m/>
  </r>
  <r>
    <s v="2023-01-17 16:46 (-08)"/>
    <x v="950"/>
    <x v="548"/>
    <x v="5"/>
    <s v="On Demand"/>
    <x v="12"/>
    <x v="1"/>
    <x v="1"/>
    <s v="Arms &amp; Light Weights"/>
    <x v="28"/>
    <x v="2701"/>
    <m/>
    <m/>
    <m/>
    <m/>
    <m/>
    <m/>
    <n v="73"/>
    <n v="128.1"/>
    <m/>
    <m/>
  </r>
  <r>
    <s v="2023-01-17 16:58 (-08)"/>
    <x v="950"/>
    <x v="599"/>
    <x v="5"/>
    <s v="On Demand"/>
    <x v="20"/>
    <x v="3"/>
    <x v="1"/>
    <s v="Core"/>
    <x v="6"/>
    <x v="2702"/>
    <m/>
    <m/>
    <m/>
    <m/>
    <m/>
    <m/>
    <n v="25"/>
    <n v="109.32"/>
    <m/>
    <m/>
  </r>
  <r>
    <s v="2023-01-24 01:18 (PST)"/>
    <x v="951"/>
    <x v="1758"/>
    <x v="5"/>
    <s v="On Demand"/>
    <x v="28"/>
    <x v="1"/>
    <x v="5"/>
    <s v="Emotions"/>
    <x v="60"/>
    <x v="2703"/>
    <m/>
    <m/>
    <m/>
    <m/>
    <m/>
    <m/>
    <m/>
    <m/>
    <m/>
    <m/>
  </r>
  <r>
    <s v="2023-01-24 07:47 (PST)"/>
    <x v="951"/>
    <x v="656"/>
    <x v="5"/>
    <s v="On Demand"/>
    <x v="13"/>
    <x v="2"/>
    <x v="4"/>
    <s v="Focus Flow"/>
    <x v="86"/>
    <x v="2704"/>
    <m/>
    <m/>
    <m/>
    <m/>
    <m/>
    <m/>
    <n v="91"/>
    <m/>
    <m/>
    <m/>
  </r>
  <r>
    <s v="2023-01-24 12:41 (-08)"/>
    <x v="951"/>
    <x v="1759"/>
    <x v="5"/>
    <s v="On Demand"/>
    <x v="37"/>
    <x v="0"/>
    <x v="9"/>
    <s v="Body Focus"/>
    <x v="12"/>
    <x v="832"/>
    <n v="132"/>
    <m/>
    <m/>
    <m/>
    <n v="2.88"/>
    <n v="2.94"/>
    <n v="415"/>
    <n v="138.74"/>
    <m/>
    <m/>
  </r>
  <r>
    <s v="2023-01-24 13:47 (PST)"/>
    <x v="951"/>
    <x v="1760"/>
    <x v="5"/>
    <m/>
    <x v="34"/>
    <x v="25"/>
    <x v="6"/>
    <m/>
    <x v="665"/>
    <x v="231"/>
    <n v="0"/>
    <m/>
    <m/>
    <m/>
    <n v="3.12"/>
    <n v="1.86"/>
    <n v="141"/>
    <m/>
    <m/>
    <m/>
  </r>
  <r>
    <s v="2023-01-24 21:18 (PST)"/>
    <x v="951"/>
    <x v="1116"/>
    <x v="5"/>
    <s v="On Demand"/>
    <x v="23"/>
    <x v="3"/>
    <x v="5"/>
    <s v="Emotions"/>
    <x v="429"/>
    <x v="2705"/>
    <m/>
    <m/>
    <m/>
    <m/>
    <m/>
    <m/>
    <m/>
    <m/>
    <m/>
    <m/>
  </r>
  <r>
    <s v="2023-01-31 08:18 (-05)"/>
    <x v="952"/>
    <x v="1761"/>
    <x v="5"/>
    <s v="On Demand"/>
    <x v="6"/>
    <x v="0"/>
    <x v="0"/>
    <s v="Power Zone"/>
    <x v="85"/>
    <x v="2706"/>
    <n v="197"/>
    <n v="73"/>
    <n v="0.31"/>
    <n v="85"/>
    <n v="13.75"/>
    <n v="10.31"/>
    <n v="481"/>
    <n v="158.41"/>
    <m/>
    <m/>
  </r>
  <r>
    <s v="2023-01-31 09:04 (-05)"/>
    <x v="952"/>
    <x v="1762"/>
    <x v="5"/>
    <s v="On Demand"/>
    <x v="8"/>
    <x v="3"/>
    <x v="0"/>
    <s v="Cool Down"/>
    <x v="10"/>
    <x v="2707"/>
    <n v="6"/>
    <n v="20"/>
    <n v="0.15"/>
    <n v="78"/>
    <n v="7.31"/>
    <n v="0.61"/>
    <n v="27"/>
    <n v="102.02"/>
    <m/>
    <m/>
  </r>
  <r>
    <s v="2023-01-31 09:13 (-05)"/>
    <x v="952"/>
    <x v="714"/>
    <x v="5"/>
    <s v="On Demand"/>
    <x v="42"/>
    <x v="1"/>
    <x v="1"/>
    <s v="Arms &amp; Light Weights"/>
    <x v="666"/>
    <x v="2708"/>
    <m/>
    <m/>
    <m/>
    <m/>
    <m/>
    <m/>
    <n v="47"/>
    <m/>
    <m/>
    <m/>
  </r>
  <r>
    <s v="2023-01-31 09:39 (EST)"/>
    <x v="952"/>
    <x v="1763"/>
    <x v="5"/>
    <s v="On Demand"/>
    <x v="35"/>
    <x v="1"/>
    <x v="1"/>
    <s v="Core"/>
    <x v="1"/>
    <x v="2709"/>
    <m/>
    <m/>
    <m/>
    <m/>
    <m/>
    <m/>
    <n v="47"/>
    <m/>
    <m/>
    <m/>
  </r>
  <r>
    <s v="2023-01-31 09:50 (EST)"/>
    <x v="952"/>
    <x v="1764"/>
    <x v="5"/>
    <s v="On Demand"/>
    <x v="18"/>
    <x v="3"/>
    <x v="2"/>
    <s v="Pre &amp; Post-Ride Stretch"/>
    <x v="8"/>
    <x v="2710"/>
    <m/>
    <m/>
    <m/>
    <m/>
    <m/>
    <m/>
    <n v="12"/>
    <m/>
    <m/>
    <m/>
  </r>
  <r>
    <s v="2023-01-31 23:21 (EST)"/>
    <x v="952"/>
    <x v="1765"/>
    <x v="5"/>
    <s v="On Demand"/>
    <x v="16"/>
    <x v="5"/>
    <x v="5"/>
    <s v="Sleep"/>
    <x v="29"/>
    <x v="2711"/>
    <m/>
    <m/>
    <m/>
    <m/>
    <m/>
    <m/>
    <m/>
    <m/>
    <m/>
    <m/>
  </r>
  <r>
    <s v="2023-02-07 09:29 (-05)"/>
    <x v="953"/>
    <x v="1766"/>
    <x v="5"/>
    <s v="On Demand"/>
    <x v="6"/>
    <x v="0"/>
    <x v="0"/>
    <s v="Power Zone"/>
    <x v="85"/>
    <x v="2712"/>
    <n v="190"/>
    <n v="70"/>
    <n v="0.3"/>
    <n v="85"/>
    <n v="13.47"/>
    <n v="10.1"/>
    <n v="455"/>
    <n v="153.75"/>
    <m/>
    <m/>
  </r>
  <r>
    <s v="2023-02-07 10:16 (-05)"/>
    <x v="953"/>
    <x v="1767"/>
    <x v="5"/>
    <s v="On Demand"/>
    <x v="1"/>
    <x v="3"/>
    <x v="0"/>
    <s v="Cool Down"/>
    <x v="10"/>
    <x v="2713"/>
    <n v="10"/>
    <n v="33"/>
    <n v="0.25"/>
    <n v="71"/>
    <n v="9.65"/>
    <n v="0.8"/>
    <n v="29"/>
    <n v="110.51"/>
    <m/>
    <m/>
  </r>
  <r>
    <s v="2023-02-07 10:31 (-05)"/>
    <x v="953"/>
    <x v="1768"/>
    <x v="5"/>
    <s v="On Demand"/>
    <x v="1"/>
    <x v="5"/>
    <x v="1"/>
    <s v="Core"/>
    <x v="115"/>
    <x v="2714"/>
    <m/>
    <m/>
    <m/>
    <m/>
    <m/>
    <m/>
    <n v="97"/>
    <n v="108.53"/>
    <m/>
    <m/>
  </r>
  <r>
    <s v="2023-02-07 10:53 (-05)"/>
    <x v="953"/>
    <x v="1769"/>
    <x v="5"/>
    <s v="On Demand"/>
    <x v="16"/>
    <x v="2"/>
    <x v="4"/>
    <s v="Flow"/>
    <x v="295"/>
    <x v="2715"/>
    <m/>
    <m/>
    <m/>
    <m/>
    <m/>
    <m/>
    <n v="115"/>
    <n v="98.07"/>
    <m/>
    <m/>
  </r>
  <r>
    <s v="2023-02-07 22:56 (EST)"/>
    <x v="953"/>
    <x v="1770"/>
    <x v="5"/>
    <s v="On Demand"/>
    <x v="13"/>
    <x v="1"/>
    <x v="5"/>
    <s v="Emotions"/>
    <x v="60"/>
    <x v="2716"/>
    <m/>
    <m/>
    <m/>
    <m/>
    <m/>
    <m/>
    <m/>
    <m/>
    <m/>
    <m/>
  </r>
  <r>
    <s v="2023-02-14 12:16 (-08)"/>
    <x v="954"/>
    <x v="1466"/>
    <x v="5"/>
    <s v="On Demand"/>
    <x v="7"/>
    <x v="0"/>
    <x v="0"/>
    <s v="Power Zone"/>
    <x v="85"/>
    <x v="647"/>
    <n v="265"/>
    <n v="98"/>
    <n v="0.35"/>
    <n v="85"/>
    <n v="15.53"/>
    <n v="11.65"/>
    <n v="478"/>
    <n v="157.81"/>
    <m/>
    <m/>
  </r>
  <r>
    <s v="2023-02-14 13:04 (-08)"/>
    <x v="954"/>
    <x v="1771"/>
    <x v="5"/>
    <s v="On Demand"/>
    <x v="1"/>
    <x v="7"/>
    <x v="0"/>
    <s v="Low Impact"/>
    <x v="249"/>
    <x v="2717"/>
    <n v="68"/>
    <n v="75"/>
    <n v="0.32"/>
    <n v="84"/>
    <n v="14.15"/>
    <n v="3.54"/>
    <n v="143"/>
    <n v="148.54"/>
    <m/>
    <m/>
  </r>
  <r>
    <s v="2023-02-14 13:25 (-08)"/>
    <x v="954"/>
    <x v="317"/>
    <x v="5"/>
    <s v="On Demand"/>
    <x v="24"/>
    <x v="5"/>
    <x v="1"/>
    <s v="Upper Body"/>
    <x v="247"/>
    <x v="2718"/>
    <m/>
    <m/>
    <m/>
    <m/>
    <m/>
    <m/>
    <n v="117"/>
    <n v="111.97"/>
    <m/>
    <m/>
  </r>
  <r>
    <s v="2023-02-14 13:47 (-08)"/>
    <x v="954"/>
    <x v="1772"/>
    <x v="5"/>
    <s v="On Demand"/>
    <x v="24"/>
    <x v="7"/>
    <x v="1"/>
    <s v="Core"/>
    <x v="254"/>
    <x v="2719"/>
    <m/>
    <m/>
    <m/>
    <m/>
    <m/>
    <m/>
    <n v="65"/>
    <n v="103.81"/>
    <m/>
    <m/>
  </r>
  <r>
    <s v="2023-02-21 14:09 (-08)"/>
    <x v="955"/>
    <x v="950"/>
    <x v="5"/>
    <s v="On Demand"/>
    <x v="37"/>
    <x v="0"/>
    <x v="9"/>
    <s v="Music/Theme "/>
    <x v="13"/>
    <x v="832"/>
    <n v="129"/>
    <m/>
    <m/>
    <m/>
    <n v="2.83"/>
    <n v="2.9"/>
    <n v="442"/>
    <n v="150.78"/>
    <m/>
    <m/>
  </r>
  <r>
    <s v="2023-02-21 14:57 (-08)"/>
    <x v="955"/>
    <x v="1773"/>
    <x v="5"/>
    <s v="On Demand"/>
    <x v="38"/>
    <x v="3"/>
    <x v="7"/>
    <s v="Warm Up/Cool Down"/>
    <x v="302"/>
    <x v="2720"/>
    <n v="16"/>
    <m/>
    <m/>
    <m/>
    <n v="2.66"/>
    <n v="0.44"/>
    <n v="33"/>
    <n v="133.30000000000001"/>
    <m/>
    <m/>
  </r>
  <r>
    <s v="2023-02-21 15:06 (-08)"/>
    <x v="955"/>
    <x v="1774"/>
    <x v="5"/>
    <s v="On Demand"/>
    <x v="35"/>
    <x v="1"/>
    <x v="1"/>
    <s v="Upper Body"/>
    <x v="117"/>
    <x v="332"/>
    <m/>
    <m/>
    <m/>
    <m/>
    <m/>
    <m/>
    <n v="44"/>
    <n v="103.63"/>
    <m/>
    <m/>
  </r>
  <r>
    <s v="2023-02-21 15:17 (-08)"/>
    <x v="955"/>
    <x v="835"/>
    <x v="5"/>
    <s v="On Demand"/>
    <x v="26"/>
    <x v="3"/>
    <x v="1"/>
    <s v="Core"/>
    <x v="6"/>
    <x v="2721"/>
    <m/>
    <m/>
    <m/>
    <m/>
    <m/>
    <m/>
    <n v="26"/>
    <n v="111.12"/>
    <m/>
    <m/>
  </r>
  <r>
    <s v="2023-02-21 16:36 (PST)"/>
    <x v="955"/>
    <x v="1775"/>
    <x v="5"/>
    <s v="On Demand"/>
    <x v="13"/>
    <x v="2"/>
    <x v="4"/>
    <s v="Flow"/>
    <x v="224"/>
    <x v="2722"/>
    <m/>
    <m/>
    <m/>
    <m/>
    <m/>
    <m/>
    <n v="98"/>
    <m/>
    <m/>
    <m/>
  </r>
  <r>
    <s v="2023-02-21 22:48 (PST)"/>
    <x v="955"/>
    <x v="462"/>
    <x v="5"/>
    <s v="On Demand"/>
    <x v="16"/>
    <x v="3"/>
    <x v="5"/>
    <s v="Mindfulness"/>
    <x v="667"/>
    <x v="2723"/>
    <m/>
    <m/>
    <m/>
    <m/>
    <m/>
    <m/>
    <m/>
    <m/>
    <m/>
    <m/>
  </r>
  <r>
    <s v="2023-02-28 11:56 (PST)"/>
    <x v="956"/>
    <x v="0"/>
    <x v="5"/>
    <s v="On Demand"/>
    <x v="13"/>
    <x v="0"/>
    <x v="4"/>
    <s v="Slow Flow"/>
    <x v="33"/>
    <x v="2724"/>
    <m/>
    <m/>
    <m/>
    <m/>
    <m/>
    <m/>
    <n v="140"/>
    <m/>
    <m/>
    <m/>
  </r>
  <r>
    <s v="2023-02-28 22:24 (PST)"/>
    <x v="956"/>
    <x v="1212"/>
    <x v="5"/>
    <s v="On Demand"/>
    <x v="28"/>
    <x v="7"/>
    <x v="5"/>
    <s v="Relaxation"/>
    <x v="106"/>
    <x v="2725"/>
    <m/>
    <m/>
    <m/>
    <m/>
    <m/>
    <m/>
    <m/>
    <m/>
    <m/>
    <m/>
  </r>
  <r>
    <s v="2023-03-07 07:56 (PST)"/>
    <x v="957"/>
    <x v="28"/>
    <x v="5"/>
    <s v="On Demand"/>
    <x v="28"/>
    <x v="2"/>
    <x v="4"/>
    <s v="Slow Flow"/>
    <x v="50"/>
    <x v="2726"/>
    <m/>
    <m/>
    <m/>
    <m/>
    <m/>
    <m/>
    <n v="92"/>
    <m/>
    <m/>
    <m/>
  </r>
  <r>
    <s v="2023-03-07 10:42 (PST)"/>
    <x v="957"/>
    <x v="1776"/>
    <x v="5"/>
    <m/>
    <x v="34"/>
    <x v="11"/>
    <x v="6"/>
    <m/>
    <x v="668"/>
    <x v="231"/>
    <n v="0"/>
    <m/>
    <m/>
    <m/>
    <n v="3.11"/>
    <n v="2.1"/>
    <n v="271"/>
    <n v="131.16999999999999"/>
    <m/>
    <m/>
  </r>
  <r>
    <s v="2023-03-07 13:03 (-08)"/>
    <x v="957"/>
    <x v="1373"/>
    <x v="5"/>
    <s v="On Demand"/>
    <x v="31"/>
    <x v="1"/>
    <x v="1"/>
    <s v="Core"/>
    <x v="1"/>
    <x v="330"/>
    <m/>
    <m/>
    <m/>
    <m/>
    <m/>
    <m/>
    <n v="48"/>
    <n v="105.44"/>
    <m/>
    <m/>
  </r>
  <r>
    <s v="2023-03-07 13:15 (-08)"/>
    <x v="957"/>
    <x v="1777"/>
    <x v="5"/>
    <s v="On Demand"/>
    <x v="6"/>
    <x v="8"/>
    <x v="0"/>
    <s v="Power Zone"/>
    <x v="25"/>
    <x v="2727"/>
    <n v="556"/>
    <n v="103"/>
    <n v="0.37"/>
    <n v="84"/>
    <n v="16.34"/>
    <n v="24.5"/>
    <n v="909"/>
    <n v="153.31"/>
    <m/>
    <m/>
  </r>
  <r>
    <s v="2023-03-07 14:47 (-08)"/>
    <x v="957"/>
    <x v="1609"/>
    <x v="5"/>
    <s v="On Demand"/>
    <x v="22"/>
    <x v="3"/>
    <x v="2"/>
    <s v="Pre &amp; Post-Ride Stretch"/>
    <x v="8"/>
    <x v="2728"/>
    <m/>
    <m/>
    <m/>
    <m/>
    <m/>
    <m/>
    <n v="28"/>
    <n v="114.77"/>
    <m/>
    <m/>
  </r>
  <r>
    <s v="2023-03-07 22:32 (PST)"/>
    <x v="957"/>
    <x v="454"/>
    <x v="5"/>
    <s v="On Demand"/>
    <x v="23"/>
    <x v="3"/>
    <x v="5"/>
    <s v="Emotions"/>
    <x v="429"/>
    <x v="2729"/>
    <m/>
    <m/>
    <m/>
    <m/>
    <m/>
    <m/>
    <m/>
    <m/>
    <m/>
    <m/>
  </r>
  <r>
    <s v="2023-03-14 16:21 (-07)"/>
    <x v="958"/>
    <x v="236"/>
    <x v="5"/>
    <s v="On Demand"/>
    <x v="31"/>
    <x v="1"/>
    <x v="1"/>
    <s v="Core"/>
    <x v="1"/>
    <x v="338"/>
    <m/>
    <m/>
    <m/>
    <m/>
    <m/>
    <m/>
    <n v="67"/>
    <n v="118.05"/>
    <m/>
    <m/>
  </r>
  <r>
    <s v="2023-03-14 16:36 (-07)"/>
    <x v="958"/>
    <x v="1585"/>
    <x v="5"/>
    <s v="On Demand"/>
    <x v="6"/>
    <x v="4"/>
    <x v="0"/>
    <s v="Power Zone"/>
    <x v="7"/>
    <x v="2730"/>
    <n v="325"/>
    <n v="90"/>
    <n v="0.37"/>
    <n v="81"/>
    <n v="15.52"/>
    <n v="15.52"/>
    <n v="537"/>
    <n v="143.41999999999999"/>
    <m/>
    <m/>
  </r>
  <r>
    <s v="2023-03-14 17:38 (-07)"/>
    <x v="958"/>
    <x v="770"/>
    <x v="5"/>
    <s v="On Demand"/>
    <x v="0"/>
    <x v="1"/>
    <x v="1"/>
    <s v="Arms &amp; Light Weights"/>
    <x v="669"/>
    <x v="2731"/>
    <m/>
    <m/>
    <m/>
    <m/>
    <m/>
    <m/>
    <n v="35"/>
    <n v="3.42"/>
    <m/>
    <m/>
  </r>
  <r>
    <s v="2023-03-14 17:49 (-07)"/>
    <x v="958"/>
    <x v="1457"/>
    <x v="5"/>
    <s v="On Demand"/>
    <x v="17"/>
    <x v="3"/>
    <x v="2"/>
    <s v="Pre &amp; Post-Ride Stretch"/>
    <x v="8"/>
    <x v="2732"/>
    <m/>
    <m/>
    <m/>
    <m/>
    <m/>
    <m/>
    <n v="15"/>
    <n v="90.47"/>
    <m/>
    <m/>
  </r>
  <r>
    <s v="2023-03-14 23:05 (PST)"/>
    <x v="958"/>
    <x v="474"/>
    <x v="5"/>
    <s v="On Demand"/>
    <x v="28"/>
    <x v="1"/>
    <x v="5"/>
    <s v="Emotions"/>
    <x v="44"/>
    <x v="2733"/>
    <m/>
    <m/>
    <m/>
    <m/>
    <m/>
    <m/>
    <m/>
    <m/>
    <m/>
    <m/>
  </r>
  <r>
    <s v="2023-03-21 12:41 (-04)"/>
    <x v="959"/>
    <x v="1778"/>
    <x v="5"/>
    <s v="On Demand"/>
    <x v="6"/>
    <x v="2"/>
    <x v="0"/>
    <s v="Power Zone"/>
    <x v="434"/>
    <x v="2734"/>
    <n v="142"/>
    <n v="79"/>
    <n v="0.32"/>
    <n v="89"/>
    <n v="14.49"/>
    <n v="7.24"/>
    <n v="297"/>
    <n v="151.81"/>
    <m/>
    <m/>
  </r>
  <r>
    <s v="2023-03-21 13:13 (-04)"/>
    <x v="959"/>
    <x v="1779"/>
    <x v="5"/>
    <s v="On Demand"/>
    <x v="12"/>
    <x v="1"/>
    <x v="0"/>
    <s v="Low Impact"/>
    <x v="149"/>
    <x v="2735"/>
    <n v="44"/>
    <n v="73"/>
    <n v="0.32"/>
    <n v="86"/>
    <n v="14.2"/>
    <n v="2.36"/>
    <n v="68"/>
    <n v="140.1"/>
    <m/>
    <m/>
  </r>
  <r>
    <s v="2023-03-21 13:24 (-04)"/>
    <x v="959"/>
    <x v="1780"/>
    <x v="5"/>
    <s v="On Demand"/>
    <x v="9"/>
    <x v="3"/>
    <x v="0"/>
    <s v="Cool Down"/>
    <x v="10"/>
    <x v="2736"/>
    <n v="14"/>
    <n v="48"/>
    <n v="0.26"/>
    <n v="86"/>
    <n v="11.63"/>
    <n v="0.97"/>
    <n v="37"/>
    <n v="134.28"/>
    <m/>
    <m/>
  </r>
  <r>
    <s v="2023-03-21 13:33 (-04)"/>
    <x v="959"/>
    <x v="1781"/>
    <x v="5"/>
    <s v="On Demand"/>
    <x v="31"/>
    <x v="2"/>
    <x v="1"/>
    <s v="Core"/>
    <x v="503"/>
    <x v="2230"/>
    <m/>
    <m/>
    <m/>
    <m/>
    <m/>
    <m/>
    <n v="150"/>
    <n v="108.75"/>
    <m/>
    <m/>
  </r>
  <r>
    <s v="2023-03-21 14:07 (-04)"/>
    <x v="959"/>
    <x v="1782"/>
    <x v="5"/>
    <s v="On Demand"/>
    <x v="7"/>
    <x v="1"/>
    <x v="4"/>
    <s v="Focus Flow"/>
    <x v="670"/>
    <x v="2737"/>
    <m/>
    <m/>
    <m/>
    <m/>
    <m/>
    <m/>
    <n v="38"/>
    <n v="98.83"/>
    <m/>
    <m/>
  </r>
  <r>
    <s v="2023-03-21 23:08 (EST)"/>
    <x v="959"/>
    <x v="1783"/>
    <x v="5"/>
    <s v="On Demand"/>
    <x v="19"/>
    <x v="2"/>
    <x v="5"/>
    <s v="Sleep"/>
    <x v="31"/>
    <x v="2738"/>
    <m/>
    <m/>
    <m/>
    <m/>
    <m/>
    <m/>
    <m/>
    <m/>
    <m/>
    <m/>
  </r>
  <r>
    <s v="2023-03-28 10:51 (PST)"/>
    <x v="960"/>
    <x v="1393"/>
    <x v="5"/>
    <s v="On Demand"/>
    <x v="13"/>
    <x v="2"/>
    <x v="4"/>
    <s v="Slow Flow"/>
    <x v="671"/>
    <x v="2739"/>
    <m/>
    <m/>
    <m/>
    <m/>
    <m/>
    <m/>
    <n v="94"/>
    <m/>
    <m/>
    <m/>
  </r>
  <r>
    <s v="2023-03-28 14:37 (-07)"/>
    <x v="960"/>
    <x v="1784"/>
    <x v="5"/>
    <s v="On Demand"/>
    <x v="24"/>
    <x v="1"/>
    <x v="1"/>
    <s v="Core"/>
    <x v="108"/>
    <x v="2740"/>
    <m/>
    <m/>
    <m/>
    <m/>
    <m/>
    <m/>
    <n v="50"/>
    <n v="108.91"/>
    <m/>
    <m/>
  </r>
  <r>
    <s v="2023-03-28 14:50 (-07)"/>
    <x v="960"/>
    <x v="1785"/>
    <x v="5"/>
    <s v="On Demand"/>
    <x v="4"/>
    <x v="0"/>
    <x v="0"/>
    <s v="Power Zone"/>
    <x v="148"/>
    <x v="2741"/>
    <n v="290"/>
    <n v="107"/>
    <n v="0.38"/>
    <n v="84"/>
    <n v="16.579999999999998"/>
    <n v="12.43"/>
    <n v="456"/>
    <n v="153.59"/>
    <m/>
    <m/>
  </r>
  <r>
    <s v="2023-03-28 15:42 (-07)"/>
    <x v="960"/>
    <x v="1786"/>
    <x v="5"/>
    <s v="On Demand"/>
    <x v="7"/>
    <x v="1"/>
    <x v="1"/>
    <s v="Arms &amp; Light Weights"/>
    <x v="28"/>
    <x v="2742"/>
    <m/>
    <m/>
    <m/>
    <m/>
    <m/>
    <m/>
    <n v="53"/>
    <n v="111.87"/>
    <m/>
    <m/>
  </r>
  <r>
    <s v="2023-03-28 16:23 (PST)"/>
    <x v="960"/>
    <x v="294"/>
    <x v="5"/>
    <m/>
    <x v="34"/>
    <x v="27"/>
    <x v="6"/>
    <m/>
    <x v="672"/>
    <x v="231"/>
    <n v="0"/>
    <m/>
    <m/>
    <m/>
    <n v="3.16"/>
    <n v="1.71"/>
    <n v="243"/>
    <n v="127.36"/>
    <m/>
    <m/>
  </r>
  <r>
    <s v="2023-03-28 21:32 (PST)"/>
    <x v="960"/>
    <x v="1005"/>
    <x v="5"/>
    <s v="On Demand"/>
    <x v="23"/>
    <x v="1"/>
    <x v="5"/>
    <s v="Emotions"/>
    <x v="128"/>
    <x v="2743"/>
    <m/>
    <m/>
    <m/>
    <m/>
    <m/>
    <m/>
    <m/>
    <m/>
    <m/>
    <m/>
  </r>
  <r>
    <s v="2023-04-04 09:57 (PST)"/>
    <x v="961"/>
    <x v="1787"/>
    <x v="5"/>
    <s v="On Demand"/>
    <x v="7"/>
    <x v="0"/>
    <x v="4"/>
    <s v="Slow Flow"/>
    <x v="33"/>
    <x v="2744"/>
    <m/>
    <m/>
    <m/>
    <m/>
    <m/>
    <m/>
    <n v="141"/>
    <m/>
    <m/>
    <m/>
  </r>
  <r>
    <s v="2023-04-04 15:17 (-07)"/>
    <x v="961"/>
    <x v="1209"/>
    <x v="5"/>
    <s v="On Demand"/>
    <x v="37"/>
    <x v="1"/>
    <x v="1"/>
    <s v="Core"/>
    <x v="673"/>
    <x v="2745"/>
    <m/>
    <m/>
    <m/>
    <m/>
    <m/>
    <m/>
    <n v="58"/>
    <n v="115.28"/>
    <m/>
    <m/>
  </r>
  <r>
    <s v="2023-04-04 15:30 (-07)"/>
    <x v="961"/>
    <x v="1788"/>
    <x v="5"/>
    <s v="On Demand"/>
    <x v="6"/>
    <x v="4"/>
    <x v="0"/>
    <s v="Power Zone"/>
    <x v="7"/>
    <x v="1736"/>
    <n v="407"/>
    <n v="113"/>
    <n v="0.4"/>
    <n v="82"/>
    <n v="16.96"/>
    <n v="16.96"/>
    <n v="623"/>
    <n v="155.71"/>
    <m/>
    <m/>
  </r>
  <r>
    <s v="2023-04-04 16:31 (-07)"/>
    <x v="961"/>
    <x v="796"/>
    <x v="5"/>
    <s v="On Demand"/>
    <x v="9"/>
    <x v="3"/>
    <x v="2"/>
    <s v="Pre &amp; Post-Ride Stretch"/>
    <x v="8"/>
    <x v="2746"/>
    <m/>
    <m/>
    <m/>
    <m/>
    <m/>
    <m/>
    <n v="25"/>
    <n v="110.9"/>
    <m/>
    <m/>
  </r>
  <r>
    <s v="2023-04-04 22:30 (PST)"/>
    <x v="961"/>
    <x v="57"/>
    <x v="5"/>
    <s v="On Demand"/>
    <x v="19"/>
    <x v="1"/>
    <x v="5"/>
    <s v="Relaxation"/>
    <x v="34"/>
    <x v="2747"/>
    <m/>
    <m/>
    <m/>
    <m/>
    <m/>
    <m/>
    <m/>
    <m/>
    <m/>
    <m/>
  </r>
  <r>
    <s v="2023-04-11 08:57 (PST)"/>
    <x v="962"/>
    <x v="287"/>
    <x v="5"/>
    <s v="On Demand"/>
    <x v="16"/>
    <x v="2"/>
    <x v="4"/>
    <s v="Slow Flow"/>
    <x v="50"/>
    <x v="2748"/>
    <m/>
    <m/>
    <m/>
    <m/>
    <m/>
    <m/>
    <n v="82"/>
    <m/>
    <m/>
    <m/>
  </r>
  <r>
    <s v="2023-04-11 14:13 (PST)"/>
    <x v="962"/>
    <x v="1789"/>
    <x v="5"/>
    <m/>
    <x v="34"/>
    <x v="22"/>
    <x v="6"/>
    <m/>
    <x v="674"/>
    <x v="231"/>
    <n v="0"/>
    <m/>
    <m/>
    <m/>
    <n v="3.09"/>
    <n v="1.92"/>
    <n v="225"/>
    <n v="120.5"/>
    <m/>
    <m/>
  </r>
  <r>
    <s v="2023-04-11 15:16 (-07)"/>
    <x v="962"/>
    <x v="1790"/>
    <x v="5"/>
    <s v="On Demand"/>
    <x v="35"/>
    <x v="2"/>
    <x v="1"/>
    <s v="Upper Body"/>
    <x v="153"/>
    <x v="2749"/>
    <m/>
    <m/>
    <m/>
    <m/>
    <m/>
    <m/>
    <n v="160"/>
    <n v="115.98"/>
    <m/>
    <m/>
  </r>
  <r>
    <s v="2023-04-11 15:48 (-07)"/>
    <x v="962"/>
    <x v="1512"/>
    <x v="5"/>
    <s v="On Demand"/>
    <x v="31"/>
    <x v="1"/>
    <x v="1"/>
    <s v="Core"/>
    <x v="1"/>
    <x v="2750"/>
    <m/>
    <m/>
    <m/>
    <m/>
    <m/>
    <m/>
    <n v="48"/>
    <n v="106.5"/>
    <m/>
    <m/>
  </r>
  <r>
    <s v="2023-04-11 16:02 (-07)"/>
    <x v="962"/>
    <x v="1523"/>
    <x v="5"/>
    <s v="On Demand"/>
    <x v="7"/>
    <x v="2"/>
    <x v="0"/>
    <s v="Power Zone"/>
    <x v="274"/>
    <x v="1878"/>
    <n v="164"/>
    <n v="91"/>
    <n v="0.35"/>
    <n v="86"/>
    <n v="15.52"/>
    <n v="7.76"/>
    <n v="273"/>
    <n v="144.71"/>
    <m/>
    <m/>
  </r>
  <r>
    <s v="2023-04-11 16:36 (-07)"/>
    <x v="962"/>
    <x v="1585"/>
    <x v="5"/>
    <s v="On Demand"/>
    <x v="29"/>
    <x v="3"/>
    <x v="2"/>
    <s v="Pre &amp; Post-Ride Stretch"/>
    <x v="8"/>
    <x v="875"/>
    <m/>
    <m/>
    <m/>
    <m/>
    <m/>
    <m/>
    <n v="17"/>
    <n v="96.56"/>
    <m/>
    <m/>
  </r>
  <r>
    <s v="2023-04-11 21:51 (PST)"/>
    <x v="962"/>
    <x v="1093"/>
    <x v="5"/>
    <s v="On Demand"/>
    <x v="25"/>
    <x v="3"/>
    <x v="5"/>
    <s v="Sleep"/>
    <x v="58"/>
    <x v="2751"/>
    <m/>
    <m/>
    <m/>
    <m/>
    <m/>
    <m/>
    <m/>
    <m/>
    <m/>
    <m/>
  </r>
  <r>
    <s v="2023-04-18 06:52 (PST)"/>
    <x v="963"/>
    <x v="1791"/>
    <x v="5"/>
    <s v="On Demand"/>
    <x v="16"/>
    <x v="5"/>
    <x v="4"/>
    <s v="Focus Flow"/>
    <x v="61"/>
    <x v="2752"/>
    <m/>
    <m/>
    <m/>
    <m/>
    <m/>
    <m/>
    <n v="66"/>
    <m/>
    <m/>
    <m/>
  </r>
  <r>
    <s v="2023-04-18 17:36 (PST)"/>
    <x v="963"/>
    <x v="1792"/>
    <x v="5"/>
    <s v="On Demand"/>
    <x v="21"/>
    <x v="2"/>
    <x v="6"/>
    <s v="Hiking"/>
    <x v="238"/>
    <x v="2753"/>
    <n v="0"/>
    <m/>
    <m/>
    <m/>
    <n v="3.31"/>
    <n v="1.51"/>
    <n v="262"/>
    <n v="140.18"/>
    <m/>
    <m/>
  </r>
  <r>
    <s v="2023-04-18 18:06 (PST)"/>
    <x v="963"/>
    <x v="54"/>
    <x v="5"/>
    <s v="On Demand"/>
    <x v="44"/>
    <x v="3"/>
    <x v="6"/>
    <s v="Cool Down"/>
    <x v="400"/>
    <x v="2754"/>
    <n v="0"/>
    <m/>
    <m/>
    <m/>
    <n v="3.31"/>
    <n v="0.21"/>
    <n v="31"/>
    <n v="126.47"/>
    <m/>
    <m/>
  </r>
  <r>
    <s v="2023-04-18 18:16 (PST)"/>
    <x v="963"/>
    <x v="1793"/>
    <x v="5"/>
    <s v="On Demand"/>
    <x v="12"/>
    <x v="3"/>
    <x v="1"/>
    <s v="Core"/>
    <x v="6"/>
    <x v="2755"/>
    <m/>
    <m/>
    <m/>
    <m/>
    <m/>
    <m/>
    <n v="29"/>
    <n v="117.14"/>
    <m/>
    <m/>
  </r>
  <r>
    <s v="2023-04-25 06:22 (PST)"/>
    <x v="964"/>
    <x v="1794"/>
    <x v="5"/>
    <s v="On Demand"/>
    <x v="13"/>
    <x v="2"/>
    <x v="4"/>
    <s v="Flow"/>
    <x v="246"/>
    <x v="2756"/>
    <m/>
    <m/>
    <m/>
    <m/>
    <m/>
    <m/>
    <n v="101"/>
    <m/>
    <m/>
    <m/>
  </r>
  <r>
    <s v="2023-04-25 13:21 (PST)"/>
    <x v="964"/>
    <x v="1795"/>
    <x v="5"/>
    <m/>
    <x v="34"/>
    <x v="29"/>
    <x v="6"/>
    <m/>
    <x v="675"/>
    <x v="231"/>
    <n v="0"/>
    <m/>
    <m/>
    <m/>
    <n v="3.01"/>
    <n v="1.97"/>
    <n v="398"/>
    <n v="132.87"/>
    <m/>
    <m/>
  </r>
  <r>
    <s v="2023-04-25 22:09 (PST)"/>
    <x v="964"/>
    <x v="468"/>
    <x v="5"/>
    <s v="On Demand"/>
    <x v="28"/>
    <x v="1"/>
    <x v="5"/>
    <s v="Emotions"/>
    <x v="46"/>
    <x v="2757"/>
    <m/>
    <m/>
    <m/>
    <m/>
    <m/>
    <m/>
    <m/>
    <m/>
    <m/>
    <m/>
  </r>
  <r>
    <s v="2023-05-09 10:38 (PST)"/>
    <x v="965"/>
    <x v="698"/>
    <x v="5"/>
    <m/>
    <x v="34"/>
    <x v="22"/>
    <x v="6"/>
    <m/>
    <x v="676"/>
    <x v="231"/>
    <n v="0"/>
    <m/>
    <m/>
    <m/>
    <n v="2.96"/>
    <n v="1.8"/>
    <n v="144"/>
    <n v="102.8"/>
    <m/>
    <m/>
  </r>
  <r>
    <s v="2023-05-09 16:47 (-07)"/>
    <x v="965"/>
    <x v="783"/>
    <x v="5"/>
    <s v="On Demand"/>
    <x v="7"/>
    <x v="4"/>
    <x v="0"/>
    <s v="Power Zone"/>
    <x v="23"/>
    <x v="2758"/>
    <n v="399"/>
    <n v="111"/>
    <n v="0.37"/>
    <n v="85"/>
    <n v="16.45"/>
    <n v="16.45"/>
    <n v="580"/>
    <n v="149.52000000000001"/>
    <m/>
    <m/>
  </r>
  <r>
    <s v="2023-05-09 17:51 (-07)"/>
    <x v="965"/>
    <x v="206"/>
    <x v="5"/>
    <s v="On Demand"/>
    <x v="26"/>
    <x v="1"/>
    <x v="1"/>
    <s v="Core"/>
    <x v="1"/>
    <x v="2759"/>
    <m/>
    <m/>
    <m/>
    <m/>
    <m/>
    <m/>
    <n v="62"/>
    <n v="119.97"/>
    <m/>
    <m/>
  </r>
  <r>
    <s v="2023-05-09 22:36 (PST)"/>
    <x v="965"/>
    <x v="102"/>
    <x v="5"/>
    <s v="On Demand"/>
    <x v="25"/>
    <x v="1"/>
    <x v="5"/>
    <s v="Relaxation"/>
    <x v="81"/>
    <x v="2760"/>
    <m/>
    <m/>
    <m/>
    <m/>
    <m/>
    <m/>
    <m/>
    <m/>
    <m/>
    <m/>
  </r>
  <r>
    <s v="2023-05-16 06:51 (PST)"/>
    <x v="966"/>
    <x v="1677"/>
    <x v="5"/>
    <s v="On Demand"/>
    <x v="23"/>
    <x v="2"/>
    <x v="4"/>
    <s v="Slow Flow"/>
    <x v="50"/>
    <x v="2761"/>
    <m/>
    <m/>
    <m/>
    <m/>
    <m/>
    <m/>
    <n v="99"/>
    <m/>
    <m/>
    <m/>
  </r>
  <r>
    <s v="2023-05-16 09:01 (PST)"/>
    <x v="966"/>
    <x v="882"/>
    <x v="5"/>
    <m/>
    <x v="34"/>
    <x v="15"/>
    <x v="6"/>
    <m/>
    <x v="677"/>
    <x v="231"/>
    <n v="0"/>
    <m/>
    <m/>
    <m/>
    <n v="3.04"/>
    <n v="2.08"/>
    <n v="167"/>
    <n v="100.86"/>
    <m/>
    <m/>
  </r>
  <r>
    <s v="2023-05-16 22:16 (PST)"/>
    <x v="966"/>
    <x v="51"/>
    <x v="5"/>
    <s v="On Demand"/>
    <x v="28"/>
    <x v="7"/>
    <x v="5"/>
    <s v="Theme"/>
    <x v="678"/>
    <x v="2762"/>
    <m/>
    <m/>
    <m/>
    <m/>
    <m/>
    <m/>
    <m/>
    <m/>
    <m/>
    <m/>
  </r>
  <r>
    <s v="2023-05-23 06:31 (PST)"/>
    <x v="967"/>
    <x v="1796"/>
    <x v="5"/>
    <s v="On Demand"/>
    <x v="13"/>
    <x v="0"/>
    <x v="4"/>
    <s v="Slow Flow"/>
    <x v="33"/>
    <x v="2763"/>
    <m/>
    <m/>
    <m/>
    <m/>
    <m/>
    <m/>
    <n v="136"/>
    <m/>
    <m/>
    <m/>
  </r>
  <r>
    <s v="2023-05-23 16:37 (PST)"/>
    <x v="967"/>
    <x v="1797"/>
    <x v="5"/>
    <m/>
    <x v="34"/>
    <x v="9"/>
    <x v="6"/>
    <m/>
    <x v="679"/>
    <x v="231"/>
    <n v="0"/>
    <m/>
    <m/>
    <m/>
    <n v="3.01"/>
    <n v="1.91"/>
    <n v="238"/>
    <n v="119.08"/>
    <m/>
    <m/>
  </r>
  <r>
    <s v="2023-05-23 17:24 (-07)"/>
    <x v="967"/>
    <x v="624"/>
    <x v="5"/>
    <s v="On Demand"/>
    <x v="7"/>
    <x v="2"/>
    <x v="0"/>
    <s v="Power Zone"/>
    <x v="5"/>
    <x v="2764"/>
    <n v="189"/>
    <n v="105"/>
    <n v="0.37"/>
    <n v="85"/>
    <n v="16.32"/>
    <n v="8.16"/>
    <n v="268"/>
    <n v="142.5"/>
    <m/>
    <m/>
  </r>
  <r>
    <s v="2023-05-23 18:03 (-07)"/>
    <x v="967"/>
    <x v="1196"/>
    <x v="5"/>
    <s v="On Demand"/>
    <x v="31"/>
    <x v="5"/>
    <x v="1"/>
    <s v="Upper Body"/>
    <x v="247"/>
    <x v="2765"/>
    <m/>
    <m/>
    <m/>
    <m/>
    <m/>
    <m/>
    <n v="98"/>
    <n v="109.62"/>
    <m/>
    <m/>
  </r>
  <r>
    <s v="2023-05-23 18:26 (-07)"/>
    <x v="967"/>
    <x v="498"/>
    <x v="5"/>
    <s v="On Demand"/>
    <x v="1"/>
    <x v="3"/>
    <x v="1"/>
    <s v="Core"/>
    <x v="6"/>
    <x v="2766"/>
    <m/>
    <m/>
    <m/>
    <m/>
    <m/>
    <m/>
    <n v="19"/>
    <n v="98.14"/>
    <m/>
    <m/>
  </r>
  <r>
    <s v="2023-05-23 22:10 (PST)"/>
    <x v="967"/>
    <x v="620"/>
    <x v="5"/>
    <s v="On Demand"/>
    <x v="23"/>
    <x v="7"/>
    <x v="5"/>
    <s v="Sleep"/>
    <x v="65"/>
    <x v="2767"/>
    <m/>
    <m/>
    <m/>
    <m/>
    <m/>
    <m/>
    <m/>
    <m/>
    <m/>
    <m/>
  </r>
  <r>
    <s v="2023-05-30 15:56 (-07)"/>
    <x v="968"/>
    <x v="1363"/>
    <x v="5"/>
    <s v="On Demand"/>
    <x v="7"/>
    <x v="0"/>
    <x v="0"/>
    <s v="Power Zone"/>
    <x v="27"/>
    <x v="197"/>
    <n v="284"/>
    <n v="105"/>
    <n v="0.38"/>
    <n v="84"/>
    <n v="16.399999999999999"/>
    <n v="12.3"/>
    <n v="414"/>
    <n v="145.02000000000001"/>
    <m/>
    <m/>
  </r>
  <r>
    <s v="2023-05-30 16:42 (-07)"/>
    <x v="968"/>
    <x v="1798"/>
    <x v="5"/>
    <s v="On Demand"/>
    <x v="17"/>
    <x v="1"/>
    <x v="1"/>
    <s v="Arms &amp; Light Weights"/>
    <x v="28"/>
    <x v="2768"/>
    <m/>
    <m/>
    <m/>
    <m/>
    <m/>
    <m/>
    <n v="62"/>
    <n v="118.27"/>
    <m/>
    <m/>
  </r>
  <r>
    <s v="2023-05-30 16:53 (-07)"/>
    <x v="968"/>
    <x v="1511"/>
    <x v="5"/>
    <s v="On Demand"/>
    <x v="17"/>
    <x v="3"/>
    <x v="2"/>
    <s v="Pre &amp; Post-Ride Stretch"/>
    <x v="8"/>
    <x v="350"/>
    <m/>
    <m/>
    <m/>
    <m/>
    <m/>
    <m/>
    <n v="23"/>
    <n v="106.69"/>
    <m/>
    <m/>
  </r>
  <r>
    <s v="2023-05-30 22:25 (PST)"/>
    <x v="968"/>
    <x v="124"/>
    <x v="5"/>
    <s v="On Demand"/>
    <x v="19"/>
    <x v="1"/>
    <x v="5"/>
    <s v="Emotions"/>
    <x v="151"/>
    <x v="2769"/>
    <m/>
    <m/>
    <m/>
    <m/>
    <m/>
    <m/>
    <m/>
    <m/>
    <m/>
    <m/>
  </r>
  <r>
    <s v="2023-05-30 22:35 (PST)"/>
    <x v="968"/>
    <x v="371"/>
    <x v="5"/>
    <s v="On Demand"/>
    <x v="16"/>
    <x v="1"/>
    <x v="5"/>
    <s v="Emotions"/>
    <x v="15"/>
    <x v="2770"/>
    <m/>
    <m/>
    <m/>
    <m/>
    <m/>
    <m/>
    <m/>
    <m/>
    <m/>
    <m/>
  </r>
  <r>
    <s v="2023-06-06 22:10 (PST)"/>
    <x v="969"/>
    <x v="620"/>
    <x v="5"/>
    <s v="On Demand"/>
    <x v="23"/>
    <x v="1"/>
    <x v="5"/>
    <s v="Mindfulness"/>
    <x v="51"/>
    <x v="2771"/>
    <m/>
    <m/>
    <m/>
    <m/>
    <m/>
    <m/>
    <m/>
    <m/>
    <m/>
    <m/>
  </r>
  <r>
    <s v="2023-06-13 06:24 (PST)"/>
    <x v="970"/>
    <x v="772"/>
    <x v="5"/>
    <s v="On Demand"/>
    <x v="13"/>
    <x v="2"/>
    <x v="4"/>
    <s v="Power"/>
    <x v="121"/>
    <x v="2772"/>
    <m/>
    <m/>
    <m/>
    <m/>
    <m/>
    <m/>
    <n v="95"/>
    <m/>
    <m/>
    <m/>
  </r>
  <r>
    <s v="2023-06-13 11:38 (PST)"/>
    <x v="970"/>
    <x v="1799"/>
    <x v="5"/>
    <m/>
    <x v="34"/>
    <x v="9"/>
    <x v="6"/>
    <m/>
    <x v="680"/>
    <x v="231"/>
    <n v="0"/>
    <m/>
    <m/>
    <m/>
    <n v="3.16"/>
    <n v="2.0299999999999998"/>
    <n v="289"/>
    <n v="129.26"/>
    <m/>
    <m/>
  </r>
  <r>
    <s v="2023-06-13 22:16 (PST)"/>
    <x v="970"/>
    <x v="51"/>
    <x v="5"/>
    <s v="On Demand"/>
    <x v="28"/>
    <x v="1"/>
    <x v="5"/>
    <s v="Emotions"/>
    <x v="15"/>
    <x v="2773"/>
    <m/>
    <m/>
    <m/>
    <m/>
    <m/>
    <m/>
    <m/>
    <m/>
    <m/>
    <m/>
  </r>
  <r>
    <s v="2023-06-20 16:17 (-07)"/>
    <x v="971"/>
    <x v="1334"/>
    <x v="5"/>
    <s v="On Demand"/>
    <x v="6"/>
    <x v="2"/>
    <x v="7"/>
    <s v="Endurance"/>
    <x v="152"/>
    <x v="2774"/>
    <n v="110"/>
    <m/>
    <m/>
    <m/>
    <n v="2.7"/>
    <n v="3.02"/>
    <n v="245"/>
    <n v="138.87"/>
    <m/>
    <m/>
  </r>
  <r>
    <s v="2023-06-20 16:50 (-07)"/>
    <x v="971"/>
    <x v="812"/>
    <x v="5"/>
    <s v="On Demand"/>
    <x v="6"/>
    <x v="1"/>
    <x v="7"/>
    <s v="Form &amp; Drills"/>
    <x v="387"/>
    <x v="2775"/>
    <n v="0"/>
    <m/>
    <m/>
    <m/>
    <n v="0"/>
    <n v="0"/>
    <n v="4"/>
    <n v="108.93"/>
    <m/>
    <m/>
  </r>
  <r>
    <s v="2023-06-20 16:54 (-07)"/>
    <x v="971"/>
    <x v="611"/>
    <x v="5"/>
    <s v="On Demand"/>
    <x v="24"/>
    <x v="5"/>
    <x v="1"/>
    <s v="Upper Body"/>
    <x v="285"/>
    <x v="2776"/>
    <m/>
    <m/>
    <m/>
    <m/>
    <m/>
    <m/>
    <n v="120"/>
    <n v="117.62"/>
    <m/>
    <m/>
  </r>
  <r>
    <s v="2023-06-20 17:15 (-07)"/>
    <x v="971"/>
    <x v="248"/>
    <x v="5"/>
    <s v="On Demand"/>
    <x v="1"/>
    <x v="1"/>
    <x v="1"/>
    <s v="Core"/>
    <x v="1"/>
    <x v="2777"/>
    <m/>
    <m/>
    <m/>
    <m/>
    <m/>
    <m/>
    <n v="42"/>
    <n v="96.07"/>
    <m/>
    <m/>
  </r>
  <r>
    <s v="2023-06-20 22:28 (PST)"/>
    <x v="971"/>
    <x v="472"/>
    <x v="5"/>
    <s v="On Demand"/>
    <x v="28"/>
    <x v="1"/>
    <x v="5"/>
    <s v="Relaxation"/>
    <x v="71"/>
    <x v="2778"/>
    <m/>
    <m/>
    <m/>
    <m/>
    <m/>
    <m/>
    <m/>
    <m/>
    <m/>
    <m/>
  </r>
  <r>
    <s v="2023-07-04 10:58 (-07)"/>
    <x v="972"/>
    <x v="1163"/>
    <x v="5"/>
    <s v="On Demand"/>
    <x v="7"/>
    <x v="0"/>
    <x v="0"/>
    <s v="Power Zone"/>
    <x v="85"/>
    <x v="2779"/>
    <n v="310"/>
    <n v="115"/>
    <n v="0.38"/>
    <n v="84"/>
    <n v="16.79"/>
    <n v="12.59"/>
    <n v="452"/>
    <n v="152.36000000000001"/>
    <m/>
    <m/>
  </r>
  <r>
    <s v="2023-07-04 11:45 (-07)"/>
    <x v="972"/>
    <x v="1800"/>
    <x v="5"/>
    <s v="On Demand"/>
    <x v="9"/>
    <x v="1"/>
    <x v="0"/>
    <s v="Cool Down"/>
    <x v="17"/>
    <x v="2780"/>
    <n v="35"/>
    <n v="58"/>
    <n v="0.27"/>
    <n v="94"/>
    <n v="12.85"/>
    <n v="2.14"/>
    <n v="63"/>
    <n v="120.07"/>
    <m/>
    <m/>
  </r>
  <r>
    <s v="2023-07-04 11:56 (-07)"/>
    <x v="972"/>
    <x v="1801"/>
    <x v="5"/>
    <s v="On Demand"/>
    <x v="1"/>
    <x v="3"/>
    <x v="1"/>
    <s v="Core"/>
    <x v="6"/>
    <x v="2781"/>
    <m/>
    <m/>
    <m/>
    <m/>
    <m/>
    <m/>
    <n v="23"/>
    <n v="104.99"/>
    <m/>
    <m/>
  </r>
  <r>
    <s v="2023-07-04 12:04 (-07)"/>
    <x v="972"/>
    <x v="1802"/>
    <x v="5"/>
    <s v="On Demand"/>
    <x v="7"/>
    <x v="5"/>
    <x v="4"/>
    <s v="Focus Flow"/>
    <x v="681"/>
    <x v="2782"/>
    <m/>
    <m/>
    <m/>
    <m/>
    <m/>
    <m/>
    <n v="72"/>
    <n v="95.46"/>
    <m/>
    <m/>
  </r>
  <r>
    <s v="2023-07-11 15:51 (-07)"/>
    <x v="973"/>
    <x v="652"/>
    <x v="5"/>
    <s v="On Demand"/>
    <x v="46"/>
    <x v="0"/>
    <x v="9"/>
    <s v="Music/Theme "/>
    <x v="682"/>
    <x v="2783"/>
    <n v="106"/>
    <m/>
    <m/>
    <m/>
    <n v="2.87"/>
    <n v="2.36"/>
    <n v="381"/>
    <n v="138.72"/>
    <m/>
    <m/>
  </r>
  <r>
    <s v="2023-07-11 16:38 (-07)"/>
    <x v="973"/>
    <x v="615"/>
    <x v="5"/>
    <s v="On Demand"/>
    <x v="35"/>
    <x v="3"/>
    <x v="1"/>
    <s v="Core"/>
    <x v="6"/>
    <x v="2784"/>
    <m/>
    <m/>
    <m/>
    <m/>
    <m/>
    <m/>
    <n v="28"/>
    <n v="115.3"/>
    <m/>
    <m/>
  </r>
  <r>
    <s v="2023-07-11 22:12 (PST)"/>
    <x v="973"/>
    <x v="233"/>
    <x v="5"/>
    <s v="On Demand"/>
    <x v="16"/>
    <x v="7"/>
    <x v="5"/>
    <s v="Mindfulness"/>
    <x v="163"/>
    <x v="2785"/>
    <m/>
    <m/>
    <m/>
    <m/>
    <m/>
    <m/>
    <m/>
    <m/>
    <m/>
    <m/>
  </r>
  <r>
    <s v="2023-07-18 07:24 (PST)"/>
    <x v="974"/>
    <x v="1803"/>
    <x v="5"/>
    <m/>
    <x v="34"/>
    <x v="22"/>
    <x v="6"/>
    <m/>
    <x v="683"/>
    <x v="231"/>
    <n v="0"/>
    <m/>
    <m/>
    <m/>
    <n v="3.48"/>
    <n v="1.92"/>
    <n v="250"/>
    <n v="128.07"/>
    <m/>
    <m/>
  </r>
  <r>
    <s v="2023-07-18 12:15 (-07)"/>
    <x v="974"/>
    <x v="903"/>
    <x v="5"/>
    <s v="On Demand"/>
    <x v="46"/>
    <x v="0"/>
    <x v="9"/>
    <s v="Body Focus"/>
    <x v="181"/>
    <x v="2786"/>
    <n v="99"/>
    <m/>
    <m/>
    <m/>
    <n v="2.84"/>
    <n v="2.37"/>
    <n v="364"/>
    <n v="136.16999999999999"/>
    <m/>
    <m/>
  </r>
  <r>
    <s v="2023-07-18 22:08 (PST)"/>
    <x v="974"/>
    <x v="435"/>
    <x v="5"/>
    <s v="On Demand"/>
    <x v="28"/>
    <x v="1"/>
    <x v="5"/>
    <s v="Emotions"/>
    <x v="147"/>
    <x v="2787"/>
    <m/>
    <m/>
    <m/>
    <m/>
    <m/>
    <m/>
    <m/>
    <m/>
    <m/>
    <m/>
  </r>
  <r>
    <s v="2023-07-25 04:59 (EST)"/>
    <x v="975"/>
    <x v="1804"/>
    <x v="5"/>
    <s v="On Demand"/>
    <x v="21"/>
    <x v="2"/>
    <x v="6"/>
    <s v="Theme"/>
    <x v="684"/>
    <x v="2788"/>
    <n v="0"/>
    <m/>
    <m/>
    <m/>
    <n v="3.43"/>
    <n v="1.6"/>
    <n v="200"/>
    <n v="122.3"/>
    <m/>
    <m/>
  </r>
  <r>
    <s v="2023-07-25 05:33 (EST)"/>
    <x v="975"/>
    <x v="1805"/>
    <x v="5"/>
    <s v="On Demand"/>
    <x v="20"/>
    <x v="1"/>
    <x v="1"/>
    <s v="Upper Body"/>
    <x v="313"/>
    <x v="1338"/>
    <m/>
    <m/>
    <m/>
    <m/>
    <m/>
    <m/>
    <n v="64"/>
    <n v="119"/>
    <m/>
    <m/>
  </r>
  <r>
    <s v="2023-07-25 05:49 (EST)"/>
    <x v="975"/>
    <x v="1806"/>
    <x v="5"/>
    <s v="On Demand"/>
    <x v="1"/>
    <x v="1"/>
    <x v="1"/>
    <s v="Core"/>
    <x v="1"/>
    <x v="1339"/>
    <m/>
    <m/>
    <m/>
    <m/>
    <m/>
    <m/>
    <n v="44"/>
    <n v="101.57"/>
    <m/>
    <m/>
  </r>
  <r>
    <s v="2023-08-01 09:33 (PST)"/>
    <x v="976"/>
    <x v="1807"/>
    <x v="5"/>
    <m/>
    <x v="34"/>
    <x v="30"/>
    <x v="6"/>
    <m/>
    <x v="685"/>
    <x v="231"/>
    <n v="0"/>
    <m/>
    <m/>
    <m/>
    <n v="2.98"/>
    <n v="1.95"/>
    <n v="270"/>
    <n v="115.93"/>
    <m/>
    <m/>
  </r>
  <r>
    <s v="2023-08-01 13:29 (-07)"/>
    <x v="976"/>
    <x v="1808"/>
    <x v="5"/>
    <s v="On Demand"/>
    <x v="38"/>
    <x v="2"/>
    <x v="7"/>
    <s v="Endurance"/>
    <x v="152"/>
    <x v="2789"/>
    <n v="107"/>
    <m/>
    <m/>
    <m/>
    <n v="2.68"/>
    <n v="2.99"/>
    <n v="291"/>
    <n v="150.31"/>
    <m/>
    <m/>
  </r>
  <r>
    <s v="2023-08-01 21:51 (PST)"/>
    <x v="976"/>
    <x v="1093"/>
    <x v="5"/>
    <s v="On Demand"/>
    <x v="28"/>
    <x v="1"/>
    <x v="5"/>
    <s v="Emotions"/>
    <x v="44"/>
    <x v="2790"/>
    <m/>
    <m/>
    <m/>
    <m/>
    <m/>
    <m/>
    <m/>
    <m/>
    <m/>
    <m/>
  </r>
  <r>
    <s v="2023-08-08 22:17 (PST)"/>
    <x v="977"/>
    <x v="841"/>
    <x v="5"/>
    <s v="On Demand"/>
    <x v="28"/>
    <x v="1"/>
    <x v="5"/>
    <s v="Sleep"/>
    <x v="39"/>
    <x v="2791"/>
    <m/>
    <m/>
    <m/>
    <m/>
    <m/>
    <m/>
    <m/>
    <m/>
    <m/>
    <m/>
  </r>
  <r>
    <s v="2023-08-15 21:34 (PST)"/>
    <x v="978"/>
    <x v="549"/>
    <x v="5"/>
    <s v="On Demand"/>
    <x v="19"/>
    <x v="2"/>
    <x v="5"/>
    <s v="Sleep"/>
    <x v="31"/>
    <x v="355"/>
    <m/>
    <m/>
    <m/>
    <m/>
    <m/>
    <m/>
    <m/>
    <m/>
    <m/>
    <m/>
  </r>
  <r>
    <s v="2023-08-22 16:38 (-07)"/>
    <x v="979"/>
    <x v="615"/>
    <x v="5"/>
    <s v="On Demand"/>
    <x v="26"/>
    <x v="5"/>
    <x v="1"/>
    <s v="Full Body"/>
    <x v="686"/>
    <x v="1763"/>
    <m/>
    <m/>
    <m/>
    <m/>
    <m/>
    <m/>
    <n v="94"/>
    <m/>
    <m/>
    <m/>
  </r>
  <r>
    <s v="2023-08-22 17:00 (-07)"/>
    <x v="979"/>
    <x v="794"/>
    <x v="5"/>
    <s v="On Demand"/>
    <x v="26"/>
    <x v="5"/>
    <x v="2"/>
    <s v="Mobility"/>
    <x v="687"/>
    <x v="1763"/>
    <m/>
    <m/>
    <m/>
    <m/>
    <m/>
    <m/>
    <n v="80"/>
    <n v="84.7"/>
    <m/>
    <m/>
  </r>
  <r>
    <s v="2023-08-22 21:54 (PST)"/>
    <x v="979"/>
    <x v="152"/>
    <x v="5"/>
    <s v="On Demand"/>
    <x v="23"/>
    <x v="5"/>
    <x v="5"/>
    <s v="Emotions"/>
    <x v="32"/>
    <x v="2792"/>
    <m/>
    <m/>
    <m/>
    <m/>
    <m/>
    <m/>
    <m/>
    <m/>
    <m/>
    <m/>
  </r>
  <r>
    <s v="2023-08-29 22:09 (PST)"/>
    <x v="980"/>
    <x v="468"/>
    <x v="5"/>
    <s v="On Demand"/>
    <x v="19"/>
    <x v="2"/>
    <x v="5"/>
    <s v="Sleep"/>
    <x v="31"/>
    <x v="2793"/>
    <m/>
    <m/>
    <m/>
    <m/>
    <m/>
    <m/>
    <m/>
    <m/>
    <m/>
    <m/>
  </r>
  <r>
    <s v="2023-09-05 02:54 (PST)"/>
    <x v="981"/>
    <x v="1809"/>
    <x v="5"/>
    <s v="On Demand"/>
    <x v="25"/>
    <x v="7"/>
    <x v="5"/>
    <s v="Breath"/>
    <x v="688"/>
    <x v="2794"/>
    <m/>
    <m/>
    <m/>
    <m/>
    <m/>
    <m/>
    <m/>
    <m/>
    <m/>
    <m/>
  </r>
  <r>
    <s v="2023-09-05 20:52 (PST)"/>
    <x v="981"/>
    <x v="1810"/>
    <x v="5"/>
    <s v="On Demand"/>
    <x v="16"/>
    <x v="7"/>
    <x v="5"/>
    <s v="Mindfulness"/>
    <x v="163"/>
    <x v="2795"/>
    <m/>
    <m/>
    <m/>
    <m/>
    <m/>
    <m/>
    <m/>
    <m/>
    <m/>
    <m/>
  </r>
  <r>
    <s v="2023-09-12 08:47 (PST)"/>
    <x v="982"/>
    <x v="880"/>
    <x v="5"/>
    <s v="On Demand"/>
    <x v="16"/>
    <x v="2"/>
    <x v="4"/>
    <s v="Flow"/>
    <x v="689"/>
    <x v="2796"/>
    <m/>
    <m/>
    <m/>
    <m/>
    <m/>
    <m/>
    <n v="82"/>
    <m/>
    <m/>
    <m/>
  </r>
  <r>
    <s v="2023-09-12 15:25 (-07)"/>
    <x v="982"/>
    <x v="1008"/>
    <x v="5"/>
    <s v="On Demand"/>
    <x v="4"/>
    <x v="0"/>
    <x v="0"/>
    <s v="Power Zone"/>
    <x v="102"/>
    <x v="2797"/>
    <n v="296"/>
    <n v="110"/>
    <n v="0.38"/>
    <n v="84"/>
    <n v="16.649999999999999"/>
    <n v="12.48"/>
    <n v="493"/>
    <n v="160.29"/>
    <m/>
    <m/>
  </r>
  <r>
    <s v="2023-09-12 16:12 (-07)"/>
    <x v="982"/>
    <x v="1009"/>
    <x v="5"/>
    <s v="On Demand"/>
    <x v="36"/>
    <x v="1"/>
    <x v="0"/>
    <s v="Low Impact"/>
    <x v="149"/>
    <x v="2798"/>
    <n v="36"/>
    <n v="60"/>
    <n v="0.32"/>
    <n v="77"/>
    <n v="12.96"/>
    <n v="2.16"/>
    <n v="85"/>
    <n v="138.66999999999999"/>
    <m/>
    <m/>
  </r>
  <r>
    <s v="2023-09-12 16:23 (-07)"/>
    <x v="982"/>
    <x v="755"/>
    <x v="5"/>
    <s v="On Demand"/>
    <x v="36"/>
    <x v="3"/>
    <x v="0"/>
    <s v="Cool Down"/>
    <x v="10"/>
    <x v="2799"/>
    <n v="12"/>
    <n v="40"/>
    <n v="0.25"/>
    <n v="79"/>
    <n v="10.72"/>
    <n v="0.9"/>
    <n v="27"/>
    <n v="123.9"/>
    <m/>
    <m/>
  </r>
  <r>
    <s v="2023-09-12 16:28 (-07)"/>
    <x v="982"/>
    <x v="1595"/>
    <x v="5"/>
    <s v="On Demand"/>
    <x v="6"/>
    <x v="3"/>
    <x v="2"/>
    <s v="Pre &amp; Post-Ride Stretch"/>
    <x v="8"/>
    <x v="954"/>
    <m/>
    <m/>
    <m/>
    <m/>
    <m/>
    <m/>
    <n v="28"/>
    <n v="114.62"/>
    <m/>
    <m/>
  </r>
  <r>
    <s v="2023-09-12 21:28 (PST)"/>
    <x v="982"/>
    <x v="315"/>
    <x v="5"/>
    <s v="On Demand"/>
    <x v="13"/>
    <x v="7"/>
    <x v="5"/>
    <s v="Relaxation"/>
    <x v="106"/>
    <x v="2800"/>
    <m/>
    <m/>
    <m/>
    <m/>
    <m/>
    <m/>
    <m/>
    <m/>
    <m/>
    <m/>
  </r>
  <r>
    <s v="2023-09-26 14:04 (-07)"/>
    <x v="983"/>
    <x v="1811"/>
    <x v="5"/>
    <s v="On Demand"/>
    <x v="6"/>
    <x v="0"/>
    <x v="0"/>
    <s v="Power Zone"/>
    <x v="85"/>
    <x v="1968"/>
    <n v="302"/>
    <n v="112"/>
    <n v="0.37"/>
    <n v="84"/>
    <n v="16.52"/>
    <n v="12.39"/>
    <n v="484"/>
    <n v="158.47"/>
    <m/>
    <m/>
  </r>
  <r>
    <s v="2023-09-26 14:49 (-07)"/>
    <x v="983"/>
    <x v="255"/>
    <x v="5"/>
    <s v="On Demand"/>
    <x v="39"/>
    <x v="3"/>
    <x v="0"/>
    <s v="Cool Down"/>
    <x v="10"/>
    <x v="2801"/>
    <n v="16"/>
    <n v="52"/>
    <n v="0.28999999999999998"/>
    <n v="76"/>
    <n v="11.9"/>
    <n v="0.99"/>
    <n v="38"/>
    <n v="133.63999999999999"/>
    <m/>
    <m/>
  </r>
  <r>
    <s v="2023-09-26 14:57 (-07)"/>
    <x v="983"/>
    <x v="82"/>
    <x v="5"/>
    <s v="On Demand"/>
    <x v="24"/>
    <x v="1"/>
    <x v="1"/>
    <s v="Core"/>
    <x v="108"/>
    <x v="2802"/>
    <m/>
    <m/>
    <m/>
    <m/>
    <m/>
    <m/>
    <n v="47"/>
    <m/>
    <m/>
    <m/>
  </r>
  <r>
    <s v="2023-09-26 15:08 (-07)"/>
    <x v="983"/>
    <x v="1364"/>
    <x v="5"/>
    <s v="On Demand"/>
    <x v="0"/>
    <x v="3"/>
    <x v="2"/>
    <s v="Pre &amp; Post-Ride Stretch"/>
    <x v="8"/>
    <x v="2803"/>
    <m/>
    <m/>
    <m/>
    <m/>
    <m/>
    <m/>
    <n v="26"/>
    <n v="109.88"/>
    <m/>
    <m/>
  </r>
  <r>
    <s v="2023-09-26 22:37 (PST)"/>
    <x v="983"/>
    <x v="247"/>
    <x v="5"/>
    <s v="On Demand"/>
    <x v="28"/>
    <x v="1"/>
    <x v="5"/>
    <s v="Mindfulness"/>
    <x v="294"/>
    <x v="2804"/>
    <m/>
    <m/>
    <m/>
    <m/>
    <m/>
    <m/>
    <m/>
    <m/>
    <m/>
    <m/>
  </r>
  <r>
    <s v="2023-10-03 13:54 (-07)"/>
    <x v="984"/>
    <x v="1583"/>
    <x v="5"/>
    <s v="On Demand"/>
    <x v="7"/>
    <x v="0"/>
    <x v="0"/>
    <s v="Power Zone"/>
    <x v="85"/>
    <x v="2805"/>
    <n v="290"/>
    <n v="107"/>
    <n v="0.36"/>
    <n v="86"/>
    <n v="16.18"/>
    <n v="12.16"/>
    <n v="484"/>
    <n v="158.21"/>
    <m/>
    <m/>
  </r>
  <r>
    <s v="2023-10-03 14:44 (-07)"/>
    <x v="984"/>
    <x v="1812"/>
    <x v="5"/>
    <s v="On Demand"/>
    <x v="0"/>
    <x v="1"/>
    <x v="0"/>
    <s v="Cool Down"/>
    <x v="17"/>
    <x v="2806"/>
    <n v="36"/>
    <n v="59"/>
    <n v="0.3"/>
    <n v="81"/>
    <n v="12.96"/>
    <n v="2.16"/>
    <n v="45"/>
    <m/>
    <m/>
    <m/>
  </r>
  <r>
    <s v="2023-10-03 22:28 (PST)"/>
    <x v="984"/>
    <x v="472"/>
    <x v="5"/>
    <s v="On Demand"/>
    <x v="13"/>
    <x v="1"/>
    <x v="5"/>
    <s v="Emotions"/>
    <x v="210"/>
    <x v="2807"/>
    <m/>
    <m/>
    <m/>
    <m/>
    <m/>
    <m/>
    <m/>
    <m/>
    <m/>
    <m/>
  </r>
  <r>
    <s v="2023-10-10 10:39 (PST)"/>
    <x v="985"/>
    <x v="1813"/>
    <x v="5"/>
    <s v="On Demand"/>
    <x v="13"/>
    <x v="7"/>
    <x v="4"/>
    <s v="Focus Flow"/>
    <x v="690"/>
    <x v="2808"/>
    <m/>
    <m/>
    <m/>
    <m/>
    <m/>
    <m/>
    <n v="47"/>
    <n v="84.99"/>
    <m/>
    <m/>
  </r>
  <r>
    <s v="2023-10-17 22:54 (EST)"/>
    <x v="986"/>
    <x v="1814"/>
    <x v="5"/>
    <s v="On Demand"/>
    <x v="28"/>
    <x v="1"/>
    <x v="5"/>
    <s v="Emotions"/>
    <x v="44"/>
    <x v="2809"/>
    <m/>
    <m/>
    <m/>
    <m/>
    <m/>
    <m/>
    <m/>
    <m/>
    <m/>
    <m/>
  </r>
  <r>
    <s v="2023-10-24 10:47 (PST)"/>
    <x v="987"/>
    <x v="860"/>
    <x v="5"/>
    <s v="On Demand"/>
    <x v="16"/>
    <x v="2"/>
    <x v="4"/>
    <s v="Flow"/>
    <x v="69"/>
    <x v="2810"/>
    <m/>
    <m/>
    <m/>
    <m/>
    <m/>
    <m/>
    <n v="95"/>
    <m/>
    <m/>
    <m/>
  </r>
  <r>
    <s v="2023-10-24 17:23 (-07)"/>
    <x v="987"/>
    <x v="789"/>
    <x v="5"/>
    <s v="On Demand"/>
    <x v="6"/>
    <x v="0"/>
    <x v="0"/>
    <s v="Power Zone"/>
    <x v="27"/>
    <x v="2811"/>
    <n v="261"/>
    <n v="97"/>
    <n v="0.38"/>
    <n v="82"/>
    <n v="15.94"/>
    <n v="11.95"/>
    <n v="451"/>
    <n v="152.08000000000001"/>
    <m/>
    <m/>
  </r>
  <r>
    <s v="2023-10-24 18:09 (-07)"/>
    <x v="987"/>
    <x v="518"/>
    <x v="5"/>
    <s v="On Demand"/>
    <x v="15"/>
    <x v="3"/>
    <x v="0"/>
    <s v="Cool Down"/>
    <x v="10"/>
    <x v="2812"/>
    <n v="17"/>
    <n v="57"/>
    <n v="0.3"/>
    <n v="80"/>
    <n v="12.6"/>
    <n v="1.05"/>
    <n v="34"/>
    <n v="122.3"/>
    <m/>
    <m/>
  </r>
  <r>
    <s v="2023-10-24 18:24 (-07)"/>
    <x v="987"/>
    <x v="250"/>
    <x v="5"/>
    <s v="On Demand"/>
    <x v="20"/>
    <x v="1"/>
    <x v="1"/>
    <s v="Core"/>
    <x v="1"/>
    <x v="2813"/>
    <m/>
    <m/>
    <m/>
    <m/>
    <m/>
    <m/>
    <n v="47"/>
    <m/>
    <m/>
    <m/>
  </r>
  <r>
    <s v="2023-10-24 18:36 (-07)"/>
    <x v="987"/>
    <x v="1653"/>
    <x v="5"/>
    <s v="On Demand"/>
    <x v="15"/>
    <x v="3"/>
    <x v="2"/>
    <s v="Pre &amp; Post-Ride Stretch"/>
    <x v="8"/>
    <x v="1358"/>
    <m/>
    <m/>
    <m/>
    <m/>
    <m/>
    <m/>
    <n v="12"/>
    <m/>
    <m/>
    <m/>
  </r>
  <r>
    <s v="2023-10-24 21:59 (PST)"/>
    <x v="987"/>
    <x v="96"/>
    <x v="5"/>
    <s v="On Demand"/>
    <x v="13"/>
    <x v="5"/>
    <x v="5"/>
    <s v="Sleep"/>
    <x v="29"/>
    <x v="2814"/>
    <m/>
    <m/>
    <m/>
    <m/>
    <m/>
    <m/>
    <m/>
    <m/>
    <m/>
    <m/>
  </r>
  <r>
    <s v="2023-10-31 12:14 (-07)"/>
    <x v="988"/>
    <x v="1095"/>
    <x v="5"/>
    <s v="On Demand"/>
    <x v="38"/>
    <x v="2"/>
    <x v="7"/>
    <s v="Endurance"/>
    <x v="152"/>
    <x v="1728"/>
    <n v="106"/>
    <m/>
    <m/>
    <m/>
    <n v="2.72"/>
    <n v="2.85"/>
    <n v="270"/>
    <n v="144.25"/>
    <m/>
    <m/>
  </r>
  <r>
    <s v="2023-10-31 12:48 (-07)"/>
    <x v="988"/>
    <x v="1097"/>
    <x v="5"/>
    <s v="On Demand"/>
    <x v="24"/>
    <x v="5"/>
    <x v="1"/>
    <s v="Upper Body"/>
    <x v="141"/>
    <x v="2815"/>
    <m/>
    <m/>
    <m/>
    <m/>
    <m/>
    <m/>
    <n v="109"/>
    <n v="114.1"/>
    <m/>
    <m/>
  </r>
  <r>
    <s v="2023-10-31 13:10 (-07)"/>
    <x v="988"/>
    <x v="982"/>
    <x v="5"/>
    <s v="On Demand"/>
    <x v="35"/>
    <x v="1"/>
    <x v="1"/>
    <s v="Core"/>
    <x v="1"/>
    <x v="2816"/>
    <m/>
    <m/>
    <m/>
    <m/>
    <m/>
    <m/>
    <n v="54"/>
    <n v="112.75"/>
    <m/>
    <m/>
  </r>
  <r>
    <s v="2023-10-31 22:56 (PST)"/>
    <x v="988"/>
    <x v="820"/>
    <x v="5"/>
    <s v="On Demand"/>
    <x v="13"/>
    <x v="1"/>
    <x v="5"/>
    <s v="Relaxation"/>
    <x v="71"/>
    <x v="2817"/>
    <m/>
    <m/>
    <m/>
    <m/>
    <m/>
    <m/>
    <m/>
    <m/>
    <m/>
    <m/>
  </r>
  <r>
    <s v="2023-11-07 15:28 (-08)"/>
    <x v="989"/>
    <x v="1815"/>
    <x v="5"/>
    <s v="On Demand"/>
    <x v="20"/>
    <x v="1"/>
    <x v="1"/>
    <s v="Core"/>
    <x v="1"/>
    <x v="2818"/>
    <m/>
    <m/>
    <m/>
    <m/>
    <m/>
    <m/>
    <n v="58"/>
    <n v="115.25"/>
    <m/>
    <m/>
  </r>
  <r>
    <s v="2023-11-07 15:40 (-08)"/>
    <x v="989"/>
    <x v="1816"/>
    <x v="5"/>
    <s v="On Demand"/>
    <x v="6"/>
    <x v="0"/>
    <x v="0"/>
    <s v="Power Zone"/>
    <x v="27"/>
    <x v="2819"/>
    <n v="283"/>
    <n v="105"/>
    <n v="0.37"/>
    <n v="87"/>
    <n v="16.420000000000002"/>
    <n v="12.31"/>
    <n v="469"/>
    <n v="155.58000000000001"/>
    <m/>
    <m/>
  </r>
  <r>
    <s v="2023-11-07 16:27 (-08)"/>
    <x v="989"/>
    <x v="965"/>
    <x v="5"/>
    <s v="On Demand"/>
    <x v="8"/>
    <x v="1"/>
    <x v="0"/>
    <s v="Cool Down"/>
    <x v="17"/>
    <x v="2820"/>
    <n v="39"/>
    <n v="65"/>
    <n v="0.32"/>
    <n v="79"/>
    <n v="13.46"/>
    <n v="2.2400000000000002"/>
    <n v="78"/>
    <n v="133.08000000000001"/>
    <m/>
    <m/>
  </r>
  <r>
    <s v="2023-11-07 22:57 (PST)"/>
    <x v="989"/>
    <x v="1658"/>
    <x v="5"/>
    <s v="On Demand"/>
    <x v="23"/>
    <x v="1"/>
    <x v="5"/>
    <s v="Emotions"/>
    <x v="210"/>
    <x v="2821"/>
    <m/>
    <m/>
    <m/>
    <m/>
    <m/>
    <m/>
    <m/>
    <m/>
    <m/>
    <m/>
  </r>
  <r>
    <s v="2023-11-14 21:55 (PST)"/>
    <x v="990"/>
    <x v="60"/>
    <x v="5"/>
    <s v="On Demand"/>
    <x v="28"/>
    <x v="5"/>
    <x v="5"/>
    <s v="Relaxation"/>
    <x v="35"/>
    <x v="381"/>
    <m/>
    <m/>
    <m/>
    <m/>
    <m/>
    <m/>
    <m/>
    <m/>
    <m/>
    <m/>
  </r>
  <r>
    <s v="2023-11-21 08:51 (PST)"/>
    <x v="991"/>
    <x v="971"/>
    <x v="5"/>
    <s v="On Demand"/>
    <x v="13"/>
    <x v="0"/>
    <x v="4"/>
    <s v="Slow Flow"/>
    <x v="33"/>
    <x v="2822"/>
    <m/>
    <m/>
    <m/>
    <m/>
    <m/>
    <m/>
    <n v="149"/>
    <m/>
    <m/>
    <m/>
  </r>
  <r>
    <s v="2023-11-21 22:41 (PST)"/>
    <x v="991"/>
    <x v="230"/>
    <x v="5"/>
    <s v="On Demand"/>
    <x v="19"/>
    <x v="1"/>
    <x v="5"/>
    <s v="Mindfulness"/>
    <x v="210"/>
    <x v="2823"/>
    <m/>
    <m/>
    <m/>
    <m/>
    <m/>
    <m/>
    <m/>
    <m/>
    <m/>
    <m/>
  </r>
  <r>
    <s v="2023-11-28 09:00 (PST)"/>
    <x v="992"/>
    <x v="1071"/>
    <x v="5"/>
    <s v="On Demand"/>
    <x v="7"/>
    <x v="2"/>
    <x v="4"/>
    <s v="Theme"/>
    <x v="691"/>
    <x v="2824"/>
    <m/>
    <m/>
    <m/>
    <m/>
    <m/>
    <m/>
    <n v="131"/>
    <n v="101.1"/>
    <m/>
    <m/>
  </r>
  <r>
    <s v="2023-11-28 09:32 (PST)"/>
    <x v="992"/>
    <x v="1473"/>
    <x v="5"/>
    <s v="On Demand"/>
    <x v="31"/>
    <x v="1"/>
    <x v="1"/>
    <s v="Core"/>
    <x v="1"/>
    <x v="2825"/>
    <m/>
    <m/>
    <m/>
    <m/>
    <m/>
    <m/>
    <n v="39"/>
    <n v="96.78"/>
    <m/>
    <m/>
  </r>
  <r>
    <s v="2023-11-28 10:58 (PST)"/>
    <x v="992"/>
    <x v="870"/>
    <x v="5"/>
    <s v="On Demand"/>
    <x v="25"/>
    <x v="1"/>
    <x v="5"/>
    <s v="Fitness Focus"/>
    <x v="692"/>
    <x v="999"/>
    <m/>
    <m/>
    <m/>
    <m/>
    <m/>
    <m/>
    <m/>
    <n v="87.37"/>
    <m/>
    <m/>
  </r>
  <r>
    <s v="2023-11-28 22:31 (PST)"/>
    <x v="992"/>
    <x v="243"/>
    <x v="5"/>
    <s v="On Demand"/>
    <x v="16"/>
    <x v="1"/>
    <x v="5"/>
    <s v="Theme"/>
    <x v="68"/>
    <x v="2826"/>
    <m/>
    <m/>
    <m/>
    <m/>
    <m/>
    <m/>
    <m/>
    <m/>
    <m/>
    <m/>
  </r>
  <r>
    <s v="2023-12-05 15:31 (-08)"/>
    <x v="993"/>
    <x v="1817"/>
    <x v="5"/>
    <s v="On Demand"/>
    <x v="7"/>
    <x v="0"/>
    <x v="0"/>
    <s v="Power Zone"/>
    <x v="27"/>
    <x v="2827"/>
    <n v="271"/>
    <n v="100"/>
    <n v="0.37"/>
    <n v="85"/>
    <n v="16.14"/>
    <n v="12.11"/>
    <n v="464"/>
    <n v="153.59"/>
    <m/>
    <m/>
  </r>
  <r>
    <s v="2023-12-05 16:17 (-08)"/>
    <x v="993"/>
    <x v="846"/>
    <x v="5"/>
    <s v="On Demand"/>
    <x v="6"/>
    <x v="3"/>
    <x v="0"/>
    <s v="Cool Down"/>
    <x v="10"/>
    <x v="2828"/>
    <n v="21"/>
    <n v="68"/>
    <n v="0.28999999999999998"/>
    <n v="90"/>
    <n v="13.65"/>
    <n v="1.1399999999999999"/>
    <n v="41"/>
    <n v="135.6"/>
    <m/>
    <m/>
  </r>
  <r>
    <s v="2023-12-05 16:24 (-08)"/>
    <x v="993"/>
    <x v="1818"/>
    <x v="5"/>
    <s v="On Demand"/>
    <x v="36"/>
    <x v="1"/>
    <x v="1"/>
    <s v="Arms &amp; Light Weights"/>
    <x v="28"/>
    <x v="2829"/>
    <m/>
    <m/>
    <m/>
    <m/>
    <m/>
    <m/>
    <n v="62"/>
    <n v="117.55"/>
    <m/>
    <m/>
  </r>
  <r>
    <s v="2023-12-05 16:41 (-08)"/>
    <x v="993"/>
    <x v="1684"/>
    <x v="5"/>
    <s v="On Demand"/>
    <x v="21"/>
    <x v="1"/>
    <x v="1"/>
    <s v="Core"/>
    <x v="1"/>
    <x v="2830"/>
    <m/>
    <m/>
    <m/>
    <m/>
    <m/>
    <m/>
    <n v="47"/>
    <n v="104.5"/>
    <m/>
    <m/>
  </r>
  <r>
    <s v="2023-12-05 22:20 (PST)"/>
    <x v="993"/>
    <x v="766"/>
    <x v="5"/>
    <s v="On Demand"/>
    <x v="25"/>
    <x v="1"/>
    <x v="5"/>
    <s v="Sleep"/>
    <x v="39"/>
    <x v="2831"/>
    <m/>
    <m/>
    <m/>
    <m/>
    <m/>
    <m/>
    <m/>
    <m/>
    <m/>
    <m/>
  </r>
  <r>
    <s v="2023-12-12 10:25 (PST)"/>
    <x v="994"/>
    <x v="1130"/>
    <x v="5"/>
    <s v="On Demand"/>
    <x v="23"/>
    <x v="2"/>
    <x v="4"/>
    <s v="Flow"/>
    <x v="693"/>
    <x v="2832"/>
    <m/>
    <m/>
    <m/>
    <m/>
    <m/>
    <m/>
    <n v="72"/>
    <m/>
    <m/>
    <m/>
  </r>
  <r>
    <s v="2023-12-12 14:38 (-08)"/>
    <x v="994"/>
    <x v="1819"/>
    <x v="5"/>
    <s v="On Demand"/>
    <x v="35"/>
    <x v="1"/>
    <x v="1"/>
    <s v="Core"/>
    <x v="1"/>
    <x v="2833"/>
    <m/>
    <m/>
    <m/>
    <m/>
    <m/>
    <m/>
    <n v="58"/>
    <n v="114.52"/>
    <m/>
    <m/>
  </r>
  <r>
    <s v="2023-12-12 14:51 (-08)"/>
    <x v="994"/>
    <x v="1820"/>
    <x v="5"/>
    <s v="On Demand"/>
    <x v="4"/>
    <x v="0"/>
    <x v="0"/>
    <s v="Power Zone"/>
    <x v="694"/>
    <x v="2834"/>
    <n v="277"/>
    <n v="102"/>
    <n v="0.38"/>
    <n v="82"/>
    <n v="16.28"/>
    <n v="12.21"/>
    <n v="496"/>
    <n v="159.96"/>
    <m/>
    <m/>
  </r>
  <r>
    <s v="2023-12-12 15:37 (-08)"/>
    <x v="994"/>
    <x v="1821"/>
    <x v="5"/>
    <s v="On Demand"/>
    <x v="18"/>
    <x v="3"/>
    <x v="2"/>
    <s v="Pre &amp; Post-Ride Stretch"/>
    <x v="8"/>
    <x v="2835"/>
    <m/>
    <m/>
    <m/>
    <m/>
    <m/>
    <m/>
    <n v="30"/>
    <n v="117.01"/>
    <m/>
    <m/>
  </r>
  <r>
    <s v="2023-12-12 23:01 (PST)"/>
    <x v="994"/>
    <x v="295"/>
    <x v="5"/>
    <s v="On Demand"/>
    <x v="28"/>
    <x v="7"/>
    <x v="5"/>
    <s v="Relaxation"/>
    <x v="106"/>
    <x v="2836"/>
    <m/>
    <m/>
    <m/>
    <m/>
    <m/>
    <m/>
    <m/>
    <m/>
    <m/>
    <m/>
  </r>
  <r>
    <s v="2023-12-19 15:05 (-08)"/>
    <x v="995"/>
    <x v="1822"/>
    <x v="5"/>
    <s v="On Demand"/>
    <x v="6"/>
    <x v="4"/>
    <x v="0"/>
    <s v="Power Zone"/>
    <x v="7"/>
    <x v="2837"/>
    <n v="379"/>
    <n v="105"/>
    <n v="0.38"/>
    <n v="83"/>
    <n v="16.489999999999998"/>
    <n v="16.489999999999998"/>
    <n v="680"/>
    <n v="162.91999999999999"/>
    <m/>
    <m/>
  </r>
  <r>
    <s v="2023-12-19 16:06 (-08)"/>
    <x v="995"/>
    <x v="706"/>
    <x v="5"/>
    <s v="On Demand"/>
    <x v="12"/>
    <x v="3"/>
    <x v="0"/>
    <s v="Cool Down"/>
    <x v="10"/>
    <x v="2838"/>
    <n v="16"/>
    <n v="52"/>
    <n v="0.27"/>
    <n v="83"/>
    <n v="12.16"/>
    <n v="1.01"/>
    <n v="20"/>
    <m/>
    <m/>
    <m/>
  </r>
  <r>
    <s v="2023-12-19 16:17 (-08)"/>
    <x v="995"/>
    <x v="846"/>
    <x v="5"/>
    <s v="On Demand"/>
    <x v="0"/>
    <x v="3"/>
    <x v="2"/>
    <s v="Pre &amp; Post-Ride Stretch"/>
    <x v="8"/>
    <x v="2839"/>
    <m/>
    <m/>
    <m/>
    <m/>
    <m/>
    <m/>
    <n v="12"/>
    <m/>
    <m/>
    <m/>
  </r>
  <r>
    <s v="2023-12-19 21:52 (PST)"/>
    <x v="995"/>
    <x v="398"/>
    <x v="5"/>
    <s v="On Demand"/>
    <x v="25"/>
    <x v="7"/>
    <x v="5"/>
    <s v="Theme"/>
    <x v="695"/>
    <x v="2840"/>
    <m/>
    <m/>
    <m/>
    <m/>
    <m/>
    <m/>
    <m/>
    <m/>
    <m/>
    <m/>
  </r>
  <r>
    <s v="2023-12-26 08:08 (PST)"/>
    <x v="996"/>
    <x v="629"/>
    <x v="5"/>
    <s v="On Demand"/>
    <x v="13"/>
    <x v="2"/>
    <x v="4"/>
    <s v="Flow"/>
    <x v="41"/>
    <x v="2841"/>
    <m/>
    <m/>
    <m/>
    <m/>
    <m/>
    <m/>
    <n v="103"/>
    <m/>
    <m/>
    <m/>
  </r>
  <r>
    <s v="2023-12-26 16:37 (-08)"/>
    <x v="996"/>
    <x v="1370"/>
    <x v="5"/>
    <s v="On Demand"/>
    <x v="6"/>
    <x v="6"/>
    <x v="0"/>
    <s v="Power Zone"/>
    <x v="20"/>
    <x v="2842"/>
    <n v="483"/>
    <n v="107"/>
    <n v="0.39"/>
    <n v="81"/>
    <n v="16.600000000000001"/>
    <n v="20.75"/>
    <n v="810"/>
    <n v="163.32"/>
    <m/>
    <m/>
  </r>
  <r>
    <s v="2023-12-26 17:53 (-08)"/>
    <x v="996"/>
    <x v="1823"/>
    <x v="5"/>
    <s v="On Demand"/>
    <x v="36"/>
    <x v="3"/>
    <x v="0"/>
    <s v="Cool Down"/>
    <x v="10"/>
    <x v="2843"/>
    <n v="17"/>
    <n v="57"/>
    <n v="0.28999999999999998"/>
    <n v="80"/>
    <n v="12.61"/>
    <n v="1.05"/>
    <n v="40"/>
    <n v="134.88"/>
    <m/>
    <m/>
  </r>
  <r>
    <s v="2023-12-26 18:00 (-08)"/>
    <x v="996"/>
    <x v="966"/>
    <x v="5"/>
    <s v="On Demand"/>
    <x v="29"/>
    <x v="3"/>
    <x v="2"/>
    <s v="Pre &amp; Post-Ride Stretch"/>
    <x v="8"/>
    <x v="2844"/>
    <m/>
    <m/>
    <m/>
    <m/>
    <m/>
    <m/>
    <n v="27"/>
    <n v="112.56"/>
    <m/>
    <m/>
  </r>
  <r>
    <s v="2023-12-26 23:25 (PST)"/>
    <x v="996"/>
    <x v="1526"/>
    <x v="5"/>
    <s v="On Demand"/>
    <x v="25"/>
    <x v="3"/>
    <x v="5"/>
    <s v="Emotions"/>
    <x v="373"/>
    <x v="2845"/>
    <m/>
    <m/>
    <m/>
    <m/>
    <m/>
    <m/>
    <m/>
    <m/>
    <m/>
    <m/>
  </r>
  <r>
    <s v="2024-01-02 07:02 (PST)"/>
    <x v="997"/>
    <x v="389"/>
    <x v="5"/>
    <s v="On Demand"/>
    <x v="7"/>
    <x v="2"/>
    <x v="4"/>
    <s v="Flow"/>
    <x v="280"/>
    <x v="2846"/>
    <m/>
    <m/>
    <m/>
    <m/>
    <m/>
    <m/>
    <n v="95"/>
    <m/>
    <m/>
    <m/>
  </r>
  <r>
    <s v="2024-01-02 13:31 (PST)"/>
    <x v="997"/>
    <x v="872"/>
    <x v="5"/>
    <m/>
    <x v="34"/>
    <x v="22"/>
    <x v="6"/>
    <m/>
    <x v="696"/>
    <x v="231"/>
    <n v="0"/>
    <m/>
    <m/>
    <m/>
    <n v="3.19"/>
    <n v="1.91"/>
    <n v="149"/>
    <m/>
    <m/>
    <m/>
  </r>
  <r>
    <s v="2024-01-02 15:51 (-08)"/>
    <x v="997"/>
    <x v="1824"/>
    <x v="5"/>
    <s v="On Demand"/>
    <x v="7"/>
    <x v="4"/>
    <x v="0"/>
    <s v="Power Zone"/>
    <x v="7"/>
    <x v="2847"/>
    <n v="367"/>
    <n v="102"/>
    <n v="0.37"/>
    <n v="84"/>
    <n v="16.25"/>
    <n v="16.239999999999998"/>
    <n v="639"/>
    <n v="158.04"/>
    <m/>
    <m/>
  </r>
  <r>
    <s v="2024-01-02 16:52 (-08)"/>
    <x v="997"/>
    <x v="834"/>
    <x v="5"/>
    <s v="On Demand"/>
    <x v="39"/>
    <x v="3"/>
    <x v="0"/>
    <s v="Cool Down"/>
    <x v="10"/>
    <x v="2848"/>
    <n v="20"/>
    <n v="65"/>
    <n v="0.32"/>
    <n v="80"/>
    <n v="13.49"/>
    <n v="1.1299999999999999"/>
    <n v="44"/>
    <n v="141.04"/>
    <m/>
    <m/>
  </r>
  <r>
    <s v="2024-01-02 16:57 (-08)"/>
    <x v="997"/>
    <x v="1487"/>
    <x v="5"/>
    <s v="On Demand"/>
    <x v="39"/>
    <x v="3"/>
    <x v="2"/>
    <s v="Pre &amp; Post-Ride Stretch"/>
    <x v="8"/>
    <x v="2849"/>
    <m/>
    <m/>
    <m/>
    <m/>
    <m/>
    <m/>
    <n v="30"/>
    <n v="117.31"/>
    <m/>
    <m/>
  </r>
  <r>
    <s v="2024-01-02 21:58 (PST)"/>
    <x v="997"/>
    <x v="584"/>
    <x v="5"/>
    <s v="On Demand"/>
    <x v="28"/>
    <x v="5"/>
    <x v="5"/>
    <s v="Breath"/>
    <x v="62"/>
    <x v="2850"/>
    <m/>
    <m/>
    <m/>
    <m/>
    <m/>
    <m/>
    <m/>
    <m/>
    <m/>
    <m/>
  </r>
  <r>
    <s v="2024-01-09 16:49 (-08)"/>
    <x v="998"/>
    <x v="1371"/>
    <x v="5"/>
    <s v="On Demand"/>
    <x v="49"/>
    <x v="2"/>
    <x v="7"/>
    <s v="Endurance"/>
    <x v="152"/>
    <x v="2851"/>
    <n v="99"/>
    <m/>
    <m/>
    <m/>
    <n v="2.58"/>
    <n v="2.66"/>
    <n v="230"/>
    <n v="136.76"/>
    <m/>
    <m/>
  </r>
  <r>
    <s v="2024-01-09 17:23 (-08)"/>
    <x v="998"/>
    <x v="1825"/>
    <x v="5"/>
    <s v="On Demand"/>
    <x v="50"/>
    <x v="1"/>
    <x v="1"/>
    <s v="Core"/>
    <x v="1"/>
    <x v="2852"/>
    <m/>
    <m/>
    <m/>
    <m/>
    <m/>
    <m/>
    <n v="47"/>
    <n v="101.74"/>
    <m/>
    <m/>
  </r>
  <r>
    <s v="2024-01-09 17:35 (-08)"/>
    <x v="998"/>
    <x v="286"/>
    <x v="5"/>
    <s v="On Demand"/>
    <x v="31"/>
    <x v="5"/>
    <x v="1"/>
    <s v="Upper Body"/>
    <x v="247"/>
    <x v="2853"/>
    <m/>
    <m/>
    <m/>
    <m/>
    <m/>
    <m/>
    <n v="108"/>
    <n v="106.12"/>
    <m/>
    <m/>
  </r>
  <r>
    <s v="2024-01-09 18:10 (PST)"/>
    <x v="998"/>
    <x v="1238"/>
    <x v="5"/>
    <s v="On Demand"/>
    <x v="16"/>
    <x v="2"/>
    <x v="4"/>
    <s v="Flow"/>
    <x v="661"/>
    <x v="2854"/>
    <m/>
    <m/>
    <m/>
    <m/>
    <m/>
    <m/>
    <n v="99"/>
    <m/>
    <m/>
    <m/>
  </r>
  <r>
    <s v="2024-01-09 21:54 (PST)"/>
    <x v="998"/>
    <x v="152"/>
    <x v="5"/>
    <s v="On Demand"/>
    <x v="16"/>
    <x v="7"/>
    <x v="5"/>
    <s v="Theme"/>
    <x v="697"/>
    <x v="2855"/>
    <m/>
    <m/>
    <m/>
    <m/>
    <m/>
    <m/>
    <m/>
    <m/>
    <m/>
    <m/>
  </r>
  <r>
    <s v="2024-01-16 13:44 (PST)"/>
    <x v="999"/>
    <x v="1826"/>
    <x v="5"/>
    <s v="On Demand"/>
    <x v="13"/>
    <x v="2"/>
    <x v="4"/>
    <s v="Slow Flow"/>
    <x v="698"/>
    <x v="2856"/>
    <m/>
    <m/>
    <m/>
    <m/>
    <m/>
    <m/>
    <n v="33"/>
    <m/>
    <m/>
    <m/>
  </r>
  <r>
    <s v="2024-01-16 14:46 (PST)"/>
    <x v="999"/>
    <x v="1827"/>
    <x v="5"/>
    <s v="On Demand"/>
    <x v="13"/>
    <x v="2"/>
    <x v="4"/>
    <s v="Slow Flow"/>
    <x v="698"/>
    <x v="2856"/>
    <m/>
    <m/>
    <m/>
    <m/>
    <m/>
    <m/>
    <n v="100"/>
    <m/>
    <m/>
    <m/>
  </r>
  <r>
    <s v="2024-01-16 16:41 (-08)"/>
    <x v="999"/>
    <x v="1684"/>
    <x v="5"/>
    <s v="On Demand"/>
    <x v="37"/>
    <x v="2"/>
    <x v="9"/>
    <s v="Body Focus"/>
    <x v="82"/>
    <x v="2857"/>
    <n v="73"/>
    <m/>
    <m/>
    <m/>
    <n v="2.81"/>
    <n v="1.69"/>
    <n v="161"/>
    <m/>
    <m/>
    <m/>
  </r>
  <r>
    <s v="2024-01-16 17:13 (-08)"/>
    <x v="999"/>
    <x v="967"/>
    <x v="5"/>
    <s v="On Demand"/>
    <x v="3"/>
    <x v="1"/>
    <x v="1"/>
    <s v="Core"/>
    <x v="1"/>
    <x v="2858"/>
    <m/>
    <m/>
    <m/>
    <m/>
    <m/>
    <m/>
    <n v="57"/>
    <n v="113.25"/>
    <m/>
    <m/>
  </r>
  <r>
    <s v="2024-01-16 21:44 (PST)"/>
    <x v="999"/>
    <x v="566"/>
    <x v="5"/>
    <s v="On Demand"/>
    <x v="28"/>
    <x v="1"/>
    <x v="5"/>
    <s v="Breath"/>
    <x v="154"/>
    <x v="2859"/>
    <m/>
    <m/>
    <m/>
    <m/>
    <m/>
    <m/>
    <m/>
    <m/>
    <m/>
    <m/>
  </r>
  <r>
    <s v="2018-10-03 13:44 (PST)"/>
    <x v="1000"/>
    <x v="1826"/>
    <x v="6"/>
    <s v="On Demand"/>
    <x v="0"/>
    <x v="2"/>
    <x v="0"/>
    <s v="Music"/>
    <x v="170"/>
    <x v="2860"/>
    <n v="168"/>
    <n v="93"/>
    <n v="0.38"/>
    <n v="81"/>
    <n v="15.55"/>
    <n v="7.77"/>
    <n v="222"/>
    <m/>
    <m/>
    <m/>
  </r>
  <r>
    <s v="2018-11-07 15:59 (PST)"/>
    <x v="1001"/>
    <x v="1828"/>
    <x v="6"/>
    <s v="On Demand"/>
    <x v="0"/>
    <x v="2"/>
    <x v="0"/>
    <s v="Music"/>
    <x v="167"/>
    <x v="2861"/>
    <n v="153"/>
    <n v="85"/>
    <n v="0.38"/>
    <n v="75"/>
    <n v="14.89"/>
    <n v="7.44"/>
    <n v="202"/>
    <m/>
    <m/>
    <m/>
  </r>
  <r>
    <s v="2018-12-26 11:20 (PST)"/>
    <x v="1002"/>
    <x v="1829"/>
    <x v="6"/>
    <s v="On Demand"/>
    <x v="0"/>
    <x v="2"/>
    <x v="0"/>
    <s v="Intervals"/>
    <x v="699"/>
    <x v="2862"/>
    <n v="21"/>
    <n v="46"/>
    <n v="0.37"/>
    <n v="48"/>
    <n v="8.0500000000000007"/>
    <n v="0.99"/>
    <n v="27"/>
    <m/>
    <m/>
    <m/>
  </r>
  <r>
    <s v="2019-07-10 12:18 (PST)"/>
    <x v="1003"/>
    <x v="191"/>
    <x v="6"/>
    <s v="On Demand"/>
    <x v="0"/>
    <x v="2"/>
    <x v="0"/>
    <s v="Music"/>
    <x v="170"/>
    <x v="2863"/>
    <n v="167"/>
    <n v="93"/>
    <n v="0.39"/>
    <n v="78"/>
    <n v="15.5"/>
    <n v="7.74"/>
    <n v="220"/>
    <m/>
    <m/>
    <m/>
  </r>
  <r>
    <s v="2020-01-01 18:01 (PST)"/>
    <x v="1004"/>
    <x v="155"/>
    <x v="6"/>
    <s v="On Demand"/>
    <x v="64"/>
    <x v="2"/>
    <x v="4"/>
    <s v="Flow"/>
    <x v="700"/>
    <x v="2864"/>
    <m/>
    <m/>
    <m/>
    <m/>
    <m/>
    <m/>
    <n v="101"/>
    <m/>
    <m/>
    <m/>
  </r>
  <r>
    <s v="2020-01-29 17:08 (PST)"/>
    <x v="1005"/>
    <x v="1015"/>
    <x v="6"/>
    <s v="On Demand"/>
    <x v="31"/>
    <x v="2"/>
    <x v="1"/>
    <s v="Full Body"/>
    <x v="125"/>
    <x v="2865"/>
    <m/>
    <m/>
    <m/>
    <m/>
    <m/>
    <m/>
    <n v="167"/>
    <m/>
    <m/>
    <m/>
  </r>
  <r>
    <s v="2020-02-05 21:37 (PST)"/>
    <x v="1006"/>
    <x v="511"/>
    <x v="6"/>
    <s v="On Demand"/>
    <x v="13"/>
    <x v="2"/>
    <x v="4"/>
    <s v="Slow Flow"/>
    <x v="50"/>
    <x v="2866"/>
    <m/>
    <m/>
    <m/>
    <m/>
    <m/>
    <m/>
    <n v="108"/>
    <m/>
    <m/>
    <m/>
  </r>
  <r>
    <s v="2020-10-14 19:14 (PST)"/>
    <x v="1007"/>
    <x v="1830"/>
    <x v="6"/>
    <s v="On Demand"/>
    <x v="11"/>
    <x v="1"/>
    <x v="2"/>
    <s v="Full Body Stretch"/>
    <x v="4"/>
    <x v="2867"/>
    <m/>
    <m/>
    <m/>
    <m/>
    <m/>
    <m/>
    <n v="28"/>
    <m/>
    <m/>
    <m/>
  </r>
  <r>
    <s v="2020-10-14 20:03 (PST)"/>
    <x v="1007"/>
    <x v="1831"/>
    <x v="6"/>
    <s v="On Demand"/>
    <x v="37"/>
    <x v="3"/>
    <x v="2"/>
    <s v="Lower Body Stretch"/>
    <x v="444"/>
    <x v="2868"/>
    <m/>
    <m/>
    <m/>
    <m/>
    <m/>
    <m/>
    <n v="14"/>
    <m/>
    <m/>
    <m/>
  </r>
  <r>
    <s v="2020-10-21 18:32 (PST)"/>
    <x v="1008"/>
    <x v="1628"/>
    <x v="6"/>
    <s v="On Demand"/>
    <x v="3"/>
    <x v="3"/>
    <x v="2"/>
    <s v="Pre-Run Stretch"/>
    <x v="324"/>
    <x v="2869"/>
    <m/>
    <m/>
    <m/>
    <m/>
    <m/>
    <m/>
    <n v="28"/>
    <m/>
    <m/>
    <m/>
  </r>
  <r>
    <s v="2020-10-21 19:12 (PST)"/>
    <x v="1008"/>
    <x v="1167"/>
    <x v="6"/>
    <s v="On Demand"/>
    <x v="4"/>
    <x v="1"/>
    <x v="2"/>
    <s v="Full Body Stretch"/>
    <x v="4"/>
    <x v="4"/>
    <m/>
    <m/>
    <m/>
    <m/>
    <m/>
    <m/>
    <n v="28"/>
    <m/>
    <m/>
    <m/>
  </r>
  <r>
    <s v="2020-11-04 07:02 (PST)"/>
    <x v="1009"/>
    <x v="389"/>
    <x v="6"/>
    <s v="On Demand"/>
    <x v="0"/>
    <x v="2"/>
    <x v="0"/>
    <s v="Music"/>
    <x v="170"/>
    <x v="2870"/>
    <n v="141"/>
    <n v="78"/>
    <n v="0.36"/>
    <n v="77"/>
    <n v="14.5"/>
    <n v="7.25"/>
    <n v="193"/>
    <m/>
    <m/>
    <m/>
  </r>
  <r>
    <s v="2020-11-04 07:34 (PST)"/>
    <x v="1009"/>
    <x v="130"/>
    <x v="6"/>
    <s v="On Demand"/>
    <x v="0"/>
    <x v="3"/>
    <x v="2"/>
    <s v="Pre &amp; Post-Ride Stretch"/>
    <x v="8"/>
    <x v="2871"/>
    <m/>
    <m/>
    <m/>
    <m/>
    <m/>
    <m/>
    <n v="13"/>
    <m/>
    <m/>
    <m/>
  </r>
  <r>
    <s v="2020-11-11 10:25 (PST)"/>
    <x v="1010"/>
    <x v="1130"/>
    <x v="6"/>
    <s v="On Demand"/>
    <x v="7"/>
    <x v="0"/>
    <x v="0"/>
    <s v="Power Zone"/>
    <x v="27"/>
    <x v="2872"/>
    <n v="189"/>
    <n v="70"/>
    <n v="0.32"/>
    <n v="85"/>
    <n v="13.86"/>
    <n v="10.39"/>
    <n v="258"/>
    <m/>
    <m/>
    <m/>
  </r>
  <r>
    <s v="2020-11-11 11:12 (PST)"/>
    <x v="1010"/>
    <x v="1832"/>
    <x v="6"/>
    <s v="On Demand"/>
    <x v="7"/>
    <x v="3"/>
    <x v="2"/>
    <s v="Pre &amp; Post-Ride Stretch"/>
    <x v="8"/>
    <x v="410"/>
    <m/>
    <m/>
    <m/>
    <m/>
    <m/>
    <m/>
    <n v="13"/>
    <m/>
    <m/>
    <m/>
  </r>
  <r>
    <s v="2020-11-18 06:32 (PST)"/>
    <x v="1011"/>
    <x v="1833"/>
    <x v="6"/>
    <s v="On Demand"/>
    <x v="5"/>
    <x v="2"/>
    <x v="0"/>
    <s v="Power Zone"/>
    <x v="5"/>
    <x v="2873"/>
    <n v="142"/>
    <n v="79"/>
    <n v="0.33"/>
    <n v="87"/>
    <n v="14.59"/>
    <n v="7.29"/>
    <n v="194"/>
    <m/>
    <m/>
    <m/>
  </r>
  <r>
    <s v="2020-11-18 07:04 (PST)"/>
    <x v="1011"/>
    <x v="494"/>
    <x v="6"/>
    <s v="On Demand"/>
    <x v="15"/>
    <x v="3"/>
    <x v="2"/>
    <s v="Pre &amp; Post-Ride Stretch"/>
    <x v="8"/>
    <x v="2874"/>
    <m/>
    <m/>
    <m/>
    <m/>
    <m/>
    <m/>
    <n v="13"/>
    <m/>
    <m/>
    <m/>
  </r>
  <r>
    <s v="2020-11-25 06:59 (PST)"/>
    <x v="1012"/>
    <x v="524"/>
    <x v="6"/>
    <s v="On Demand"/>
    <x v="6"/>
    <x v="7"/>
    <x v="0"/>
    <s v="Power Zone"/>
    <x v="87"/>
    <x v="1854"/>
    <n v="63"/>
    <n v="70"/>
    <n v="0.28999999999999998"/>
    <n v="94"/>
    <n v="13.82"/>
    <n v="3.45"/>
    <n v="86"/>
    <m/>
    <m/>
    <m/>
  </r>
  <r>
    <s v="2020-11-25 07:15 (PST)"/>
    <x v="1012"/>
    <x v="792"/>
    <x v="6"/>
    <s v="On Demand"/>
    <x v="6"/>
    <x v="5"/>
    <x v="0"/>
    <s v="Power Zone"/>
    <x v="88"/>
    <x v="1855"/>
    <n v="130"/>
    <n v="108"/>
    <n v="0.36"/>
    <n v="93"/>
    <n v="16.690000000000001"/>
    <n v="5.56"/>
    <n v="177"/>
    <m/>
    <m/>
    <m/>
  </r>
  <r>
    <s v="2020-11-25 07:37 (PST)"/>
    <x v="1012"/>
    <x v="1505"/>
    <x v="6"/>
    <s v="On Demand"/>
    <x v="6"/>
    <x v="3"/>
    <x v="0"/>
    <s v="Cool Down"/>
    <x v="10"/>
    <x v="28"/>
    <n v="14"/>
    <n v="46"/>
    <n v="0.23"/>
    <n v="94"/>
    <n v="11.48"/>
    <n v="0.95"/>
    <n v="19"/>
    <m/>
    <m/>
    <m/>
  </r>
  <r>
    <s v="2020-11-25 07:42 (PST)"/>
    <x v="1012"/>
    <x v="136"/>
    <x v="6"/>
    <s v="On Demand"/>
    <x v="6"/>
    <x v="3"/>
    <x v="2"/>
    <s v="Pre &amp; Post-Ride Stretch"/>
    <x v="8"/>
    <x v="8"/>
    <m/>
    <m/>
    <m/>
    <m/>
    <m/>
    <m/>
    <n v="13"/>
    <m/>
    <m/>
    <m/>
  </r>
  <r>
    <s v="2020-12-02 06:44 (PST)"/>
    <x v="1013"/>
    <x v="1834"/>
    <x v="6"/>
    <s v="On Demand"/>
    <x v="12"/>
    <x v="2"/>
    <x v="0"/>
    <s v="Music"/>
    <x v="167"/>
    <x v="2875"/>
    <n v="152"/>
    <n v="85"/>
    <n v="0.39"/>
    <n v="72"/>
    <n v="14.48"/>
    <n v="7.24"/>
    <n v="208"/>
    <m/>
    <m/>
    <m/>
  </r>
  <r>
    <s v="2020-12-02 07:15 (PST)"/>
    <x v="1013"/>
    <x v="792"/>
    <x v="6"/>
    <s v="On Demand"/>
    <x v="12"/>
    <x v="3"/>
    <x v="2"/>
    <s v="Pre &amp; Post-Ride Stretch"/>
    <x v="8"/>
    <x v="2876"/>
    <m/>
    <m/>
    <m/>
    <m/>
    <m/>
    <m/>
    <n v="13"/>
    <m/>
    <m/>
    <m/>
  </r>
  <r>
    <s v="2020-12-02 20:48 (PST)"/>
    <x v="1013"/>
    <x v="1078"/>
    <x v="6"/>
    <s v="On Demand"/>
    <x v="7"/>
    <x v="0"/>
    <x v="4"/>
    <s v="Power"/>
    <x v="486"/>
    <x v="2877"/>
    <m/>
    <m/>
    <m/>
    <m/>
    <m/>
    <m/>
    <n v="164"/>
    <m/>
    <m/>
    <m/>
  </r>
  <r>
    <s v="2020-12-02 21:36 (PST)"/>
    <x v="1013"/>
    <x v="1153"/>
    <x v="6"/>
    <s v="On Demand"/>
    <x v="13"/>
    <x v="1"/>
    <x v="5"/>
    <s v="Emotions"/>
    <x v="44"/>
    <x v="2878"/>
    <m/>
    <m/>
    <m/>
    <m/>
    <m/>
    <m/>
    <m/>
    <m/>
    <m/>
    <m/>
  </r>
  <r>
    <s v="2020-12-09 20:05 (PST)"/>
    <x v="1014"/>
    <x v="1835"/>
    <x v="6"/>
    <s v="On Demand"/>
    <x v="6"/>
    <x v="0"/>
    <x v="0"/>
    <s v="Power Zone"/>
    <x v="27"/>
    <x v="2879"/>
    <n v="208"/>
    <n v="77"/>
    <n v="0.32"/>
    <n v="87"/>
    <n v="14.46"/>
    <n v="10.84"/>
    <n v="285"/>
    <m/>
    <m/>
    <m/>
  </r>
  <r>
    <s v="2020-12-09 20:53 (PST)"/>
    <x v="1014"/>
    <x v="1198"/>
    <x v="6"/>
    <s v="On Demand"/>
    <x v="4"/>
    <x v="3"/>
    <x v="2"/>
    <s v="Pre &amp; Post-Ride Stretch"/>
    <x v="8"/>
    <x v="2880"/>
    <m/>
    <m/>
    <m/>
    <m/>
    <m/>
    <m/>
    <n v="13"/>
    <m/>
    <m/>
    <m/>
  </r>
  <r>
    <s v="2020-12-16 06:57 (PST)"/>
    <x v="1015"/>
    <x v="387"/>
    <x v="6"/>
    <s v="On Demand"/>
    <x v="12"/>
    <x v="2"/>
    <x v="3"/>
    <s v="Body Focus"/>
    <x v="612"/>
    <x v="2881"/>
    <n v="81"/>
    <m/>
    <m/>
    <m/>
    <n v="14.19"/>
    <n v="3.72"/>
    <n v="150"/>
    <m/>
    <m/>
    <m/>
  </r>
  <r>
    <s v="2020-12-16 07:28 (PST)"/>
    <x v="1015"/>
    <x v="234"/>
    <x v="6"/>
    <s v="On Demand"/>
    <x v="22"/>
    <x v="3"/>
    <x v="0"/>
    <s v="Cool Down"/>
    <x v="10"/>
    <x v="2882"/>
    <n v="21"/>
    <n v="70"/>
    <n v="0.34"/>
    <n v="77"/>
    <n v="13.88"/>
    <n v="1.1499999999999999"/>
    <n v="26"/>
    <m/>
    <m/>
    <m/>
  </r>
  <r>
    <s v="2020-12-16 19:07 (PST)"/>
    <x v="1015"/>
    <x v="843"/>
    <x v="6"/>
    <s v="On Demand"/>
    <x v="1"/>
    <x v="2"/>
    <x v="0"/>
    <s v="Music"/>
    <x v="701"/>
    <x v="2883"/>
    <n v="160"/>
    <n v="89"/>
    <n v="0.37"/>
    <n v="80"/>
    <n v="15.17"/>
    <n v="7.58"/>
    <n v="197"/>
    <m/>
    <m/>
    <m/>
  </r>
  <r>
    <s v="2020-12-16 19:41 (PST)"/>
    <x v="1015"/>
    <x v="1836"/>
    <x v="6"/>
    <s v="On Demand"/>
    <x v="23"/>
    <x v="1"/>
    <x v="4"/>
    <s v="Focus Flow"/>
    <x v="118"/>
    <x v="2884"/>
    <m/>
    <m/>
    <m/>
    <m/>
    <m/>
    <m/>
    <n v="36"/>
    <m/>
    <m/>
    <m/>
  </r>
  <r>
    <s v="2020-12-23 17:29 (PST)"/>
    <x v="1016"/>
    <x v="1142"/>
    <x v="6"/>
    <s v="On Demand"/>
    <x v="7"/>
    <x v="0"/>
    <x v="0"/>
    <s v="Power Zone"/>
    <x v="27"/>
    <x v="2885"/>
    <n v="217"/>
    <n v="81"/>
    <n v="0.35"/>
    <n v="81"/>
    <n v="14.76"/>
    <n v="11.06"/>
    <n v="269"/>
    <m/>
    <m/>
    <m/>
  </r>
  <r>
    <s v="2020-12-23 18:15 (PST)"/>
    <x v="1016"/>
    <x v="1837"/>
    <x v="6"/>
    <s v="On Demand"/>
    <x v="7"/>
    <x v="3"/>
    <x v="2"/>
    <s v="Pre &amp; Post-Ride Stretch"/>
    <x v="8"/>
    <x v="417"/>
    <m/>
    <m/>
    <m/>
    <m/>
    <m/>
    <m/>
    <n v="12"/>
    <m/>
    <m/>
    <m/>
  </r>
  <r>
    <s v="2020-12-23 18:23 (PST)"/>
    <x v="1016"/>
    <x v="1838"/>
    <x v="6"/>
    <s v="On Demand"/>
    <x v="1"/>
    <x v="7"/>
    <x v="1"/>
    <s v="Pilates"/>
    <x v="702"/>
    <x v="417"/>
    <m/>
    <m/>
    <m/>
    <m/>
    <m/>
    <m/>
    <n v="69"/>
    <m/>
    <m/>
    <m/>
  </r>
  <r>
    <s v="2020-12-23 18:40 (PST)"/>
    <x v="1016"/>
    <x v="1839"/>
    <x v="6"/>
    <s v="On Demand"/>
    <x v="25"/>
    <x v="1"/>
    <x v="4"/>
    <s v="Focus Flow"/>
    <x v="133"/>
    <x v="2886"/>
    <m/>
    <m/>
    <m/>
    <m/>
    <m/>
    <m/>
    <n v="35"/>
    <m/>
    <m/>
    <m/>
  </r>
  <r>
    <s v="2020-12-30 12:46 (PST)"/>
    <x v="1017"/>
    <x v="1484"/>
    <x v="6"/>
    <s v="On Demand"/>
    <x v="1"/>
    <x v="2"/>
    <x v="0"/>
    <s v="Theme"/>
    <x v="703"/>
    <x v="418"/>
    <n v="165"/>
    <n v="91"/>
    <n v="0.37"/>
    <n v="81"/>
    <n v="15.41"/>
    <n v="7.7"/>
    <n v="204"/>
    <m/>
    <m/>
    <m/>
  </r>
  <r>
    <s v="2020-12-30 13:22 (PST)"/>
    <x v="1017"/>
    <x v="1516"/>
    <x v="6"/>
    <s v="On Demand"/>
    <x v="16"/>
    <x v="5"/>
    <x v="4"/>
    <s v="Flow"/>
    <x v="30"/>
    <x v="1049"/>
    <m/>
    <m/>
    <m/>
    <m/>
    <m/>
    <m/>
    <n v="65"/>
    <m/>
    <m/>
    <m/>
  </r>
  <r>
    <s v="2021-01-06 20:37 (PST)"/>
    <x v="1018"/>
    <x v="1840"/>
    <x v="6"/>
    <s v="On Demand"/>
    <x v="7"/>
    <x v="4"/>
    <x v="4"/>
    <s v="Flow"/>
    <x v="24"/>
    <x v="2887"/>
    <m/>
    <m/>
    <m/>
    <m/>
    <m/>
    <m/>
    <n v="196"/>
    <m/>
    <m/>
    <m/>
  </r>
  <r>
    <s v="2021-01-13 06:42 (PST)"/>
    <x v="1019"/>
    <x v="1841"/>
    <x v="6"/>
    <s v="On Demand"/>
    <x v="7"/>
    <x v="2"/>
    <x v="4"/>
    <s v="Flow"/>
    <x v="150"/>
    <x v="2888"/>
    <m/>
    <m/>
    <m/>
    <m/>
    <m/>
    <m/>
    <n v="99"/>
    <m/>
    <m/>
    <m/>
  </r>
  <r>
    <s v="2021-01-20 22:09 (PST)"/>
    <x v="1020"/>
    <x v="468"/>
    <x v="6"/>
    <s v="On Demand"/>
    <x v="13"/>
    <x v="1"/>
    <x v="5"/>
    <s v="Sleep"/>
    <x v="39"/>
    <x v="2889"/>
    <m/>
    <m/>
    <m/>
    <m/>
    <m/>
    <m/>
    <m/>
    <m/>
    <m/>
    <m/>
  </r>
  <r>
    <s v="2021-01-27 07:00 (-08)"/>
    <x v="1021"/>
    <x v="1842"/>
    <x v="6"/>
    <s v="On Demand"/>
    <x v="6"/>
    <x v="0"/>
    <x v="0"/>
    <s v="Power Zone"/>
    <x v="27"/>
    <x v="2890"/>
    <n v="235"/>
    <n v="87"/>
    <n v="0.34"/>
    <n v="88"/>
    <n v="15.25"/>
    <n v="11.44"/>
    <n v="291"/>
    <m/>
    <m/>
    <m/>
  </r>
  <r>
    <s v="2021-01-27 07:47 (-08)"/>
    <x v="1021"/>
    <x v="1843"/>
    <x v="6"/>
    <s v="On Demand"/>
    <x v="6"/>
    <x v="3"/>
    <x v="2"/>
    <s v="Pre &amp; Post-Ride Stretch"/>
    <x v="8"/>
    <x v="2891"/>
    <m/>
    <m/>
    <m/>
    <m/>
    <m/>
    <m/>
    <n v="12"/>
    <m/>
    <m/>
    <m/>
  </r>
  <r>
    <s v="2021-01-27 21:25 (PST)"/>
    <x v="1021"/>
    <x v="339"/>
    <x v="6"/>
    <s v="On Demand"/>
    <x v="13"/>
    <x v="5"/>
    <x v="4"/>
    <s v="Focus Flow"/>
    <x v="40"/>
    <x v="2892"/>
    <m/>
    <m/>
    <m/>
    <m/>
    <m/>
    <m/>
    <n v="62"/>
    <m/>
    <m/>
    <m/>
  </r>
  <r>
    <s v="2021-02-03 07:01 (-08)"/>
    <x v="1022"/>
    <x v="1844"/>
    <x v="6"/>
    <s v="On Demand"/>
    <x v="7"/>
    <x v="3"/>
    <x v="0"/>
    <s v="Warm Up"/>
    <x v="22"/>
    <x v="2893"/>
    <n v="22"/>
    <n v="73"/>
    <n v="0.31"/>
    <n v="90"/>
    <n v="14.19"/>
    <n v="1.18"/>
    <n v="27"/>
    <m/>
    <m/>
    <m/>
  </r>
  <r>
    <s v="2021-02-03 07:07 (-08)"/>
    <x v="1022"/>
    <x v="24"/>
    <x v="6"/>
    <s v="On Demand"/>
    <x v="7"/>
    <x v="0"/>
    <x v="0"/>
    <s v="Power Zone"/>
    <x v="85"/>
    <x v="1547"/>
    <n v="241"/>
    <n v="89"/>
    <n v="0.36"/>
    <n v="83"/>
    <n v="15.29"/>
    <n v="11.47"/>
    <n v="298"/>
    <m/>
    <m/>
    <m/>
  </r>
  <r>
    <s v="2021-02-03 07:54 (-08)"/>
    <x v="1022"/>
    <x v="1412"/>
    <x v="6"/>
    <s v="On Demand"/>
    <x v="7"/>
    <x v="3"/>
    <x v="0"/>
    <s v="Cool Down"/>
    <x v="10"/>
    <x v="2894"/>
    <n v="16"/>
    <n v="54"/>
    <n v="0.28999999999999998"/>
    <n v="82"/>
    <n v="12.4"/>
    <n v="1.03"/>
    <n v="20"/>
    <m/>
    <m/>
    <m/>
  </r>
  <r>
    <s v="2021-02-03 07:59 (-08)"/>
    <x v="1022"/>
    <x v="1845"/>
    <x v="6"/>
    <s v="On Demand"/>
    <x v="7"/>
    <x v="3"/>
    <x v="2"/>
    <s v="Pre &amp; Post-Ride Stretch"/>
    <x v="8"/>
    <x v="26"/>
    <m/>
    <m/>
    <m/>
    <m/>
    <m/>
    <m/>
    <n v="12"/>
    <m/>
    <m/>
    <m/>
  </r>
  <r>
    <s v="2021-02-03 22:02 (PST)"/>
    <x v="1022"/>
    <x v="399"/>
    <x v="6"/>
    <s v="On Demand"/>
    <x v="13"/>
    <x v="1"/>
    <x v="5"/>
    <s v="Relaxation"/>
    <x v="71"/>
    <x v="2895"/>
    <m/>
    <m/>
    <m/>
    <m/>
    <m/>
    <m/>
    <m/>
    <m/>
    <m/>
    <m/>
  </r>
  <r>
    <s v="2021-02-10 07:00 (PST)"/>
    <x v="1023"/>
    <x v="385"/>
    <x v="6"/>
    <s v="On Demand"/>
    <x v="7"/>
    <x v="2"/>
    <x v="4"/>
    <s v="Flow"/>
    <x v="704"/>
    <x v="2896"/>
    <m/>
    <m/>
    <m/>
    <m/>
    <m/>
    <m/>
    <n v="97"/>
    <m/>
    <m/>
    <m/>
  </r>
  <r>
    <s v="2021-02-17 06:04 (PST)"/>
    <x v="1024"/>
    <x v="1846"/>
    <x v="6"/>
    <s v="On Demand"/>
    <x v="6"/>
    <x v="4"/>
    <x v="0"/>
    <s v="Power Zone"/>
    <x v="23"/>
    <x v="2897"/>
    <n v="339"/>
    <n v="94"/>
    <n v="0.37"/>
    <n v="83"/>
    <n v="15.7"/>
    <n v="15.69"/>
    <n v="420"/>
    <m/>
    <m/>
    <m/>
  </r>
  <r>
    <s v="2021-02-17 07:05 (PST)"/>
    <x v="1024"/>
    <x v="69"/>
    <x v="6"/>
    <s v="On Demand"/>
    <x v="6"/>
    <x v="3"/>
    <x v="0"/>
    <s v="Cool Down"/>
    <x v="10"/>
    <x v="28"/>
    <n v="15"/>
    <n v="51"/>
    <n v="0.27"/>
    <n v="86"/>
    <n v="12.11"/>
    <n v="1"/>
    <n v="19"/>
    <m/>
    <m/>
    <m/>
  </r>
  <r>
    <s v="2021-02-17 07:11 (PST)"/>
    <x v="1024"/>
    <x v="13"/>
    <x v="6"/>
    <s v="On Demand"/>
    <x v="6"/>
    <x v="3"/>
    <x v="2"/>
    <s v="Pre &amp; Post-Ride Stretch"/>
    <x v="8"/>
    <x v="8"/>
    <m/>
    <m/>
    <m/>
    <m/>
    <m/>
    <m/>
    <n v="12"/>
    <m/>
    <m/>
    <m/>
  </r>
  <r>
    <s v="2021-02-24 19:07 (-08)"/>
    <x v="1025"/>
    <x v="1847"/>
    <x v="6"/>
    <s v="On Demand"/>
    <x v="6"/>
    <x v="4"/>
    <x v="0"/>
    <s v="Power Zone"/>
    <x v="23"/>
    <x v="2898"/>
    <n v="336"/>
    <n v="93"/>
    <n v="0.36"/>
    <n v="84"/>
    <n v="15.54"/>
    <n v="15.54"/>
    <n v="416"/>
    <m/>
    <m/>
    <m/>
  </r>
  <r>
    <s v="2021-02-24 20:09 (-08)"/>
    <x v="1025"/>
    <x v="1848"/>
    <x v="6"/>
    <s v="On Demand"/>
    <x v="4"/>
    <x v="3"/>
    <x v="0"/>
    <s v="Cool Down"/>
    <x v="10"/>
    <x v="2899"/>
    <n v="24"/>
    <n v="81"/>
    <n v="0.38"/>
    <n v="75"/>
    <n v="14.81"/>
    <n v="1.23"/>
    <n v="30"/>
    <m/>
    <m/>
    <m/>
  </r>
  <r>
    <s v="2021-02-24 20:16 (-08)"/>
    <x v="1025"/>
    <x v="1849"/>
    <x v="6"/>
    <s v="On Demand"/>
    <x v="6"/>
    <x v="3"/>
    <x v="2"/>
    <s v="Pre &amp; Post-Ride Stretch"/>
    <x v="8"/>
    <x v="2900"/>
    <m/>
    <m/>
    <m/>
    <m/>
    <m/>
    <m/>
    <n v="12"/>
    <m/>
    <m/>
    <m/>
  </r>
  <r>
    <s v="2021-03-03 18:58 (-08)"/>
    <x v="1026"/>
    <x v="581"/>
    <x v="6"/>
    <s v="On Demand"/>
    <x v="22"/>
    <x v="3"/>
    <x v="0"/>
    <s v="Warm Up"/>
    <x v="22"/>
    <x v="2901"/>
    <n v="20"/>
    <n v="66"/>
    <n v="0.28999999999999998"/>
    <n v="91"/>
    <n v="13.51"/>
    <n v="1.1200000000000001"/>
    <n v="24"/>
    <m/>
    <m/>
    <m/>
  </r>
  <r>
    <s v="2021-03-03 19:04 (-08)"/>
    <x v="1026"/>
    <x v="1850"/>
    <x v="6"/>
    <s v="On Demand"/>
    <x v="6"/>
    <x v="0"/>
    <x v="0"/>
    <s v="Power Zone"/>
    <x v="85"/>
    <x v="2902"/>
    <n v="249"/>
    <n v="92"/>
    <n v="0.35"/>
    <n v="85"/>
    <n v="15.44"/>
    <n v="11.57"/>
    <n v="308"/>
    <m/>
    <m/>
    <m/>
  </r>
  <r>
    <s v="2021-03-03 19:49 (-08)"/>
    <x v="1026"/>
    <x v="1851"/>
    <x v="6"/>
    <s v="On Demand"/>
    <x v="6"/>
    <x v="3"/>
    <x v="0"/>
    <s v="Cool Down"/>
    <x v="10"/>
    <x v="38"/>
    <n v="17"/>
    <n v="58"/>
    <n v="0.27"/>
    <n v="90"/>
    <n v="12.64"/>
    <n v="1.05"/>
    <n v="21"/>
    <m/>
    <m/>
    <m/>
  </r>
  <r>
    <s v="2021-03-03 19:57 (-08)"/>
    <x v="1026"/>
    <x v="1852"/>
    <x v="6"/>
    <s v="On Demand"/>
    <x v="6"/>
    <x v="3"/>
    <x v="2"/>
    <s v="Pre &amp; Post-Ride Stretch"/>
    <x v="8"/>
    <x v="24"/>
    <m/>
    <m/>
    <m/>
    <m/>
    <m/>
    <m/>
    <n v="12"/>
    <m/>
    <m/>
    <m/>
  </r>
  <r>
    <s v="2021-03-10 07:06 (-08)"/>
    <x v="1027"/>
    <x v="1853"/>
    <x v="6"/>
    <s v="On Demand"/>
    <x v="7"/>
    <x v="0"/>
    <x v="0"/>
    <s v="Power Zone"/>
    <x v="27"/>
    <x v="2903"/>
    <n v="227"/>
    <n v="84"/>
    <n v="0.36"/>
    <n v="79"/>
    <n v="14.97"/>
    <n v="11.23"/>
    <n v="281"/>
    <m/>
    <m/>
    <m/>
  </r>
  <r>
    <s v="2021-03-10 07:53 (-08)"/>
    <x v="1027"/>
    <x v="406"/>
    <x v="6"/>
    <s v="On Demand"/>
    <x v="17"/>
    <x v="1"/>
    <x v="1"/>
    <s v="Arms &amp; Light Weights"/>
    <x v="28"/>
    <x v="2904"/>
    <m/>
    <m/>
    <m/>
    <m/>
    <m/>
    <m/>
    <n v="46"/>
    <m/>
    <m/>
    <m/>
  </r>
  <r>
    <s v="2021-03-10 08:04 (-08)"/>
    <x v="1027"/>
    <x v="1854"/>
    <x v="6"/>
    <s v="On Demand"/>
    <x v="7"/>
    <x v="3"/>
    <x v="2"/>
    <s v="Pre &amp; Post-Ride Stretch"/>
    <x v="8"/>
    <x v="26"/>
    <m/>
    <m/>
    <m/>
    <m/>
    <m/>
    <m/>
    <n v="12"/>
    <m/>
    <m/>
    <m/>
  </r>
  <r>
    <s v="2021-03-10 21:16 (PST)"/>
    <x v="1027"/>
    <x v="220"/>
    <x v="6"/>
    <s v="On Demand"/>
    <x v="25"/>
    <x v="2"/>
    <x v="4"/>
    <s v="Focus Flow"/>
    <x v="90"/>
    <x v="2905"/>
    <m/>
    <m/>
    <m/>
    <m/>
    <m/>
    <m/>
    <n v="97"/>
    <m/>
    <m/>
    <m/>
  </r>
  <r>
    <s v="2021-03-10 22:02 (PST)"/>
    <x v="1027"/>
    <x v="399"/>
    <x v="6"/>
    <s v="On Demand"/>
    <x v="16"/>
    <x v="5"/>
    <x v="5"/>
    <s v="Emotions"/>
    <x v="64"/>
    <x v="2391"/>
    <m/>
    <m/>
    <m/>
    <m/>
    <m/>
    <m/>
    <m/>
    <m/>
    <m/>
    <m/>
  </r>
  <r>
    <s v="2021-03-17 07:31 (-07)"/>
    <x v="1028"/>
    <x v="1855"/>
    <x v="6"/>
    <s v="On Demand"/>
    <x v="6"/>
    <x v="2"/>
    <x v="0"/>
    <s v="Power Zone"/>
    <x v="37"/>
    <x v="60"/>
    <n v="152"/>
    <n v="85"/>
    <n v="0.33"/>
    <n v="90"/>
    <n v="14.99"/>
    <n v="7.49"/>
    <n v="188"/>
    <m/>
    <m/>
    <m/>
  </r>
  <r>
    <s v="2021-03-17 08:02 (-07)"/>
    <x v="1028"/>
    <x v="1445"/>
    <x v="6"/>
    <s v="On Demand"/>
    <x v="6"/>
    <x v="3"/>
    <x v="2"/>
    <s v="Pre &amp; Post-Ride Stretch"/>
    <x v="8"/>
    <x v="2906"/>
    <m/>
    <m/>
    <m/>
    <m/>
    <m/>
    <m/>
    <n v="12"/>
    <m/>
    <m/>
    <m/>
  </r>
  <r>
    <s v="2021-03-17 22:47 (PST)"/>
    <x v="1028"/>
    <x v="207"/>
    <x v="6"/>
    <s v="On Demand"/>
    <x v="23"/>
    <x v="5"/>
    <x v="5"/>
    <s v="Emotions"/>
    <x v="35"/>
    <x v="2907"/>
    <m/>
    <m/>
    <m/>
    <m/>
    <m/>
    <m/>
    <m/>
    <m/>
    <m/>
    <m/>
  </r>
  <r>
    <s v="2021-03-24 20:05 (-07)"/>
    <x v="1029"/>
    <x v="1418"/>
    <x v="6"/>
    <s v="On Demand"/>
    <x v="7"/>
    <x v="0"/>
    <x v="0"/>
    <s v="Power Zone"/>
    <x v="85"/>
    <x v="2431"/>
    <n v="257"/>
    <n v="95"/>
    <n v="0.37"/>
    <n v="80"/>
    <n v="15.68"/>
    <n v="11.76"/>
    <n v="318"/>
    <m/>
    <m/>
    <m/>
  </r>
  <r>
    <s v="2021-03-24 20:51 (-07)"/>
    <x v="1029"/>
    <x v="1856"/>
    <x v="6"/>
    <s v="On Demand"/>
    <x v="1"/>
    <x v="1"/>
    <x v="1"/>
    <s v="Arms &amp; Light Weights"/>
    <x v="28"/>
    <x v="2908"/>
    <m/>
    <m/>
    <m/>
    <m/>
    <m/>
    <m/>
    <n v="46"/>
    <m/>
    <m/>
    <m/>
  </r>
  <r>
    <s v="2021-03-24 21:03 (-07)"/>
    <x v="1029"/>
    <x v="1857"/>
    <x v="6"/>
    <s v="On Demand"/>
    <x v="5"/>
    <x v="7"/>
    <x v="1"/>
    <s v="Core"/>
    <x v="705"/>
    <x v="2909"/>
    <m/>
    <m/>
    <m/>
    <m/>
    <m/>
    <m/>
    <n v="69"/>
    <m/>
    <m/>
    <m/>
  </r>
  <r>
    <s v="2021-03-24 21:18 (-07)"/>
    <x v="1029"/>
    <x v="1858"/>
    <x v="6"/>
    <s v="On Demand"/>
    <x v="7"/>
    <x v="3"/>
    <x v="2"/>
    <s v="Pre &amp; Post-Ride Stretch"/>
    <x v="8"/>
    <x v="779"/>
    <m/>
    <m/>
    <m/>
    <m/>
    <m/>
    <m/>
    <n v="12"/>
    <m/>
    <m/>
    <m/>
  </r>
  <r>
    <s v="2021-03-24 22:27 (PST)"/>
    <x v="1029"/>
    <x v="448"/>
    <x v="6"/>
    <s v="On Demand"/>
    <x v="19"/>
    <x v="5"/>
    <x v="5"/>
    <s v="Emotions"/>
    <x v="64"/>
    <x v="2910"/>
    <m/>
    <m/>
    <m/>
    <m/>
    <m/>
    <m/>
    <m/>
    <m/>
    <m/>
    <m/>
  </r>
  <r>
    <s v="2021-03-31 06:57 (PST)"/>
    <x v="1030"/>
    <x v="387"/>
    <x v="6"/>
    <s v="On Demand"/>
    <x v="23"/>
    <x v="0"/>
    <x v="4"/>
    <s v="Focus Flow"/>
    <x v="350"/>
    <x v="2911"/>
    <m/>
    <m/>
    <m/>
    <m/>
    <m/>
    <m/>
    <n v="155"/>
    <m/>
    <m/>
    <m/>
  </r>
  <r>
    <s v="2021-03-31 20:07 (-07)"/>
    <x v="1030"/>
    <x v="1462"/>
    <x v="6"/>
    <s v="On Demand"/>
    <x v="7"/>
    <x v="2"/>
    <x v="0"/>
    <s v="Intervals"/>
    <x v="172"/>
    <x v="2912"/>
    <n v="149"/>
    <n v="83"/>
    <n v="0.4"/>
    <n v="61"/>
    <n v="13.11"/>
    <n v="6.55"/>
    <n v="184"/>
    <m/>
    <m/>
    <m/>
  </r>
  <r>
    <s v="2021-03-31 20:38 (-07)"/>
    <x v="1030"/>
    <x v="459"/>
    <x v="6"/>
    <s v="On Demand"/>
    <x v="5"/>
    <x v="3"/>
    <x v="1"/>
    <s v="Core"/>
    <x v="6"/>
    <x v="2913"/>
    <m/>
    <m/>
    <m/>
    <m/>
    <m/>
    <m/>
    <n v="23"/>
    <m/>
    <m/>
    <m/>
  </r>
  <r>
    <s v="2021-03-31 22:19 (PST)"/>
    <x v="1030"/>
    <x v="814"/>
    <x v="6"/>
    <s v="On Demand"/>
    <x v="23"/>
    <x v="5"/>
    <x v="5"/>
    <s v="Emotions"/>
    <x v="53"/>
    <x v="2914"/>
    <m/>
    <m/>
    <m/>
    <m/>
    <m/>
    <m/>
    <m/>
    <m/>
    <m/>
    <m/>
  </r>
  <r>
    <s v="2021-04-07 20:36 (-07)"/>
    <x v="1031"/>
    <x v="1704"/>
    <x v="6"/>
    <s v="On Demand"/>
    <x v="7"/>
    <x v="0"/>
    <x v="0"/>
    <s v="Power Zone"/>
    <x v="85"/>
    <x v="2915"/>
    <n v="248"/>
    <n v="92"/>
    <n v="0.35"/>
    <n v="85"/>
    <n v="15.19"/>
    <n v="11.39"/>
    <n v="307"/>
    <m/>
    <m/>
    <m/>
  </r>
  <r>
    <s v="2021-04-07 21:24 (-07)"/>
    <x v="1031"/>
    <x v="460"/>
    <x v="6"/>
    <s v="On Demand"/>
    <x v="15"/>
    <x v="7"/>
    <x v="1"/>
    <s v="Pilates"/>
    <x v="702"/>
    <x v="458"/>
    <m/>
    <m/>
    <m/>
    <m/>
    <m/>
    <m/>
    <n v="69"/>
    <m/>
    <m/>
    <m/>
  </r>
  <r>
    <s v="2021-04-07 22:26 (PST)"/>
    <x v="1031"/>
    <x v="56"/>
    <x v="6"/>
    <s v="On Demand"/>
    <x v="16"/>
    <x v="5"/>
    <x v="5"/>
    <s v="Relaxation"/>
    <x v="84"/>
    <x v="1084"/>
    <m/>
    <m/>
    <m/>
    <m/>
    <m/>
    <m/>
    <m/>
    <m/>
    <m/>
    <m/>
  </r>
  <r>
    <s v="2021-04-14 06:53 (-07)"/>
    <x v="1032"/>
    <x v="1859"/>
    <x v="6"/>
    <s v="On Demand"/>
    <x v="6"/>
    <x v="0"/>
    <x v="0"/>
    <s v="Power Zone"/>
    <x v="27"/>
    <x v="2916"/>
    <n v="237"/>
    <n v="88"/>
    <n v="0.35"/>
    <n v="84"/>
    <n v="15.26"/>
    <n v="11.45"/>
    <n v="293"/>
    <m/>
    <m/>
    <m/>
  </r>
  <r>
    <s v="2021-04-14 07:39 (-07)"/>
    <x v="1032"/>
    <x v="453"/>
    <x v="6"/>
    <s v="On Demand"/>
    <x v="6"/>
    <x v="3"/>
    <x v="2"/>
    <s v="Pre &amp; Post-Ride Stretch"/>
    <x v="8"/>
    <x v="61"/>
    <m/>
    <m/>
    <m/>
    <m/>
    <m/>
    <m/>
    <n v="12"/>
    <m/>
    <m/>
    <m/>
  </r>
  <r>
    <s v="2021-04-14 22:21 (PST)"/>
    <x v="1032"/>
    <x v="740"/>
    <x v="6"/>
    <s v="On Demand"/>
    <x v="16"/>
    <x v="5"/>
    <x v="5"/>
    <s v="Sleep"/>
    <x v="29"/>
    <x v="48"/>
    <m/>
    <m/>
    <m/>
    <m/>
    <m/>
    <m/>
    <m/>
    <m/>
    <m/>
    <m/>
  </r>
  <r>
    <s v="2021-04-21 19:15 (-07)"/>
    <x v="1033"/>
    <x v="1460"/>
    <x v="6"/>
    <s v="On Demand"/>
    <x v="6"/>
    <x v="4"/>
    <x v="0"/>
    <s v="Power Zone"/>
    <x v="7"/>
    <x v="1300"/>
    <n v="303"/>
    <n v="84"/>
    <n v="0.35"/>
    <n v="81"/>
    <n v="14.63"/>
    <n v="14.63"/>
    <n v="375"/>
    <m/>
    <m/>
    <m/>
  </r>
  <r>
    <s v="2021-04-21 20:16 (-07)"/>
    <x v="1033"/>
    <x v="1272"/>
    <x v="6"/>
    <s v="On Demand"/>
    <x v="0"/>
    <x v="1"/>
    <x v="1"/>
    <s v="Arms &amp; Light Weights"/>
    <x v="28"/>
    <x v="2917"/>
    <m/>
    <m/>
    <m/>
    <m/>
    <m/>
    <m/>
    <n v="46"/>
    <m/>
    <m/>
    <m/>
  </r>
  <r>
    <s v="2021-04-21 20:29 (-07)"/>
    <x v="1033"/>
    <x v="1860"/>
    <x v="6"/>
    <s v="On Demand"/>
    <x v="6"/>
    <x v="3"/>
    <x v="2"/>
    <s v="Pre &amp; Post-Ride Stretch"/>
    <x v="8"/>
    <x v="2918"/>
    <m/>
    <m/>
    <m/>
    <m/>
    <m/>
    <m/>
    <n v="12"/>
    <m/>
    <m/>
    <m/>
  </r>
  <r>
    <s v="2021-04-21 22:22 (PST)"/>
    <x v="1033"/>
    <x v="493"/>
    <x v="6"/>
    <s v="On Demand"/>
    <x v="16"/>
    <x v="1"/>
    <x v="5"/>
    <s v="Relaxation"/>
    <x v="34"/>
    <x v="2919"/>
    <m/>
    <m/>
    <m/>
    <m/>
    <m/>
    <m/>
    <m/>
    <m/>
    <m/>
    <m/>
  </r>
  <r>
    <s v="2021-04-28 06:55 (-07)"/>
    <x v="1034"/>
    <x v="1861"/>
    <x v="6"/>
    <s v="On Demand"/>
    <x v="15"/>
    <x v="3"/>
    <x v="0"/>
    <s v="Warm Up"/>
    <x v="22"/>
    <x v="1454"/>
    <n v="22"/>
    <n v="73"/>
    <n v="0.3"/>
    <n v="94"/>
    <n v="14.18"/>
    <n v="1.18"/>
    <n v="27"/>
    <m/>
    <m/>
    <m/>
  </r>
  <r>
    <s v="2021-04-28 07:00 (-07)"/>
    <x v="1034"/>
    <x v="64"/>
    <x v="6"/>
    <s v="On Demand"/>
    <x v="7"/>
    <x v="0"/>
    <x v="0"/>
    <s v="Power Zone"/>
    <x v="27"/>
    <x v="2920"/>
    <n v="239"/>
    <n v="88"/>
    <n v="0.36"/>
    <n v="82"/>
    <n v="15.32"/>
    <n v="11.49"/>
    <n v="295"/>
    <m/>
    <m/>
    <m/>
  </r>
  <r>
    <s v="2021-04-28 07:46 (-07)"/>
    <x v="1034"/>
    <x v="1435"/>
    <x v="6"/>
    <s v="On Demand"/>
    <x v="7"/>
    <x v="3"/>
    <x v="2"/>
    <s v="Pre &amp; Post-Ride Stretch"/>
    <x v="8"/>
    <x v="454"/>
    <m/>
    <m/>
    <m/>
    <m/>
    <m/>
    <m/>
    <n v="12"/>
    <m/>
    <m/>
    <m/>
  </r>
  <r>
    <s v="2021-04-28 22:00 (PST)"/>
    <x v="1034"/>
    <x v="365"/>
    <x v="6"/>
    <s v="On Demand"/>
    <x v="13"/>
    <x v="1"/>
    <x v="5"/>
    <s v="Sleep"/>
    <x v="39"/>
    <x v="494"/>
    <m/>
    <m/>
    <m/>
    <m/>
    <m/>
    <m/>
    <m/>
    <m/>
    <m/>
    <m/>
  </r>
  <r>
    <s v="2021-05-05 19:28 (-07)"/>
    <x v="1035"/>
    <x v="641"/>
    <x v="6"/>
    <s v="On Demand"/>
    <x v="6"/>
    <x v="2"/>
    <x v="0"/>
    <s v="Power Zone"/>
    <x v="5"/>
    <x v="1312"/>
    <n v="157"/>
    <n v="87"/>
    <n v="0.35"/>
    <n v="86"/>
    <n v="15.22"/>
    <n v="7.61"/>
    <n v="194"/>
    <m/>
    <m/>
    <m/>
  </r>
  <r>
    <s v="2021-05-05 20:26 (PST)"/>
    <x v="1035"/>
    <x v="1599"/>
    <x v="6"/>
    <s v="On Demand"/>
    <x v="5"/>
    <x v="5"/>
    <x v="6"/>
    <s v="Music Walk"/>
    <x v="706"/>
    <x v="2921"/>
    <n v="0"/>
    <m/>
    <m/>
    <m/>
    <n v="3.57"/>
    <n v="1.19"/>
    <n v="113"/>
    <n v="132.31"/>
    <m/>
    <m/>
  </r>
  <r>
    <s v="2021-05-05 23:01 (PST)"/>
    <x v="1035"/>
    <x v="295"/>
    <x v="6"/>
    <s v="On Demand"/>
    <x v="16"/>
    <x v="5"/>
    <x v="5"/>
    <s v="Relaxation"/>
    <x v="707"/>
    <x v="2922"/>
    <m/>
    <m/>
    <m/>
    <m/>
    <m/>
    <m/>
    <m/>
    <m/>
    <m/>
    <m/>
  </r>
  <r>
    <s v="2021-05-12 06:58 (-07)"/>
    <x v="1036"/>
    <x v="1454"/>
    <x v="6"/>
    <s v="On Demand"/>
    <x v="6"/>
    <x v="0"/>
    <x v="0"/>
    <s v="Power Zone"/>
    <x v="27"/>
    <x v="2923"/>
    <n v="235"/>
    <n v="87"/>
    <n v="0.35"/>
    <n v="86"/>
    <n v="15.19"/>
    <n v="11.4"/>
    <n v="290"/>
    <m/>
    <m/>
    <m/>
  </r>
  <r>
    <s v="2021-05-12 07:44 (-07)"/>
    <x v="1036"/>
    <x v="1862"/>
    <x v="6"/>
    <s v="On Demand"/>
    <x v="6"/>
    <x v="3"/>
    <x v="2"/>
    <s v="Pre &amp; Post-Ride Stretch"/>
    <x v="8"/>
    <x v="61"/>
    <m/>
    <m/>
    <m/>
    <m/>
    <m/>
    <m/>
    <n v="12"/>
    <m/>
    <m/>
    <m/>
  </r>
  <r>
    <s v="2021-05-12 07:51 (-07)"/>
    <x v="1036"/>
    <x v="1416"/>
    <x v="6"/>
    <s v="On Demand"/>
    <x v="20"/>
    <x v="7"/>
    <x v="1"/>
    <s v="Core"/>
    <x v="126"/>
    <x v="2924"/>
    <m/>
    <m/>
    <m/>
    <m/>
    <m/>
    <m/>
    <n v="69"/>
    <m/>
    <m/>
    <m/>
  </r>
  <r>
    <s v="2021-05-12 22:55 (PST)"/>
    <x v="1036"/>
    <x v="1065"/>
    <x v="6"/>
    <s v="On Demand"/>
    <x v="13"/>
    <x v="1"/>
    <x v="5"/>
    <s v="Theme"/>
    <x v="157"/>
    <x v="2925"/>
    <m/>
    <m/>
    <m/>
    <m/>
    <m/>
    <m/>
    <m/>
    <m/>
    <m/>
    <m/>
  </r>
  <r>
    <s v="2021-05-19 07:07 (PST)"/>
    <x v="1037"/>
    <x v="503"/>
    <x v="6"/>
    <s v="On Demand"/>
    <x v="32"/>
    <x v="1"/>
    <x v="4"/>
    <s v="Focus Flow"/>
    <x v="118"/>
    <x v="2926"/>
    <m/>
    <m/>
    <m/>
    <m/>
    <m/>
    <m/>
    <n v="27"/>
    <m/>
    <m/>
    <m/>
  </r>
  <r>
    <s v="2021-05-19 07:19 (PST)"/>
    <x v="1037"/>
    <x v="296"/>
    <x v="6"/>
    <s v="On Demand"/>
    <x v="7"/>
    <x v="5"/>
    <x v="4"/>
    <s v="Power"/>
    <x v="708"/>
    <x v="2927"/>
    <m/>
    <m/>
    <m/>
    <m/>
    <m/>
    <m/>
    <n v="64"/>
    <m/>
    <m/>
    <m/>
  </r>
  <r>
    <s v="2021-05-19 22:19 (PST)"/>
    <x v="1037"/>
    <x v="814"/>
    <x v="6"/>
    <s v="On Demand"/>
    <x v="16"/>
    <x v="5"/>
    <x v="5"/>
    <s v="Emotions"/>
    <x v="53"/>
    <x v="2928"/>
    <m/>
    <m/>
    <m/>
    <m/>
    <m/>
    <m/>
    <m/>
    <m/>
    <m/>
    <m/>
  </r>
  <r>
    <s v="2021-05-26 07:07 (-07)"/>
    <x v="1038"/>
    <x v="1863"/>
    <x v="6"/>
    <s v="On Demand"/>
    <x v="6"/>
    <x v="4"/>
    <x v="0"/>
    <s v="Power Zone"/>
    <x v="23"/>
    <x v="2929"/>
    <n v="333"/>
    <n v="93"/>
    <n v="0.36"/>
    <n v="83"/>
    <n v="15.38"/>
    <n v="15.38"/>
    <n v="411"/>
    <m/>
    <m/>
    <m/>
  </r>
  <r>
    <s v="2021-05-26 08:09 (-07)"/>
    <x v="1038"/>
    <x v="1432"/>
    <x v="6"/>
    <s v="On Demand"/>
    <x v="6"/>
    <x v="3"/>
    <x v="0"/>
    <s v="Cool Down"/>
    <x v="10"/>
    <x v="2930"/>
    <n v="16"/>
    <n v="53"/>
    <n v="0.27"/>
    <n v="88"/>
    <n v="12.34"/>
    <n v="1.03"/>
    <n v="20"/>
    <m/>
    <m/>
    <m/>
  </r>
  <r>
    <s v="2021-05-26 08:14 (-07)"/>
    <x v="1038"/>
    <x v="94"/>
    <x v="6"/>
    <s v="On Demand"/>
    <x v="6"/>
    <x v="3"/>
    <x v="2"/>
    <s v="Pre &amp; Post-Ride Stretch"/>
    <x v="8"/>
    <x v="61"/>
    <m/>
    <m/>
    <m/>
    <m/>
    <m/>
    <m/>
    <n v="11"/>
    <m/>
    <m/>
    <m/>
  </r>
  <r>
    <s v="2021-05-26 22:20 (PST)"/>
    <x v="1038"/>
    <x v="766"/>
    <x v="6"/>
    <s v="On Demand"/>
    <x v="25"/>
    <x v="5"/>
    <x v="5"/>
    <s v="Sleep"/>
    <x v="29"/>
    <x v="2931"/>
    <m/>
    <m/>
    <m/>
    <m/>
    <m/>
    <m/>
    <m/>
    <m/>
    <m/>
    <m/>
  </r>
  <r>
    <s v="2021-06-02 06:58 (-07)"/>
    <x v="1039"/>
    <x v="1454"/>
    <x v="6"/>
    <s v="On Demand"/>
    <x v="6"/>
    <x v="3"/>
    <x v="0"/>
    <s v="Warm Up"/>
    <x v="22"/>
    <x v="1079"/>
    <n v="20"/>
    <n v="66"/>
    <n v="0.28000000000000003"/>
    <n v="94"/>
    <n v="13.45"/>
    <n v="1.1200000000000001"/>
    <n v="24"/>
    <m/>
    <m/>
    <m/>
  </r>
  <r>
    <s v="2021-06-02 07:44 (-07)"/>
    <x v="1039"/>
    <x v="1862"/>
    <x v="6"/>
    <s v="On Demand"/>
    <x v="6"/>
    <x v="0"/>
    <x v="0"/>
    <s v="Power Zone"/>
    <x v="195"/>
    <x v="2932"/>
    <n v="269"/>
    <n v="99"/>
    <n v="0.35"/>
    <n v="86"/>
    <n v="15.53"/>
    <n v="11.7"/>
    <n v="331"/>
    <m/>
    <m/>
    <m/>
  </r>
  <r>
    <s v="2021-06-02 07:49 (-07)"/>
    <x v="1039"/>
    <x v="89"/>
    <x v="6"/>
    <s v="On Demand"/>
    <x v="6"/>
    <x v="3"/>
    <x v="0"/>
    <s v="Cool Down"/>
    <x v="10"/>
    <x v="85"/>
    <n v="22"/>
    <n v="72"/>
    <n v="0.32"/>
    <n v="86"/>
    <n v="14.12"/>
    <n v="1.18"/>
    <n v="27"/>
    <m/>
    <m/>
    <m/>
  </r>
  <r>
    <s v="2021-06-02 07:54 (-07)"/>
    <x v="1039"/>
    <x v="1192"/>
    <x v="6"/>
    <s v="On Demand"/>
    <x v="6"/>
    <x v="3"/>
    <x v="2"/>
    <s v="Pre &amp; Post-Ride Stretch"/>
    <x v="8"/>
    <x v="61"/>
    <m/>
    <m/>
    <m/>
    <m/>
    <m/>
    <m/>
    <n v="11"/>
    <m/>
    <m/>
    <m/>
  </r>
  <r>
    <s v="2021-06-02 08:10 (-07)"/>
    <x v="1039"/>
    <x v="1864"/>
    <x v="6"/>
    <s v="On Demand"/>
    <x v="1"/>
    <x v="7"/>
    <x v="1"/>
    <s v="Core"/>
    <x v="709"/>
    <x v="2933"/>
    <m/>
    <m/>
    <m/>
    <m/>
    <m/>
    <m/>
    <n v="69"/>
    <m/>
    <m/>
    <m/>
  </r>
  <r>
    <s v="2021-06-02 22:32 (PST)"/>
    <x v="1039"/>
    <x v="454"/>
    <x v="6"/>
    <s v="On Demand"/>
    <x v="13"/>
    <x v="1"/>
    <x v="5"/>
    <s v="Relaxation"/>
    <x v="71"/>
    <x v="2934"/>
    <m/>
    <m/>
    <m/>
    <m/>
    <m/>
    <m/>
    <m/>
    <m/>
    <m/>
    <m/>
  </r>
  <r>
    <s v="2021-06-09 07:16 (PST)"/>
    <x v="1040"/>
    <x v="107"/>
    <x v="6"/>
    <s v="On Demand"/>
    <x v="7"/>
    <x v="5"/>
    <x v="4"/>
    <s v="Flow"/>
    <x v="30"/>
    <x v="2935"/>
    <m/>
    <m/>
    <m/>
    <m/>
    <m/>
    <m/>
    <n v="73"/>
    <n v="102.75"/>
    <m/>
    <m/>
  </r>
  <r>
    <s v="2021-06-09 07:38 (PST)"/>
    <x v="1040"/>
    <x v="70"/>
    <x v="6"/>
    <s v="On Demand"/>
    <x v="23"/>
    <x v="1"/>
    <x v="4"/>
    <s v="Focus Flow"/>
    <x v="133"/>
    <x v="2936"/>
    <m/>
    <m/>
    <m/>
    <m/>
    <m/>
    <m/>
    <n v="35"/>
    <m/>
    <m/>
    <m/>
  </r>
  <r>
    <s v="2021-06-09 17:36 (-07)"/>
    <x v="1040"/>
    <x v="1651"/>
    <x v="6"/>
    <s v="On Demand"/>
    <x v="7"/>
    <x v="0"/>
    <x v="0"/>
    <s v="Power Zone"/>
    <x v="27"/>
    <x v="2937"/>
    <n v="233"/>
    <n v="86"/>
    <n v="0.37"/>
    <n v="79"/>
    <n v="15.13"/>
    <n v="11.35"/>
    <n v="287"/>
    <m/>
    <m/>
    <m/>
  </r>
  <r>
    <s v="2021-06-09 18:22 (-07)"/>
    <x v="1040"/>
    <x v="495"/>
    <x v="6"/>
    <s v="On Demand"/>
    <x v="7"/>
    <x v="3"/>
    <x v="2"/>
    <s v="Pre &amp; Post-Ride Stretch"/>
    <x v="8"/>
    <x v="499"/>
    <m/>
    <m/>
    <m/>
    <m/>
    <m/>
    <m/>
    <n v="12"/>
    <m/>
    <m/>
    <m/>
  </r>
  <r>
    <s v="2021-06-09 18:28 (-07)"/>
    <x v="1040"/>
    <x v="649"/>
    <x v="6"/>
    <s v="On Demand"/>
    <x v="4"/>
    <x v="3"/>
    <x v="1"/>
    <s v="Core"/>
    <x v="6"/>
    <x v="2422"/>
    <m/>
    <m/>
    <m/>
    <m/>
    <m/>
    <m/>
    <n v="23"/>
    <m/>
    <m/>
    <m/>
  </r>
  <r>
    <s v="2021-06-09 18:35 (-07)"/>
    <x v="1040"/>
    <x v="1865"/>
    <x v="6"/>
    <s v="On Demand"/>
    <x v="4"/>
    <x v="1"/>
    <x v="1"/>
    <s v="Upper Body"/>
    <x v="313"/>
    <x v="2422"/>
    <m/>
    <m/>
    <m/>
    <m/>
    <m/>
    <m/>
    <n v="46"/>
    <m/>
    <m/>
    <m/>
  </r>
  <r>
    <s v="2021-06-16 07:05 (-07)"/>
    <x v="1041"/>
    <x v="47"/>
    <x v="6"/>
    <s v="On Demand"/>
    <x v="6"/>
    <x v="0"/>
    <x v="0"/>
    <s v="Power Zone"/>
    <x v="27"/>
    <x v="2938"/>
    <n v="263"/>
    <n v="98"/>
    <n v="0.37"/>
    <n v="85"/>
    <n v="15.95"/>
    <n v="11.96"/>
    <n v="325"/>
    <m/>
    <m/>
    <m/>
  </r>
  <r>
    <s v="2021-06-16 07:51 (-07)"/>
    <x v="1041"/>
    <x v="1416"/>
    <x v="6"/>
    <s v="On Demand"/>
    <x v="17"/>
    <x v="3"/>
    <x v="2"/>
    <s v="Pre &amp; Post-Ride Stretch"/>
    <x v="8"/>
    <x v="1474"/>
    <m/>
    <m/>
    <m/>
    <m/>
    <m/>
    <m/>
    <n v="11"/>
    <m/>
    <m/>
    <m/>
  </r>
  <r>
    <s v="2021-06-16 16:35 (PST)"/>
    <x v="1041"/>
    <x v="1866"/>
    <x v="6"/>
    <s v="On Demand"/>
    <x v="11"/>
    <x v="5"/>
    <x v="1"/>
    <s v="Core"/>
    <x v="115"/>
    <x v="2939"/>
    <m/>
    <m/>
    <m/>
    <m/>
    <m/>
    <m/>
    <n v="92"/>
    <m/>
    <m/>
    <m/>
  </r>
  <r>
    <s v="2021-06-16 16:57 (PST)"/>
    <x v="1041"/>
    <x v="3"/>
    <x v="6"/>
    <s v="On Demand"/>
    <x v="16"/>
    <x v="7"/>
    <x v="4"/>
    <s v="Flow"/>
    <x v="710"/>
    <x v="2935"/>
    <m/>
    <m/>
    <m/>
    <m/>
    <m/>
    <m/>
    <n v="54"/>
    <n v="96.14"/>
    <m/>
    <m/>
  </r>
  <r>
    <s v="2021-06-16 22:22 (PST)"/>
    <x v="1041"/>
    <x v="493"/>
    <x v="6"/>
    <s v="On Demand"/>
    <x v="16"/>
    <x v="1"/>
    <x v="5"/>
    <s v="Emotions"/>
    <x v="128"/>
    <x v="2940"/>
    <m/>
    <m/>
    <m/>
    <m/>
    <m/>
    <m/>
    <m/>
    <m/>
    <m/>
    <m/>
  </r>
  <r>
    <s v="2021-06-23 07:05 (-07)"/>
    <x v="1042"/>
    <x v="47"/>
    <x v="6"/>
    <s v="On Demand"/>
    <x v="6"/>
    <x v="0"/>
    <x v="0"/>
    <s v="Power Zone"/>
    <x v="85"/>
    <x v="2941"/>
    <n v="277"/>
    <n v="103"/>
    <n v="0.37"/>
    <n v="84"/>
    <n v="16.170000000000002"/>
    <n v="12.13"/>
    <n v="342"/>
    <m/>
    <m/>
    <m/>
  </r>
  <r>
    <s v="2021-06-23 07:52 (-07)"/>
    <x v="1042"/>
    <x v="1867"/>
    <x v="6"/>
    <s v="On Demand"/>
    <x v="6"/>
    <x v="3"/>
    <x v="0"/>
    <s v="Cool Down"/>
    <x v="10"/>
    <x v="85"/>
    <n v="19"/>
    <n v="64"/>
    <n v="0.31"/>
    <n v="83"/>
    <n v="13.36"/>
    <n v="1.1100000000000001"/>
    <n v="24"/>
    <m/>
    <m/>
    <m/>
  </r>
  <r>
    <s v="2021-06-23 07:57 (-07)"/>
    <x v="1042"/>
    <x v="93"/>
    <x v="6"/>
    <s v="On Demand"/>
    <x v="6"/>
    <x v="3"/>
    <x v="2"/>
    <s v="Pre &amp; Post-Ride Stretch"/>
    <x v="8"/>
    <x v="61"/>
    <m/>
    <m/>
    <m/>
    <m/>
    <m/>
    <m/>
    <n v="12"/>
    <m/>
    <m/>
    <m/>
  </r>
  <r>
    <s v="2021-06-23 13:18 (PST)"/>
    <x v="1042"/>
    <x v="1868"/>
    <x v="6"/>
    <s v="On Demand"/>
    <x v="23"/>
    <x v="1"/>
    <x v="4"/>
    <s v="Focus Flow"/>
    <x v="711"/>
    <x v="2942"/>
    <m/>
    <m/>
    <m/>
    <m/>
    <m/>
    <m/>
    <n v="34"/>
    <m/>
    <m/>
    <m/>
  </r>
  <r>
    <s v="2021-06-23 22:44 (PST)"/>
    <x v="1042"/>
    <x v="373"/>
    <x v="6"/>
    <s v="On Demand"/>
    <x v="16"/>
    <x v="1"/>
    <x v="5"/>
    <s v="Relaxation"/>
    <x v="71"/>
    <x v="2943"/>
    <m/>
    <m/>
    <m/>
    <m/>
    <m/>
    <m/>
    <m/>
    <m/>
    <m/>
    <m/>
  </r>
  <r>
    <s v="2021-06-30 06:55 (-07)"/>
    <x v="1043"/>
    <x v="1861"/>
    <x v="6"/>
    <s v="On Demand"/>
    <x v="7"/>
    <x v="0"/>
    <x v="0"/>
    <s v="Power Zone"/>
    <x v="27"/>
    <x v="2944"/>
    <n v="258"/>
    <n v="96"/>
    <n v="0.37"/>
    <n v="82"/>
    <n v="15.79"/>
    <n v="11.84"/>
    <n v="319"/>
    <m/>
    <m/>
    <m/>
  </r>
  <r>
    <s v="2021-06-30 07:42 (-07)"/>
    <x v="1043"/>
    <x v="480"/>
    <x v="6"/>
    <s v="On Demand"/>
    <x v="11"/>
    <x v="7"/>
    <x v="1"/>
    <s v="Full Body"/>
    <x v="21"/>
    <x v="2945"/>
    <m/>
    <m/>
    <m/>
    <m/>
    <m/>
    <m/>
    <n v="69"/>
    <m/>
    <m/>
    <m/>
  </r>
  <r>
    <s v="2021-06-30 07:59 (-07)"/>
    <x v="1043"/>
    <x v="86"/>
    <x v="6"/>
    <s v="On Demand"/>
    <x v="37"/>
    <x v="1"/>
    <x v="1"/>
    <s v="Core"/>
    <x v="1"/>
    <x v="2946"/>
    <m/>
    <m/>
    <m/>
    <m/>
    <m/>
    <m/>
    <n v="46"/>
    <m/>
    <m/>
    <m/>
  </r>
  <r>
    <s v="2021-07-07 23:47 (PST)"/>
    <x v="1044"/>
    <x v="1869"/>
    <x v="6"/>
    <s v="On Demand"/>
    <x v="23"/>
    <x v="1"/>
    <x v="5"/>
    <s v="Sleep"/>
    <x v="39"/>
    <x v="1918"/>
    <m/>
    <m/>
    <m/>
    <m/>
    <m/>
    <m/>
    <m/>
    <m/>
    <m/>
    <m/>
  </r>
  <r>
    <s v="2021-07-14 06:58 (-07)"/>
    <x v="1045"/>
    <x v="1454"/>
    <x v="6"/>
    <s v="On Demand"/>
    <x v="6"/>
    <x v="4"/>
    <x v="0"/>
    <s v="Power Zone"/>
    <x v="7"/>
    <x v="2947"/>
    <n v="347"/>
    <n v="96"/>
    <n v="0.37"/>
    <n v="83"/>
    <n v="15.85"/>
    <n v="15.85"/>
    <n v="428"/>
    <m/>
    <m/>
    <m/>
  </r>
  <r>
    <s v="2021-07-14 07:59 (-07)"/>
    <x v="1045"/>
    <x v="86"/>
    <x v="6"/>
    <s v="On Demand"/>
    <x v="6"/>
    <x v="3"/>
    <x v="2"/>
    <s v="Pre &amp; Post-Ride Stretch"/>
    <x v="8"/>
    <x v="61"/>
    <m/>
    <m/>
    <m/>
    <m/>
    <m/>
    <m/>
    <n v="12"/>
    <m/>
    <m/>
    <m/>
  </r>
  <r>
    <s v="2021-07-14 08:05 (-07)"/>
    <x v="1045"/>
    <x v="1417"/>
    <x v="6"/>
    <s v="On Demand"/>
    <x v="27"/>
    <x v="1"/>
    <x v="1"/>
    <s v="Core"/>
    <x v="1"/>
    <x v="2948"/>
    <m/>
    <m/>
    <m/>
    <m/>
    <m/>
    <m/>
    <n v="46"/>
    <m/>
    <m/>
    <m/>
  </r>
  <r>
    <s v="2021-07-14 09:26 (PST)"/>
    <x v="1045"/>
    <x v="1001"/>
    <x v="6"/>
    <s v="On Demand"/>
    <x v="25"/>
    <x v="3"/>
    <x v="4"/>
    <s v="Yoga Anywhere"/>
    <x v="492"/>
    <x v="2949"/>
    <m/>
    <m/>
    <m/>
    <m/>
    <m/>
    <m/>
    <n v="14"/>
    <m/>
    <m/>
    <m/>
  </r>
  <r>
    <s v="2021-07-14 22:41 (PST)"/>
    <x v="1045"/>
    <x v="230"/>
    <x v="6"/>
    <s v="On Demand"/>
    <x v="13"/>
    <x v="7"/>
    <x v="5"/>
    <s v="Relaxation"/>
    <x v="106"/>
    <x v="2950"/>
    <m/>
    <m/>
    <m/>
    <m/>
    <m/>
    <m/>
    <m/>
    <m/>
    <m/>
    <m/>
  </r>
  <r>
    <s v="2021-07-21 06:49 (-07)"/>
    <x v="1046"/>
    <x v="433"/>
    <x v="6"/>
    <s v="On Demand"/>
    <x v="7"/>
    <x v="0"/>
    <x v="0"/>
    <s v="Power Zone"/>
    <x v="27"/>
    <x v="2951"/>
    <n v="254"/>
    <n v="94"/>
    <n v="0.36"/>
    <n v="86"/>
    <n v="15.73"/>
    <n v="11.8"/>
    <n v="314"/>
    <m/>
    <m/>
    <m/>
  </r>
  <r>
    <s v="2021-07-21 07:34 (-07)"/>
    <x v="1046"/>
    <x v="452"/>
    <x v="6"/>
    <s v="On Demand"/>
    <x v="7"/>
    <x v="1"/>
    <x v="0"/>
    <s v="Cool Down"/>
    <x v="17"/>
    <x v="1088"/>
    <n v="40"/>
    <n v="67"/>
    <n v="0.33"/>
    <n v="76"/>
    <n v="13.57"/>
    <n v="2.2599999999999998"/>
    <n v="49"/>
    <m/>
    <m/>
    <m/>
  </r>
  <r>
    <s v="2021-07-21 07:47 (-07)"/>
    <x v="1046"/>
    <x v="1661"/>
    <x v="6"/>
    <s v="On Demand"/>
    <x v="21"/>
    <x v="1"/>
    <x v="1"/>
    <s v="Core"/>
    <x v="1"/>
    <x v="2952"/>
    <m/>
    <m/>
    <m/>
    <m/>
    <m/>
    <m/>
    <n v="46"/>
    <m/>
    <m/>
    <m/>
  </r>
  <r>
    <s v="2021-07-21 07:58 (-07)"/>
    <x v="1046"/>
    <x v="271"/>
    <x v="6"/>
    <s v="On Demand"/>
    <x v="7"/>
    <x v="3"/>
    <x v="2"/>
    <s v="Pre &amp; Post-Ride Stretch"/>
    <x v="8"/>
    <x v="499"/>
    <m/>
    <m/>
    <m/>
    <m/>
    <m/>
    <m/>
    <n v="12"/>
    <m/>
    <m/>
    <m/>
  </r>
  <r>
    <s v="2021-07-21 16:53 (PST)"/>
    <x v="1046"/>
    <x v="1121"/>
    <x v="6"/>
    <s v="On Demand"/>
    <x v="19"/>
    <x v="1"/>
    <x v="4"/>
    <s v="Yoga Anywhere"/>
    <x v="712"/>
    <x v="2953"/>
    <m/>
    <m/>
    <m/>
    <m/>
    <m/>
    <m/>
    <n v="27"/>
    <n v="76.31"/>
    <m/>
    <m/>
  </r>
  <r>
    <s v="2021-07-21 22:12 (PST)"/>
    <x v="1046"/>
    <x v="233"/>
    <x v="6"/>
    <s v="On Demand"/>
    <x v="25"/>
    <x v="5"/>
    <x v="5"/>
    <s v="Theme"/>
    <x v="713"/>
    <x v="2954"/>
    <m/>
    <m/>
    <m/>
    <m/>
    <m/>
    <m/>
    <m/>
    <m/>
    <m/>
    <m/>
  </r>
  <r>
    <s v="2021-07-28 06:45 (-07)"/>
    <x v="1047"/>
    <x v="1870"/>
    <x v="6"/>
    <s v="On Demand"/>
    <x v="6"/>
    <x v="4"/>
    <x v="0"/>
    <s v="Power Zone"/>
    <x v="7"/>
    <x v="2947"/>
    <n v="359"/>
    <n v="100"/>
    <n v="0.37"/>
    <n v="84"/>
    <n v="16.11"/>
    <n v="16.11"/>
    <n v="443"/>
    <m/>
    <m/>
    <m/>
  </r>
  <r>
    <s v="2021-07-28 07:45 (-07)"/>
    <x v="1047"/>
    <x v="1871"/>
    <x v="6"/>
    <s v="On Demand"/>
    <x v="6"/>
    <x v="3"/>
    <x v="0"/>
    <s v="Cool Down"/>
    <x v="10"/>
    <x v="85"/>
    <n v="23"/>
    <n v="77"/>
    <n v="0.32"/>
    <n v="87"/>
    <n v="14.5"/>
    <n v="1.21"/>
    <n v="29"/>
    <m/>
    <m/>
    <m/>
  </r>
  <r>
    <s v="2021-07-28 07:51 (-07)"/>
    <x v="1047"/>
    <x v="1416"/>
    <x v="6"/>
    <s v="On Demand"/>
    <x v="26"/>
    <x v="1"/>
    <x v="1"/>
    <s v="Core"/>
    <x v="1"/>
    <x v="2955"/>
    <m/>
    <m/>
    <m/>
    <m/>
    <m/>
    <m/>
    <n v="46"/>
    <m/>
    <m/>
    <m/>
  </r>
  <r>
    <s v="2021-07-28 08:02 (-07)"/>
    <x v="1047"/>
    <x v="1445"/>
    <x v="6"/>
    <s v="On Demand"/>
    <x v="6"/>
    <x v="3"/>
    <x v="2"/>
    <s v="Pre &amp; Post-Ride Stretch"/>
    <x v="8"/>
    <x v="61"/>
    <m/>
    <m/>
    <m/>
    <m/>
    <m/>
    <m/>
    <n v="12"/>
    <m/>
    <m/>
    <m/>
  </r>
  <r>
    <s v="2021-07-28 22:25 (PST)"/>
    <x v="1047"/>
    <x v="124"/>
    <x v="6"/>
    <s v="On Demand"/>
    <x v="16"/>
    <x v="5"/>
    <x v="5"/>
    <s v="Sleep"/>
    <x v="29"/>
    <x v="258"/>
    <m/>
    <m/>
    <m/>
    <m/>
    <m/>
    <m/>
    <m/>
    <m/>
    <m/>
    <m/>
  </r>
  <r>
    <s v="2021-08-04 06:52 (-07)"/>
    <x v="1048"/>
    <x v="1669"/>
    <x v="6"/>
    <s v="On Demand"/>
    <x v="6"/>
    <x v="4"/>
    <x v="0"/>
    <s v="Power Zone"/>
    <x v="7"/>
    <x v="2956"/>
    <n v="356"/>
    <n v="99"/>
    <n v="0.38"/>
    <n v="82"/>
    <n v="16.04"/>
    <n v="16.04"/>
    <n v="438"/>
    <m/>
    <m/>
    <m/>
  </r>
  <r>
    <s v="2021-08-04 07:53 (-07)"/>
    <x v="1048"/>
    <x v="481"/>
    <x v="6"/>
    <s v="On Demand"/>
    <x v="21"/>
    <x v="1"/>
    <x v="1"/>
    <s v="Core"/>
    <x v="1"/>
    <x v="2957"/>
    <m/>
    <m/>
    <m/>
    <m/>
    <m/>
    <m/>
    <n v="46"/>
    <m/>
    <m/>
    <m/>
  </r>
  <r>
    <s v="2021-08-04 08:04 (-07)"/>
    <x v="1048"/>
    <x v="1872"/>
    <x v="6"/>
    <s v="On Demand"/>
    <x v="6"/>
    <x v="3"/>
    <x v="2"/>
    <s v="Pre &amp; Post-Ride Stretch"/>
    <x v="8"/>
    <x v="2906"/>
    <m/>
    <m/>
    <m/>
    <m/>
    <m/>
    <m/>
    <n v="12"/>
    <m/>
    <m/>
    <m/>
  </r>
  <r>
    <s v="2021-08-04 20:51 (PST)"/>
    <x v="1048"/>
    <x v="63"/>
    <x v="6"/>
    <s v="On Demand"/>
    <x v="16"/>
    <x v="5"/>
    <x v="4"/>
    <s v="Focus Flow"/>
    <x v="40"/>
    <x v="2958"/>
    <m/>
    <m/>
    <m/>
    <m/>
    <m/>
    <m/>
    <n v="67"/>
    <m/>
    <m/>
    <m/>
  </r>
  <r>
    <s v="2021-08-04 22:08 (PST)"/>
    <x v="1048"/>
    <x v="435"/>
    <x v="6"/>
    <s v="On Demand"/>
    <x v="19"/>
    <x v="5"/>
    <x v="5"/>
    <s v="Emotions"/>
    <x v="714"/>
    <x v="2959"/>
    <m/>
    <m/>
    <m/>
    <m/>
    <m/>
    <m/>
    <m/>
    <m/>
    <m/>
    <m/>
  </r>
  <r>
    <s v="2021-08-11 06:41 (-07)"/>
    <x v="1049"/>
    <x v="1180"/>
    <x v="6"/>
    <s v="On Demand"/>
    <x v="7"/>
    <x v="0"/>
    <x v="0"/>
    <s v="Power Zone"/>
    <x v="85"/>
    <x v="2960"/>
    <n v="281"/>
    <n v="104"/>
    <n v="0.37"/>
    <n v="83"/>
    <n v="15.9"/>
    <n v="11.93"/>
    <n v="346"/>
    <m/>
    <m/>
    <m/>
  </r>
  <r>
    <s v="2021-08-11 07:27 (-07)"/>
    <x v="1049"/>
    <x v="1873"/>
    <x v="6"/>
    <s v="On Demand"/>
    <x v="6"/>
    <x v="2"/>
    <x v="0"/>
    <s v="Power Zone"/>
    <x v="131"/>
    <x v="2961"/>
    <n v="168"/>
    <n v="93"/>
    <n v="0.36"/>
    <n v="83"/>
    <n v="15.58"/>
    <n v="7.79"/>
    <n v="207"/>
    <m/>
    <m/>
    <m/>
  </r>
  <r>
    <s v="2021-08-11 07:57 (-07)"/>
    <x v="1049"/>
    <x v="93"/>
    <x v="6"/>
    <s v="On Demand"/>
    <x v="6"/>
    <x v="3"/>
    <x v="2"/>
    <s v="Pre &amp; Post-Ride Stretch"/>
    <x v="8"/>
    <x v="61"/>
    <m/>
    <m/>
    <m/>
    <m/>
    <m/>
    <m/>
    <n v="11"/>
    <m/>
    <m/>
    <m/>
  </r>
  <r>
    <s v="2021-08-11 20:49 (PST)"/>
    <x v="1049"/>
    <x v="1365"/>
    <x v="6"/>
    <s v="On Demand"/>
    <x v="1"/>
    <x v="5"/>
    <x v="1"/>
    <s v="Core"/>
    <x v="715"/>
    <x v="121"/>
    <m/>
    <m/>
    <m/>
    <m/>
    <m/>
    <m/>
    <n v="92"/>
    <m/>
    <m/>
    <m/>
  </r>
  <r>
    <s v="2021-08-11 22:28 (PST)"/>
    <x v="1049"/>
    <x v="472"/>
    <x v="6"/>
    <s v="On Demand"/>
    <x v="16"/>
    <x v="1"/>
    <x v="5"/>
    <s v="Emotions"/>
    <x v="210"/>
    <x v="2962"/>
    <m/>
    <m/>
    <m/>
    <m/>
    <m/>
    <m/>
    <m/>
    <m/>
    <m/>
    <m/>
  </r>
  <r>
    <s v="2021-08-18 06:49 (-07)"/>
    <x v="1050"/>
    <x v="433"/>
    <x v="6"/>
    <s v="On Demand"/>
    <x v="6"/>
    <x v="2"/>
    <x v="0"/>
    <s v="Power Zone"/>
    <x v="196"/>
    <x v="2963"/>
    <n v="170"/>
    <n v="95"/>
    <n v="0.35"/>
    <n v="89"/>
    <n v="15.71"/>
    <n v="7.86"/>
    <n v="210"/>
    <m/>
    <m/>
    <m/>
  </r>
  <r>
    <s v="2021-08-18 07:21 (-07)"/>
    <x v="1050"/>
    <x v="479"/>
    <x v="6"/>
    <s v="On Demand"/>
    <x v="11"/>
    <x v="1"/>
    <x v="1"/>
    <s v="Upper Body"/>
    <x v="117"/>
    <x v="2964"/>
    <m/>
    <m/>
    <m/>
    <m/>
    <m/>
    <m/>
    <n v="46"/>
    <m/>
    <m/>
    <m/>
  </r>
  <r>
    <s v="2021-08-18 08:01 (PST)"/>
    <x v="1050"/>
    <x v="252"/>
    <x v="6"/>
    <s v="On Demand"/>
    <x v="7"/>
    <x v="1"/>
    <x v="4"/>
    <s v="Flow"/>
    <x v="178"/>
    <x v="2965"/>
    <m/>
    <m/>
    <m/>
    <m/>
    <m/>
    <m/>
    <n v="31"/>
    <m/>
    <m/>
    <m/>
  </r>
  <r>
    <s v="2021-08-25 07:26 (PST)"/>
    <x v="1051"/>
    <x v="6"/>
    <x v="6"/>
    <s v="On Demand"/>
    <x v="16"/>
    <x v="5"/>
    <x v="4"/>
    <s v="Slow Flow"/>
    <x v="19"/>
    <x v="2966"/>
    <m/>
    <m/>
    <m/>
    <m/>
    <m/>
    <m/>
    <n v="62"/>
    <m/>
    <m/>
    <m/>
  </r>
  <r>
    <s v="2021-08-25 22:31 (PST)"/>
    <x v="1051"/>
    <x v="243"/>
    <x v="6"/>
    <s v="On Demand"/>
    <x v="19"/>
    <x v="7"/>
    <x v="5"/>
    <s v="Breath"/>
    <x v="637"/>
    <x v="2967"/>
    <m/>
    <m/>
    <m/>
    <m/>
    <m/>
    <m/>
    <m/>
    <m/>
    <m/>
    <m/>
  </r>
  <r>
    <s v="2021-09-01 07:40 (PST)"/>
    <x v="1052"/>
    <x v="484"/>
    <x v="6"/>
    <s v="On Demand"/>
    <x v="1"/>
    <x v="7"/>
    <x v="1"/>
    <s v="Core"/>
    <x v="126"/>
    <x v="2968"/>
    <m/>
    <m/>
    <m/>
    <m/>
    <m/>
    <m/>
    <n v="69"/>
    <m/>
    <m/>
    <m/>
  </r>
  <r>
    <s v="2021-09-01 12:16 (PST)"/>
    <x v="1052"/>
    <x v="393"/>
    <x v="6"/>
    <s v="On Demand"/>
    <x v="16"/>
    <x v="5"/>
    <x v="4"/>
    <s v="Flow"/>
    <x v="30"/>
    <x v="2969"/>
    <m/>
    <m/>
    <m/>
    <m/>
    <m/>
    <m/>
    <n v="67"/>
    <m/>
    <m/>
    <m/>
  </r>
  <r>
    <s v="2021-09-01 17:53 (-07)"/>
    <x v="1052"/>
    <x v="1064"/>
    <x v="6"/>
    <s v="On Demand"/>
    <x v="5"/>
    <x v="0"/>
    <x v="0"/>
    <s v="Power Zone"/>
    <x v="27"/>
    <x v="100"/>
    <n v="265"/>
    <n v="98"/>
    <n v="0.37"/>
    <n v="85"/>
    <n v="15.97"/>
    <n v="11.98"/>
    <n v="327"/>
    <m/>
    <m/>
    <m/>
  </r>
  <r>
    <s v="2021-09-01 18:41 (-07)"/>
    <x v="1052"/>
    <x v="509"/>
    <x v="6"/>
    <s v="On Demand"/>
    <x v="12"/>
    <x v="1"/>
    <x v="1"/>
    <s v="Arms &amp; Light Weights"/>
    <x v="28"/>
    <x v="2970"/>
    <m/>
    <m/>
    <m/>
    <m/>
    <m/>
    <m/>
    <m/>
    <m/>
    <m/>
    <m/>
  </r>
  <r>
    <s v="2021-09-01 18:52 (-07)"/>
    <x v="1052"/>
    <x v="103"/>
    <x v="6"/>
    <s v="On Demand"/>
    <x v="6"/>
    <x v="3"/>
    <x v="2"/>
    <s v="Pre &amp; Post-Ride Stretch"/>
    <x v="8"/>
    <x v="111"/>
    <m/>
    <m/>
    <m/>
    <m/>
    <m/>
    <m/>
    <n v="12"/>
    <m/>
    <m/>
    <m/>
  </r>
  <r>
    <s v="2021-09-01 22:10 (PST)"/>
    <x v="1052"/>
    <x v="620"/>
    <x v="6"/>
    <s v="On Demand"/>
    <x v="23"/>
    <x v="5"/>
    <x v="5"/>
    <s v="Sleep"/>
    <x v="29"/>
    <x v="1932"/>
    <m/>
    <m/>
    <m/>
    <m/>
    <m/>
    <m/>
    <m/>
    <m/>
    <m/>
    <m/>
  </r>
  <r>
    <s v="2021-09-08 07:06 (PST)"/>
    <x v="1053"/>
    <x v="120"/>
    <x v="6"/>
    <s v="On Demand"/>
    <x v="7"/>
    <x v="0"/>
    <x v="4"/>
    <s v="Slow Flow"/>
    <x v="33"/>
    <x v="2971"/>
    <m/>
    <m/>
    <m/>
    <m/>
    <m/>
    <m/>
    <n v="142"/>
    <m/>
    <m/>
    <m/>
  </r>
  <r>
    <s v="2021-09-08 17:46 (-07)"/>
    <x v="1053"/>
    <x v="238"/>
    <x v="6"/>
    <s v="On Demand"/>
    <x v="15"/>
    <x v="1"/>
    <x v="0"/>
    <s v="Low Impact"/>
    <x v="192"/>
    <x v="2972"/>
    <n v="58"/>
    <n v="96"/>
    <n v="0.38"/>
    <n v="79"/>
    <n v="15.75"/>
    <n v="2.63"/>
    <n v="71"/>
    <m/>
    <m/>
    <m/>
  </r>
  <r>
    <s v="2021-09-08 17:57 (-07)"/>
    <x v="1053"/>
    <x v="1517"/>
    <x v="6"/>
    <s v="On Demand"/>
    <x v="6"/>
    <x v="4"/>
    <x v="0"/>
    <s v="Power Zone"/>
    <x v="7"/>
    <x v="2973"/>
    <n v="363"/>
    <n v="101"/>
    <n v="0.37"/>
    <n v="86"/>
    <n v="16.149999999999999"/>
    <n v="16.16"/>
    <n v="447"/>
    <m/>
    <m/>
    <m/>
  </r>
  <r>
    <s v="2021-09-08 18:58 (-07)"/>
    <x v="1053"/>
    <x v="1874"/>
    <x v="6"/>
    <s v="On Demand"/>
    <x v="6"/>
    <x v="3"/>
    <x v="0"/>
    <s v="Cool Down"/>
    <x v="10"/>
    <x v="111"/>
    <n v="17"/>
    <n v="58"/>
    <n v="0.28000000000000003"/>
    <n v="86"/>
    <n v="12.77"/>
    <n v="1.06"/>
    <n v="21"/>
    <m/>
    <m/>
    <m/>
  </r>
  <r>
    <s v="2021-09-08 19:04 (-07)"/>
    <x v="1053"/>
    <x v="1709"/>
    <x v="6"/>
    <s v="On Demand"/>
    <x v="5"/>
    <x v="3"/>
    <x v="1"/>
    <s v="Core"/>
    <x v="6"/>
    <x v="2974"/>
    <m/>
    <m/>
    <m/>
    <m/>
    <m/>
    <m/>
    <n v="23"/>
    <m/>
    <m/>
    <m/>
  </r>
  <r>
    <s v="2021-09-08 19:09 (-07)"/>
    <x v="1053"/>
    <x v="1668"/>
    <x v="6"/>
    <s v="On Demand"/>
    <x v="1"/>
    <x v="3"/>
    <x v="2"/>
    <s v="Pre &amp; Post-Ride Stretch"/>
    <x v="8"/>
    <x v="527"/>
    <m/>
    <m/>
    <m/>
    <m/>
    <m/>
    <m/>
    <n v="11"/>
    <m/>
    <m/>
    <m/>
  </r>
  <r>
    <s v="2021-09-08 22:23 (PST)"/>
    <x v="1053"/>
    <x v="1044"/>
    <x v="6"/>
    <s v="On Demand"/>
    <x v="19"/>
    <x v="3"/>
    <x v="5"/>
    <s v="Sleep"/>
    <x v="716"/>
    <x v="2975"/>
    <m/>
    <m/>
    <m/>
    <m/>
    <m/>
    <m/>
    <m/>
    <m/>
    <m/>
    <m/>
  </r>
  <r>
    <s v="2021-09-08 22:28 (PST)"/>
    <x v="1053"/>
    <x v="472"/>
    <x v="6"/>
    <s v="On Demand"/>
    <x v="16"/>
    <x v="3"/>
    <x v="5"/>
    <s v="Sleep"/>
    <x v="58"/>
    <x v="2976"/>
    <m/>
    <m/>
    <m/>
    <m/>
    <m/>
    <m/>
    <m/>
    <m/>
    <m/>
    <m/>
  </r>
  <r>
    <s v="2021-09-15 07:24 (PST)"/>
    <x v="1054"/>
    <x v="1803"/>
    <x v="6"/>
    <s v="On Demand"/>
    <x v="25"/>
    <x v="2"/>
    <x v="4"/>
    <s v="Flow"/>
    <x v="717"/>
    <x v="2977"/>
    <m/>
    <m/>
    <m/>
    <m/>
    <m/>
    <m/>
    <n v="97"/>
    <m/>
    <m/>
    <m/>
  </r>
  <r>
    <s v="2021-09-15 19:15 (-07)"/>
    <x v="1054"/>
    <x v="1460"/>
    <x v="6"/>
    <s v="On Demand"/>
    <x v="6"/>
    <x v="2"/>
    <x v="0"/>
    <s v="Power Zone"/>
    <x v="5"/>
    <x v="2978"/>
    <n v="169"/>
    <n v="94"/>
    <n v="0.35"/>
    <n v="86"/>
    <n v="15.65"/>
    <n v="7.83"/>
    <n v="209"/>
    <m/>
    <m/>
    <m/>
  </r>
  <r>
    <s v="2021-09-15 19:47 (-07)"/>
    <x v="1054"/>
    <x v="1875"/>
    <x v="6"/>
    <s v="On Demand"/>
    <x v="4"/>
    <x v="7"/>
    <x v="1"/>
    <s v="Core"/>
    <x v="126"/>
    <x v="2979"/>
    <m/>
    <m/>
    <m/>
    <m/>
    <m/>
    <m/>
    <n v="69"/>
    <m/>
    <m/>
    <m/>
  </r>
  <r>
    <s v="2021-09-15 20:04 (-07)"/>
    <x v="1054"/>
    <x v="1425"/>
    <x v="6"/>
    <s v="On Demand"/>
    <x v="4"/>
    <x v="1"/>
    <x v="2"/>
    <s v="Full Body Stretch"/>
    <x v="718"/>
    <x v="2980"/>
    <m/>
    <m/>
    <m/>
    <m/>
    <m/>
    <m/>
    <n v="23"/>
    <m/>
    <m/>
    <m/>
  </r>
  <r>
    <s v="2021-09-15 22:58 (PST)"/>
    <x v="1054"/>
    <x v="84"/>
    <x v="6"/>
    <s v="On Demand"/>
    <x v="23"/>
    <x v="3"/>
    <x v="5"/>
    <s v="Sleep"/>
    <x v="58"/>
    <x v="2981"/>
    <m/>
    <m/>
    <m/>
    <m/>
    <m/>
    <m/>
    <m/>
    <m/>
    <m/>
    <m/>
  </r>
  <r>
    <s v="2021-09-22 07:07 (-07)"/>
    <x v="1055"/>
    <x v="1863"/>
    <x v="6"/>
    <s v="On Demand"/>
    <x v="26"/>
    <x v="2"/>
    <x v="1"/>
    <s v="Full Body"/>
    <x v="125"/>
    <x v="2982"/>
    <m/>
    <m/>
    <m/>
    <m/>
    <m/>
    <m/>
    <n v="138"/>
    <m/>
    <m/>
    <m/>
  </r>
  <r>
    <s v="2021-09-22 07:39 (-07)"/>
    <x v="1055"/>
    <x v="453"/>
    <x v="6"/>
    <s v="On Demand"/>
    <x v="53"/>
    <x v="1"/>
    <x v="1"/>
    <s v="Core"/>
    <x v="1"/>
    <x v="2983"/>
    <m/>
    <m/>
    <m/>
    <m/>
    <m/>
    <m/>
    <n v="46"/>
    <m/>
    <m/>
    <m/>
  </r>
  <r>
    <s v="2021-09-22 07:50 (-07)"/>
    <x v="1055"/>
    <x v="48"/>
    <x v="6"/>
    <s v="On Demand"/>
    <x v="16"/>
    <x v="1"/>
    <x v="4"/>
    <s v="Flow"/>
    <x v="178"/>
    <x v="2984"/>
    <m/>
    <m/>
    <m/>
    <m/>
    <m/>
    <m/>
    <n v="34"/>
    <m/>
    <m/>
    <m/>
  </r>
  <r>
    <s v="2021-09-22 22:18 (PST)"/>
    <x v="1055"/>
    <x v="117"/>
    <x v="6"/>
    <s v="On Demand"/>
    <x v="23"/>
    <x v="7"/>
    <x v="5"/>
    <s v="Sleep"/>
    <x v="65"/>
    <x v="1952"/>
    <m/>
    <m/>
    <m/>
    <m/>
    <m/>
    <m/>
    <m/>
    <m/>
    <m/>
    <m/>
  </r>
  <r>
    <s v="2021-09-29 07:14 (PST)"/>
    <x v="1056"/>
    <x v="415"/>
    <x v="6"/>
    <s v="On Demand"/>
    <x v="7"/>
    <x v="2"/>
    <x v="4"/>
    <s v="Flow"/>
    <x v="41"/>
    <x v="2985"/>
    <m/>
    <m/>
    <m/>
    <m/>
    <m/>
    <m/>
    <n v="95"/>
    <m/>
    <m/>
    <m/>
  </r>
  <r>
    <s v="2021-09-29 22:28 (PST)"/>
    <x v="1056"/>
    <x v="472"/>
    <x v="6"/>
    <s v="On Demand"/>
    <x v="16"/>
    <x v="3"/>
    <x v="5"/>
    <s v="Fitness Focus"/>
    <x v="719"/>
    <x v="1348"/>
    <m/>
    <m/>
    <m/>
    <m/>
    <m/>
    <m/>
    <m/>
    <m/>
    <m/>
    <m/>
  </r>
  <r>
    <s v="2021-10-06 18:17 (-07)"/>
    <x v="1057"/>
    <x v="691"/>
    <x v="6"/>
    <s v="On Demand"/>
    <x v="6"/>
    <x v="2"/>
    <x v="0"/>
    <s v="Power Zone"/>
    <x v="434"/>
    <x v="2986"/>
    <n v="163"/>
    <n v="90"/>
    <n v="0.35"/>
    <n v="84"/>
    <n v="15.38"/>
    <n v="7.69"/>
    <n v="200"/>
    <m/>
    <m/>
    <m/>
  </r>
  <r>
    <s v="2021-10-06 18:48 (-07)"/>
    <x v="1057"/>
    <x v="427"/>
    <x v="6"/>
    <s v="On Demand"/>
    <x v="4"/>
    <x v="5"/>
    <x v="1"/>
    <s v="Bodyweight"/>
    <x v="197"/>
    <x v="2987"/>
    <m/>
    <m/>
    <m/>
    <m/>
    <m/>
    <m/>
    <n v="92"/>
    <m/>
    <m/>
    <m/>
  </r>
  <r>
    <s v="2021-10-06 19:09 (-07)"/>
    <x v="1057"/>
    <x v="1668"/>
    <x v="6"/>
    <s v="On Demand"/>
    <x v="5"/>
    <x v="1"/>
    <x v="1"/>
    <s v="Core"/>
    <x v="1"/>
    <x v="2988"/>
    <m/>
    <m/>
    <m/>
    <m/>
    <m/>
    <m/>
    <n v="46"/>
    <m/>
    <m/>
    <m/>
  </r>
  <r>
    <s v="2021-10-06 19:20 (-07)"/>
    <x v="1057"/>
    <x v="1157"/>
    <x v="6"/>
    <s v="On Demand"/>
    <x v="36"/>
    <x v="3"/>
    <x v="2"/>
    <s v="Pre &amp; Post-Ride Stretch"/>
    <x v="8"/>
    <x v="2989"/>
    <m/>
    <m/>
    <m/>
    <m/>
    <m/>
    <m/>
    <n v="11"/>
    <m/>
    <m/>
    <m/>
  </r>
  <r>
    <s v="2021-10-06 22:32 (PST)"/>
    <x v="1057"/>
    <x v="454"/>
    <x v="6"/>
    <s v="On Demand"/>
    <x v="16"/>
    <x v="1"/>
    <x v="5"/>
    <s v="Sleep"/>
    <x v="39"/>
    <x v="2990"/>
    <m/>
    <m/>
    <m/>
    <m/>
    <m/>
    <m/>
    <m/>
    <m/>
    <m/>
    <m/>
  </r>
  <r>
    <s v="2021-10-13 19:56 (PST)"/>
    <x v="1058"/>
    <x v="943"/>
    <x v="6"/>
    <s v="On Demand"/>
    <x v="7"/>
    <x v="4"/>
    <x v="4"/>
    <s v="Flow"/>
    <x v="24"/>
    <x v="2991"/>
    <m/>
    <m/>
    <m/>
    <m/>
    <m/>
    <m/>
    <n v="196"/>
    <m/>
    <m/>
    <m/>
  </r>
  <r>
    <s v="2021-10-13 22:32 (PST)"/>
    <x v="1058"/>
    <x v="454"/>
    <x v="6"/>
    <s v="On Demand"/>
    <x v="13"/>
    <x v="1"/>
    <x v="5"/>
    <s v="Relaxation"/>
    <x v="71"/>
    <x v="1141"/>
    <m/>
    <m/>
    <m/>
    <m/>
    <m/>
    <m/>
    <m/>
    <m/>
    <m/>
    <m/>
  </r>
  <r>
    <s v="2021-10-20 17:28 (-07)"/>
    <x v="1059"/>
    <x v="1456"/>
    <x v="6"/>
    <s v="On Demand"/>
    <x v="6"/>
    <x v="4"/>
    <x v="0"/>
    <s v="Power Zone"/>
    <x v="7"/>
    <x v="2992"/>
    <n v="324"/>
    <n v="90"/>
    <n v="0.36"/>
    <n v="84"/>
    <n v="15.47"/>
    <n v="15.48"/>
    <n v="400"/>
    <m/>
    <m/>
    <m/>
  </r>
  <r>
    <s v="2021-10-20 18:30 (-07)"/>
    <x v="1059"/>
    <x v="128"/>
    <x v="6"/>
    <s v="On Demand"/>
    <x v="4"/>
    <x v="1"/>
    <x v="1"/>
    <s v="Core"/>
    <x v="1"/>
    <x v="2993"/>
    <m/>
    <m/>
    <m/>
    <m/>
    <m/>
    <m/>
    <n v="46"/>
    <m/>
    <m/>
    <m/>
  </r>
  <r>
    <s v="2021-10-20 18:47 (-07)"/>
    <x v="1059"/>
    <x v="510"/>
    <x v="6"/>
    <s v="On Demand"/>
    <x v="1"/>
    <x v="3"/>
    <x v="2"/>
    <s v="Pre &amp; Post-Ride Stretch"/>
    <x v="8"/>
    <x v="527"/>
    <m/>
    <m/>
    <m/>
    <m/>
    <m/>
    <m/>
    <n v="11"/>
    <m/>
    <m/>
    <m/>
  </r>
  <r>
    <s v="2021-10-20 22:53 (PST)"/>
    <x v="1059"/>
    <x v="964"/>
    <x v="6"/>
    <s v="On Demand"/>
    <x v="25"/>
    <x v="1"/>
    <x v="5"/>
    <s v="Theme"/>
    <x v="410"/>
    <x v="2994"/>
    <m/>
    <m/>
    <m/>
    <m/>
    <m/>
    <m/>
    <m/>
    <m/>
    <m/>
    <m/>
  </r>
  <r>
    <s v="2021-10-27 07:07 (PST)"/>
    <x v="1060"/>
    <x v="503"/>
    <x v="6"/>
    <s v="On Demand"/>
    <x v="7"/>
    <x v="2"/>
    <x v="4"/>
    <s v="Slow Flow"/>
    <x v="50"/>
    <x v="2995"/>
    <m/>
    <m/>
    <m/>
    <m/>
    <m/>
    <m/>
    <n v="98"/>
    <m/>
    <m/>
    <m/>
  </r>
  <r>
    <s v="2021-10-27 22:10 (PST)"/>
    <x v="1060"/>
    <x v="620"/>
    <x v="6"/>
    <s v="On Demand"/>
    <x v="13"/>
    <x v="5"/>
    <x v="5"/>
    <s v="Emotions"/>
    <x v="342"/>
    <x v="2996"/>
    <m/>
    <m/>
    <m/>
    <m/>
    <m/>
    <m/>
    <m/>
    <m/>
    <m/>
    <m/>
  </r>
  <r>
    <s v="2021-11-03 18:18 (PST)"/>
    <x v="1061"/>
    <x v="1141"/>
    <x v="6"/>
    <s v="On Demand"/>
    <x v="16"/>
    <x v="5"/>
    <x v="4"/>
    <s v="Restoration"/>
    <x v="338"/>
    <x v="2997"/>
    <m/>
    <m/>
    <m/>
    <m/>
    <m/>
    <m/>
    <n v="36"/>
    <m/>
    <m/>
    <m/>
  </r>
  <r>
    <s v="2021-11-03 21:05 (PST)"/>
    <x v="1061"/>
    <x v="968"/>
    <x v="6"/>
    <s v="On Demand"/>
    <x v="16"/>
    <x v="7"/>
    <x v="5"/>
    <s v="Sleep"/>
    <x v="65"/>
    <x v="2998"/>
    <m/>
    <m/>
    <m/>
    <m/>
    <m/>
    <m/>
    <m/>
    <m/>
    <m/>
    <m/>
  </r>
  <r>
    <s v="2021-11-10 07:02 (PST)"/>
    <x v="1062"/>
    <x v="389"/>
    <x v="6"/>
    <s v="On Demand"/>
    <x v="13"/>
    <x v="0"/>
    <x v="4"/>
    <s v="Flow"/>
    <x v="14"/>
    <x v="2999"/>
    <m/>
    <m/>
    <m/>
    <m/>
    <m/>
    <m/>
    <n v="147"/>
    <m/>
    <m/>
    <m/>
  </r>
  <r>
    <s v="2021-11-10 16:43 (-08)"/>
    <x v="1062"/>
    <x v="1876"/>
    <x v="6"/>
    <s v="On Demand"/>
    <x v="7"/>
    <x v="5"/>
    <x v="0"/>
    <s v="Low Impact"/>
    <x v="67"/>
    <x v="3000"/>
    <n v="104"/>
    <n v="87"/>
    <n v="0.36"/>
    <n v="82"/>
    <n v="15.14"/>
    <n v="5.05"/>
    <n v="128"/>
    <m/>
    <m/>
    <m/>
  </r>
  <r>
    <s v="2021-11-10 17:03 (-08)"/>
    <x v="1062"/>
    <x v="1877"/>
    <x v="6"/>
    <s v="On Demand"/>
    <x v="7"/>
    <x v="2"/>
    <x v="0"/>
    <s v="Power Zone"/>
    <x v="5"/>
    <x v="2531"/>
    <n v="172"/>
    <n v="96"/>
    <n v="0.36"/>
    <n v="85"/>
    <n v="15.73"/>
    <n v="7.87"/>
    <n v="212"/>
    <m/>
    <m/>
    <m/>
  </r>
  <r>
    <s v="2021-11-10 17:35 (-08)"/>
    <x v="1062"/>
    <x v="286"/>
    <x v="6"/>
    <s v="On Demand"/>
    <x v="22"/>
    <x v="1"/>
    <x v="1"/>
    <s v="Arms &amp; Light Weights"/>
    <x v="28"/>
    <x v="3001"/>
    <m/>
    <m/>
    <m/>
    <m/>
    <m/>
    <m/>
    <n v="46"/>
    <m/>
    <m/>
    <m/>
  </r>
  <r>
    <s v="2021-11-10 17:46 (-08)"/>
    <x v="1062"/>
    <x v="1480"/>
    <x v="6"/>
    <s v="On Demand"/>
    <x v="1"/>
    <x v="1"/>
    <x v="1"/>
    <s v="Core"/>
    <x v="1"/>
    <x v="3002"/>
    <m/>
    <m/>
    <m/>
    <m/>
    <m/>
    <m/>
    <n v="46"/>
    <m/>
    <m/>
    <m/>
  </r>
  <r>
    <s v="2021-11-10 22:27 (PST)"/>
    <x v="1062"/>
    <x v="448"/>
    <x v="6"/>
    <s v="On Demand"/>
    <x v="16"/>
    <x v="7"/>
    <x v="5"/>
    <s v="Sleep"/>
    <x v="65"/>
    <x v="2480"/>
    <m/>
    <m/>
    <m/>
    <m/>
    <m/>
    <m/>
    <m/>
    <m/>
    <m/>
    <m/>
  </r>
  <r>
    <s v="2021-11-17 07:10 (PST)"/>
    <x v="1063"/>
    <x v="11"/>
    <x v="6"/>
    <s v="On Demand"/>
    <x v="7"/>
    <x v="2"/>
    <x v="4"/>
    <s v="Slow Flow"/>
    <x v="50"/>
    <x v="3003"/>
    <m/>
    <m/>
    <m/>
    <m/>
    <m/>
    <m/>
    <n v="98"/>
    <m/>
    <m/>
    <m/>
  </r>
  <r>
    <s v="2021-11-17 16:47 (-08)"/>
    <x v="1063"/>
    <x v="279"/>
    <x v="6"/>
    <s v="On Demand"/>
    <x v="7"/>
    <x v="2"/>
    <x v="0"/>
    <s v="Power Zone"/>
    <x v="5"/>
    <x v="3004"/>
    <n v="170"/>
    <n v="94"/>
    <n v="0.37"/>
    <n v="82"/>
    <n v="15.69"/>
    <n v="7.84"/>
    <n v="210"/>
    <m/>
    <m/>
    <m/>
  </r>
  <r>
    <s v="2021-11-17 17:18 (-08)"/>
    <x v="1063"/>
    <x v="590"/>
    <x v="6"/>
    <s v="On Demand"/>
    <x v="7"/>
    <x v="3"/>
    <x v="0"/>
    <s v="Cool Down"/>
    <x v="10"/>
    <x v="592"/>
    <n v="17"/>
    <n v="58"/>
    <n v="0.28999999999999998"/>
    <n v="83"/>
    <n v="12.77"/>
    <n v="1.07"/>
    <n v="22"/>
    <m/>
    <m/>
    <m/>
  </r>
  <r>
    <s v="2021-11-17 17:25 (-08)"/>
    <x v="1063"/>
    <x v="1878"/>
    <x v="6"/>
    <s v="On Demand"/>
    <x v="12"/>
    <x v="1"/>
    <x v="1"/>
    <s v="Arms &amp; Light Weights"/>
    <x v="28"/>
    <x v="3005"/>
    <m/>
    <m/>
    <m/>
    <m/>
    <m/>
    <m/>
    <n v="46"/>
    <m/>
    <m/>
    <m/>
  </r>
  <r>
    <s v="2021-11-17 17:37 (-08)"/>
    <x v="1063"/>
    <x v="553"/>
    <x v="6"/>
    <s v="On Demand"/>
    <x v="1"/>
    <x v="3"/>
    <x v="1"/>
    <s v="Core"/>
    <x v="6"/>
    <x v="3006"/>
    <m/>
    <m/>
    <m/>
    <m/>
    <m/>
    <m/>
    <n v="23"/>
    <m/>
    <m/>
    <m/>
  </r>
  <r>
    <s v="2021-11-17 22:20 (PST)"/>
    <x v="1063"/>
    <x v="766"/>
    <x v="6"/>
    <s v="On Demand"/>
    <x v="19"/>
    <x v="1"/>
    <x v="5"/>
    <s v="Mindfulness"/>
    <x v="51"/>
    <x v="3007"/>
    <m/>
    <m/>
    <m/>
    <m/>
    <m/>
    <m/>
    <m/>
    <m/>
    <m/>
    <m/>
  </r>
  <r>
    <s v="2021-11-24 07:55 (PST)"/>
    <x v="1064"/>
    <x v="1571"/>
    <x v="6"/>
    <s v="On Demand"/>
    <x v="7"/>
    <x v="2"/>
    <x v="4"/>
    <s v="Flow"/>
    <x v="720"/>
    <x v="3008"/>
    <m/>
    <m/>
    <m/>
    <m/>
    <m/>
    <m/>
    <n v="98"/>
    <m/>
    <m/>
    <m/>
  </r>
  <r>
    <s v="2021-11-24 15:02 (PST)"/>
    <x v="1064"/>
    <x v="1879"/>
    <x v="6"/>
    <s v="On Demand"/>
    <x v="31"/>
    <x v="2"/>
    <x v="6"/>
    <s v="Music Walk"/>
    <x v="721"/>
    <x v="3009"/>
    <n v="0"/>
    <m/>
    <m/>
    <m/>
    <n v="3.64"/>
    <n v="1.82"/>
    <n v="199"/>
    <n v="128.33000000000001"/>
    <m/>
    <m/>
  </r>
  <r>
    <s v="2021-11-24 15:54 (-08)"/>
    <x v="1064"/>
    <x v="1028"/>
    <x v="6"/>
    <s v="On Demand"/>
    <x v="5"/>
    <x v="3"/>
    <x v="0"/>
    <s v="Warm Up"/>
    <x v="22"/>
    <x v="3010"/>
    <n v="20"/>
    <n v="66"/>
    <n v="0.31"/>
    <n v="85"/>
    <n v="13.47"/>
    <n v="1.1200000000000001"/>
    <n v="24"/>
    <m/>
    <m/>
    <m/>
  </r>
  <r>
    <s v="2021-11-24 16:00 (-08)"/>
    <x v="1064"/>
    <x v="1757"/>
    <x v="6"/>
    <s v="On Demand"/>
    <x v="6"/>
    <x v="0"/>
    <x v="0"/>
    <s v="Power Zone"/>
    <x v="27"/>
    <x v="599"/>
    <n v="270"/>
    <n v="100"/>
    <n v="0.37"/>
    <n v="85"/>
    <n v="16.12"/>
    <n v="12.1"/>
    <n v="333"/>
    <m/>
    <m/>
    <m/>
  </r>
  <r>
    <s v="2021-11-24 16:48 (-08)"/>
    <x v="1064"/>
    <x v="1880"/>
    <x v="6"/>
    <s v="On Demand"/>
    <x v="1"/>
    <x v="1"/>
    <x v="1"/>
    <s v="Core"/>
    <x v="1"/>
    <x v="1153"/>
    <m/>
    <m/>
    <m/>
    <m/>
    <m/>
    <m/>
    <n v="46"/>
    <m/>
    <m/>
    <m/>
  </r>
  <r>
    <s v="2021-11-24 16:59 (-08)"/>
    <x v="1064"/>
    <x v="298"/>
    <x v="6"/>
    <s v="On Demand"/>
    <x v="4"/>
    <x v="1"/>
    <x v="2"/>
    <s v="Full Body Stretch"/>
    <x v="4"/>
    <x v="3011"/>
    <m/>
    <m/>
    <m/>
    <m/>
    <m/>
    <m/>
    <n v="23"/>
    <m/>
    <m/>
    <m/>
  </r>
  <r>
    <s v="2021-11-24 22:21 (PST)"/>
    <x v="1064"/>
    <x v="740"/>
    <x v="6"/>
    <s v="On Demand"/>
    <x v="25"/>
    <x v="7"/>
    <x v="5"/>
    <s v="Relaxation"/>
    <x v="199"/>
    <x v="2658"/>
    <m/>
    <m/>
    <m/>
    <m/>
    <m/>
    <m/>
    <m/>
    <m/>
    <m/>
    <m/>
  </r>
  <r>
    <s v="2021-12-01 07:10 (PST)"/>
    <x v="1065"/>
    <x v="11"/>
    <x v="6"/>
    <s v="On Demand"/>
    <x v="23"/>
    <x v="5"/>
    <x v="4"/>
    <s v="Focus Flow"/>
    <x v="40"/>
    <x v="2488"/>
    <m/>
    <m/>
    <m/>
    <m/>
    <m/>
    <m/>
    <n v="63"/>
    <m/>
    <m/>
    <m/>
  </r>
  <r>
    <s v="2021-12-01 12:08 (PST)"/>
    <x v="1065"/>
    <x v="379"/>
    <x v="6"/>
    <s v="On Demand"/>
    <x v="31"/>
    <x v="2"/>
    <x v="6"/>
    <s v="Music Walk"/>
    <x v="722"/>
    <x v="3012"/>
    <n v="0"/>
    <m/>
    <m/>
    <m/>
    <n v="3.89"/>
    <n v="1.92"/>
    <n v="186"/>
    <n v="130.11000000000001"/>
    <m/>
    <m/>
  </r>
  <r>
    <s v="2021-12-01 13:06 (PST)"/>
    <x v="1065"/>
    <x v="1014"/>
    <x v="6"/>
    <s v="On Demand"/>
    <x v="19"/>
    <x v="1"/>
    <x v="4"/>
    <s v="Focus Flow"/>
    <x v="133"/>
    <x v="3013"/>
    <m/>
    <m/>
    <m/>
    <m/>
    <m/>
    <m/>
    <n v="27"/>
    <m/>
    <m/>
    <m/>
  </r>
  <r>
    <s v="2021-12-01 19:05 (-08)"/>
    <x v="1065"/>
    <x v="1881"/>
    <x v="6"/>
    <s v="On Demand"/>
    <x v="7"/>
    <x v="0"/>
    <x v="0"/>
    <s v="Power Zone"/>
    <x v="27"/>
    <x v="3014"/>
    <n v="265"/>
    <n v="98"/>
    <n v="0.36"/>
    <n v="88"/>
    <n v="16.010000000000002"/>
    <n v="12"/>
    <n v="327"/>
    <m/>
    <m/>
    <m/>
  </r>
  <r>
    <s v="2021-12-01 19:50 (-08)"/>
    <x v="1065"/>
    <x v="1151"/>
    <x v="6"/>
    <s v="On Demand"/>
    <x v="7"/>
    <x v="3"/>
    <x v="0"/>
    <s v="Cool Down"/>
    <x v="10"/>
    <x v="592"/>
    <n v="18"/>
    <n v="59"/>
    <n v="0.28999999999999998"/>
    <n v="86"/>
    <n v="12.9"/>
    <n v="1.08"/>
    <n v="22"/>
    <m/>
    <m/>
    <m/>
  </r>
  <r>
    <s v="2021-12-01 19:57 (-08)"/>
    <x v="1065"/>
    <x v="1852"/>
    <x v="6"/>
    <s v="On Demand"/>
    <x v="65"/>
    <x v="3"/>
    <x v="2"/>
    <s v="Pre &amp; Post-Ride Stretch"/>
    <x v="8"/>
    <x v="3015"/>
    <m/>
    <m/>
    <m/>
    <m/>
    <m/>
    <m/>
    <n v="12"/>
    <m/>
    <m/>
    <m/>
  </r>
  <r>
    <s v="2021-12-01 22:16 (PST)"/>
    <x v="1065"/>
    <x v="51"/>
    <x v="6"/>
    <s v="On Demand"/>
    <x v="25"/>
    <x v="1"/>
    <x v="5"/>
    <s v="Relaxation"/>
    <x v="71"/>
    <x v="3016"/>
    <m/>
    <m/>
    <m/>
    <m/>
    <m/>
    <m/>
    <m/>
    <m/>
    <m/>
    <m/>
  </r>
  <r>
    <s v="2021-12-08 07:51 (PST)"/>
    <x v="1066"/>
    <x v="208"/>
    <x v="6"/>
    <s v="On Demand"/>
    <x v="16"/>
    <x v="2"/>
    <x v="4"/>
    <s v="Slow Flow"/>
    <x v="50"/>
    <x v="3017"/>
    <m/>
    <m/>
    <m/>
    <m/>
    <m/>
    <m/>
    <n v="94"/>
    <m/>
    <m/>
    <m/>
  </r>
  <r>
    <s v="2021-12-08 12:49 (PST)"/>
    <x v="1066"/>
    <x v="1751"/>
    <x v="6"/>
    <s v="On Demand"/>
    <x v="16"/>
    <x v="3"/>
    <x v="5"/>
    <s v="Fitness Focus"/>
    <x v="375"/>
    <x v="3018"/>
    <m/>
    <m/>
    <m/>
    <m/>
    <m/>
    <m/>
    <m/>
    <m/>
    <m/>
    <m/>
  </r>
  <r>
    <s v="2021-12-08 17:43 (-08)"/>
    <x v="1066"/>
    <x v="1882"/>
    <x v="6"/>
    <s v="On Demand"/>
    <x v="4"/>
    <x v="1"/>
    <x v="0"/>
    <s v="Low Impact"/>
    <x v="192"/>
    <x v="3019"/>
    <n v="51"/>
    <n v="86"/>
    <n v="0.33"/>
    <n v="89"/>
    <n v="15.13"/>
    <n v="2.52"/>
    <n v="63"/>
    <m/>
    <m/>
    <m/>
  </r>
  <r>
    <s v="2021-12-08 17:55 (-08)"/>
    <x v="1066"/>
    <x v="1883"/>
    <x v="6"/>
    <s v="On Demand"/>
    <x v="11"/>
    <x v="0"/>
    <x v="3"/>
    <s v="Body Focus"/>
    <x v="181"/>
    <x v="3020"/>
    <n v="154"/>
    <m/>
    <m/>
    <m/>
    <n v="15.99"/>
    <n v="6.67"/>
    <n v="257"/>
    <m/>
    <m/>
    <m/>
  </r>
  <r>
    <s v="2021-12-08 18:42 (-08)"/>
    <x v="1066"/>
    <x v="946"/>
    <x v="6"/>
    <s v="On Demand"/>
    <x v="5"/>
    <x v="3"/>
    <x v="0"/>
    <s v="Cool Down"/>
    <x v="10"/>
    <x v="138"/>
    <n v="24"/>
    <n v="80"/>
    <n v="0.35"/>
    <n v="78"/>
    <n v="14.6"/>
    <n v="1.21"/>
    <n v="30"/>
    <m/>
    <m/>
    <m/>
  </r>
  <r>
    <s v="2021-12-08 19:58 (PST)"/>
    <x v="1066"/>
    <x v="1884"/>
    <x v="6"/>
    <s v="On Demand"/>
    <x v="13"/>
    <x v="7"/>
    <x v="4"/>
    <s v="Focus Flow"/>
    <x v="435"/>
    <x v="3021"/>
    <m/>
    <m/>
    <m/>
    <m/>
    <m/>
    <m/>
    <n v="46"/>
    <m/>
    <m/>
    <m/>
  </r>
  <r>
    <s v="2021-12-08 21:50 (PST)"/>
    <x v="1066"/>
    <x v="634"/>
    <x v="6"/>
    <s v="On Demand"/>
    <x v="19"/>
    <x v="5"/>
    <x v="5"/>
    <s v="Relaxation"/>
    <x v="35"/>
    <x v="3022"/>
    <m/>
    <m/>
    <m/>
    <m/>
    <m/>
    <m/>
    <m/>
    <m/>
    <m/>
    <m/>
  </r>
  <r>
    <s v="2021-12-15 06:00 (-08)"/>
    <x v="1067"/>
    <x v="1885"/>
    <x v="6"/>
    <s v="On Demand"/>
    <x v="6"/>
    <x v="0"/>
    <x v="0"/>
    <s v="Power Zone"/>
    <x v="27"/>
    <x v="3023"/>
    <n v="255"/>
    <n v="94"/>
    <n v="0.36"/>
    <n v="84"/>
    <n v="15.71"/>
    <n v="11.79"/>
    <n v="314"/>
    <m/>
    <m/>
    <m/>
  </r>
  <r>
    <s v="2021-12-15 06:46 (-08)"/>
    <x v="1067"/>
    <x v="1886"/>
    <x v="6"/>
    <s v="On Demand"/>
    <x v="10"/>
    <x v="1"/>
    <x v="0"/>
    <s v="Cool Down"/>
    <x v="723"/>
    <x v="3024"/>
    <n v="33"/>
    <n v="55"/>
    <n v="0.28999999999999998"/>
    <n v="80"/>
    <n v="12.48"/>
    <n v="2.08"/>
    <n v="40"/>
    <m/>
    <m/>
    <m/>
  </r>
  <r>
    <s v="2021-12-15 06:57 (-08)"/>
    <x v="1067"/>
    <x v="1887"/>
    <x v="6"/>
    <s v="On Demand"/>
    <x v="10"/>
    <x v="3"/>
    <x v="2"/>
    <s v="Pre &amp; Post-Ride Stretch"/>
    <x v="70"/>
    <x v="129"/>
    <m/>
    <m/>
    <m/>
    <m/>
    <m/>
    <m/>
    <n v="11"/>
    <m/>
    <m/>
    <m/>
  </r>
  <r>
    <s v="2021-12-15 12:48 (PST)"/>
    <x v="1067"/>
    <x v="640"/>
    <x v="6"/>
    <s v="On Demand"/>
    <x v="2"/>
    <x v="2"/>
    <x v="6"/>
    <s v="Power Walk"/>
    <x v="223"/>
    <x v="135"/>
    <n v="0"/>
    <m/>
    <m/>
    <m/>
    <n v="0"/>
    <n v="0"/>
    <n v="110"/>
    <n v="129.30000000000001"/>
    <m/>
    <m/>
  </r>
  <r>
    <s v="2021-12-15 21:57 (PST)"/>
    <x v="1067"/>
    <x v="824"/>
    <x v="6"/>
    <s v="On Demand"/>
    <x v="28"/>
    <x v="1"/>
    <x v="5"/>
    <s v="Relaxation"/>
    <x v="34"/>
    <x v="3025"/>
    <m/>
    <m/>
    <m/>
    <m/>
    <m/>
    <m/>
    <m/>
    <m/>
    <m/>
    <m/>
  </r>
  <r>
    <s v="2021-12-22 13:47 (PST)"/>
    <x v="1068"/>
    <x v="1760"/>
    <x v="6"/>
    <s v="On Demand"/>
    <x v="7"/>
    <x v="2"/>
    <x v="4"/>
    <s v="Slow Flow"/>
    <x v="50"/>
    <x v="3026"/>
    <m/>
    <m/>
    <m/>
    <m/>
    <m/>
    <m/>
    <n v="98"/>
    <m/>
    <m/>
    <m/>
  </r>
  <r>
    <s v="2021-12-22 17:02 (-08)"/>
    <x v="1068"/>
    <x v="557"/>
    <x v="6"/>
    <s v="On Demand"/>
    <x v="6"/>
    <x v="5"/>
    <x v="0"/>
    <s v="Low Impact"/>
    <x v="67"/>
    <x v="3027"/>
    <n v="85"/>
    <n v="71"/>
    <n v="0.32"/>
    <n v="84"/>
    <n v="13.87"/>
    <n v="4.63"/>
    <n v="105"/>
    <m/>
    <m/>
    <m/>
  </r>
  <r>
    <s v="2021-12-22 17:25 (-08)"/>
    <x v="1068"/>
    <x v="1878"/>
    <x v="6"/>
    <s v="On Demand"/>
    <x v="26"/>
    <x v="1"/>
    <x v="2"/>
    <s v="Warm Up"/>
    <x v="724"/>
    <x v="3028"/>
    <m/>
    <m/>
    <m/>
    <m/>
    <m/>
    <m/>
    <n v="46"/>
    <m/>
    <m/>
    <m/>
  </r>
  <r>
    <s v="2021-12-22 17:36 (-08)"/>
    <x v="1068"/>
    <x v="564"/>
    <x v="6"/>
    <s v="On Demand"/>
    <x v="26"/>
    <x v="2"/>
    <x v="1"/>
    <s v="Upper Body"/>
    <x v="153"/>
    <x v="3028"/>
    <m/>
    <m/>
    <m/>
    <m/>
    <m/>
    <m/>
    <n v="140"/>
    <m/>
    <m/>
    <m/>
  </r>
  <r>
    <s v="2021-12-22 18:11 (-08)"/>
    <x v="1068"/>
    <x v="592"/>
    <x v="6"/>
    <s v="On Demand"/>
    <x v="1"/>
    <x v="1"/>
    <x v="1"/>
    <s v="Core"/>
    <x v="1"/>
    <x v="3029"/>
    <m/>
    <m/>
    <m/>
    <m/>
    <m/>
    <m/>
    <n v="46"/>
    <m/>
    <m/>
    <m/>
  </r>
  <r>
    <s v="2021-12-22 18:23 (-08)"/>
    <x v="1068"/>
    <x v="555"/>
    <x v="6"/>
    <s v="On Demand"/>
    <x v="4"/>
    <x v="1"/>
    <x v="2"/>
    <s v="Full Body Stretch"/>
    <x v="725"/>
    <x v="3030"/>
    <m/>
    <m/>
    <m/>
    <m/>
    <m/>
    <m/>
    <n v="23"/>
    <m/>
    <m/>
    <m/>
  </r>
  <r>
    <s v="2021-12-22 22:21 (PST)"/>
    <x v="1068"/>
    <x v="740"/>
    <x v="6"/>
    <s v="On Demand"/>
    <x v="16"/>
    <x v="1"/>
    <x v="5"/>
    <s v="Relaxation"/>
    <x v="34"/>
    <x v="3031"/>
    <m/>
    <m/>
    <m/>
    <m/>
    <m/>
    <m/>
    <m/>
    <m/>
    <m/>
    <m/>
  </r>
  <r>
    <s v="2021-12-29 02:39 (PST)"/>
    <x v="1069"/>
    <x v="1888"/>
    <x v="6"/>
    <s v="On Demand"/>
    <x v="19"/>
    <x v="7"/>
    <x v="5"/>
    <s v="Sleep"/>
    <x v="65"/>
    <x v="145"/>
    <m/>
    <m/>
    <m/>
    <m/>
    <m/>
    <m/>
    <m/>
    <m/>
    <m/>
    <m/>
  </r>
  <r>
    <s v="2021-12-29 03:14 (PST)"/>
    <x v="1069"/>
    <x v="1889"/>
    <x v="6"/>
    <s v="On Demand"/>
    <x v="19"/>
    <x v="1"/>
    <x v="5"/>
    <s v="Sleep"/>
    <x v="66"/>
    <x v="121"/>
    <m/>
    <m/>
    <m/>
    <m/>
    <m/>
    <m/>
    <m/>
    <m/>
    <m/>
    <m/>
  </r>
  <r>
    <s v="2021-12-29 12:41 (PST)"/>
    <x v="1069"/>
    <x v="1890"/>
    <x v="6"/>
    <s v="On Demand"/>
    <x v="25"/>
    <x v="5"/>
    <x v="4"/>
    <s v="Focus Flow"/>
    <x v="40"/>
    <x v="3032"/>
    <m/>
    <m/>
    <m/>
    <m/>
    <m/>
    <m/>
    <n v="63"/>
    <m/>
    <m/>
    <m/>
  </r>
  <r>
    <s v="2021-12-29 17:31 (-08)"/>
    <x v="1069"/>
    <x v="1891"/>
    <x v="6"/>
    <s v="On Demand"/>
    <x v="9"/>
    <x v="2"/>
    <x v="0"/>
    <s v="Power Zone"/>
    <x v="426"/>
    <x v="3033"/>
    <n v="159"/>
    <n v="88"/>
    <n v="0.34"/>
    <n v="88"/>
    <n v="15.24"/>
    <n v="7.63"/>
    <n v="197"/>
    <m/>
    <m/>
    <m/>
  </r>
  <r>
    <s v="2021-12-29 18:06 (-08)"/>
    <x v="1069"/>
    <x v="603"/>
    <x v="6"/>
    <s v="On Demand"/>
    <x v="11"/>
    <x v="5"/>
    <x v="1"/>
    <s v="Upper Body"/>
    <x v="247"/>
    <x v="3034"/>
    <m/>
    <m/>
    <m/>
    <m/>
    <m/>
    <m/>
    <n v="92"/>
    <m/>
    <m/>
    <m/>
  </r>
  <r>
    <s v="2021-12-29 22:45 (PST)"/>
    <x v="1069"/>
    <x v="676"/>
    <x v="6"/>
    <s v="On Demand"/>
    <x v="25"/>
    <x v="5"/>
    <x v="5"/>
    <s v="Mindfulness"/>
    <x v="38"/>
    <x v="3035"/>
    <m/>
    <m/>
    <m/>
    <m/>
    <m/>
    <m/>
    <m/>
    <m/>
    <m/>
    <m/>
  </r>
  <r>
    <s v="2022-01-05 07:37 (PST)"/>
    <x v="1070"/>
    <x v="1505"/>
    <x v="6"/>
    <s v="On Demand"/>
    <x v="16"/>
    <x v="2"/>
    <x v="4"/>
    <s v="Theme"/>
    <x v="63"/>
    <x v="3036"/>
    <m/>
    <m/>
    <m/>
    <m/>
    <m/>
    <m/>
    <n v="91"/>
    <m/>
    <m/>
    <m/>
  </r>
  <r>
    <s v="2022-01-05 14:45 (PST)"/>
    <x v="1070"/>
    <x v="337"/>
    <x v="6"/>
    <s v="On Demand"/>
    <x v="16"/>
    <x v="1"/>
    <x v="4"/>
    <s v="Focus Flow"/>
    <x v="118"/>
    <x v="3037"/>
    <m/>
    <m/>
    <m/>
    <m/>
    <m/>
    <m/>
    <n v="34"/>
    <m/>
    <m/>
    <m/>
  </r>
  <r>
    <s v="2022-01-05 16:05 (-08)"/>
    <x v="1070"/>
    <x v="1749"/>
    <x v="6"/>
    <s v="On Demand"/>
    <x v="4"/>
    <x v="3"/>
    <x v="1"/>
    <s v="Core"/>
    <x v="6"/>
    <x v="3038"/>
    <m/>
    <m/>
    <m/>
    <m/>
    <m/>
    <m/>
    <n v="23"/>
    <m/>
    <m/>
    <m/>
  </r>
  <r>
    <s v="2022-01-05 16:13 (-08)"/>
    <x v="1070"/>
    <x v="1892"/>
    <x v="6"/>
    <s v="On Demand"/>
    <x v="5"/>
    <x v="2"/>
    <x v="0"/>
    <s v="Power Zone"/>
    <x v="5"/>
    <x v="3039"/>
    <n v="179"/>
    <n v="99"/>
    <n v="0.36"/>
    <n v="86"/>
    <n v="16.079999999999998"/>
    <n v="8.0399999999999991"/>
    <n v="221"/>
    <m/>
    <m/>
    <m/>
  </r>
  <r>
    <s v="2022-01-05 16:44 (-08)"/>
    <x v="1070"/>
    <x v="147"/>
    <x v="6"/>
    <s v="On Demand"/>
    <x v="6"/>
    <x v="2"/>
    <x v="0"/>
    <s v="Low Impact"/>
    <x v="76"/>
    <x v="3040"/>
    <n v="126"/>
    <n v="70"/>
    <n v="0.33"/>
    <n v="79"/>
    <n v="13.71"/>
    <n v="6.86"/>
    <n v="155"/>
    <m/>
    <m/>
    <m/>
  </r>
  <r>
    <s v="2022-01-05 22:26 (PST)"/>
    <x v="1070"/>
    <x v="56"/>
    <x v="6"/>
    <s v="On Demand"/>
    <x v="19"/>
    <x v="7"/>
    <x v="5"/>
    <s v="Emotions"/>
    <x v="286"/>
    <x v="3041"/>
    <m/>
    <m/>
    <m/>
    <m/>
    <m/>
    <m/>
    <m/>
    <m/>
    <m/>
    <m/>
  </r>
  <r>
    <s v="2022-01-12 07:07 (PST)"/>
    <x v="1071"/>
    <x v="503"/>
    <x v="6"/>
    <s v="On Demand"/>
    <x v="13"/>
    <x v="2"/>
    <x v="4"/>
    <s v="Flow"/>
    <x v="41"/>
    <x v="3042"/>
    <m/>
    <m/>
    <m/>
    <m/>
    <m/>
    <m/>
    <n v="96"/>
    <m/>
    <m/>
    <m/>
  </r>
  <r>
    <s v="2022-01-12 07:39 (PST)"/>
    <x v="1071"/>
    <x v="683"/>
    <x v="6"/>
    <s v="On Demand"/>
    <x v="1"/>
    <x v="3"/>
    <x v="1"/>
    <s v="Core"/>
    <x v="6"/>
    <x v="3043"/>
    <m/>
    <m/>
    <m/>
    <m/>
    <m/>
    <m/>
    <n v="23"/>
    <m/>
    <m/>
    <m/>
  </r>
  <r>
    <s v="2022-01-12 12:01 (PST)"/>
    <x v="1071"/>
    <x v="1893"/>
    <x v="6"/>
    <s v="On Demand"/>
    <x v="20"/>
    <x v="5"/>
    <x v="6"/>
    <s v="Music Walk"/>
    <x v="643"/>
    <x v="3044"/>
    <n v="0"/>
    <m/>
    <m/>
    <m/>
    <n v="0"/>
    <n v="0"/>
    <n v="66"/>
    <m/>
    <m/>
    <m/>
  </r>
  <r>
    <s v="2022-01-12 12:26 (PST)"/>
    <x v="1071"/>
    <x v="568"/>
    <x v="6"/>
    <s v="On Demand"/>
    <x v="19"/>
    <x v="1"/>
    <x v="5"/>
    <s v="Relaxation"/>
    <x v="71"/>
    <x v="3045"/>
    <m/>
    <m/>
    <m/>
    <m/>
    <m/>
    <m/>
    <m/>
    <n v="113.49"/>
    <m/>
    <m/>
  </r>
  <r>
    <s v="2022-01-12 16:13 (-08)"/>
    <x v="1071"/>
    <x v="1892"/>
    <x v="6"/>
    <s v="On Demand"/>
    <x v="0"/>
    <x v="3"/>
    <x v="0"/>
    <s v="Warm Up"/>
    <x v="22"/>
    <x v="156"/>
    <n v="25"/>
    <n v="82"/>
    <n v="0.33"/>
    <n v="85"/>
    <n v="14.3"/>
    <n v="1.19"/>
    <n v="30"/>
    <m/>
    <m/>
    <m/>
  </r>
  <r>
    <s v="2022-01-12 16:18 (-08)"/>
    <x v="1071"/>
    <x v="157"/>
    <x v="6"/>
    <s v="On Demand"/>
    <x v="7"/>
    <x v="0"/>
    <x v="0"/>
    <s v="Power Zone"/>
    <x v="85"/>
    <x v="3046"/>
    <n v="283"/>
    <n v="105"/>
    <n v="0.37"/>
    <n v="86"/>
    <n v="16.27"/>
    <n v="12.2"/>
    <n v="349"/>
    <m/>
    <m/>
    <m/>
  </r>
  <r>
    <s v="2022-01-12 17:04 (-08)"/>
    <x v="1071"/>
    <x v="1750"/>
    <x v="6"/>
    <s v="On Demand"/>
    <x v="6"/>
    <x v="3"/>
    <x v="0"/>
    <s v="Cool Down"/>
    <x v="10"/>
    <x v="156"/>
    <n v="13"/>
    <n v="43"/>
    <n v="0.24"/>
    <n v="89"/>
    <n v="11.02"/>
    <n v="0.92"/>
    <n v="16"/>
    <m/>
    <m/>
    <m/>
  </r>
  <r>
    <s v="2022-01-12 17:10 (-08)"/>
    <x v="1071"/>
    <x v="1894"/>
    <x v="6"/>
    <s v="On Demand"/>
    <x v="6"/>
    <x v="3"/>
    <x v="2"/>
    <s v="Pre &amp; Post-Ride Stretch"/>
    <x v="8"/>
    <x v="156"/>
    <m/>
    <m/>
    <m/>
    <m/>
    <m/>
    <m/>
    <n v="12"/>
    <m/>
    <m/>
    <m/>
  </r>
  <r>
    <s v="2022-01-12 23:00 (PST)"/>
    <x v="1071"/>
    <x v="129"/>
    <x v="6"/>
    <s v="On Demand"/>
    <x v="23"/>
    <x v="1"/>
    <x v="5"/>
    <s v="Sleep"/>
    <x v="39"/>
    <x v="2868"/>
    <m/>
    <m/>
    <m/>
    <m/>
    <m/>
    <m/>
    <m/>
    <m/>
    <m/>
    <m/>
  </r>
  <r>
    <s v="2022-01-19 07:26 (PST)"/>
    <x v="1072"/>
    <x v="6"/>
    <x v="6"/>
    <s v="On Demand"/>
    <x v="16"/>
    <x v="2"/>
    <x v="4"/>
    <s v="Slow Flow"/>
    <x v="220"/>
    <x v="3047"/>
    <m/>
    <m/>
    <m/>
    <m/>
    <m/>
    <m/>
    <n v="96"/>
    <m/>
    <m/>
    <m/>
  </r>
  <r>
    <s v="2022-01-19 16:29 (-08)"/>
    <x v="1072"/>
    <x v="158"/>
    <x v="6"/>
    <s v="On Demand"/>
    <x v="6"/>
    <x v="0"/>
    <x v="0"/>
    <s v="Power Zone"/>
    <x v="85"/>
    <x v="2495"/>
    <n v="288"/>
    <n v="107"/>
    <n v="0.38"/>
    <n v="85"/>
    <n v="16.43"/>
    <n v="12.32"/>
    <n v="355"/>
    <m/>
    <m/>
    <m/>
  </r>
  <r>
    <s v="2022-01-19 17:15 (-08)"/>
    <x v="1072"/>
    <x v="1895"/>
    <x v="6"/>
    <s v="On Demand"/>
    <x v="12"/>
    <x v="5"/>
    <x v="0"/>
    <s v="Low Impact"/>
    <x v="67"/>
    <x v="3048"/>
    <n v="96"/>
    <n v="80"/>
    <n v="0.38"/>
    <n v="74"/>
    <n v="14.72"/>
    <n v="4.91"/>
    <n v="119"/>
    <m/>
    <m/>
    <m/>
  </r>
  <r>
    <s v="2022-01-19 17:36 (-08)"/>
    <x v="1072"/>
    <x v="564"/>
    <x v="6"/>
    <s v="On Demand"/>
    <x v="24"/>
    <x v="3"/>
    <x v="1"/>
    <s v="Core"/>
    <x v="6"/>
    <x v="3049"/>
    <m/>
    <m/>
    <m/>
    <m/>
    <m/>
    <m/>
    <n v="23"/>
    <m/>
    <m/>
    <m/>
  </r>
  <r>
    <s v="2022-01-19 17:41 (-08)"/>
    <x v="1072"/>
    <x v="1896"/>
    <x v="6"/>
    <s v="On Demand"/>
    <x v="8"/>
    <x v="3"/>
    <x v="2"/>
    <s v="Pre &amp; Post-Ride Stretch"/>
    <x v="8"/>
    <x v="3050"/>
    <m/>
    <m/>
    <m/>
    <m/>
    <m/>
    <m/>
    <n v="11"/>
    <m/>
    <m/>
    <m/>
  </r>
  <r>
    <s v="2022-01-19 22:15 (PST)"/>
    <x v="1072"/>
    <x v="593"/>
    <x v="6"/>
    <s v="On Demand"/>
    <x v="13"/>
    <x v="5"/>
    <x v="5"/>
    <s v="Relaxation"/>
    <x v="84"/>
    <x v="3051"/>
    <m/>
    <m/>
    <m/>
    <m/>
    <m/>
    <m/>
    <m/>
    <m/>
    <m/>
    <m/>
  </r>
  <r>
    <s v="2022-01-26 07:42 (PST)"/>
    <x v="1073"/>
    <x v="136"/>
    <x v="6"/>
    <s v="On Demand"/>
    <x v="16"/>
    <x v="2"/>
    <x v="4"/>
    <s v="Flow"/>
    <x v="69"/>
    <x v="3052"/>
    <m/>
    <m/>
    <m/>
    <m/>
    <m/>
    <m/>
    <n v="95"/>
    <m/>
    <m/>
    <m/>
  </r>
  <r>
    <s v="2022-01-26 12:30 (PST)"/>
    <x v="1073"/>
    <x v="1897"/>
    <x v="6"/>
    <s v="On Demand"/>
    <x v="21"/>
    <x v="2"/>
    <x v="6"/>
    <s v="Music Walk"/>
    <x v="611"/>
    <x v="3053"/>
    <n v="0"/>
    <m/>
    <m/>
    <m/>
    <n v="0"/>
    <n v="0"/>
    <n v="99"/>
    <m/>
    <m/>
    <m/>
  </r>
  <r>
    <s v="2022-01-26 16:20 (-08)"/>
    <x v="1073"/>
    <x v="1898"/>
    <x v="6"/>
    <s v="On Demand"/>
    <x v="8"/>
    <x v="3"/>
    <x v="0"/>
    <s v="Warm Up"/>
    <x v="22"/>
    <x v="1174"/>
    <n v="22"/>
    <n v="74"/>
    <n v="0.3"/>
    <n v="93"/>
    <n v="14.26"/>
    <n v="1.19"/>
    <n v="27"/>
    <m/>
    <m/>
    <m/>
  </r>
  <r>
    <s v="2022-01-26 16:26 (-08)"/>
    <x v="1073"/>
    <x v="729"/>
    <x v="6"/>
    <s v="On Demand"/>
    <x v="6"/>
    <x v="0"/>
    <x v="0"/>
    <s v="Power Zone"/>
    <x v="85"/>
    <x v="3054"/>
    <n v="296"/>
    <n v="109"/>
    <n v="0.38"/>
    <n v="86"/>
    <n v="16.579999999999998"/>
    <n v="12.43"/>
    <n v="364"/>
    <m/>
    <m/>
    <m/>
  </r>
  <r>
    <s v="2022-01-26 17:11 (-08)"/>
    <x v="1073"/>
    <x v="1741"/>
    <x v="6"/>
    <s v="On Demand"/>
    <x v="1"/>
    <x v="3"/>
    <x v="0"/>
    <s v="Cool Down"/>
    <x v="10"/>
    <x v="2023"/>
    <n v="22"/>
    <n v="74"/>
    <n v="0.34"/>
    <n v="80"/>
    <n v="14.26"/>
    <n v="1.19"/>
    <n v="28"/>
    <m/>
    <m/>
    <m/>
  </r>
  <r>
    <s v="2022-01-26 17:21 (-08)"/>
    <x v="1073"/>
    <x v="1492"/>
    <x v="6"/>
    <s v="On Demand"/>
    <x v="17"/>
    <x v="1"/>
    <x v="1"/>
    <s v="Arms &amp; Light Weights"/>
    <x v="28"/>
    <x v="3055"/>
    <m/>
    <m/>
    <m/>
    <m/>
    <m/>
    <m/>
    <n v="46"/>
    <m/>
    <m/>
    <m/>
  </r>
  <r>
    <s v="2022-01-26 17:32 (-08)"/>
    <x v="1073"/>
    <x v="1674"/>
    <x v="6"/>
    <s v="On Demand"/>
    <x v="1"/>
    <x v="3"/>
    <x v="1"/>
    <s v="Core"/>
    <x v="6"/>
    <x v="165"/>
    <m/>
    <m/>
    <m/>
    <m/>
    <m/>
    <m/>
    <n v="23"/>
    <m/>
    <m/>
    <m/>
  </r>
  <r>
    <s v="2022-01-26 22:27 (PST)"/>
    <x v="1073"/>
    <x v="448"/>
    <x v="6"/>
    <s v="On Demand"/>
    <x v="13"/>
    <x v="5"/>
    <x v="5"/>
    <s v="Emotions"/>
    <x v="64"/>
    <x v="3056"/>
    <m/>
    <m/>
    <m/>
    <m/>
    <m/>
    <m/>
    <m/>
    <m/>
    <m/>
    <m/>
  </r>
  <r>
    <s v="2022-02-02 07:14 (PST)"/>
    <x v="1074"/>
    <x v="415"/>
    <x v="6"/>
    <s v="On Demand"/>
    <x v="7"/>
    <x v="2"/>
    <x v="4"/>
    <s v="Flow"/>
    <x v="726"/>
    <x v="3057"/>
    <m/>
    <m/>
    <m/>
    <m/>
    <m/>
    <m/>
    <n v="96"/>
    <m/>
    <m/>
    <m/>
  </r>
  <r>
    <s v="2022-02-02 16:28 (PST)"/>
    <x v="1074"/>
    <x v="1385"/>
    <x v="6"/>
    <s v="On Demand"/>
    <x v="21"/>
    <x v="0"/>
    <x v="6"/>
    <s v="Power Walk"/>
    <x v="138"/>
    <x v="2604"/>
    <n v="0"/>
    <m/>
    <m/>
    <m/>
    <n v="0"/>
    <n v="0"/>
    <n v="258"/>
    <n v="122.59"/>
    <m/>
    <m/>
  </r>
  <r>
    <s v="2022-02-02 17:20 (PST)"/>
    <x v="1074"/>
    <x v="1899"/>
    <x v="6"/>
    <s v="On Demand"/>
    <x v="1"/>
    <x v="3"/>
    <x v="1"/>
    <s v="Core"/>
    <x v="6"/>
    <x v="622"/>
    <m/>
    <m/>
    <m/>
    <m/>
    <m/>
    <m/>
    <n v="23"/>
    <m/>
    <m/>
    <m/>
  </r>
  <r>
    <s v="2022-02-02 17:37 (-08)"/>
    <x v="1074"/>
    <x v="553"/>
    <x v="6"/>
    <s v="On Demand"/>
    <x v="6"/>
    <x v="5"/>
    <x v="0"/>
    <s v="Low Impact"/>
    <x v="67"/>
    <x v="3058"/>
    <n v="91"/>
    <n v="75"/>
    <n v="0.34"/>
    <n v="81"/>
    <n v="14.37"/>
    <n v="4.79"/>
    <n v="112"/>
    <m/>
    <m/>
    <m/>
  </r>
  <r>
    <s v="2022-02-02 22:23 (PST)"/>
    <x v="1074"/>
    <x v="1044"/>
    <x v="6"/>
    <s v="On Demand"/>
    <x v="23"/>
    <x v="5"/>
    <x v="5"/>
    <s v="Relaxation"/>
    <x v="35"/>
    <x v="3059"/>
    <m/>
    <m/>
    <m/>
    <m/>
    <m/>
    <m/>
    <m/>
    <m/>
    <m/>
    <m/>
  </r>
  <r>
    <s v="2022-02-09 14:50 (PST)"/>
    <x v="1075"/>
    <x v="1900"/>
    <x v="6"/>
    <s v="On Demand"/>
    <x v="7"/>
    <x v="1"/>
    <x v="4"/>
    <s v="Flow"/>
    <x v="178"/>
    <x v="3060"/>
    <m/>
    <m/>
    <m/>
    <m/>
    <m/>
    <m/>
    <n v="33"/>
    <m/>
    <m/>
    <m/>
  </r>
  <r>
    <s v="2022-02-09 16:13 (PST)"/>
    <x v="1075"/>
    <x v="1688"/>
    <x v="6"/>
    <s v="On Demand"/>
    <x v="21"/>
    <x v="2"/>
    <x v="6"/>
    <s v="Power Walk"/>
    <x v="223"/>
    <x v="3061"/>
    <n v="0"/>
    <m/>
    <m/>
    <m/>
    <n v="0"/>
    <n v="0"/>
    <n v="110"/>
    <m/>
    <m/>
    <m/>
  </r>
  <r>
    <s v="2022-02-09 17:05 (-08)"/>
    <x v="1075"/>
    <x v="569"/>
    <x v="6"/>
    <s v="On Demand"/>
    <x v="1"/>
    <x v="1"/>
    <x v="1"/>
    <s v="Core"/>
    <x v="1"/>
    <x v="165"/>
    <m/>
    <m/>
    <m/>
    <m/>
    <m/>
    <m/>
    <n v="46"/>
    <m/>
    <m/>
    <m/>
  </r>
  <r>
    <s v="2022-02-09 17:16 (-08)"/>
    <x v="1075"/>
    <x v="159"/>
    <x v="6"/>
    <s v="On Demand"/>
    <x v="1"/>
    <x v="3"/>
    <x v="1"/>
    <s v="Core"/>
    <x v="6"/>
    <x v="165"/>
    <m/>
    <m/>
    <m/>
    <m/>
    <m/>
    <m/>
    <n v="23"/>
    <m/>
    <m/>
    <m/>
  </r>
  <r>
    <s v="2022-02-09 17:24 (-08)"/>
    <x v="1075"/>
    <x v="563"/>
    <x v="6"/>
    <s v="On Demand"/>
    <x v="6"/>
    <x v="2"/>
    <x v="0"/>
    <s v="Power Zone"/>
    <x v="189"/>
    <x v="3062"/>
    <n v="166"/>
    <n v="92"/>
    <n v="0.35"/>
    <n v="86"/>
    <n v="15.48"/>
    <n v="7.74"/>
    <n v="205"/>
    <m/>
    <m/>
    <m/>
  </r>
  <r>
    <s v="2022-02-09 17:55 (-08)"/>
    <x v="1075"/>
    <x v="1883"/>
    <x v="6"/>
    <s v="On Demand"/>
    <x v="6"/>
    <x v="3"/>
    <x v="2"/>
    <s v="Pre &amp; Post-Ride Stretch"/>
    <x v="8"/>
    <x v="156"/>
    <m/>
    <m/>
    <m/>
    <m/>
    <m/>
    <m/>
    <n v="11"/>
    <m/>
    <m/>
    <m/>
  </r>
  <r>
    <s v="2022-02-09 22:34 (PST)"/>
    <x v="1075"/>
    <x v="596"/>
    <x v="6"/>
    <s v="On Demand"/>
    <x v="16"/>
    <x v="5"/>
    <x v="5"/>
    <s v="Relaxation"/>
    <x v="35"/>
    <x v="3063"/>
    <m/>
    <m/>
    <m/>
    <m/>
    <m/>
    <m/>
    <m/>
    <m/>
    <m/>
    <m/>
  </r>
  <r>
    <s v="2022-02-16 07:22 (PST)"/>
    <x v="1076"/>
    <x v="811"/>
    <x v="6"/>
    <s v="On Demand"/>
    <x v="1"/>
    <x v="3"/>
    <x v="1"/>
    <s v="Core"/>
    <x v="6"/>
    <x v="622"/>
    <m/>
    <m/>
    <m/>
    <m/>
    <m/>
    <m/>
    <n v="23"/>
    <m/>
    <m/>
    <m/>
  </r>
  <r>
    <s v="2022-02-16 07:31 (PST)"/>
    <x v="1076"/>
    <x v="594"/>
    <x v="6"/>
    <s v="On Demand"/>
    <x v="7"/>
    <x v="2"/>
    <x v="4"/>
    <s v="Flow"/>
    <x v="69"/>
    <x v="3064"/>
    <m/>
    <m/>
    <m/>
    <m/>
    <m/>
    <m/>
    <n v="96"/>
    <m/>
    <m/>
    <m/>
  </r>
  <r>
    <s v="2022-02-16 17:13 (-08)"/>
    <x v="1076"/>
    <x v="967"/>
    <x v="6"/>
    <s v="On Demand"/>
    <x v="6"/>
    <x v="0"/>
    <x v="0"/>
    <s v="Power Zone"/>
    <x v="27"/>
    <x v="3065"/>
    <n v="282"/>
    <n v="104"/>
    <n v="0.37"/>
    <n v="86"/>
    <n v="16.399999999999999"/>
    <n v="12.3"/>
    <n v="347"/>
    <m/>
    <m/>
    <m/>
  </r>
  <r>
    <s v="2022-02-16 17:59 (-08)"/>
    <x v="1076"/>
    <x v="541"/>
    <x v="6"/>
    <s v="On Demand"/>
    <x v="9"/>
    <x v="3"/>
    <x v="0"/>
    <s v="Cool Down"/>
    <x v="10"/>
    <x v="2532"/>
    <n v="18"/>
    <n v="62"/>
    <n v="0.3"/>
    <n v="84"/>
    <n v="13.19"/>
    <n v="1.1000000000000001"/>
    <n v="23"/>
    <m/>
    <m/>
    <m/>
  </r>
  <r>
    <s v="2022-02-16 18:10 (-08)"/>
    <x v="1076"/>
    <x v="1478"/>
    <x v="6"/>
    <s v="On Demand"/>
    <x v="18"/>
    <x v="3"/>
    <x v="2"/>
    <s v="Pre &amp; Post-Ride Stretch"/>
    <x v="8"/>
    <x v="1591"/>
    <m/>
    <m/>
    <m/>
    <m/>
    <m/>
    <m/>
    <n v="11"/>
    <m/>
    <m/>
    <m/>
  </r>
  <r>
    <s v="2022-02-16 22:31 (PST)"/>
    <x v="1076"/>
    <x v="243"/>
    <x v="6"/>
    <s v="On Demand"/>
    <x v="16"/>
    <x v="5"/>
    <x v="5"/>
    <s v="Sleep"/>
    <x v="29"/>
    <x v="190"/>
    <m/>
    <m/>
    <m/>
    <m/>
    <m/>
    <m/>
    <m/>
    <m/>
    <m/>
    <m/>
  </r>
  <r>
    <s v="2022-02-23 12:20 (PST)"/>
    <x v="1077"/>
    <x v="357"/>
    <x v="6"/>
    <s v="On Demand"/>
    <x v="31"/>
    <x v="2"/>
    <x v="6"/>
    <s v="Music Walk"/>
    <x v="727"/>
    <x v="2604"/>
    <n v="0"/>
    <m/>
    <m/>
    <m/>
    <n v="0"/>
    <n v="0"/>
    <n v="102"/>
    <m/>
    <m/>
    <m/>
  </r>
  <r>
    <s v="2022-02-23 17:10 (-08)"/>
    <x v="1077"/>
    <x v="1894"/>
    <x v="6"/>
    <s v="On Demand"/>
    <x v="7"/>
    <x v="0"/>
    <x v="0"/>
    <s v="Power Zone"/>
    <x v="27"/>
    <x v="3066"/>
    <n v="270"/>
    <n v="100"/>
    <n v="0.37"/>
    <n v="85"/>
    <n v="16.04"/>
    <n v="12.03"/>
    <n v="333"/>
    <m/>
    <m/>
    <m/>
  </r>
  <r>
    <s v="2022-02-23 17:56 (-08)"/>
    <x v="1077"/>
    <x v="281"/>
    <x v="6"/>
    <s v="On Demand"/>
    <x v="8"/>
    <x v="1"/>
    <x v="1"/>
    <s v="Arms &amp; Light Weights"/>
    <x v="28"/>
    <x v="3067"/>
    <m/>
    <m/>
    <m/>
    <m/>
    <m/>
    <m/>
    <n v="46"/>
    <m/>
    <m/>
    <m/>
  </r>
  <r>
    <s v="2022-02-23 18:13 (PST)"/>
    <x v="1077"/>
    <x v="378"/>
    <x v="6"/>
    <s v="On Demand"/>
    <x v="24"/>
    <x v="1"/>
    <x v="1"/>
    <s v="Core"/>
    <x v="1"/>
    <x v="3068"/>
    <m/>
    <m/>
    <m/>
    <m/>
    <m/>
    <m/>
    <n v="44"/>
    <m/>
    <m/>
    <m/>
  </r>
  <r>
    <s v="2022-02-23 18:24 (PST)"/>
    <x v="1077"/>
    <x v="928"/>
    <x v="6"/>
    <s v="On Demand"/>
    <x v="16"/>
    <x v="2"/>
    <x v="4"/>
    <s v="Flow"/>
    <x v="150"/>
    <x v="3069"/>
    <m/>
    <m/>
    <m/>
    <m/>
    <m/>
    <m/>
    <n v="98"/>
    <m/>
    <m/>
    <m/>
  </r>
  <r>
    <s v="2022-02-23 22:24 (PST)"/>
    <x v="1077"/>
    <x v="1212"/>
    <x v="6"/>
    <s v="On Demand"/>
    <x v="19"/>
    <x v="5"/>
    <x v="5"/>
    <s v="Sleep"/>
    <x v="29"/>
    <x v="3070"/>
    <m/>
    <m/>
    <m/>
    <m/>
    <m/>
    <m/>
    <m/>
    <m/>
    <m/>
    <m/>
  </r>
  <r>
    <s v="2022-03-02 07:37 (PST)"/>
    <x v="1078"/>
    <x v="1505"/>
    <x v="6"/>
    <s v="On Demand"/>
    <x v="13"/>
    <x v="2"/>
    <x v="4"/>
    <s v="Slow Flow"/>
    <x v="50"/>
    <x v="3071"/>
    <m/>
    <m/>
    <m/>
    <m/>
    <m/>
    <m/>
    <n v="95"/>
    <m/>
    <m/>
    <m/>
  </r>
  <r>
    <s v="2022-03-02 08:22 (PST)"/>
    <x v="1078"/>
    <x v="1644"/>
    <x v="6"/>
    <s v="On Demand"/>
    <x v="19"/>
    <x v="3"/>
    <x v="5"/>
    <s v="Emotions"/>
    <x v="127"/>
    <x v="3072"/>
    <m/>
    <m/>
    <m/>
    <m/>
    <m/>
    <m/>
    <m/>
    <m/>
    <m/>
    <m/>
  </r>
  <r>
    <s v="2022-03-02 17:24 (-08)"/>
    <x v="1078"/>
    <x v="563"/>
    <x v="6"/>
    <s v="On Demand"/>
    <x v="17"/>
    <x v="3"/>
    <x v="0"/>
    <s v="Warm Up"/>
    <x v="22"/>
    <x v="3073"/>
    <n v="23"/>
    <n v="77"/>
    <n v="0.31"/>
    <n v="93"/>
    <n v="14.51"/>
    <n v="1.21"/>
    <n v="29"/>
    <m/>
    <m/>
    <m/>
  </r>
  <r>
    <s v="2022-03-02 17:30 (-08)"/>
    <x v="1078"/>
    <x v="1693"/>
    <x v="6"/>
    <s v="On Demand"/>
    <x v="6"/>
    <x v="0"/>
    <x v="0"/>
    <s v="Power Zone"/>
    <x v="27"/>
    <x v="3074"/>
    <n v="276"/>
    <n v="102"/>
    <n v="0.37"/>
    <n v="86"/>
    <n v="16.239999999999998"/>
    <n v="12.18"/>
    <n v="340"/>
    <m/>
    <m/>
    <m/>
  </r>
  <r>
    <s v="2022-03-02 18:15 (-08)"/>
    <x v="1078"/>
    <x v="1479"/>
    <x v="6"/>
    <s v="On Demand"/>
    <x v="20"/>
    <x v="3"/>
    <x v="0"/>
    <s v="Cool Down"/>
    <x v="10"/>
    <x v="3075"/>
    <n v="17"/>
    <n v="57"/>
    <n v="0.28999999999999998"/>
    <n v="82"/>
    <n v="12.69"/>
    <n v="1.06"/>
    <n v="21"/>
    <m/>
    <m/>
    <m/>
  </r>
  <r>
    <s v="2022-03-02 18:22 (-08)"/>
    <x v="1078"/>
    <x v="1901"/>
    <x v="6"/>
    <s v="On Demand"/>
    <x v="12"/>
    <x v="1"/>
    <x v="1"/>
    <s v="Arms &amp; Light Weights"/>
    <x v="28"/>
    <x v="3076"/>
    <m/>
    <m/>
    <m/>
    <m/>
    <m/>
    <m/>
    <n v="46"/>
    <m/>
    <m/>
    <m/>
  </r>
  <r>
    <s v="2022-03-02 18:34 (-08)"/>
    <x v="1078"/>
    <x v="1902"/>
    <x v="6"/>
    <s v="On Demand"/>
    <x v="3"/>
    <x v="3"/>
    <x v="1"/>
    <s v="Core"/>
    <x v="6"/>
    <x v="3077"/>
    <m/>
    <m/>
    <m/>
    <m/>
    <m/>
    <m/>
    <n v="23"/>
    <m/>
    <m/>
    <m/>
  </r>
  <r>
    <s v="2022-03-02 22:33 (PST)"/>
    <x v="1078"/>
    <x v="232"/>
    <x v="6"/>
    <s v="On Demand"/>
    <x v="16"/>
    <x v="7"/>
    <x v="5"/>
    <s v="Emotions"/>
    <x v="293"/>
    <x v="1596"/>
    <m/>
    <m/>
    <m/>
    <m/>
    <m/>
    <m/>
    <m/>
    <m/>
    <m/>
    <m/>
  </r>
  <r>
    <s v="2022-03-09 07:28 (PST)"/>
    <x v="1079"/>
    <x v="234"/>
    <x v="6"/>
    <s v="On Demand"/>
    <x v="7"/>
    <x v="0"/>
    <x v="4"/>
    <s v="Slow Flow"/>
    <x v="33"/>
    <x v="3078"/>
    <m/>
    <m/>
    <m/>
    <m/>
    <m/>
    <m/>
    <n v="141"/>
    <m/>
    <m/>
    <m/>
  </r>
  <r>
    <s v="2022-03-09 18:04 (-08)"/>
    <x v="1079"/>
    <x v="580"/>
    <x v="6"/>
    <s v="On Demand"/>
    <x v="6"/>
    <x v="0"/>
    <x v="0"/>
    <s v="Power Zone"/>
    <x v="85"/>
    <x v="3079"/>
    <n v="299"/>
    <n v="111"/>
    <n v="0.37"/>
    <n v="86"/>
    <n v="16.489999999999998"/>
    <n v="12.37"/>
    <n v="453"/>
    <n v="160.15"/>
    <m/>
    <m/>
  </r>
  <r>
    <s v="2022-03-09 18:50 (-08)"/>
    <x v="1079"/>
    <x v="1903"/>
    <x v="6"/>
    <s v="On Demand"/>
    <x v="7"/>
    <x v="1"/>
    <x v="0"/>
    <s v="Low Impact"/>
    <x v="192"/>
    <x v="3080"/>
    <n v="49"/>
    <n v="82"/>
    <n v="0.32"/>
    <n v="90"/>
    <n v="14.78"/>
    <n v="2.4700000000000002"/>
    <n v="93"/>
    <n v="147.78"/>
    <m/>
    <m/>
  </r>
  <r>
    <s v="2022-03-09 19:04 (-08)"/>
    <x v="1079"/>
    <x v="1850"/>
    <x v="6"/>
    <s v="On Demand"/>
    <x v="26"/>
    <x v="1"/>
    <x v="1"/>
    <s v="Core"/>
    <x v="1"/>
    <x v="3081"/>
    <m/>
    <m/>
    <m/>
    <m/>
    <m/>
    <m/>
    <n v="61"/>
    <n v="117.94"/>
    <m/>
    <m/>
  </r>
  <r>
    <s v="2022-03-09 19:15 (-08)"/>
    <x v="1079"/>
    <x v="1904"/>
    <x v="6"/>
    <s v="On Demand"/>
    <x v="24"/>
    <x v="3"/>
    <x v="2"/>
    <s v="Lower Body Stretch"/>
    <x v="444"/>
    <x v="3082"/>
    <m/>
    <m/>
    <m/>
    <m/>
    <m/>
    <m/>
    <n v="17"/>
    <n v="107.1"/>
    <m/>
    <m/>
  </r>
  <r>
    <s v="2022-03-09 22:36 (PST)"/>
    <x v="1079"/>
    <x v="102"/>
    <x v="6"/>
    <s v="On Demand"/>
    <x v="13"/>
    <x v="3"/>
    <x v="5"/>
    <s v="Sleep"/>
    <x v="58"/>
    <x v="1607"/>
    <m/>
    <m/>
    <m/>
    <m/>
    <m/>
    <m/>
    <m/>
    <m/>
    <m/>
    <m/>
  </r>
  <r>
    <s v="2022-03-16 07:33 (PST)"/>
    <x v="1080"/>
    <x v="118"/>
    <x v="6"/>
    <s v="On Demand"/>
    <x v="13"/>
    <x v="2"/>
    <x v="4"/>
    <s v="Flow"/>
    <x v="41"/>
    <x v="3083"/>
    <m/>
    <m/>
    <m/>
    <m/>
    <m/>
    <m/>
    <n v="98"/>
    <m/>
    <m/>
    <m/>
  </r>
  <r>
    <s v="2022-03-16 12:25 (PST)"/>
    <x v="1080"/>
    <x v="1727"/>
    <x v="6"/>
    <s v="On Demand"/>
    <x v="37"/>
    <x v="2"/>
    <x v="6"/>
    <s v="Music Walk"/>
    <x v="548"/>
    <x v="2581"/>
    <n v="0"/>
    <m/>
    <m/>
    <m/>
    <n v="3.73"/>
    <n v="1.88"/>
    <n v="250"/>
    <n v="140.59"/>
    <m/>
    <m/>
  </r>
  <r>
    <s v="2022-03-16 18:35 (-07)"/>
    <x v="1080"/>
    <x v="1865"/>
    <x v="6"/>
    <s v="On Demand"/>
    <x v="29"/>
    <x v="1"/>
    <x v="0"/>
    <s v="Warm Up"/>
    <x v="436"/>
    <x v="3084"/>
    <n v="43"/>
    <n v="71"/>
    <n v="0.3"/>
    <n v="91"/>
    <n v="13.88"/>
    <n v="2.31"/>
    <n v="63"/>
    <n v="121.76"/>
    <m/>
    <m/>
  </r>
  <r>
    <s v="2022-03-16 18:46 (-07)"/>
    <x v="1080"/>
    <x v="1072"/>
    <x v="6"/>
    <s v="On Demand"/>
    <x v="7"/>
    <x v="0"/>
    <x v="0"/>
    <s v="Power Zone"/>
    <x v="27"/>
    <x v="3085"/>
    <n v="0"/>
    <n v="0"/>
    <n v="0"/>
    <n v="0"/>
    <n v="0"/>
    <n v="0"/>
    <n v="0"/>
    <m/>
    <m/>
    <m/>
  </r>
  <r>
    <s v="2022-03-16 19:31 (-07)"/>
    <x v="1080"/>
    <x v="497"/>
    <x v="6"/>
    <s v="On Demand"/>
    <x v="7"/>
    <x v="3"/>
    <x v="0"/>
    <s v="Cool Down"/>
    <x v="10"/>
    <x v="3086"/>
    <n v="18"/>
    <n v="61"/>
    <n v="0.28999999999999998"/>
    <n v="83"/>
    <n v="12.75"/>
    <n v="1.06"/>
    <n v="34"/>
    <n v="130.43"/>
    <m/>
    <m/>
  </r>
  <r>
    <s v="2022-03-16 19:43 (-07)"/>
    <x v="1080"/>
    <x v="644"/>
    <x v="6"/>
    <s v="On Demand"/>
    <x v="4"/>
    <x v="3"/>
    <x v="1"/>
    <s v="Core"/>
    <x v="6"/>
    <x v="3087"/>
    <m/>
    <m/>
    <m/>
    <m/>
    <m/>
    <m/>
    <n v="22"/>
    <n v="104.76"/>
    <m/>
    <m/>
  </r>
  <r>
    <s v="2022-03-16 19:49 (-07)"/>
    <x v="1080"/>
    <x v="637"/>
    <x v="6"/>
    <s v="On Demand"/>
    <x v="7"/>
    <x v="3"/>
    <x v="2"/>
    <s v="Pre &amp; Post-Ride Stretch"/>
    <x v="8"/>
    <x v="684"/>
    <m/>
    <m/>
    <m/>
    <m/>
    <m/>
    <m/>
    <n v="18"/>
    <n v="100.36"/>
    <m/>
    <m/>
  </r>
  <r>
    <s v="2022-03-16 22:10 (PST)"/>
    <x v="1080"/>
    <x v="620"/>
    <x v="6"/>
    <s v="On Demand"/>
    <x v="23"/>
    <x v="1"/>
    <x v="5"/>
    <s v="Relaxation"/>
    <x v="34"/>
    <x v="1607"/>
    <m/>
    <m/>
    <m/>
    <m/>
    <m/>
    <m/>
    <m/>
    <m/>
    <m/>
    <m/>
  </r>
  <r>
    <s v="2022-03-23 07:14 (PST)"/>
    <x v="1081"/>
    <x v="415"/>
    <x v="6"/>
    <s v="On Demand"/>
    <x v="28"/>
    <x v="2"/>
    <x v="4"/>
    <s v="Focus Flow"/>
    <x v="86"/>
    <x v="3088"/>
    <m/>
    <m/>
    <m/>
    <m/>
    <m/>
    <m/>
    <n v="92"/>
    <m/>
    <m/>
    <m/>
  </r>
  <r>
    <s v="2022-03-23 16:46 (PST)"/>
    <x v="1081"/>
    <x v="100"/>
    <x v="6"/>
    <s v="On Demand"/>
    <x v="66"/>
    <x v="0"/>
    <x v="6"/>
    <s v="Podcast"/>
    <x v="728"/>
    <x v="3089"/>
    <n v="0"/>
    <m/>
    <m/>
    <m/>
    <n v="3.86"/>
    <n v="2.88"/>
    <n v="321"/>
    <n v="128.41"/>
    <m/>
    <m/>
  </r>
  <r>
    <s v="2022-03-23 17:56 (-07)"/>
    <x v="1081"/>
    <x v="257"/>
    <x v="6"/>
    <s v="On Demand"/>
    <x v="1"/>
    <x v="1"/>
    <x v="1"/>
    <s v="Core"/>
    <x v="1"/>
    <x v="3090"/>
    <m/>
    <m/>
    <m/>
    <m/>
    <m/>
    <m/>
    <n v="36"/>
    <n v="97.31"/>
    <m/>
    <m/>
  </r>
  <r>
    <s v="2022-03-23 18:08 (-07)"/>
    <x v="1081"/>
    <x v="758"/>
    <x v="6"/>
    <s v="On Demand"/>
    <x v="12"/>
    <x v="3"/>
    <x v="0"/>
    <s v="Warm Up"/>
    <x v="22"/>
    <x v="3091"/>
    <n v="23"/>
    <n v="76"/>
    <n v="0.31"/>
    <n v="90"/>
    <n v="14.38"/>
    <n v="1.2"/>
    <n v="35"/>
    <n v="131.44"/>
    <m/>
    <m/>
  </r>
  <r>
    <s v="2022-03-23 18:16 (-07)"/>
    <x v="1081"/>
    <x v="1518"/>
    <x v="6"/>
    <s v="On Demand"/>
    <x v="4"/>
    <x v="0"/>
    <x v="0"/>
    <s v="Power Zone"/>
    <x v="557"/>
    <x v="3092"/>
    <n v="271"/>
    <n v="100"/>
    <n v="0.37"/>
    <n v="86"/>
    <n v="16.12"/>
    <n v="12.09"/>
    <n v="423"/>
    <n v="148.97"/>
    <m/>
    <m/>
  </r>
  <r>
    <s v="2022-03-23 19:02 (-07)"/>
    <x v="1081"/>
    <x v="1670"/>
    <x v="6"/>
    <s v="On Demand"/>
    <x v="29"/>
    <x v="1"/>
    <x v="0"/>
    <s v="Low Impact"/>
    <x v="192"/>
    <x v="3093"/>
    <n v="34"/>
    <n v="56"/>
    <n v="0.28000000000000003"/>
    <n v="86"/>
    <n v="12.64"/>
    <n v="2.11"/>
    <n v="67"/>
    <n v="125.87"/>
    <m/>
    <m/>
  </r>
  <r>
    <s v="2022-03-23 22:36 (PST)"/>
    <x v="1081"/>
    <x v="102"/>
    <x v="6"/>
    <s v="On Demand"/>
    <x v="25"/>
    <x v="1"/>
    <x v="5"/>
    <s v="Emotions"/>
    <x v="128"/>
    <x v="3094"/>
    <m/>
    <m/>
    <m/>
    <m/>
    <m/>
    <m/>
    <m/>
    <m/>
    <m/>
    <m/>
  </r>
  <r>
    <s v="2022-03-30 17:55 (-07)"/>
    <x v="1082"/>
    <x v="608"/>
    <x v="6"/>
    <s v="On Demand"/>
    <x v="7"/>
    <x v="2"/>
    <x v="0"/>
    <s v="Power Zone"/>
    <x v="131"/>
    <x v="1489"/>
    <n v="174"/>
    <n v="96"/>
    <n v="0.35"/>
    <n v="88"/>
    <n v="15.81"/>
    <n v="7.91"/>
    <n v="276"/>
    <n v="147.18"/>
    <m/>
    <m/>
  </r>
  <r>
    <s v="2022-03-30 18:26 (-07)"/>
    <x v="1082"/>
    <x v="498"/>
    <x v="6"/>
    <s v="On Demand"/>
    <x v="7"/>
    <x v="1"/>
    <x v="1"/>
    <s v="Arms &amp; Light Weights"/>
    <x v="28"/>
    <x v="3095"/>
    <m/>
    <m/>
    <m/>
    <m/>
    <m/>
    <m/>
    <n v="56"/>
    <n v="114.83"/>
    <m/>
    <m/>
  </r>
  <r>
    <s v="2022-03-30 18:38 (-07)"/>
    <x v="1082"/>
    <x v="1905"/>
    <x v="6"/>
    <s v="On Demand"/>
    <x v="4"/>
    <x v="5"/>
    <x v="1"/>
    <s v="Core"/>
    <x v="115"/>
    <x v="3096"/>
    <m/>
    <m/>
    <m/>
    <m/>
    <m/>
    <m/>
    <n v="105"/>
    <n v="112.5"/>
    <m/>
    <m/>
  </r>
  <r>
    <s v="2022-03-30 21:57 (PST)"/>
    <x v="1082"/>
    <x v="824"/>
    <x v="6"/>
    <s v="On Demand"/>
    <x v="19"/>
    <x v="7"/>
    <x v="5"/>
    <s v="Relaxation"/>
    <x v="106"/>
    <x v="678"/>
    <m/>
    <m/>
    <m/>
    <m/>
    <m/>
    <m/>
    <m/>
    <m/>
    <m/>
    <m/>
  </r>
  <r>
    <s v="2022-04-06 07:05 (PST)"/>
    <x v="1083"/>
    <x v="69"/>
    <x v="6"/>
    <s v="On Demand"/>
    <x v="16"/>
    <x v="2"/>
    <x v="4"/>
    <s v="Flow"/>
    <x v="41"/>
    <x v="3097"/>
    <m/>
    <m/>
    <m/>
    <m/>
    <m/>
    <m/>
    <n v="95"/>
    <m/>
    <m/>
    <m/>
  </r>
  <r>
    <s v="2022-04-06 07:39 (PST)"/>
    <x v="1083"/>
    <x v="683"/>
    <x v="6"/>
    <s v="On Demand"/>
    <x v="21"/>
    <x v="1"/>
    <x v="1"/>
    <s v="Core"/>
    <x v="1"/>
    <x v="3098"/>
    <m/>
    <m/>
    <m/>
    <m/>
    <m/>
    <m/>
    <n v="45"/>
    <m/>
    <m/>
    <m/>
  </r>
  <r>
    <s v="2022-04-06 12:23 (PST)"/>
    <x v="1083"/>
    <x v="1012"/>
    <x v="6"/>
    <s v="On Demand"/>
    <x v="43"/>
    <x v="2"/>
    <x v="6"/>
    <s v="Power Walk"/>
    <x v="223"/>
    <x v="3099"/>
    <n v="0"/>
    <m/>
    <m/>
    <m/>
    <n v="0"/>
    <n v="0"/>
    <n v="110"/>
    <m/>
    <m/>
    <m/>
  </r>
  <r>
    <s v="2022-04-06 22:28 (PST)"/>
    <x v="1083"/>
    <x v="472"/>
    <x v="6"/>
    <s v="On Demand"/>
    <x v="13"/>
    <x v="1"/>
    <x v="5"/>
    <s v="Relaxation"/>
    <x v="71"/>
    <x v="3100"/>
    <m/>
    <m/>
    <m/>
    <m/>
    <m/>
    <m/>
    <m/>
    <m/>
    <m/>
    <m/>
  </r>
  <r>
    <s v="2022-04-13 07:05 (PST)"/>
    <x v="1084"/>
    <x v="69"/>
    <x v="6"/>
    <s v="On Demand"/>
    <x v="13"/>
    <x v="1"/>
    <x v="5"/>
    <s v="Breath"/>
    <x v="154"/>
    <x v="3101"/>
    <m/>
    <m/>
    <m/>
    <m/>
    <m/>
    <m/>
    <m/>
    <m/>
    <m/>
    <m/>
  </r>
  <r>
    <s v="2022-04-13 15:33 (PST)"/>
    <x v="1084"/>
    <x v="1906"/>
    <x v="6"/>
    <s v="On Demand"/>
    <x v="31"/>
    <x v="0"/>
    <x v="6"/>
    <s v="Music Walk"/>
    <x v="655"/>
    <x v="3102"/>
    <n v="0"/>
    <m/>
    <m/>
    <m/>
    <n v="3.37"/>
    <n v="2.38"/>
    <n v="279"/>
    <n v="123.96"/>
    <m/>
    <m/>
  </r>
  <r>
    <s v="2022-04-13 20:18 (PST)"/>
    <x v="1084"/>
    <x v="556"/>
    <x v="6"/>
    <s v="On Demand"/>
    <x v="13"/>
    <x v="1"/>
    <x v="5"/>
    <s v="Emotions"/>
    <x v="44"/>
    <x v="3103"/>
    <m/>
    <m/>
    <m/>
    <m/>
    <m/>
    <m/>
    <m/>
    <m/>
    <m/>
    <m/>
  </r>
  <r>
    <s v="2022-04-13 21:17 (PST)"/>
    <x v="1084"/>
    <x v="969"/>
    <x v="6"/>
    <s v="On Demand"/>
    <x v="13"/>
    <x v="1"/>
    <x v="5"/>
    <s v="Relaxation"/>
    <x v="71"/>
    <x v="3104"/>
    <m/>
    <m/>
    <m/>
    <m/>
    <m/>
    <m/>
    <m/>
    <m/>
    <m/>
    <m/>
  </r>
  <r>
    <s v="2022-04-20 11:21 (PST)"/>
    <x v="1085"/>
    <x v="307"/>
    <x v="6"/>
    <s v="On Demand"/>
    <x v="16"/>
    <x v="2"/>
    <x v="4"/>
    <s v="Slow Flow"/>
    <x v="114"/>
    <x v="3105"/>
    <m/>
    <m/>
    <m/>
    <m/>
    <m/>
    <m/>
    <n v="96"/>
    <m/>
    <m/>
    <m/>
  </r>
  <r>
    <s v="2022-04-20 18:32 (-07)"/>
    <x v="1085"/>
    <x v="1907"/>
    <x v="6"/>
    <s v="On Demand"/>
    <x v="29"/>
    <x v="3"/>
    <x v="0"/>
    <s v="Warm Up"/>
    <x v="22"/>
    <x v="3106"/>
    <n v="22"/>
    <n v="74"/>
    <n v="0.3"/>
    <n v="93"/>
    <n v="14.25"/>
    <n v="1.18"/>
    <n v="37"/>
    <n v="135.80000000000001"/>
    <m/>
    <m/>
  </r>
  <r>
    <s v="2022-04-20 18:39 (-07)"/>
    <x v="1085"/>
    <x v="1908"/>
    <x v="6"/>
    <s v="On Demand"/>
    <x v="7"/>
    <x v="0"/>
    <x v="0"/>
    <s v="Power Zone"/>
    <x v="85"/>
    <x v="2779"/>
    <n v="279"/>
    <n v="103"/>
    <n v="0.36"/>
    <n v="85"/>
    <n v="15.97"/>
    <n v="11.98"/>
    <n v="486"/>
    <n v="160.75"/>
    <m/>
    <m/>
  </r>
  <r>
    <s v="2022-04-20 19:24 (-07)"/>
    <x v="1085"/>
    <x v="1671"/>
    <x v="6"/>
    <s v="On Demand"/>
    <x v="45"/>
    <x v="3"/>
    <x v="0"/>
    <s v="Cool Down"/>
    <x v="10"/>
    <x v="496"/>
    <n v="17"/>
    <n v="55"/>
    <n v="0.3"/>
    <n v="80"/>
    <n v="12.53"/>
    <n v="1.04"/>
    <n v="36"/>
    <n v="138.41"/>
    <m/>
    <m/>
  </r>
  <r>
    <s v="2022-04-20 19:34 (-07)"/>
    <x v="1085"/>
    <x v="428"/>
    <x v="6"/>
    <s v="On Demand"/>
    <x v="27"/>
    <x v="1"/>
    <x v="1"/>
    <s v="Core"/>
    <x v="1"/>
    <x v="3107"/>
    <m/>
    <m/>
    <m/>
    <m/>
    <m/>
    <m/>
    <n v="57"/>
    <n v="116.14"/>
    <m/>
    <m/>
  </r>
  <r>
    <s v="2022-04-20 22:25 (PST)"/>
    <x v="1085"/>
    <x v="124"/>
    <x v="6"/>
    <s v="On Demand"/>
    <x v="16"/>
    <x v="1"/>
    <x v="5"/>
    <s v="Emotions"/>
    <x v="46"/>
    <x v="3108"/>
    <m/>
    <m/>
    <m/>
    <m/>
    <m/>
    <m/>
    <m/>
    <m/>
    <m/>
    <m/>
  </r>
  <r>
    <s v="2022-04-27 02:51 (PST)"/>
    <x v="1086"/>
    <x v="531"/>
    <x v="6"/>
    <s v="On Demand"/>
    <x v="13"/>
    <x v="5"/>
    <x v="5"/>
    <s v="Relaxation"/>
    <x v="35"/>
    <x v="2574"/>
    <m/>
    <m/>
    <m/>
    <m/>
    <m/>
    <m/>
    <m/>
    <m/>
    <m/>
    <m/>
  </r>
  <r>
    <s v="2022-04-27 11:30 (PST)"/>
    <x v="1086"/>
    <x v="1118"/>
    <x v="6"/>
    <s v="On Demand"/>
    <x v="13"/>
    <x v="2"/>
    <x v="4"/>
    <s v="Flow"/>
    <x v="41"/>
    <x v="3109"/>
    <m/>
    <m/>
    <m/>
    <m/>
    <m/>
    <m/>
    <n v="100"/>
    <m/>
    <m/>
    <m/>
  </r>
  <r>
    <s v="2022-04-27 12:10 (PST)"/>
    <x v="1086"/>
    <x v="330"/>
    <x v="6"/>
    <s v="On Demand"/>
    <x v="3"/>
    <x v="1"/>
    <x v="1"/>
    <s v="Core"/>
    <x v="1"/>
    <x v="3110"/>
    <m/>
    <m/>
    <m/>
    <m/>
    <m/>
    <m/>
    <n v="44"/>
    <m/>
    <m/>
    <m/>
  </r>
  <r>
    <s v="2022-04-27 16:05 (-07)"/>
    <x v="1086"/>
    <x v="1328"/>
    <x v="6"/>
    <s v="On Demand"/>
    <x v="7"/>
    <x v="0"/>
    <x v="0"/>
    <s v="Power Zone"/>
    <x v="85"/>
    <x v="2431"/>
    <n v="290"/>
    <n v="107"/>
    <n v="0.38"/>
    <n v="84"/>
    <n v="16.43"/>
    <n v="12.32"/>
    <n v="434"/>
    <n v="152.47999999999999"/>
    <m/>
    <m/>
  </r>
  <r>
    <s v="2022-04-27 16:51 (-07)"/>
    <x v="1086"/>
    <x v="686"/>
    <x v="6"/>
    <s v="On Demand"/>
    <x v="1"/>
    <x v="3"/>
    <x v="0"/>
    <s v="Cool Down"/>
    <x v="10"/>
    <x v="3111"/>
    <n v="16"/>
    <n v="54"/>
    <n v="0.3"/>
    <n v="77"/>
    <n v="12.17"/>
    <n v="1.01"/>
    <n v="31"/>
    <n v="123.25"/>
    <m/>
    <m/>
  </r>
  <r>
    <s v="2022-04-27 16:58 (-07)"/>
    <x v="1086"/>
    <x v="654"/>
    <x v="6"/>
    <s v="On Demand"/>
    <x v="12"/>
    <x v="3"/>
    <x v="2"/>
    <s v="Pre &amp; Post-Ride Stretch"/>
    <x v="8"/>
    <x v="3112"/>
    <m/>
    <m/>
    <m/>
    <m/>
    <m/>
    <m/>
    <n v="22"/>
    <n v="106.8"/>
    <m/>
    <m/>
  </r>
  <r>
    <s v="2022-04-27 22:43 (PST)"/>
    <x v="1086"/>
    <x v="477"/>
    <x v="6"/>
    <s v="On Demand"/>
    <x v="23"/>
    <x v="1"/>
    <x v="5"/>
    <s v="Sleep"/>
    <x v="39"/>
    <x v="3113"/>
    <m/>
    <m/>
    <m/>
    <m/>
    <m/>
    <m/>
    <m/>
    <m/>
    <m/>
    <m/>
  </r>
  <r>
    <s v="2022-05-04 07:25 (PST)"/>
    <x v="1087"/>
    <x v="422"/>
    <x v="6"/>
    <s v="On Demand"/>
    <x v="13"/>
    <x v="2"/>
    <x v="4"/>
    <s v="Flow"/>
    <x v="224"/>
    <x v="3114"/>
    <m/>
    <m/>
    <m/>
    <m/>
    <m/>
    <m/>
    <n v="98"/>
    <m/>
    <m/>
    <m/>
  </r>
  <r>
    <s v="2022-05-04 19:37 (-07)"/>
    <x v="1087"/>
    <x v="1909"/>
    <x v="6"/>
    <s v="On Demand"/>
    <x v="6"/>
    <x v="2"/>
    <x v="0"/>
    <s v="Power Zone"/>
    <x v="5"/>
    <x v="3115"/>
    <n v="180"/>
    <n v="100"/>
    <n v="0.35"/>
    <n v="90"/>
    <n v="16.07"/>
    <n v="8.0399999999999991"/>
    <n v="273"/>
    <n v="147.21"/>
    <m/>
    <m/>
  </r>
  <r>
    <s v="2022-05-04 22:05 (PST)"/>
    <x v="1087"/>
    <x v="655"/>
    <x v="6"/>
    <s v="On Demand"/>
    <x v="19"/>
    <x v="1"/>
    <x v="5"/>
    <s v="Sleep"/>
    <x v="39"/>
    <x v="3116"/>
    <m/>
    <m/>
    <m/>
    <m/>
    <m/>
    <m/>
    <m/>
    <m/>
    <m/>
    <m/>
  </r>
  <r>
    <s v="2022-05-11 07:30 (PST)"/>
    <x v="1088"/>
    <x v="58"/>
    <x v="6"/>
    <s v="On Demand"/>
    <x v="28"/>
    <x v="2"/>
    <x v="4"/>
    <s v="Focus Flow"/>
    <x v="86"/>
    <x v="3117"/>
    <m/>
    <m/>
    <m/>
    <m/>
    <m/>
    <m/>
    <n v="90"/>
    <m/>
    <m/>
    <m/>
  </r>
  <r>
    <s v="2022-05-11 16:35 (PST)"/>
    <x v="1088"/>
    <x v="1866"/>
    <x v="6"/>
    <s v="On Demand"/>
    <x v="31"/>
    <x v="0"/>
    <x v="6"/>
    <s v="Music Walk"/>
    <x v="655"/>
    <x v="3102"/>
    <n v="0"/>
    <m/>
    <m/>
    <m/>
    <n v="3.22"/>
    <n v="2.41"/>
    <n v="229"/>
    <m/>
    <m/>
    <m/>
  </r>
  <r>
    <s v="2022-05-11 18:13 (-07)"/>
    <x v="1088"/>
    <x v="110"/>
    <x v="6"/>
    <s v="On Demand"/>
    <x v="24"/>
    <x v="1"/>
    <x v="1"/>
    <s v="Core"/>
    <x v="1"/>
    <x v="3118"/>
    <m/>
    <m/>
    <m/>
    <m/>
    <m/>
    <m/>
    <n v="42"/>
    <n v="102.32"/>
    <m/>
    <m/>
  </r>
  <r>
    <s v="2022-05-11 18:25 (-07)"/>
    <x v="1088"/>
    <x v="688"/>
    <x v="6"/>
    <s v="On Demand"/>
    <x v="6"/>
    <x v="0"/>
    <x v="0"/>
    <s v="Low Impact"/>
    <x v="420"/>
    <x v="3119"/>
    <n v="201"/>
    <n v="74"/>
    <n v="0.33"/>
    <n v="83"/>
    <n v="14.26"/>
    <n v="10.7"/>
    <n v="248"/>
    <m/>
    <m/>
    <m/>
  </r>
  <r>
    <s v="2022-05-18 07:39 (PST)"/>
    <x v="1089"/>
    <x v="683"/>
    <x v="6"/>
    <s v="On Demand"/>
    <x v="32"/>
    <x v="2"/>
    <x v="4"/>
    <s v="Slow Flow"/>
    <x v="50"/>
    <x v="2046"/>
    <m/>
    <m/>
    <m/>
    <m/>
    <m/>
    <m/>
    <n v="88"/>
    <m/>
    <m/>
    <m/>
  </r>
  <r>
    <s v="2022-05-18 12:45 (PST)"/>
    <x v="1089"/>
    <x v="210"/>
    <x v="6"/>
    <s v="On Demand"/>
    <x v="67"/>
    <x v="0"/>
    <x v="6"/>
    <s v="Podcast"/>
    <x v="729"/>
    <x v="3120"/>
    <n v="0"/>
    <m/>
    <m/>
    <m/>
    <n v="4.2"/>
    <n v="0.37"/>
    <n v="20"/>
    <m/>
    <m/>
    <m/>
  </r>
  <r>
    <s v="2022-05-18 12:52 (PST)"/>
    <x v="1089"/>
    <x v="1910"/>
    <x v="6"/>
    <s v="On Demand"/>
    <x v="67"/>
    <x v="0"/>
    <x v="6"/>
    <s v="Podcast"/>
    <x v="729"/>
    <x v="3120"/>
    <n v="0"/>
    <m/>
    <m/>
    <m/>
    <n v="3.44"/>
    <n v="1.66"/>
    <n v="106"/>
    <m/>
    <m/>
    <m/>
  </r>
  <r>
    <s v="2022-05-18 16:48 (-07)"/>
    <x v="1089"/>
    <x v="610"/>
    <x v="6"/>
    <s v="On Demand"/>
    <x v="8"/>
    <x v="1"/>
    <x v="1"/>
    <s v="Barre"/>
    <x v="98"/>
    <x v="3121"/>
    <m/>
    <m/>
    <m/>
    <m/>
    <m/>
    <m/>
    <n v="45"/>
    <n v="104.23"/>
    <m/>
    <m/>
  </r>
  <r>
    <s v="2022-05-18 16:59 (-07)"/>
    <x v="1089"/>
    <x v="627"/>
    <x v="6"/>
    <s v="On Demand"/>
    <x v="24"/>
    <x v="1"/>
    <x v="1"/>
    <s v="Core"/>
    <x v="108"/>
    <x v="3122"/>
    <m/>
    <m/>
    <m/>
    <m/>
    <m/>
    <m/>
    <n v="39"/>
    <n v="98.54"/>
    <m/>
    <m/>
  </r>
  <r>
    <s v="2022-05-18 17:12 (-07)"/>
    <x v="1089"/>
    <x v="1911"/>
    <x v="6"/>
    <s v="On Demand"/>
    <x v="7"/>
    <x v="0"/>
    <x v="0"/>
    <s v="Power Zone"/>
    <x v="27"/>
    <x v="730"/>
    <n v="267"/>
    <n v="99"/>
    <n v="0.36"/>
    <n v="86"/>
    <n v="16.03"/>
    <n v="12.03"/>
    <n v="429"/>
    <n v="148.35"/>
    <m/>
    <m/>
  </r>
  <r>
    <s v="2022-05-18 17:58 (-07)"/>
    <x v="1089"/>
    <x v="636"/>
    <x v="6"/>
    <s v="On Demand"/>
    <x v="7"/>
    <x v="3"/>
    <x v="2"/>
    <s v="Pre &amp; Post-Ride Stretch"/>
    <x v="8"/>
    <x v="684"/>
    <m/>
    <m/>
    <m/>
    <m/>
    <m/>
    <m/>
    <n v="11"/>
    <m/>
    <m/>
    <m/>
  </r>
  <r>
    <s v="2022-05-18 23:52 (PST)"/>
    <x v="1089"/>
    <x v="368"/>
    <x v="6"/>
    <s v="On Demand"/>
    <x v="25"/>
    <x v="1"/>
    <x v="5"/>
    <s v="Emotions"/>
    <x v="15"/>
    <x v="3123"/>
    <m/>
    <m/>
    <m/>
    <m/>
    <m/>
    <m/>
    <m/>
    <m/>
    <m/>
    <m/>
  </r>
  <r>
    <s v="2022-05-25 07:34 (PST)"/>
    <x v="1090"/>
    <x v="130"/>
    <x v="6"/>
    <s v="On Demand"/>
    <x v="23"/>
    <x v="2"/>
    <x v="4"/>
    <s v="Flow"/>
    <x v="41"/>
    <x v="3124"/>
    <m/>
    <m/>
    <m/>
    <m/>
    <m/>
    <m/>
    <n v="98"/>
    <m/>
    <m/>
    <m/>
  </r>
  <r>
    <s v="2022-05-25 19:51 (-07)"/>
    <x v="1090"/>
    <x v="430"/>
    <x v="6"/>
    <s v="On Demand"/>
    <x v="15"/>
    <x v="5"/>
    <x v="0"/>
    <s v="Low Impact"/>
    <x v="360"/>
    <x v="3125"/>
    <n v="100"/>
    <n v="83"/>
    <n v="0.34"/>
    <n v="86"/>
    <n v="14.95"/>
    <n v="4.9800000000000004"/>
    <n v="160"/>
    <n v="136.75"/>
    <m/>
    <m/>
  </r>
  <r>
    <s v="2022-05-25 22:22 (PST)"/>
    <x v="1090"/>
    <x v="493"/>
    <x v="6"/>
    <s v="On Demand"/>
    <x v="25"/>
    <x v="5"/>
    <x v="5"/>
    <s v="Relaxation"/>
    <x v="112"/>
    <x v="235"/>
    <m/>
    <m/>
    <m/>
    <m/>
    <m/>
    <m/>
    <m/>
    <m/>
    <m/>
    <m/>
  </r>
  <r>
    <s v="2022-06-01 07:31 (PST)"/>
    <x v="1091"/>
    <x v="594"/>
    <x v="6"/>
    <s v="On Demand"/>
    <x v="23"/>
    <x v="2"/>
    <x v="4"/>
    <s v="Flow"/>
    <x v="41"/>
    <x v="3126"/>
    <m/>
    <m/>
    <m/>
    <m/>
    <m/>
    <m/>
    <n v="95"/>
    <m/>
    <m/>
    <m/>
  </r>
  <r>
    <s v="2022-06-01 17:21 (-07)"/>
    <x v="1091"/>
    <x v="229"/>
    <x v="6"/>
    <s v="On Demand"/>
    <x v="24"/>
    <x v="1"/>
    <x v="1"/>
    <s v="Core"/>
    <x v="108"/>
    <x v="3127"/>
    <m/>
    <m/>
    <m/>
    <m/>
    <m/>
    <m/>
    <n v="49"/>
    <n v="109.11"/>
    <m/>
    <m/>
  </r>
  <r>
    <s v="2022-06-01 17:35 (-07)"/>
    <x v="1091"/>
    <x v="487"/>
    <x v="6"/>
    <s v="On Demand"/>
    <x v="6"/>
    <x v="0"/>
    <x v="0"/>
    <s v="Power Zone"/>
    <x v="27"/>
    <x v="3128"/>
    <n v="283"/>
    <n v="105"/>
    <n v="0.37"/>
    <n v="87"/>
    <n v="16.399999999999999"/>
    <n v="12.31"/>
    <n v="397"/>
    <n v="143.03"/>
    <m/>
    <m/>
  </r>
  <r>
    <s v="2022-06-01 18:24 (-07)"/>
    <x v="1091"/>
    <x v="250"/>
    <x v="6"/>
    <s v="On Demand"/>
    <x v="31"/>
    <x v="5"/>
    <x v="1"/>
    <s v="Upper Body"/>
    <x v="141"/>
    <x v="3129"/>
    <m/>
    <m/>
    <m/>
    <m/>
    <m/>
    <m/>
    <n v="100"/>
    <n v="108.67"/>
    <m/>
    <m/>
  </r>
  <r>
    <s v="2022-06-01 22:22 (PST)"/>
    <x v="1091"/>
    <x v="493"/>
    <x v="6"/>
    <s v="On Demand"/>
    <x v="23"/>
    <x v="1"/>
    <x v="5"/>
    <s v="Breath"/>
    <x v="154"/>
    <x v="3130"/>
    <m/>
    <m/>
    <m/>
    <m/>
    <m/>
    <m/>
    <m/>
    <m/>
    <m/>
    <m/>
  </r>
  <r>
    <s v="2022-06-08 07:23 (PST)"/>
    <x v="1092"/>
    <x v="228"/>
    <x v="6"/>
    <s v="On Demand"/>
    <x v="16"/>
    <x v="2"/>
    <x v="4"/>
    <s v="Theme"/>
    <x v="730"/>
    <x v="3131"/>
    <m/>
    <m/>
    <m/>
    <m/>
    <m/>
    <m/>
    <n v="97"/>
    <m/>
    <m/>
    <m/>
  </r>
  <r>
    <s v="2022-06-08 11:13 (PST)"/>
    <x v="1092"/>
    <x v="1912"/>
    <x v="6"/>
    <s v="On Demand"/>
    <x v="53"/>
    <x v="2"/>
    <x v="6"/>
    <s v="Walk + Run"/>
    <x v="237"/>
    <x v="3132"/>
    <n v="0"/>
    <m/>
    <m/>
    <m/>
    <n v="3.45"/>
    <n v="1.72"/>
    <n v="260"/>
    <n v="97.49"/>
    <m/>
    <m/>
  </r>
  <r>
    <s v="2022-06-08 22:05 (PST)"/>
    <x v="1092"/>
    <x v="655"/>
    <x v="6"/>
    <s v="On Demand"/>
    <x v="28"/>
    <x v="1"/>
    <x v="5"/>
    <s v="Relaxation"/>
    <x v="71"/>
    <x v="3133"/>
    <m/>
    <m/>
    <m/>
    <m/>
    <m/>
    <m/>
    <m/>
    <m/>
    <m/>
    <m/>
  </r>
  <r>
    <s v="2022-06-15 12:21 (PST)"/>
    <x v="1093"/>
    <x v="225"/>
    <x v="6"/>
    <s v="On Demand"/>
    <x v="21"/>
    <x v="0"/>
    <x v="6"/>
    <s v="Music Walk"/>
    <x v="452"/>
    <x v="3134"/>
    <n v="0"/>
    <m/>
    <m/>
    <m/>
    <n v="3.31"/>
    <n v="2.27"/>
    <n v="153"/>
    <n v="121.85"/>
    <m/>
    <m/>
  </r>
  <r>
    <s v="2022-06-15 16:04 (-07)"/>
    <x v="1093"/>
    <x v="1593"/>
    <x v="6"/>
    <s v="On Demand"/>
    <x v="24"/>
    <x v="1"/>
    <x v="1"/>
    <s v="Core"/>
    <x v="108"/>
    <x v="3135"/>
    <m/>
    <m/>
    <m/>
    <m/>
    <m/>
    <m/>
    <n v="41"/>
    <n v="101.11"/>
    <m/>
    <m/>
  </r>
  <r>
    <s v="2022-06-15 16:21 (-07)"/>
    <x v="1093"/>
    <x v="236"/>
    <x v="6"/>
    <s v="On Demand"/>
    <x v="4"/>
    <x v="0"/>
    <x v="0"/>
    <s v="Power Zone"/>
    <x v="148"/>
    <x v="2741"/>
    <n v="272"/>
    <n v="101"/>
    <n v="0.38"/>
    <n v="84"/>
    <n v="16.16"/>
    <n v="12.12"/>
    <n v="475"/>
    <n v="158.13999999999999"/>
    <m/>
    <m/>
  </r>
  <r>
    <s v="2022-06-15 17:08 (-07)"/>
    <x v="1093"/>
    <x v="466"/>
    <x v="6"/>
    <s v="On Demand"/>
    <x v="24"/>
    <x v="1"/>
    <x v="1"/>
    <s v="Upper Body"/>
    <x v="117"/>
    <x v="3136"/>
    <m/>
    <m/>
    <m/>
    <m/>
    <m/>
    <m/>
    <n v="65"/>
    <n v="125.66"/>
    <m/>
    <m/>
  </r>
  <r>
    <s v="2022-06-15 17:20 (-07)"/>
    <x v="1093"/>
    <x v="619"/>
    <x v="6"/>
    <s v="On Demand"/>
    <x v="39"/>
    <x v="3"/>
    <x v="2"/>
    <s v="Pre &amp; Post-Ride Stretch"/>
    <x v="8"/>
    <x v="3137"/>
    <m/>
    <m/>
    <m/>
    <m/>
    <m/>
    <m/>
    <n v="11"/>
    <m/>
    <m/>
    <m/>
  </r>
  <r>
    <s v="2022-06-15 21:43 (PST)"/>
    <x v="1093"/>
    <x v="502"/>
    <x v="6"/>
    <s v="On Demand"/>
    <x v="13"/>
    <x v="3"/>
    <x v="5"/>
    <s v="Emotions"/>
    <x v="373"/>
    <x v="2097"/>
    <m/>
    <m/>
    <m/>
    <m/>
    <m/>
    <m/>
    <m/>
    <m/>
    <m/>
    <m/>
  </r>
  <r>
    <s v="2022-06-22 02:49 (PST)"/>
    <x v="1094"/>
    <x v="1913"/>
    <x v="6"/>
    <s v="On Demand"/>
    <x v="13"/>
    <x v="3"/>
    <x v="5"/>
    <s v="Sleep"/>
    <x v="58"/>
    <x v="2867"/>
    <m/>
    <m/>
    <m/>
    <m/>
    <m/>
    <m/>
    <m/>
    <m/>
    <m/>
    <m/>
  </r>
  <r>
    <s v="2022-06-22 08:28 (-07)"/>
    <x v="1094"/>
    <x v="1914"/>
    <x v="6"/>
    <s v="On Demand"/>
    <x v="11"/>
    <x v="3"/>
    <x v="1"/>
    <s v="Core"/>
    <x v="6"/>
    <x v="3138"/>
    <m/>
    <m/>
    <m/>
    <m/>
    <m/>
    <m/>
    <n v="22"/>
    <n v="113.44"/>
    <m/>
    <m/>
  </r>
  <r>
    <s v="2022-06-22 08:35 (-07)"/>
    <x v="1094"/>
    <x v="1915"/>
    <x v="6"/>
    <s v="On Demand"/>
    <x v="6"/>
    <x v="0"/>
    <x v="0"/>
    <s v="Power Zone"/>
    <x v="27"/>
    <x v="2595"/>
    <n v="278"/>
    <n v="103"/>
    <n v="0.37"/>
    <n v="85"/>
    <n v="16.28"/>
    <n v="12.21"/>
    <n v="496"/>
    <n v="162.19"/>
    <m/>
    <m/>
  </r>
  <r>
    <s v="2022-06-22 09:20 (-07)"/>
    <x v="1094"/>
    <x v="1916"/>
    <x v="6"/>
    <s v="On Demand"/>
    <x v="6"/>
    <x v="3"/>
    <x v="0"/>
    <s v="Cool Down"/>
    <x v="10"/>
    <x v="252"/>
    <n v="15"/>
    <n v="50"/>
    <n v="0.25"/>
    <n v="90"/>
    <n v="11.96"/>
    <n v="0.99"/>
    <n v="40"/>
    <n v="138.78"/>
    <m/>
    <m/>
  </r>
  <r>
    <s v="2022-06-22 09:28 (-07)"/>
    <x v="1094"/>
    <x v="1917"/>
    <x v="6"/>
    <s v="On Demand"/>
    <x v="31"/>
    <x v="5"/>
    <x v="1"/>
    <s v="Full Body"/>
    <x v="731"/>
    <x v="3139"/>
    <m/>
    <m/>
    <m/>
    <m/>
    <m/>
    <m/>
    <n v="153"/>
    <n v="137.85"/>
    <m/>
    <m/>
  </r>
  <r>
    <s v="2022-06-29 02:54 (PST)"/>
    <x v="1095"/>
    <x v="1809"/>
    <x v="6"/>
    <s v="On Demand"/>
    <x v="28"/>
    <x v="1"/>
    <x v="5"/>
    <s v="Sleep"/>
    <x v="39"/>
    <x v="3140"/>
    <m/>
    <m/>
    <m/>
    <m/>
    <m/>
    <m/>
    <m/>
    <m/>
    <m/>
    <m/>
  </r>
  <r>
    <s v="2022-06-29 12:23 (PST)"/>
    <x v="1095"/>
    <x v="1012"/>
    <x v="6"/>
    <s v="On Demand"/>
    <x v="6"/>
    <x v="2"/>
    <x v="6"/>
    <s v="Walk + Run"/>
    <x v="237"/>
    <x v="3141"/>
    <n v="0"/>
    <m/>
    <m/>
    <m/>
    <n v="3.79"/>
    <n v="1.89"/>
    <n v="204"/>
    <m/>
    <m/>
    <m/>
  </r>
  <r>
    <s v="2022-06-29 16:52 (-07)"/>
    <x v="1095"/>
    <x v="1499"/>
    <x v="6"/>
    <s v="On Demand"/>
    <x v="26"/>
    <x v="1"/>
    <x v="1"/>
    <s v="Core"/>
    <x v="1"/>
    <x v="3142"/>
    <m/>
    <m/>
    <m/>
    <m/>
    <m/>
    <m/>
    <n v="43"/>
    <n v="101.84"/>
    <m/>
    <m/>
  </r>
  <r>
    <s v="2022-06-29 17:08 (-07)"/>
    <x v="1095"/>
    <x v="466"/>
    <x v="6"/>
    <s v="On Demand"/>
    <x v="6"/>
    <x v="0"/>
    <x v="0"/>
    <s v="Power Zone"/>
    <x v="85"/>
    <x v="3143"/>
    <n v="308"/>
    <n v="114"/>
    <n v="0.38"/>
    <n v="86"/>
    <n v="16.920000000000002"/>
    <n v="12.69"/>
    <n v="467"/>
    <n v="157.06"/>
    <m/>
    <m/>
  </r>
  <r>
    <s v="2022-06-29 17:53 (-07)"/>
    <x v="1095"/>
    <x v="1064"/>
    <x v="6"/>
    <s v="On Demand"/>
    <x v="6"/>
    <x v="3"/>
    <x v="0"/>
    <s v="Cool Down"/>
    <x v="10"/>
    <x v="252"/>
    <n v="16"/>
    <n v="54"/>
    <n v="0.27"/>
    <n v="86"/>
    <n v="12.34"/>
    <n v="1.03"/>
    <n v="34"/>
    <n v="128.15"/>
    <m/>
    <m/>
  </r>
  <r>
    <s v="2022-06-29 18:02 (PST)"/>
    <x v="1095"/>
    <x v="1918"/>
    <x v="6"/>
    <s v="On Demand"/>
    <x v="36"/>
    <x v="3"/>
    <x v="2"/>
    <s v="Pre &amp; Post-Ride Stretch"/>
    <x v="8"/>
    <x v="3144"/>
    <m/>
    <m/>
    <m/>
    <m/>
    <m/>
    <m/>
    <n v="11"/>
    <m/>
    <m/>
    <m/>
  </r>
  <r>
    <s v="2022-06-29 22:57 (PST)"/>
    <x v="1095"/>
    <x v="1658"/>
    <x v="6"/>
    <s v="On Demand"/>
    <x v="16"/>
    <x v="5"/>
    <x v="5"/>
    <s v="Mindfulness"/>
    <x v="38"/>
    <x v="3145"/>
    <m/>
    <m/>
    <m/>
    <m/>
    <m/>
    <m/>
    <m/>
    <m/>
    <m/>
    <m/>
  </r>
  <r>
    <s v="2022-07-06 01:21 (PST)"/>
    <x v="1096"/>
    <x v="1465"/>
    <x v="6"/>
    <s v="On Demand"/>
    <x v="25"/>
    <x v="1"/>
    <x v="5"/>
    <s v="Emotions"/>
    <x v="128"/>
    <x v="3146"/>
    <m/>
    <m/>
    <m/>
    <m/>
    <m/>
    <m/>
    <m/>
    <m/>
    <m/>
    <m/>
  </r>
  <r>
    <s v="2022-07-06 07:40 (PST)"/>
    <x v="1096"/>
    <x v="484"/>
    <x v="6"/>
    <s v="On Demand"/>
    <x v="16"/>
    <x v="2"/>
    <x v="4"/>
    <s v="Flow"/>
    <x v="732"/>
    <x v="3147"/>
    <m/>
    <m/>
    <m/>
    <m/>
    <m/>
    <m/>
    <n v="95"/>
    <m/>
    <m/>
    <m/>
  </r>
  <r>
    <s v="2022-07-06 13:10 (PST)"/>
    <x v="1096"/>
    <x v="1135"/>
    <x v="6"/>
    <s v="On Demand"/>
    <x v="3"/>
    <x v="2"/>
    <x v="6"/>
    <s v="Music Walk"/>
    <x v="733"/>
    <x v="2113"/>
    <n v="0"/>
    <m/>
    <m/>
    <m/>
    <n v="3.53"/>
    <n v="1.76"/>
    <n v="110"/>
    <m/>
    <m/>
    <m/>
  </r>
  <r>
    <s v="2022-07-06 13:41 (PST)"/>
    <x v="1096"/>
    <x v="1919"/>
    <x v="6"/>
    <m/>
    <x v="34"/>
    <x v="31"/>
    <x v="6"/>
    <m/>
    <x v="734"/>
    <x v="231"/>
    <n v="0"/>
    <m/>
    <m/>
    <m/>
    <n v="3.36"/>
    <n v="0.52"/>
    <n v="34"/>
    <m/>
    <m/>
    <m/>
  </r>
  <r>
    <s v="2022-07-06 18:50 (-07)"/>
    <x v="1096"/>
    <x v="1920"/>
    <x v="6"/>
    <s v="On Demand"/>
    <x v="4"/>
    <x v="1"/>
    <x v="1"/>
    <s v="Core"/>
    <x v="735"/>
    <x v="3148"/>
    <m/>
    <m/>
    <m/>
    <m/>
    <m/>
    <m/>
    <n v="58"/>
    <n v="117.11"/>
    <m/>
    <m/>
  </r>
  <r>
    <s v="2022-07-06 22:24 (PST)"/>
    <x v="1096"/>
    <x v="1212"/>
    <x v="6"/>
    <s v="On Demand"/>
    <x v="19"/>
    <x v="1"/>
    <x v="5"/>
    <s v="Emotions"/>
    <x v="109"/>
    <x v="3149"/>
    <m/>
    <m/>
    <m/>
    <m/>
    <m/>
    <m/>
    <m/>
    <m/>
    <m/>
    <m/>
  </r>
  <r>
    <s v="2022-07-13 07:10 (PST)"/>
    <x v="1097"/>
    <x v="11"/>
    <x v="6"/>
    <s v="On Demand"/>
    <x v="16"/>
    <x v="2"/>
    <x v="4"/>
    <s v="Flow"/>
    <x v="69"/>
    <x v="3150"/>
    <m/>
    <m/>
    <m/>
    <m/>
    <m/>
    <m/>
    <n v="91"/>
    <m/>
    <m/>
    <m/>
  </r>
  <r>
    <s v="2022-07-13 07:42 (PST)"/>
    <x v="1097"/>
    <x v="136"/>
    <x v="6"/>
    <s v="On Demand"/>
    <x v="20"/>
    <x v="1"/>
    <x v="1"/>
    <s v="Core"/>
    <x v="1"/>
    <x v="3151"/>
    <m/>
    <m/>
    <m/>
    <m/>
    <m/>
    <m/>
    <n v="44"/>
    <m/>
    <m/>
    <m/>
  </r>
  <r>
    <s v="2022-07-13 12:14 (PST)"/>
    <x v="1097"/>
    <x v="1131"/>
    <x v="6"/>
    <s v="On Demand"/>
    <x v="3"/>
    <x v="5"/>
    <x v="6"/>
    <s v="Music Walk"/>
    <x v="524"/>
    <x v="3152"/>
    <n v="0"/>
    <m/>
    <m/>
    <m/>
    <n v="3.77"/>
    <n v="1.26"/>
    <n v="73"/>
    <m/>
    <m/>
    <m/>
  </r>
  <r>
    <s v="2022-07-13 12:35 (PST)"/>
    <x v="1097"/>
    <x v="308"/>
    <x v="6"/>
    <s v="On Demand"/>
    <x v="3"/>
    <x v="1"/>
    <x v="8"/>
    <s v="Warm Up/Cool Down Run"/>
    <x v="736"/>
    <x v="3153"/>
    <n v="0"/>
    <m/>
    <m/>
    <m/>
    <n v="4.0199999999999996"/>
    <n v="0.63"/>
    <n v="58"/>
    <n v="129.22"/>
    <n v="0"/>
    <d v="1899-12-30T14:56:00"/>
  </r>
  <r>
    <s v="2022-07-13 22:59 (PST)"/>
    <x v="1097"/>
    <x v="1282"/>
    <x v="6"/>
    <s v="On Demand"/>
    <x v="25"/>
    <x v="5"/>
    <x v="5"/>
    <s v="Relaxation"/>
    <x v="112"/>
    <x v="240"/>
    <m/>
    <m/>
    <m/>
    <m/>
    <m/>
    <m/>
    <m/>
    <m/>
    <m/>
    <m/>
  </r>
  <r>
    <s v="2022-07-20 09:25 (PST)"/>
    <x v="1098"/>
    <x v="1921"/>
    <x v="6"/>
    <s v="On Demand"/>
    <x v="13"/>
    <x v="2"/>
    <x v="4"/>
    <s v="Flow"/>
    <x v="41"/>
    <x v="3154"/>
    <m/>
    <m/>
    <m/>
    <m/>
    <m/>
    <m/>
    <n v="96"/>
    <m/>
    <m/>
    <m/>
  </r>
  <r>
    <s v="2022-07-20 11:26 (-07)"/>
    <x v="1098"/>
    <x v="1922"/>
    <x v="6"/>
    <s v="On Demand"/>
    <x v="12"/>
    <x v="3"/>
    <x v="1"/>
    <s v="Warm Up"/>
    <x v="116"/>
    <x v="248"/>
    <m/>
    <m/>
    <m/>
    <m/>
    <m/>
    <m/>
    <n v="24"/>
    <n v="111.52"/>
    <m/>
    <m/>
  </r>
  <r>
    <s v="2022-07-20 11:32 (-07)"/>
    <x v="1098"/>
    <x v="77"/>
    <x v="6"/>
    <s v="On Demand"/>
    <x v="12"/>
    <x v="1"/>
    <x v="1"/>
    <s v="Upper Body"/>
    <x v="117"/>
    <x v="248"/>
    <m/>
    <m/>
    <m/>
    <m/>
    <m/>
    <m/>
    <n v="53"/>
    <n v="112.28"/>
    <m/>
    <m/>
  </r>
  <r>
    <s v="2022-07-20 11:44 (-07)"/>
    <x v="1098"/>
    <x v="1923"/>
    <x v="6"/>
    <s v="On Demand"/>
    <x v="1"/>
    <x v="1"/>
    <x v="1"/>
    <s v="Core"/>
    <x v="1"/>
    <x v="3155"/>
    <m/>
    <m/>
    <m/>
    <m/>
    <m/>
    <m/>
    <n v="53"/>
    <n v="112.52"/>
    <m/>
    <m/>
  </r>
  <r>
    <s v="2022-07-20 11:57 (-07)"/>
    <x v="1098"/>
    <x v="926"/>
    <x v="6"/>
    <s v="On Demand"/>
    <x v="20"/>
    <x v="5"/>
    <x v="0"/>
    <s v="Low Impact"/>
    <x v="67"/>
    <x v="3156"/>
    <n v="103"/>
    <n v="86"/>
    <n v="0.35"/>
    <n v="82"/>
    <n v="14.99"/>
    <n v="5"/>
    <n v="166"/>
    <n v="138.4"/>
    <m/>
    <m/>
  </r>
  <r>
    <s v="2022-07-20 22:31 (PST)"/>
    <x v="1098"/>
    <x v="243"/>
    <x v="6"/>
    <s v="On Demand"/>
    <x v="23"/>
    <x v="5"/>
    <x v="5"/>
    <s v="Sleep"/>
    <x v="29"/>
    <x v="2623"/>
    <m/>
    <m/>
    <m/>
    <m/>
    <m/>
    <m/>
    <m/>
    <m/>
    <m/>
    <m/>
  </r>
  <r>
    <s v="2022-07-27 11:10 (-07)"/>
    <x v="1099"/>
    <x v="1924"/>
    <x v="6"/>
    <s v="On Demand"/>
    <x v="6"/>
    <x v="0"/>
    <x v="0"/>
    <s v="Power Zone"/>
    <x v="664"/>
    <x v="3157"/>
    <n v="318"/>
    <n v="118"/>
    <n v="0.39"/>
    <n v="86"/>
    <n v="17.23"/>
    <n v="12.92"/>
    <n v="418"/>
    <n v="147.02000000000001"/>
    <m/>
    <m/>
  </r>
  <r>
    <s v="2022-07-27 11:57 (-07)"/>
    <x v="1099"/>
    <x v="926"/>
    <x v="6"/>
    <s v="On Demand"/>
    <x v="12"/>
    <x v="3"/>
    <x v="1"/>
    <s v="Warm Up"/>
    <x v="116"/>
    <x v="248"/>
    <m/>
    <m/>
    <m/>
    <m/>
    <m/>
    <m/>
    <n v="26"/>
    <n v="114.97"/>
    <m/>
    <m/>
  </r>
  <r>
    <s v="2022-07-27 12:05 (-07)"/>
    <x v="1099"/>
    <x v="1464"/>
    <x v="6"/>
    <s v="On Demand"/>
    <x v="12"/>
    <x v="1"/>
    <x v="1"/>
    <s v="Upper Body"/>
    <x v="117"/>
    <x v="248"/>
    <m/>
    <m/>
    <m/>
    <m/>
    <m/>
    <m/>
    <n v="54"/>
    <n v="113.59"/>
    <m/>
    <m/>
  </r>
  <r>
    <s v="2022-07-27 12:16 (-07)"/>
    <x v="1099"/>
    <x v="1925"/>
    <x v="6"/>
    <s v="On Demand"/>
    <x v="31"/>
    <x v="1"/>
    <x v="1"/>
    <s v="Core"/>
    <x v="1"/>
    <x v="3158"/>
    <m/>
    <m/>
    <m/>
    <m/>
    <m/>
    <m/>
    <n v="48"/>
    <n v="108.22"/>
    <m/>
    <m/>
  </r>
  <r>
    <s v="2022-07-27 12:27 (-07)"/>
    <x v="1099"/>
    <x v="1926"/>
    <x v="6"/>
    <s v="On Demand"/>
    <x v="8"/>
    <x v="3"/>
    <x v="2"/>
    <s v="Pre &amp; Post-Ride Stretch"/>
    <x v="8"/>
    <x v="3159"/>
    <m/>
    <m/>
    <m/>
    <m/>
    <m/>
    <m/>
    <n v="20"/>
    <n v="100.47"/>
    <m/>
    <m/>
  </r>
  <r>
    <s v="2022-07-27 21:26 (PST)"/>
    <x v="1099"/>
    <x v="492"/>
    <x v="6"/>
    <s v="On Demand"/>
    <x v="7"/>
    <x v="5"/>
    <x v="4"/>
    <s v="Slow Flow"/>
    <x v="19"/>
    <x v="3160"/>
    <m/>
    <m/>
    <m/>
    <m/>
    <m/>
    <m/>
    <n v="62"/>
    <m/>
    <m/>
    <m/>
  </r>
  <r>
    <s v="2022-07-27 21:47 (PST)"/>
    <x v="1099"/>
    <x v="844"/>
    <x v="6"/>
    <s v="On Demand"/>
    <x v="32"/>
    <x v="1"/>
    <x v="4"/>
    <s v="Focus Flow"/>
    <x v="118"/>
    <x v="3161"/>
    <m/>
    <m/>
    <m/>
    <m/>
    <m/>
    <m/>
    <n v="34"/>
    <m/>
    <m/>
    <m/>
  </r>
  <r>
    <s v="2022-07-27 22:29 (PST)"/>
    <x v="1099"/>
    <x v="639"/>
    <x v="6"/>
    <s v="On Demand"/>
    <x v="28"/>
    <x v="1"/>
    <x v="5"/>
    <s v="Breath"/>
    <x v="154"/>
    <x v="3162"/>
    <m/>
    <m/>
    <m/>
    <m/>
    <m/>
    <m/>
    <m/>
    <m/>
    <m/>
    <m/>
  </r>
  <r>
    <s v="2022-08-03 07:11 (PST)"/>
    <x v="1100"/>
    <x v="13"/>
    <x v="6"/>
    <s v="On Demand"/>
    <x v="16"/>
    <x v="2"/>
    <x v="4"/>
    <s v="Flow"/>
    <x v="262"/>
    <x v="3163"/>
    <m/>
    <m/>
    <m/>
    <m/>
    <m/>
    <m/>
    <n v="95"/>
    <m/>
    <m/>
    <m/>
  </r>
  <r>
    <s v="2022-08-03 16:33 (-07)"/>
    <x v="1100"/>
    <x v="439"/>
    <x v="6"/>
    <s v="On Demand"/>
    <x v="12"/>
    <x v="7"/>
    <x v="1"/>
    <s v="Upper Body"/>
    <x v="119"/>
    <x v="248"/>
    <m/>
    <m/>
    <m/>
    <m/>
    <m/>
    <m/>
    <n v="70"/>
    <n v="106.77"/>
    <m/>
    <m/>
  </r>
  <r>
    <s v="2022-08-03 16:57 (-07)"/>
    <x v="1100"/>
    <x v="1500"/>
    <x v="6"/>
    <s v="On Demand"/>
    <x v="23"/>
    <x v="1"/>
    <x v="4"/>
    <s v="Focus Flow"/>
    <x v="118"/>
    <x v="3164"/>
    <m/>
    <m/>
    <m/>
    <m/>
    <m/>
    <m/>
    <n v="35"/>
    <n v="92.52"/>
    <m/>
    <m/>
  </r>
  <r>
    <s v="2022-08-03 22:04 (PST)"/>
    <x v="1100"/>
    <x v="529"/>
    <x v="6"/>
    <s v="On Demand"/>
    <x v="28"/>
    <x v="3"/>
    <x v="5"/>
    <s v="Fitness Focus"/>
    <x v="719"/>
    <x v="3165"/>
    <m/>
    <m/>
    <m/>
    <m/>
    <m/>
    <m/>
    <m/>
    <m/>
    <m/>
    <m/>
  </r>
  <r>
    <s v="2022-08-10 22:11 (PST)"/>
    <x v="1101"/>
    <x v="137"/>
    <x v="6"/>
    <s v="On Demand"/>
    <x v="16"/>
    <x v="1"/>
    <x v="5"/>
    <s v="Sleep"/>
    <x v="39"/>
    <x v="1245"/>
    <m/>
    <m/>
    <m/>
    <m/>
    <m/>
    <m/>
    <m/>
    <m/>
    <m/>
    <m/>
  </r>
  <r>
    <s v="2022-08-17 16:05 (-07)"/>
    <x v="1102"/>
    <x v="1328"/>
    <x v="6"/>
    <s v="On Demand"/>
    <x v="1"/>
    <x v="3"/>
    <x v="1"/>
    <s v="Core"/>
    <x v="6"/>
    <x v="2132"/>
    <m/>
    <m/>
    <m/>
    <m/>
    <m/>
    <m/>
    <n v="26"/>
    <n v="119.77"/>
    <m/>
    <m/>
  </r>
  <r>
    <s v="2022-08-17 16:15 (-07)"/>
    <x v="1102"/>
    <x v="787"/>
    <x v="6"/>
    <s v="On Demand"/>
    <x v="6"/>
    <x v="0"/>
    <x v="0"/>
    <s v="Power Zone"/>
    <x v="85"/>
    <x v="3166"/>
    <n v="329"/>
    <n v="122"/>
    <n v="0.39"/>
    <n v="85"/>
    <n v="17"/>
    <n v="12.75"/>
    <n v="525"/>
    <n v="167.83"/>
    <m/>
    <m/>
  </r>
  <r>
    <s v="2022-08-17 17:00 (-07)"/>
    <x v="1102"/>
    <x v="794"/>
    <x v="6"/>
    <s v="On Demand"/>
    <x v="6"/>
    <x v="3"/>
    <x v="0"/>
    <s v="Cool Down"/>
    <x v="10"/>
    <x v="265"/>
    <n v="10"/>
    <n v="34"/>
    <n v="0.22"/>
    <n v="84"/>
    <n v="9.85"/>
    <n v="0.82"/>
    <n v="41"/>
    <n v="138.96"/>
    <m/>
    <m/>
  </r>
  <r>
    <s v="2022-08-17 17:10 (-07)"/>
    <x v="1102"/>
    <x v="517"/>
    <x v="6"/>
    <s v="On Demand"/>
    <x v="5"/>
    <x v="3"/>
    <x v="1"/>
    <s v="Core"/>
    <x v="6"/>
    <x v="3167"/>
    <m/>
    <m/>
    <m/>
    <m/>
    <m/>
    <m/>
    <n v="26"/>
    <n v="112.79"/>
    <m/>
    <m/>
  </r>
  <r>
    <s v="2022-08-17 17:17 (-07)"/>
    <x v="1102"/>
    <x v="623"/>
    <x v="6"/>
    <s v="On Demand"/>
    <x v="12"/>
    <x v="5"/>
    <x v="1"/>
    <s v="Upper Body"/>
    <x v="247"/>
    <x v="3168"/>
    <m/>
    <m/>
    <m/>
    <m/>
    <m/>
    <m/>
    <n v="139"/>
    <n v="126.66"/>
    <m/>
    <m/>
  </r>
  <r>
    <s v="2022-08-17 18:01 (PST)"/>
    <x v="1102"/>
    <x v="155"/>
    <x v="6"/>
    <s v="On Demand"/>
    <x v="16"/>
    <x v="2"/>
    <x v="4"/>
    <s v="Slow Flow"/>
    <x v="220"/>
    <x v="3169"/>
    <m/>
    <m/>
    <m/>
    <m/>
    <m/>
    <m/>
    <n v="91"/>
    <m/>
    <m/>
    <m/>
  </r>
  <r>
    <s v="2022-08-17 22:00 (PST)"/>
    <x v="1102"/>
    <x v="365"/>
    <x v="6"/>
    <s v="On Demand"/>
    <x v="13"/>
    <x v="1"/>
    <x v="5"/>
    <s v="Emotions"/>
    <x v="737"/>
    <x v="3170"/>
    <m/>
    <m/>
    <m/>
    <m/>
    <m/>
    <m/>
    <m/>
    <m/>
    <m/>
    <m/>
  </r>
  <r>
    <s v="2022-08-24 07:16 (PST)"/>
    <x v="1103"/>
    <x v="107"/>
    <x v="6"/>
    <s v="On Demand"/>
    <x v="7"/>
    <x v="0"/>
    <x v="4"/>
    <s v="Beyond the Pose"/>
    <x v="738"/>
    <x v="3171"/>
    <m/>
    <m/>
    <m/>
    <m/>
    <m/>
    <m/>
    <n v="144"/>
    <m/>
    <m/>
    <m/>
  </r>
  <r>
    <s v="2022-08-24 13:16 (PST)"/>
    <x v="1103"/>
    <x v="1927"/>
    <x v="6"/>
    <s v="On Demand"/>
    <x v="31"/>
    <x v="1"/>
    <x v="6"/>
    <s v="Warm Up/Cool Down Walk"/>
    <x v="266"/>
    <x v="770"/>
    <n v="0"/>
    <m/>
    <m/>
    <m/>
    <n v="3.32"/>
    <n v="0.56000000000000005"/>
    <n v="37"/>
    <m/>
    <m/>
    <m/>
  </r>
  <r>
    <s v="2022-08-24 13:26 (PST)"/>
    <x v="1103"/>
    <x v="1928"/>
    <x v="6"/>
    <s v="On Demand"/>
    <x v="54"/>
    <x v="5"/>
    <x v="6"/>
    <s v="Music Walk"/>
    <x v="524"/>
    <x v="3172"/>
    <n v="0"/>
    <m/>
    <m/>
    <m/>
    <n v="3.77"/>
    <n v="1.1599999999999999"/>
    <n v="73"/>
    <m/>
    <m/>
    <m/>
  </r>
  <r>
    <s v="2022-08-24 16:49 (-07)"/>
    <x v="1103"/>
    <x v="780"/>
    <x v="6"/>
    <s v="On Demand"/>
    <x v="24"/>
    <x v="1"/>
    <x v="1"/>
    <s v="Core"/>
    <x v="108"/>
    <x v="3173"/>
    <m/>
    <m/>
    <m/>
    <m/>
    <m/>
    <m/>
    <n v="43"/>
    <n v="100.62"/>
    <m/>
    <m/>
  </r>
  <r>
    <s v="2022-08-24 17:03 (-07)"/>
    <x v="1103"/>
    <x v="801"/>
    <x v="6"/>
    <s v="On Demand"/>
    <x v="6"/>
    <x v="0"/>
    <x v="0"/>
    <s v="Power Zone"/>
    <x v="260"/>
    <x v="3174"/>
    <n v="337"/>
    <n v="125"/>
    <n v="0.39"/>
    <n v="87"/>
    <n v="17.43"/>
    <n v="13.08"/>
    <n v="505"/>
    <n v="163.98"/>
    <m/>
    <m/>
  </r>
  <r>
    <s v="2022-08-24 17:49 (-07)"/>
    <x v="1103"/>
    <x v="1457"/>
    <x v="6"/>
    <s v="On Demand"/>
    <x v="12"/>
    <x v="1"/>
    <x v="0"/>
    <s v="Cool Down"/>
    <x v="739"/>
    <x v="766"/>
    <n v="28"/>
    <n v="46"/>
    <n v="0.27"/>
    <n v="78"/>
    <n v="11.52"/>
    <n v="1.92"/>
    <n v="73"/>
    <n v="130.15"/>
    <m/>
    <m/>
  </r>
  <r>
    <s v="2022-08-24 18:00 (-07)"/>
    <x v="1103"/>
    <x v="1929"/>
    <x v="6"/>
    <s v="On Demand"/>
    <x v="42"/>
    <x v="3"/>
    <x v="2"/>
    <s v="Pre &amp; Post-Ride Stretch"/>
    <x v="740"/>
    <x v="262"/>
    <m/>
    <m/>
    <m/>
    <m/>
    <m/>
    <m/>
    <n v="22"/>
    <n v="122.4"/>
    <m/>
    <m/>
  </r>
  <r>
    <s v="2022-08-24 22:46 (PST)"/>
    <x v="1103"/>
    <x v="193"/>
    <x v="6"/>
    <s v="On Demand"/>
    <x v="28"/>
    <x v="7"/>
    <x v="5"/>
    <s v="Relaxation"/>
    <x v="94"/>
    <x v="3175"/>
    <m/>
    <m/>
    <m/>
    <m/>
    <m/>
    <m/>
    <m/>
    <m/>
    <m/>
    <m/>
  </r>
  <r>
    <s v="2022-08-31 11:29 (-07)"/>
    <x v="1104"/>
    <x v="1057"/>
    <x v="6"/>
    <s v="On Demand"/>
    <x v="4"/>
    <x v="0"/>
    <x v="0"/>
    <s v="Power Zone"/>
    <x v="222"/>
    <x v="3176"/>
    <n v="307"/>
    <n v="114"/>
    <n v="0.38"/>
    <n v="86"/>
    <n v="16.989999999999998"/>
    <n v="12.74"/>
    <n v="439"/>
    <n v="151.35"/>
    <m/>
    <m/>
  </r>
  <r>
    <s v="2022-08-31 12:14 (-07)"/>
    <x v="1104"/>
    <x v="1095"/>
    <x v="6"/>
    <s v="On Demand"/>
    <x v="20"/>
    <x v="1"/>
    <x v="1"/>
    <s v="Arms &amp; Light Weights"/>
    <x v="741"/>
    <x v="262"/>
    <m/>
    <m/>
    <m/>
    <m/>
    <m/>
    <m/>
    <n v="62"/>
    <n v="115.72"/>
    <m/>
    <m/>
  </r>
  <r>
    <s v="2022-08-31 22:06 (PST)"/>
    <x v="1104"/>
    <x v="355"/>
    <x v="6"/>
    <s v="On Demand"/>
    <x v="25"/>
    <x v="7"/>
    <x v="5"/>
    <s v="Emotions"/>
    <x v="390"/>
    <x v="3177"/>
    <m/>
    <m/>
    <m/>
    <m/>
    <m/>
    <m/>
    <m/>
    <m/>
    <m/>
    <m/>
  </r>
  <r>
    <s v="2022-09-07 11:33 (PST)"/>
    <x v="1105"/>
    <x v="595"/>
    <x v="6"/>
    <m/>
    <x v="34"/>
    <x v="32"/>
    <x v="6"/>
    <m/>
    <x v="742"/>
    <x v="231"/>
    <n v="0"/>
    <m/>
    <m/>
    <m/>
    <n v="3.06"/>
    <n v="7.0000000000000007E-2"/>
    <n v="5"/>
    <m/>
    <m/>
    <m/>
  </r>
  <r>
    <s v="2022-09-07 16:05 (-07)"/>
    <x v="1105"/>
    <x v="1328"/>
    <x v="6"/>
    <s v="On Demand"/>
    <x v="31"/>
    <x v="2"/>
    <x v="1"/>
    <s v="Full Body"/>
    <x v="536"/>
    <x v="3178"/>
    <m/>
    <m/>
    <m/>
    <m/>
    <m/>
    <m/>
    <n v="198"/>
    <n v="123.69"/>
    <m/>
    <m/>
  </r>
  <r>
    <s v="2022-09-07 16:39 (-07)"/>
    <x v="1105"/>
    <x v="203"/>
    <x v="6"/>
    <s v="On Demand"/>
    <x v="6"/>
    <x v="2"/>
    <x v="0"/>
    <s v="Power Zone"/>
    <x v="5"/>
    <x v="3179"/>
    <n v="205"/>
    <n v="114"/>
    <n v="0.4"/>
    <n v="83"/>
    <n v="16.920000000000002"/>
    <n v="8.4600000000000009"/>
    <n v="287"/>
    <n v="149.62"/>
    <m/>
    <m/>
  </r>
  <r>
    <s v="2022-09-07 17:21 (PST)"/>
    <x v="1105"/>
    <x v="854"/>
    <x v="6"/>
    <s v="On Demand"/>
    <x v="23"/>
    <x v="2"/>
    <x v="4"/>
    <s v="Flow"/>
    <x v="41"/>
    <x v="3180"/>
    <m/>
    <m/>
    <m/>
    <m/>
    <m/>
    <m/>
    <n v="109"/>
    <n v="97.36"/>
    <m/>
    <m/>
  </r>
  <r>
    <s v="2022-09-07 22:30 (PST)"/>
    <x v="1105"/>
    <x v="57"/>
    <x v="6"/>
    <s v="On Demand"/>
    <x v="25"/>
    <x v="7"/>
    <x v="5"/>
    <s v="Sleep"/>
    <x v="65"/>
    <x v="3181"/>
    <m/>
    <m/>
    <m/>
    <m/>
    <m/>
    <m/>
    <m/>
    <m/>
    <m/>
    <m/>
  </r>
  <r>
    <s v="2022-09-14 06:46 (PST)"/>
    <x v="1106"/>
    <x v="1392"/>
    <x v="6"/>
    <s v="On Demand"/>
    <x v="16"/>
    <x v="2"/>
    <x v="4"/>
    <s v="Flow"/>
    <x v="69"/>
    <x v="3182"/>
    <m/>
    <m/>
    <m/>
    <m/>
    <m/>
    <m/>
    <n v="94"/>
    <m/>
    <m/>
    <m/>
  </r>
  <r>
    <s v="2022-09-14 16:33 (-07)"/>
    <x v="1106"/>
    <x v="439"/>
    <x v="6"/>
    <s v="On Demand"/>
    <x v="6"/>
    <x v="0"/>
    <x v="0"/>
    <s v="Power Zone"/>
    <x v="85"/>
    <x v="2941"/>
    <n v="330"/>
    <n v="122"/>
    <n v="0.39"/>
    <n v="86"/>
    <n v="17.32"/>
    <n v="12.99"/>
    <n v="504"/>
    <n v="163.77000000000001"/>
    <m/>
    <m/>
  </r>
  <r>
    <s v="2022-09-14 17:19 (-07)"/>
    <x v="1106"/>
    <x v="440"/>
    <x v="6"/>
    <s v="On Demand"/>
    <x v="6"/>
    <x v="3"/>
    <x v="0"/>
    <s v="Cool Down"/>
    <x v="10"/>
    <x v="265"/>
    <n v="13"/>
    <n v="42"/>
    <n v="0.24"/>
    <n v="86"/>
    <n v="11.07"/>
    <n v="0.92"/>
    <n v="35"/>
    <n v="123.35"/>
    <m/>
    <m/>
  </r>
  <r>
    <s v="2022-09-14 17:27 (-07)"/>
    <x v="1106"/>
    <x v="109"/>
    <x v="6"/>
    <s v="On Demand"/>
    <x v="17"/>
    <x v="1"/>
    <x v="1"/>
    <s v="Arms &amp; Light Weights"/>
    <x v="28"/>
    <x v="1671"/>
    <m/>
    <m/>
    <m/>
    <m/>
    <m/>
    <m/>
    <n v="71"/>
    <n v="125.48"/>
    <m/>
    <m/>
  </r>
  <r>
    <s v="2022-09-14 17:39 (-07)"/>
    <x v="1106"/>
    <x v="616"/>
    <x v="6"/>
    <s v="On Demand"/>
    <x v="24"/>
    <x v="1"/>
    <x v="1"/>
    <s v="Core"/>
    <x v="108"/>
    <x v="3183"/>
    <m/>
    <m/>
    <m/>
    <m/>
    <m/>
    <m/>
    <n v="48"/>
    <n v="107.39"/>
    <m/>
    <m/>
  </r>
  <r>
    <s v="2022-09-14 17:50 (-07)"/>
    <x v="1106"/>
    <x v="508"/>
    <x v="6"/>
    <s v="On Demand"/>
    <x v="40"/>
    <x v="3"/>
    <x v="2"/>
    <s v="Post-Run Stretch"/>
    <x v="364"/>
    <x v="3184"/>
    <m/>
    <m/>
    <m/>
    <m/>
    <m/>
    <m/>
    <n v="20"/>
    <n v="99.99"/>
    <m/>
    <m/>
  </r>
  <r>
    <s v="2022-09-14 22:50 (PST)"/>
    <x v="1106"/>
    <x v="762"/>
    <x v="6"/>
    <s v="On Demand"/>
    <x v="23"/>
    <x v="3"/>
    <x v="5"/>
    <s v="Relaxation"/>
    <x v="89"/>
    <x v="3185"/>
    <m/>
    <m/>
    <m/>
    <m/>
    <m/>
    <m/>
    <m/>
    <m/>
    <m/>
    <m/>
  </r>
  <r>
    <s v="2022-09-21 16:11 (-07)"/>
    <x v="1107"/>
    <x v="1329"/>
    <x v="6"/>
    <s v="On Demand"/>
    <x v="6"/>
    <x v="0"/>
    <x v="0"/>
    <s v="Power Zone"/>
    <x v="85"/>
    <x v="2094"/>
    <n v="316"/>
    <n v="117"/>
    <n v="0.37"/>
    <n v="87"/>
    <n v="16.47"/>
    <n v="12.31"/>
    <n v="502"/>
    <n v="159.04"/>
    <m/>
    <m/>
  </r>
  <r>
    <s v="2022-09-21 17:07 (-07)"/>
    <x v="1107"/>
    <x v="939"/>
    <x v="6"/>
    <s v="On Demand"/>
    <x v="0"/>
    <x v="3"/>
    <x v="0"/>
    <s v="Cool Down"/>
    <x v="10"/>
    <x v="794"/>
    <n v="14"/>
    <n v="46"/>
    <n v="0.28999999999999998"/>
    <n v="72"/>
    <n v="11.32"/>
    <n v="0.94"/>
    <n v="33"/>
    <n v="120.59"/>
    <m/>
    <m/>
  </r>
  <r>
    <s v="2022-09-21 17:23 (-07)"/>
    <x v="1107"/>
    <x v="789"/>
    <x v="6"/>
    <s v="On Demand"/>
    <x v="4"/>
    <x v="3"/>
    <x v="1"/>
    <s v="Core"/>
    <x v="6"/>
    <x v="3186"/>
    <m/>
    <m/>
    <m/>
    <m/>
    <m/>
    <m/>
    <n v="26"/>
    <n v="114.26"/>
    <m/>
    <m/>
  </r>
  <r>
    <s v="2022-09-21 22:43 (PST)"/>
    <x v="1107"/>
    <x v="477"/>
    <x v="6"/>
    <s v="On Demand"/>
    <x v="13"/>
    <x v="1"/>
    <x v="5"/>
    <s v="Fitness Focus"/>
    <x v="164"/>
    <x v="782"/>
    <m/>
    <m/>
    <m/>
    <m/>
    <m/>
    <m/>
    <m/>
    <m/>
    <m/>
    <m/>
  </r>
  <r>
    <s v="2022-09-28 14:37 (-07)"/>
    <x v="1108"/>
    <x v="1784"/>
    <x v="6"/>
    <s v="On Demand"/>
    <x v="7"/>
    <x v="0"/>
    <x v="0"/>
    <s v="Power Zone"/>
    <x v="9"/>
    <x v="3187"/>
    <n v="304"/>
    <n v="113"/>
    <n v="0.37"/>
    <n v="84"/>
    <n v="16.2"/>
    <n v="12.15"/>
    <n v="509"/>
    <n v="166.32"/>
    <m/>
    <m/>
  </r>
  <r>
    <s v="2022-09-28 15:22 (-07)"/>
    <x v="1108"/>
    <x v="1930"/>
    <x v="6"/>
    <s v="On Demand"/>
    <x v="34"/>
    <x v="1"/>
    <x v="0"/>
    <s v="Scenic Ride"/>
    <x v="743"/>
    <x v="231"/>
    <n v="35"/>
    <n v="59"/>
    <n v="0.31"/>
    <n v="78"/>
    <n v="12.91"/>
    <n v="2.15"/>
    <n v="86"/>
    <n v="142.29"/>
    <m/>
    <m/>
  </r>
  <r>
    <s v="2022-09-28 15:39 (-07)"/>
    <x v="1108"/>
    <x v="1337"/>
    <x v="6"/>
    <s v="On Demand"/>
    <x v="6"/>
    <x v="3"/>
    <x v="2"/>
    <s v="Pre &amp; Post-Ride Stretch"/>
    <x v="135"/>
    <x v="766"/>
    <m/>
    <m/>
    <m/>
    <m/>
    <m/>
    <m/>
    <n v="11"/>
    <m/>
    <m/>
    <m/>
  </r>
  <r>
    <s v="2022-10-05 07:31 (PST)"/>
    <x v="1109"/>
    <x v="594"/>
    <x v="6"/>
    <s v="On Demand"/>
    <x v="23"/>
    <x v="2"/>
    <x v="4"/>
    <s v="Power"/>
    <x v="744"/>
    <x v="3188"/>
    <m/>
    <m/>
    <m/>
    <m/>
    <m/>
    <m/>
    <n v="99"/>
    <m/>
    <m/>
    <m/>
  </r>
  <r>
    <s v="2022-10-05 11:57 (PST)"/>
    <x v="1109"/>
    <x v="1931"/>
    <x v="6"/>
    <s v="On Demand"/>
    <x v="37"/>
    <x v="2"/>
    <x v="8"/>
    <s v="Theme"/>
    <x v="745"/>
    <x v="3189"/>
    <n v="0"/>
    <m/>
    <m/>
    <m/>
    <n v="0"/>
    <n v="0"/>
    <n v="257"/>
    <m/>
    <n v="0"/>
    <m/>
  </r>
  <r>
    <s v="2022-10-12 02:58 (PST)"/>
    <x v="1110"/>
    <x v="1932"/>
    <x v="6"/>
    <s v="On Demand"/>
    <x v="19"/>
    <x v="1"/>
    <x v="5"/>
    <s v="Theme"/>
    <x v="746"/>
    <x v="3190"/>
    <m/>
    <m/>
    <m/>
    <m/>
    <m/>
    <m/>
    <m/>
    <m/>
    <m/>
    <m/>
  </r>
  <r>
    <s v="2022-10-12 19:02 (-07)"/>
    <x v="1110"/>
    <x v="1670"/>
    <x v="6"/>
    <s v="On Demand"/>
    <x v="1"/>
    <x v="5"/>
    <x v="1"/>
    <s v="Core"/>
    <x v="115"/>
    <x v="3191"/>
    <m/>
    <m/>
    <m/>
    <m/>
    <m/>
    <m/>
    <n v="108"/>
    <n v="113.3"/>
    <m/>
    <m/>
  </r>
  <r>
    <s v="2022-10-12 19:24 (-07)"/>
    <x v="1110"/>
    <x v="1671"/>
    <x v="6"/>
    <s v="On Demand"/>
    <x v="11"/>
    <x v="2"/>
    <x v="1"/>
    <s v="Full Body"/>
    <x v="747"/>
    <x v="3192"/>
    <m/>
    <m/>
    <m/>
    <m/>
    <m/>
    <m/>
    <n v="273"/>
    <n v="146.27000000000001"/>
    <m/>
    <m/>
  </r>
  <r>
    <s v="2022-10-12 21:06 (PST)"/>
    <x v="1110"/>
    <x v="1216"/>
    <x v="6"/>
    <s v="On Demand"/>
    <x v="13"/>
    <x v="2"/>
    <x v="4"/>
    <s v="Flow"/>
    <x v="41"/>
    <x v="3193"/>
    <m/>
    <m/>
    <m/>
    <m/>
    <m/>
    <m/>
    <n v="89"/>
    <m/>
    <m/>
    <m/>
  </r>
  <r>
    <s v="2022-10-12 23:03 (PST)"/>
    <x v="1110"/>
    <x v="1520"/>
    <x v="6"/>
    <s v="On Demand"/>
    <x v="25"/>
    <x v="7"/>
    <x v="5"/>
    <s v="Mindfulness"/>
    <x v="42"/>
    <x v="1669"/>
    <m/>
    <m/>
    <m/>
    <m/>
    <m/>
    <m/>
    <m/>
    <m/>
    <m/>
    <m/>
  </r>
  <r>
    <s v="2022-10-19 05:18 (-07)"/>
    <x v="1111"/>
    <x v="1933"/>
    <x v="6"/>
    <s v="On Demand"/>
    <x v="6"/>
    <x v="0"/>
    <x v="0"/>
    <s v="Power Zone"/>
    <x v="27"/>
    <x v="3194"/>
    <n v="262"/>
    <n v="98"/>
    <n v="0.36"/>
    <n v="83"/>
    <n v="15.82"/>
    <n v="11.82"/>
    <n v="431"/>
    <n v="149.62"/>
    <m/>
    <m/>
  </r>
  <r>
    <s v="2022-10-19 06:11 (-07)"/>
    <x v="1111"/>
    <x v="908"/>
    <x v="6"/>
    <s v="On Demand"/>
    <x v="5"/>
    <x v="1"/>
    <x v="1"/>
    <s v="Core"/>
    <x v="1"/>
    <x v="3195"/>
    <m/>
    <m/>
    <m/>
    <m/>
    <m/>
    <m/>
    <n v="34"/>
    <n v="90.83"/>
    <m/>
    <m/>
  </r>
  <r>
    <s v="2022-10-26 08:29 (PST)"/>
    <x v="1112"/>
    <x v="213"/>
    <x v="6"/>
    <s v="On Demand"/>
    <x v="23"/>
    <x v="2"/>
    <x v="4"/>
    <s v="Focus Flow"/>
    <x v="748"/>
    <x v="3196"/>
    <m/>
    <m/>
    <m/>
    <m/>
    <m/>
    <m/>
    <n v="98"/>
    <m/>
    <m/>
    <m/>
  </r>
  <r>
    <s v="2022-10-26 17:38 (-07)"/>
    <x v="1112"/>
    <x v="770"/>
    <x v="6"/>
    <s v="On Demand"/>
    <x v="6"/>
    <x v="0"/>
    <x v="0"/>
    <s v="Power Zone"/>
    <x v="27"/>
    <x v="3194"/>
    <n v="310"/>
    <n v="115"/>
    <n v="0.39"/>
    <n v="85"/>
    <n v="17.02"/>
    <n v="12.76"/>
    <n v="488"/>
    <n v="160.63"/>
    <m/>
    <m/>
  </r>
  <r>
    <s v="2022-10-26 18:24 (-07)"/>
    <x v="1112"/>
    <x v="250"/>
    <x v="6"/>
    <s v="On Demand"/>
    <x v="1"/>
    <x v="3"/>
    <x v="0"/>
    <s v="Cool Down"/>
    <x v="749"/>
    <x v="3197"/>
    <n v="17"/>
    <n v="58"/>
    <n v="0.28999999999999998"/>
    <n v="82"/>
    <n v="12.81"/>
    <n v="1.07"/>
    <n v="39"/>
    <n v="136.91"/>
    <m/>
    <m/>
  </r>
  <r>
    <s v="2022-10-26 18:33 (-07)"/>
    <x v="1112"/>
    <x v="1934"/>
    <x v="6"/>
    <s v="On Demand"/>
    <x v="24"/>
    <x v="2"/>
    <x v="1"/>
    <s v="Full Body"/>
    <x v="750"/>
    <x v="802"/>
    <m/>
    <m/>
    <m/>
    <m/>
    <m/>
    <m/>
    <n v="188"/>
    <n v="119.44"/>
    <m/>
    <m/>
  </r>
  <r>
    <s v="2022-10-26 22:05 (PST)"/>
    <x v="1112"/>
    <x v="655"/>
    <x v="6"/>
    <s v="On Demand"/>
    <x v="25"/>
    <x v="7"/>
    <x v="5"/>
    <s v="Relaxation"/>
    <x v="199"/>
    <x v="3198"/>
    <m/>
    <m/>
    <m/>
    <m/>
    <m/>
    <m/>
    <m/>
    <m/>
    <m/>
    <m/>
  </r>
  <r>
    <s v="2022-11-02 22:25 (GMT)"/>
    <x v="1113"/>
    <x v="1935"/>
    <x v="6"/>
    <s v="On Demand"/>
    <x v="19"/>
    <x v="1"/>
    <x v="5"/>
    <s v="Breath"/>
    <x v="154"/>
    <x v="3199"/>
    <m/>
    <m/>
    <m/>
    <m/>
    <m/>
    <m/>
    <m/>
    <m/>
    <m/>
    <m/>
  </r>
  <r>
    <s v="2022-11-09 08:18 (-05)"/>
    <x v="1114"/>
    <x v="1761"/>
    <x v="6"/>
    <s v="On Demand"/>
    <x v="7"/>
    <x v="0"/>
    <x v="0"/>
    <s v="Power Zone"/>
    <x v="148"/>
    <x v="3200"/>
    <n v="199"/>
    <n v="74"/>
    <n v="0.32"/>
    <n v="84"/>
    <n v="13.96"/>
    <n v="10.47"/>
    <n v="515"/>
    <n v="165.93"/>
    <m/>
    <m/>
  </r>
  <r>
    <s v="2022-11-09 09:10 (-05)"/>
    <x v="1114"/>
    <x v="1936"/>
    <x v="6"/>
    <s v="On Demand"/>
    <x v="17"/>
    <x v="1"/>
    <x v="1"/>
    <s v="Arms &amp; Light Weights"/>
    <x v="28"/>
    <x v="3201"/>
    <m/>
    <m/>
    <m/>
    <m/>
    <m/>
    <m/>
    <n v="78"/>
    <n v="134.94999999999999"/>
    <m/>
    <m/>
  </r>
  <r>
    <s v="2022-11-09 09:20 (-05)"/>
    <x v="1114"/>
    <x v="1937"/>
    <x v="6"/>
    <s v="On Demand"/>
    <x v="1"/>
    <x v="3"/>
    <x v="2"/>
    <s v="Pre &amp; Post-Ride Stretch"/>
    <x v="8"/>
    <x v="3202"/>
    <m/>
    <m/>
    <m/>
    <m/>
    <m/>
    <m/>
    <n v="28"/>
    <n v="118.33"/>
    <m/>
    <m/>
  </r>
  <r>
    <s v="2022-11-16 08:49 (-05)"/>
    <x v="1115"/>
    <x v="1938"/>
    <x v="6"/>
    <s v="On Demand"/>
    <x v="17"/>
    <x v="2"/>
    <x v="0"/>
    <s v="Theme"/>
    <x v="751"/>
    <x v="3203"/>
    <n v="160"/>
    <n v="89"/>
    <n v="0.39"/>
    <n v="74"/>
    <n v="15.32"/>
    <n v="7.66"/>
    <n v="267"/>
    <n v="163.92"/>
    <m/>
    <m/>
  </r>
  <r>
    <s v="2022-11-16 09:21 (-05)"/>
    <x v="1115"/>
    <x v="1939"/>
    <x v="6"/>
    <s v="On Demand"/>
    <x v="29"/>
    <x v="1"/>
    <x v="0"/>
    <s v="Low Impact"/>
    <x v="149"/>
    <x v="3204"/>
    <n v="43"/>
    <n v="72"/>
    <n v="0.35"/>
    <n v="74"/>
    <n v="14.01"/>
    <n v="2.34"/>
    <n v="101"/>
    <n v="154.32"/>
    <m/>
    <m/>
  </r>
  <r>
    <s v="2022-11-16 09:31 (-05)"/>
    <x v="1115"/>
    <x v="1940"/>
    <x v="6"/>
    <s v="On Demand"/>
    <x v="1"/>
    <x v="3"/>
    <x v="0"/>
    <s v="Cool Down"/>
    <x v="10"/>
    <x v="3202"/>
    <n v="13"/>
    <n v="45"/>
    <n v="0.28999999999999998"/>
    <n v="70"/>
    <n v="11.31"/>
    <n v="0.94"/>
    <n v="42"/>
    <n v="140.58000000000001"/>
    <m/>
    <m/>
  </r>
  <r>
    <s v="2022-11-16 09:38 (-05)"/>
    <x v="1115"/>
    <x v="1941"/>
    <x v="6"/>
    <s v="On Demand"/>
    <x v="36"/>
    <x v="1"/>
    <x v="1"/>
    <s v="Arms &amp; Light Weights"/>
    <x v="28"/>
    <x v="3205"/>
    <m/>
    <m/>
    <m/>
    <m/>
    <m/>
    <m/>
    <n v="67"/>
    <n v="124.87"/>
    <m/>
    <m/>
  </r>
  <r>
    <s v="2022-11-16 09:52 (EST)"/>
    <x v="1115"/>
    <x v="1942"/>
    <x v="6"/>
    <s v="On Demand"/>
    <x v="24"/>
    <x v="5"/>
    <x v="1"/>
    <s v="Core"/>
    <x v="575"/>
    <x v="3206"/>
    <m/>
    <m/>
    <m/>
    <m/>
    <m/>
    <m/>
    <n v="99"/>
    <n v="108.84"/>
    <m/>
    <m/>
  </r>
  <r>
    <s v="2022-11-16 10:14 (EST)"/>
    <x v="1115"/>
    <x v="1943"/>
    <x v="6"/>
    <s v="On Demand"/>
    <x v="23"/>
    <x v="2"/>
    <x v="4"/>
    <s v="Flow"/>
    <x v="752"/>
    <x v="3207"/>
    <m/>
    <m/>
    <m/>
    <m/>
    <m/>
    <m/>
    <n v="13"/>
    <n v="106.61"/>
    <m/>
    <m/>
  </r>
  <r>
    <s v="2022-11-23 13:31 (-08)"/>
    <x v="1116"/>
    <x v="839"/>
    <x v="6"/>
    <s v="On Demand"/>
    <x v="4"/>
    <x v="4"/>
    <x v="0"/>
    <s v="Power Zone"/>
    <x v="7"/>
    <x v="3208"/>
    <n v="357"/>
    <n v="99"/>
    <n v="0.37"/>
    <n v="83"/>
    <n v="16.09"/>
    <n v="16.09"/>
    <n v="698"/>
    <n v="167.52"/>
    <m/>
    <m/>
  </r>
  <r>
    <s v="2022-11-23 14:33 (-08)"/>
    <x v="1116"/>
    <x v="1944"/>
    <x v="6"/>
    <s v="On Demand"/>
    <x v="8"/>
    <x v="3"/>
    <x v="0"/>
    <s v="Cool Down"/>
    <x v="10"/>
    <x v="3209"/>
    <n v="17"/>
    <n v="56"/>
    <n v="0.3"/>
    <n v="79"/>
    <n v="12.56"/>
    <n v="1.05"/>
    <n v="21"/>
    <m/>
    <m/>
    <m/>
  </r>
  <r>
    <s v="2022-11-30 07:25 (PST)"/>
    <x v="1117"/>
    <x v="422"/>
    <x v="6"/>
    <s v="On Demand"/>
    <x v="16"/>
    <x v="2"/>
    <x v="4"/>
    <s v="Slow Flow"/>
    <x v="114"/>
    <x v="3210"/>
    <m/>
    <m/>
    <m/>
    <m/>
    <m/>
    <m/>
    <n v="92"/>
    <m/>
    <m/>
    <m/>
  </r>
  <r>
    <s v="2022-11-30 16:10 (PST)"/>
    <x v="1117"/>
    <x v="1945"/>
    <x v="6"/>
    <s v="On Demand"/>
    <x v="40"/>
    <x v="5"/>
    <x v="6"/>
    <s v="Power Walk"/>
    <x v="110"/>
    <x v="2666"/>
    <n v="0"/>
    <m/>
    <m/>
    <m/>
    <n v="3.36"/>
    <n v="1.1200000000000001"/>
    <n v="162"/>
    <n v="141.93"/>
    <m/>
    <m/>
  </r>
  <r>
    <s v="2022-11-30 16:30 (PST)"/>
    <x v="1117"/>
    <x v="1946"/>
    <x v="6"/>
    <m/>
    <x v="34"/>
    <x v="5"/>
    <x v="6"/>
    <m/>
    <x v="753"/>
    <x v="231"/>
    <n v="0"/>
    <m/>
    <m/>
    <m/>
    <n v="3.11"/>
    <n v="1.01"/>
    <n v="156"/>
    <n v="133.88"/>
    <m/>
    <m/>
  </r>
  <r>
    <s v="2022-11-30 17:31 (-08)"/>
    <x v="1117"/>
    <x v="1891"/>
    <x v="6"/>
    <s v="On Demand"/>
    <x v="7"/>
    <x v="2"/>
    <x v="0"/>
    <s v="Power Zone"/>
    <x v="5"/>
    <x v="3211"/>
    <n v="174"/>
    <n v="97"/>
    <n v="0.36"/>
    <n v="84"/>
    <n v="15.85"/>
    <n v="7.92"/>
    <n v="324"/>
    <n v="160.46"/>
    <m/>
    <m/>
  </r>
  <r>
    <s v="2022-11-30 18:02 (-08)"/>
    <x v="1117"/>
    <x v="1678"/>
    <x v="6"/>
    <s v="On Demand"/>
    <x v="10"/>
    <x v="3"/>
    <x v="0"/>
    <s v="Cool Down"/>
    <x v="10"/>
    <x v="3212"/>
    <n v="21"/>
    <n v="70"/>
    <n v="0.33"/>
    <n v="79"/>
    <n v="13.77"/>
    <n v="1.1499999999999999"/>
    <n v="44"/>
    <n v="143.57"/>
    <m/>
    <m/>
  </r>
  <r>
    <s v="2022-11-30 18:10 (-08)"/>
    <x v="1117"/>
    <x v="1478"/>
    <x v="6"/>
    <s v="On Demand"/>
    <x v="20"/>
    <x v="5"/>
    <x v="1"/>
    <s v="Core"/>
    <x v="115"/>
    <x v="3213"/>
    <m/>
    <m/>
    <m/>
    <m/>
    <m/>
    <m/>
    <n v="127"/>
    <n v="121.71"/>
    <m/>
    <m/>
  </r>
  <r>
    <s v="2022-11-30 23:22 (PST)"/>
    <x v="1117"/>
    <x v="168"/>
    <x v="6"/>
    <s v="On Demand"/>
    <x v="28"/>
    <x v="5"/>
    <x v="5"/>
    <s v="Mindfulness"/>
    <x v="38"/>
    <x v="288"/>
    <m/>
    <m/>
    <m/>
    <m/>
    <m/>
    <m/>
    <m/>
    <m/>
    <m/>
    <m/>
  </r>
  <r>
    <s v="2022-12-07 11:44 (PST)"/>
    <x v="1118"/>
    <x v="1947"/>
    <x v="6"/>
    <s v="On Demand"/>
    <x v="54"/>
    <x v="7"/>
    <x v="6"/>
    <s v="Music Walk"/>
    <x v="754"/>
    <x v="3214"/>
    <n v="0"/>
    <m/>
    <m/>
    <m/>
    <n v="3.12"/>
    <n v="0.8"/>
    <n v="128"/>
    <n v="142.41999999999999"/>
    <m/>
    <m/>
  </r>
  <r>
    <s v="2022-12-07 12:01 (PST)"/>
    <x v="1118"/>
    <x v="1893"/>
    <x v="6"/>
    <s v="On Demand"/>
    <x v="5"/>
    <x v="5"/>
    <x v="6"/>
    <s v="Music Walk"/>
    <x v="450"/>
    <x v="799"/>
    <n v="0"/>
    <m/>
    <m/>
    <m/>
    <n v="3.25"/>
    <n v="1.02"/>
    <n v="168"/>
    <n v="140.22999999999999"/>
    <m/>
    <m/>
  </r>
  <r>
    <s v="2022-12-07 13:15 (PST)"/>
    <x v="1118"/>
    <x v="1715"/>
    <x v="6"/>
    <s v="On Demand"/>
    <x v="16"/>
    <x v="2"/>
    <x v="4"/>
    <s v="Slow Flow"/>
    <x v="220"/>
    <x v="3215"/>
    <m/>
    <m/>
    <m/>
    <m/>
    <m/>
    <m/>
    <n v="90"/>
    <m/>
    <m/>
    <m/>
  </r>
  <r>
    <s v="2022-12-07 16:13 (-08)"/>
    <x v="1118"/>
    <x v="1892"/>
    <x v="6"/>
    <s v="On Demand"/>
    <x v="21"/>
    <x v="1"/>
    <x v="1"/>
    <s v="Core"/>
    <x v="242"/>
    <x v="3216"/>
    <m/>
    <m/>
    <m/>
    <m/>
    <m/>
    <m/>
    <n v="44"/>
    <n v="103.54"/>
    <m/>
    <m/>
  </r>
  <r>
    <s v="2022-12-07 16:25 (-08)"/>
    <x v="1118"/>
    <x v="546"/>
    <x v="6"/>
    <s v="On Demand"/>
    <x v="4"/>
    <x v="0"/>
    <x v="0"/>
    <s v="Power Zone"/>
    <x v="85"/>
    <x v="573"/>
    <n v="269"/>
    <n v="100"/>
    <n v="0.36"/>
    <n v="85"/>
    <n v="15.88"/>
    <n v="11.91"/>
    <n v="510"/>
    <n v="164.18"/>
    <m/>
    <m/>
  </r>
  <r>
    <s v="2022-12-07 17:12 (-08)"/>
    <x v="1118"/>
    <x v="536"/>
    <x v="6"/>
    <s v="On Demand"/>
    <x v="10"/>
    <x v="1"/>
    <x v="0"/>
    <s v="Cool Down"/>
    <x v="17"/>
    <x v="2679"/>
    <n v="32"/>
    <n v="53"/>
    <n v="0.28000000000000003"/>
    <n v="81"/>
    <n v="12.28"/>
    <n v="2.0499999999999998"/>
    <n v="87"/>
    <n v="141.32"/>
    <m/>
    <m/>
  </r>
  <r>
    <s v="2022-12-07 22:50 (PST)"/>
    <x v="1118"/>
    <x v="762"/>
    <x v="6"/>
    <s v="On Demand"/>
    <x v="25"/>
    <x v="1"/>
    <x v="5"/>
    <s v="Relaxation"/>
    <x v="34"/>
    <x v="3217"/>
    <m/>
    <m/>
    <m/>
    <m/>
    <m/>
    <m/>
    <m/>
    <m/>
    <m/>
    <m/>
  </r>
  <r>
    <s v="2022-12-14 04:53 (EST)"/>
    <x v="1119"/>
    <x v="1948"/>
    <x v="6"/>
    <s v="On Demand"/>
    <x v="28"/>
    <x v="7"/>
    <x v="5"/>
    <s v="Emotions"/>
    <x v="219"/>
    <x v="3218"/>
    <m/>
    <m/>
    <m/>
    <m/>
    <m/>
    <m/>
    <m/>
    <m/>
    <m/>
    <m/>
  </r>
  <r>
    <s v="2022-12-14 09:18 (-05)"/>
    <x v="1119"/>
    <x v="1949"/>
    <x v="6"/>
    <s v="On Demand"/>
    <x v="4"/>
    <x v="1"/>
    <x v="0"/>
    <s v="Low Impact"/>
    <x v="149"/>
    <x v="3219"/>
    <n v="37"/>
    <n v="62"/>
    <n v="0.28000000000000003"/>
    <n v="90"/>
    <n v="13.04"/>
    <n v="2.17"/>
    <n v="82"/>
    <n v="136.99"/>
    <m/>
    <m/>
  </r>
  <r>
    <s v="2022-12-14 09:29 (-05)"/>
    <x v="1119"/>
    <x v="1766"/>
    <x v="6"/>
    <s v="On Demand"/>
    <x v="6"/>
    <x v="2"/>
    <x v="0"/>
    <s v="Power Zone"/>
    <x v="5"/>
    <x v="3220"/>
    <n v="154"/>
    <n v="86"/>
    <n v="0.34"/>
    <n v="83"/>
    <n v="15.02"/>
    <n v="7.51"/>
    <n v="319"/>
    <n v="157.97999999999999"/>
    <m/>
    <m/>
  </r>
  <r>
    <s v="2022-12-14 10:01 (-05)"/>
    <x v="1119"/>
    <x v="710"/>
    <x v="6"/>
    <s v="On Demand"/>
    <x v="1"/>
    <x v="1"/>
    <x v="0"/>
    <s v="Low Impact"/>
    <x v="192"/>
    <x v="3221"/>
    <n v="31"/>
    <n v="52"/>
    <n v="0.28000000000000003"/>
    <n v="82"/>
    <n v="12.15"/>
    <n v="2.0299999999999998"/>
    <n v="73"/>
    <n v="126.34"/>
    <m/>
    <m/>
  </r>
  <r>
    <s v="2022-12-14 10:13 (-05)"/>
    <x v="1119"/>
    <x v="711"/>
    <x v="6"/>
    <s v="On Demand"/>
    <x v="18"/>
    <x v="1"/>
    <x v="1"/>
    <s v="Arms &amp; Light Weights"/>
    <x v="28"/>
    <x v="3222"/>
    <m/>
    <m/>
    <m/>
    <m/>
    <m/>
    <m/>
    <n v="47"/>
    <m/>
    <m/>
    <m/>
  </r>
  <r>
    <s v="2022-12-14 10:28 (EST)"/>
    <x v="1119"/>
    <x v="1950"/>
    <x v="6"/>
    <s v="On Demand"/>
    <x v="11"/>
    <x v="1"/>
    <x v="1"/>
    <s v="Core"/>
    <x v="1"/>
    <x v="3223"/>
    <m/>
    <m/>
    <m/>
    <m/>
    <m/>
    <m/>
    <n v="47"/>
    <m/>
    <m/>
    <m/>
  </r>
  <r>
    <s v="2022-12-14 10:40 (EST)"/>
    <x v="1119"/>
    <x v="1951"/>
    <x v="6"/>
    <s v="On Demand"/>
    <x v="10"/>
    <x v="3"/>
    <x v="2"/>
    <s v="Pre &amp; Post-Ride Stretch"/>
    <x v="755"/>
    <x v="3224"/>
    <m/>
    <m/>
    <m/>
    <m/>
    <m/>
    <m/>
    <n v="12"/>
    <m/>
    <m/>
    <m/>
  </r>
  <r>
    <s v="2022-12-14 17:45 (EST)"/>
    <x v="1119"/>
    <x v="1952"/>
    <x v="6"/>
    <s v="On Demand"/>
    <x v="16"/>
    <x v="2"/>
    <x v="4"/>
    <s v="Slow Flow"/>
    <x v="563"/>
    <x v="3225"/>
    <m/>
    <m/>
    <m/>
    <m/>
    <m/>
    <m/>
    <n v="29"/>
    <n v="85.69"/>
    <m/>
    <m/>
  </r>
  <r>
    <s v="2022-12-14 23:58 (EST)"/>
    <x v="1119"/>
    <x v="1953"/>
    <x v="6"/>
    <s v="On Demand"/>
    <x v="16"/>
    <x v="1"/>
    <x v="5"/>
    <s v="Sleep"/>
    <x v="39"/>
    <x v="3226"/>
    <m/>
    <m/>
    <m/>
    <m/>
    <m/>
    <m/>
    <m/>
    <m/>
    <m/>
    <m/>
  </r>
  <r>
    <s v="2022-12-21 08:54 (-05)"/>
    <x v="1120"/>
    <x v="1954"/>
    <x v="6"/>
    <s v="On Demand"/>
    <x v="6"/>
    <x v="0"/>
    <x v="0"/>
    <s v="Power Zone"/>
    <x v="664"/>
    <x v="3227"/>
    <n v="204"/>
    <n v="76"/>
    <n v="0.31"/>
    <n v="89"/>
    <n v="14.24"/>
    <n v="10.68"/>
    <n v="455"/>
    <n v="153.99"/>
    <m/>
    <m/>
  </r>
  <r>
    <s v="2022-12-21 09:39 (-05)"/>
    <x v="1120"/>
    <x v="1955"/>
    <x v="6"/>
    <s v="On Demand"/>
    <x v="6"/>
    <x v="3"/>
    <x v="0"/>
    <s v="Cool Down"/>
    <x v="10"/>
    <x v="3228"/>
    <n v="13"/>
    <n v="44"/>
    <n v="0.25"/>
    <n v="85"/>
    <n v="11.3"/>
    <n v="0.94"/>
    <n v="34"/>
    <n v="129.62"/>
    <m/>
    <m/>
  </r>
  <r>
    <s v="2022-12-21 09:52 (EST)"/>
    <x v="1120"/>
    <x v="1942"/>
    <x v="6"/>
    <s v="On Demand"/>
    <x v="24"/>
    <x v="7"/>
    <x v="1"/>
    <s v="Core"/>
    <x v="254"/>
    <x v="3229"/>
    <m/>
    <m/>
    <m/>
    <m/>
    <m/>
    <m/>
    <n v="76"/>
    <n v="108.54"/>
    <m/>
    <m/>
  </r>
  <r>
    <s v="2022-12-21 10:09 (EST)"/>
    <x v="1120"/>
    <x v="1956"/>
    <x v="6"/>
    <s v="On Demand"/>
    <x v="23"/>
    <x v="3"/>
    <x v="4"/>
    <s v="Yoga Basics"/>
    <x v="756"/>
    <x v="3230"/>
    <m/>
    <m/>
    <m/>
    <m/>
    <m/>
    <m/>
    <n v="16"/>
    <n v="87.3"/>
    <m/>
    <m/>
  </r>
  <r>
    <s v="2022-12-21 23:12 (EST)"/>
    <x v="1120"/>
    <x v="1565"/>
    <x v="6"/>
    <s v="On Demand"/>
    <x v="19"/>
    <x v="1"/>
    <x v="5"/>
    <s v="Mindfulness"/>
    <x v="51"/>
    <x v="3231"/>
    <m/>
    <m/>
    <m/>
    <m/>
    <m/>
    <m/>
    <m/>
    <m/>
    <m/>
    <m/>
  </r>
  <r>
    <s v="2022-12-28 08:17 (PST)"/>
    <x v="1121"/>
    <x v="1755"/>
    <x v="6"/>
    <s v="On Demand"/>
    <x v="52"/>
    <x v="2"/>
    <x v="6"/>
    <s v="Theme Walk"/>
    <x v="757"/>
    <x v="3232"/>
    <n v="0"/>
    <m/>
    <m/>
    <m/>
    <n v="3.07"/>
    <n v="1.57"/>
    <n v="185"/>
    <n v="120.26"/>
    <m/>
    <m/>
  </r>
  <r>
    <s v="2022-12-28 08:48 (PST)"/>
    <x v="1121"/>
    <x v="369"/>
    <x v="6"/>
    <m/>
    <x v="34"/>
    <x v="33"/>
    <x v="6"/>
    <m/>
    <x v="758"/>
    <x v="231"/>
    <n v="0"/>
    <m/>
    <m/>
    <m/>
    <n v="3.03"/>
    <n v="0.43"/>
    <n v="30"/>
    <m/>
    <m/>
    <m/>
  </r>
  <r>
    <s v="2022-12-28 11:49 (PST)"/>
    <x v="1121"/>
    <x v="265"/>
    <x v="6"/>
    <s v="On Demand"/>
    <x v="13"/>
    <x v="2"/>
    <x v="4"/>
    <s v="Theme"/>
    <x v="759"/>
    <x v="3233"/>
    <m/>
    <m/>
    <m/>
    <m/>
    <m/>
    <m/>
    <n v="90"/>
    <m/>
    <m/>
    <m/>
  </r>
  <r>
    <s v="2022-12-28 22:54 (PST)"/>
    <x v="1121"/>
    <x v="74"/>
    <x v="6"/>
    <s v="On Demand"/>
    <x v="23"/>
    <x v="3"/>
    <x v="5"/>
    <s v="Relaxation"/>
    <x v="89"/>
    <x v="3234"/>
    <m/>
    <m/>
    <m/>
    <m/>
    <m/>
    <m/>
    <m/>
    <m/>
    <m/>
    <m/>
  </r>
  <r>
    <s v="2023-01-04 07:12 (PST)"/>
    <x v="1122"/>
    <x v="532"/>
    <x v="6"/>
    <s v="On Demand"/>
    <x v="13"/>
    <x v="0"/>
    <x v="4"/>
    <s v="Slow Flow"/>
    <x v="33"/>
    <x v="3235"/>
    <m/>
    <m/>
    <m/>
    <m/>
    <m/>
    <m/>
    <n v="147"/>
    <m/>
    <m/>
    <m/>
  </r>
  <r>
    <s v="2023-01-04 13:37 (-08)"/>
    <x v="1122"/>
    <x v="1957"/>
    <x v="6"/>
    <s v="On Demand"/>
    <x v="7"/>
    <x v="0"/>
    <x v="0"/>
    <s v="Power Zone"/>
    <x v="27"/>
    <x v="3236"/>
    <n v="259"/>
    <n v="96"/>
    <n v="0.36"/>
    <n v="85"/>
    <n v="15.85"/>
    <n v="11.89"/>
    <n v="449"/>
    <n v="161.63"/>
    <m/>
    <m/>
  </r>
  <r>
    <s v="2023-01-04 14:23 (-08)"/>
    <x v="1122"/>
    <x v="1958"/>
    <x v="6"/>
    <s v="On Demand"/>
    <x v="22"/>
    <x v="3"/>
    <x v="0"/>
    <s v="Cool Down"/>
    <x v="760"/>
    <x v="3237"/>
    <n v="15"/>
    <n v="52"/>
    <n v="0.28000000000000003"/>
    <n v="81"/>
    <n v="12.18"/>
    <n v="1.01"/>
    <n v="34"/>
    <n v="129.12"/>
    <m/>
    <m/>
  </r>
  <r>
    <s v="2023-01-04 14:33 (-08)"/>
    <x v="1122"/>
    <x v="1944"/>
    <x v="6"/>
    <s v="On Demand"/>
    <x v="35"/>
    <x v="1"/>
    <x v="1"/>
    <s v="Core"/>
    <x v="1"/>
    <x v="3238"/>
    <m/>
    <m/>
    <m/>
    <m/>
    <m/>
    <m/>
    <n v="45"/>
    <n v="103.71"/>
    <m/>
    <m/>
  </r>
  <r>
    <s v="2023-01-04 14:44 (-08)"/>
    <x v="1122"/>
    <x v="1959"/>
    <x v="6"/>
    <s v="On Demand"/>
    <x v="1"/>
    <x v="1"/>
    <x v="1"/>
    <s v="Arms &amp; Light Weights"/>
    <x v="28"/>
    <x v="3239"/>
    <m/>
    <m/>
    <m/>
    <m/>
    <m/>
    <m/>
    <n v="56"/>
    <n v="114.49"/>
    <m/>
    <m/>
  </r>
  <r>
    <s v="2023-01-04 22:46 (PST)"/>
    <x v="1122"/>
    <x v="193"/>
    <x v="6"/>
    <s v="On Demand"/>
    <x v="13"/>
    <x v="1"/>
    <x v="5"/>
    <s v="Relaxation"/>
    <x v="71"/>
    <x v="3240"/>
    <m/>
    <m/>
    <m/>
    <m/>
    <m/>
    <m/>
    <m/>
    <m/>
    <m/>
    <m/>
  </r>
  <r>
    <s v="2023-01-11 07:20 (PST)"/>
    <x v="1123"/>
    <x v="507"/>
    <x v="6"/>
    <s v="On Demand"/>
    <x v="7"/>
    <x v="2"/>
    <x v="4"/>
    <s v="Focus Flow"/>
    <x v="187"/>
    <x v="3241"/>
    <m/>
    <m/>
    <m/>
    <m/>
    <m/>
    <m/>
    <n v="92"/>
    <m/>
    <m/>
    <m/>
  </r>
  <r>
    <s v="2023-01-11 16:59 (-08)"/>
    <x v="1123"/>
    <x v="298"/>
    <x v="6"/>
    <s v="On Demand"/>
    <x v="37"/>
    <x v="0"/>
    <x v="9"/>
    <s v="Body Focus"/>
    <x v="181"/>
    <x v="3242"/>
    <n v="132"/>
    <m/>
    <m/>
    <m/>
    <n v="2.88"/>
    <n v="2.98"/>
    <n v="395"/>
    <n v="143.80000000000001"/>
    <m/>
    <m/>
  </r>
  <r>
    <s v="2023-01-18 15:05 (-08)"/>
    <x v="1124"/>
    <x v="1822"/>
    <x v="6"/>
    <s v="On Demand"/>
    <x v="7"/>
    <x v="2"/>
    <x v="0"/>
    <s v="Power Zone"/>
    <x v="274"/>
    <x v="837"/>
    <n v="174"/>
    <n v="97"/>
    <n v="0.35"/>
    <n v="87"/>
    <n v="15.87"/>
    <n v="7.93"/>
    <n v="325"/>
    <n v="159.91999999999999"/>
    <m/>
    <m/>
  </r>
  <r>
    <s v="2023-01-18 15:44 (-08)"/>
    <x v="1124"/>
    <x v="1960"/>
    <x v="6"/>
    <s v="On Demand"/>
    <x v="6"/>
    <x v="2"/>
    <x v="7"/>
    <s v="Endurance"/>
    <x v="152"/>
    <x v="832"/>
    <n v="95"/>
    <m/>
    <m/>
    <m/>
    <n v="2.61"/>
    <n v="2.63"/>
    <n v="257"/>
    <n v="141.85"/>
    <m/>
    <m/>
  </r>
  <r>
    <s v="2023-01-18 16:38 (PST)"/>
    <x v="1124"/>
    <x v="955"/>
    <x v="6"/>
    <s v="On Demand"/>
    <x v="16"/>
    <x v="2"/>
    <x v="4"/>
    <s v="Focus Flow"/>
    <x v="86"/>
    <x v="3243"/>
    <m/>
    <m/>
    <m/>
    <m/>
    <m/>
    <m/>
    <n v="94"/>
    <m/>
    <m/>
    <m/>
  </r>
  <r>
    <s v="2023-01-18 17:12 (PST)"/>
    <x v="1124"/>
    <x v="1519"/>
    <x v="6"/>
    <s v="On Demand"/>
    <x v="8"/>
    <x v="5"/>
    <x v="2"/>
    <s v="Foam Rolling"/>
    <x v="761"/>
    <x v="2196"/>
    <m/>
    <m/>
    <m/>
    <m/>
    <m/>
    <m/>
    <n v="45"/>
    <m/>
    <m/>
    <m/>
  </r>
  <r>
    <s v="2023-01-25 07:15 (PST)"/>
    <x v="1125"/>
    <x v="792"/>
    <x v="6"/>
    <s v="On Demand"/>
    <x v="8"/>
    <x v="5"/>
    <x v="2"/>
    <s v="Foam Rolling"/>
    <x v="761"/>
    <x v="2196"/>
    <m/>
    <m/>
    <m/>
    <m/>
    <m/>
    <m/>
    <n v="45"/>
    <m/>
    <m/>
    <m/>
  </r>
  <r>
    <s v="2023-01-25 07:36 (PST)"/>
    <x v="1125"/>
    <x v="97"/>
    <x v="6"/>
    <s v="On Demand"/>
    <x v="8"/>
    <x v="7"/>
    <x v="2"/>
    <s v="Foam Rolling"/>
    <x v="552"/>
    <x v="2196"/>
    <m/>
    <m/>
    <m/>
    <m/>
    <m/>
    <m/>
    <n v="33"/>
    <m/>
    <m/>
    <m/>
  </r>
  <r>
    <s v="2023-01-25 07:53 (PST)"/>
    <x v="1125"/>
    <x v="149"/>
    <x v="6"/>
    <s v="On Demand"/>
    <x v="23"/>
    <x v="2"/>
    <x v="4"/>
    <s v="Flow"/>
    <x v="69"/>
    <x v="3244"/>
    <m/>
    <m/>
    <m/>
    <m/>
    <m/>
    <m/>
    <n v="98"/>
    <m/>
    <m/>
    <m/>
  </r>
  <r>
    <s v="2023-01-25 22:50 (PST)"/>
    <x v="1125"/>
    <x v="762"/>
    <x v="6"/>
    <s v="On Demand"/>
    <x v="19"/>
    <x v="2"/>
    <x v="5"/>
    <s v="Sleep"/>
    <x v="31"/>
    <x v="2793"/>
    <m/>
    <m/>
    <m/>
    <m/>
    <m/>
    <m/>
    <m/>
    <m/>
    <m/>
    <m/>
  </r>
  <r>
    <s v="2023-02-01 08:47 (EST)"/>
    <x v="1126"/>
    <x v="1961"/>
    <x v="6"/>
    <s v="On Demand"/>
    <x v="13"/>
    <x v="2"/>
    <x v="4"/>
    <s v="Focus Flow"/>
    <x v="253"/>
    <x v="3245"/>
    <m/>
    <m/>
    <m/>
    <m/>
    <m/>
    <m/>
    <n v="76"/>
    <n v="85.59"/>
    <m/>
    <m/>
  </r>
  <r>
    <s v="2023-02-01 10:08 (-05)"/>
    <x v="1126"/>
    <x v="283"/>
    <x v="6"/>
    <s v="On Demand"/>
    <x v="11"/>
    <x v="2"/>
    <x v="1"/>
    <s v="Full Body"/>
    <x v="125"/>
    <x v="3246"/>
    <m/>
    <m/>
    <m/>
    <m/>
    <m/>
    <m/>
    <n v="235"/>
    <n v="134.09"/>
    <m/>
    <m/>
  </r>
  <r>
    <s v="2023-02-01 23:39 (EST)"/>
    <x v="1126"/>
    <x v="1962"/>
    <x v="6"/>
    <s v="On Demand"/>
    <x v="13"/>
    <x v="1"/>
    <x v="5"/>
    <s v="Emotions"/>
    <x v="46"/>
    <x v="3247"/>
    <m/>
    <m/>
    <m/>
    <m/>
    <m/>
    <m/>
    <m/>
    <m/>
    <m/>
    <m/>
  </r>
  <r>
    <s v="2023-02-08 01:55 (EST)"/>
    <x v="1127"/>
    <x v="1963"/>
    <x v="6"/>
    <s v="On Demand"/>
    <x v="13"/>
    <x v="1"/>
    <x v="5"/>
    <s v="Emotions"/>
    <x v="60"/>
    <x v="2716"/>
    <m/>
    <m/>
    <m/>
    <m/>
    <m/>
    <m/>
    <m/>
    <m/>
    <m/>
    <m/>
  </r>
  <r>
    <s v="2023-02-08 10:07 (-05)"/>
    <x v="1127"/>
    <x v="1964"/>
    <x v="6"/>
    <s v="On Demand"/>
    <x v="68"/>
    <x v="2"/>
    <x v="0"/>
    <s v="Power Zone"/>
    <x v="5"/>
    <x v="3248"/>
    <n v="133"/>
    <n v="74"/>
    <n v="0.31"/>
    <n v="87"/>
    <n v="14.08"/>
    <n v="7.04"/>
    <n v="295"/>
    <n v="151.19"/>
    <m/>
    <m/>
  </r>
  <r>
    <s v="2023-02-08 10:38 (-05)"/>
    <x v="1127"/>
    <x v="1965"/>
    <x v="6"/>
    <s v="On Demand"/>
    <x v="36"/>
    <x v="3"/>
    <x v="0"/>
    <s v="Cool Down"/>
    <x v="10"/>
    <x v="3249"/>
    <n v="11"/>
    <n v="35"/>
    <n v="0.24"/>
    <n v="79"/>
    <n v="9.94"/>
    <n v="0.83"/>
    <n v="33"/>
    <n v="126.62"/>
    <m/>
    <m/>
  </r>
  <r>
    <s v="2023-02-08 10:47 (-05)"/>
    <x v="1127"/>
    <x v="1966"/>
    <x v="6"/>
    <s v="On Demand"/>
    <x v="11"/>
    <x v="2"/>
    <x v="1"/>
    <s v="Full Body"/>
    <x v="762"/>
    <x v="3250"/>
    <m/>
    <m/>
    <m/>
    <m/>
    <m/>
    <m/>
    <n v="233"/>
    <n v="133.29"/>
    <m/>
    <m/>
  </r>
  <r>
    <s v="2023-02-08 22:59 (EST)"/>
    <x v="1127"/>
    <x v="1967"/>
    <x v="6"/>
    <s v="On Demand"/>
    <x v="19"/>
    <x v="1"/>
    <x v="5"/>
    <s v="Emotions"/>
    <x v="147"/>
    <x v="3251"/>
    <m/>
    <m/>
    <m/>
    <m/>
    <m/>
    <m/>
    <m/>
    <m/>
    <m/>
    <m/>
  </r>
  <r>
    <s v="2023-02-15 08:19 (PST)"/>
    <x v="1128"/>
    <x v="1968"/>
    <x v="6"/>
    <s v="On Demand"/>
    <x v="23"/>
    <x v="2"/>
    <x v="4"/>
    <s v="Flow"/>
    <x v="150"/>
    <x v="3252"/>
    <m/>
    <m/>
    <m/>
    <m/>
    <m/>
    <m/>
    <n v="100"/>
    <m/>
    <m/>
    <m/>
  </r>
  <r>
    <s v="2023-02-15 12:02 (PST)"/>
    <x v="1128"/>
    <x v="1387"/>
    <x v="6"/>
    <m/>
    <x v="34"/>
    <x v="9"/>
    <x v="6"/>
    <m/>
    <x v="763"/>
    <x v="231"/>
    <n v="0"/>
    <m/>
    <m/>
    <m/>
    <n v="3.21"/>
    <n v="2.02"/>
    <n v="267"/>
    <n v="126.53"/>
    <m/>
    <m/>
  </r>
  <r>
    <s v="2023-02-15 22:54 (PST)"/>
    <x v="1128"/>
    <x v="74"/>
    <x v="6"/>
    <s v="On Demand"/>
    <x v="28"/>
    <x v="7"/>
    <x v="5"/>
    <s v="Emotions"/>
    <x v="219"/>
    <x v="3253"/>
    <m/>
    <m/>
    <m/>
    <m/>
    <m/>
    <m/>
    <m/>
    <m/>
    <m/>
    <m/>
  </r>
  <r>
    <s v="2023-02-22 12:27 (PST)"/>
    <x v="1129"/>
    <x v="139"/>
    <x v="6"/>
    <s v="On Demand"/>
    <x v="7"/>
    <x v="2"/>
    <x v="4"/>
    <s v="Flow"/>
    <x v="41"/>
    <x v="3254"/>
    <m/>
    <m/>
    <m/>
    <m/>
    <m/>
    <m/>
    <n v="94"/>
    <m/>
    <m/>
    <m/>
  </r>
  <r>
    <s v="2023-03-01 11:39 (PST)"/>
    <x v="1130"/>
    <x v="1969"/>
    <x v="6"/>
    <m/>
    <x v="34"/>
    <x v="9"/>
    <x v="6"/>
    <m/>
    <x v="764"/>
    <x v="231"/>
    <n v="0"/>
    <m/>
    <m/>
    <m/>
    <n v="2.97"/>
    <n v="1.96"/>
    <n v="269"/>
    <n v="126.57"/>
    <m/>
    <m/>
  </r>
  <r>
    <s v="2023-03-01 14:53 (-08)"/>
    <x v="1130"/>
    <x v="1970"/>
    <x v="6"/>
    <s v="On Demand"/>
    <x v="6"/>
    <x v="0"/>
    <x v="0"/>
    <s v="Power Zone"/>
    <x v="85"/>
    <x v="3255"/>
    <n v="290"/>
    <n v="107"/>
    <n v="0.37"/>
    <n v="84"/>
    <n v="16.18"/>
    <n v="12.14"/>
    <n v="506"/>
    <n v="163.9"/>
    <m/>
    <m/>
  </r>
  <r>
    <s v="2023-03-01 15:39 (-08)"/>
    <x v="1130"/>
    <x v="1369"/>
    <x v="6"/>
    <s v="On Demand"/>
    <x v="17"/>
    <x v="1"/>
    <x v="0"/>
    <s v="Low Impact"/>
    <x v="149"/>
    <x v="3256"/>
    <n v="34"/>
    <n v="56"/>
    <n v="0.3"/>
    <n v="78"/>
    <n v="12.61"/>
    <n v="2.1"/>
    <n v="80"/>
    <n v="134.97"/>
    <m/>
    <m/>
  </r>
  <r>
    <s v="2023-03-01 15:52 (-08)"/>
    <x v="1130"/>
    <x v="1971"/>
    <x v="6"/>
    <s v="On Demand"/>
    <x v="18"/>
    <x v="1"/>
    <x v="1"/>
    <s v="Arms &amp; Light Weights"/>
    <x v="28"/>
    <x v="3257"/>
    <m/>
    <m/>
    <m/>
    <m/>
    <m/>
    <m/>
    <n v="66"/>
    <n v="122.25"/>
    <m/>
    <m/>
  </r>
  <r>
    <s v="2023-03-01 16:06 (-08)"/>
    <x v="1130"/>
    <x v="706"/>
    <x v="6"/>
    <s v="On Demand"/>
    <x v="31"/>
    <x v="3"/>
    <x v="1"/>
    <s v="Core"/>
    <x v="765"/>
    <x v="330"/>
    <m/>
    <m/>
    <m/>
    <m/>
    <m/>
    <m/>
    <n v="20"/>
    <n v="92"/>
    <m/>
    <m/>
  </r>
  <r>
    <s v="2023-03-01 16:13 (-08)"/>
    <x v="1130"/>
    <x v="1892"/>
    <x v="6"/>
    <s v="On Demand"/>
    <x v="31"/>
    <x v="7"/>
    <x v="1"/>
    <s v="Core"/>
    <x v="126"/>
    <x v="330"/>
    <m/>
    <m/>
    <m/>
    <m/>
    <m/>
    <m/>
    <n v="60"/>
    <n v="92.16"/>
    <m/>
    <m/>
  </r>
  <r>
    <s v="2023-03-01 16:34 (PST)"/>
    <x v="1130"/>
    <x v="99"/>
    <x v="6"/>
    <s v="On Demand"/>
    <x v="16"/>
    <x v="1"/>
    <x v="4"/>
    <s v="Focus Flow"/>
    <x v="118"/>
    <x v="884"/>
    <m/>
    <m/>
    <m/>
    <m/>
    <m/>
    <m/>
    <n v="32"/>
    <m/>
    <m/>
    <m/>
  </r>
  <r>
    <s v="2023-03-01 22:50 (PST)"/>
    <x v="1130"/>
    <x v="762"/>
    <x v="6"/>
    <s v="On Demand"/>
    <x v="13"/>
    <x v="1"/>
    <x v="5"/>
    <s v="Relaxation"/>
    <x v="34"/>
    <x v="884"/>
    <m/>
    <m/>
    <m/>
    <m/>
    <m/>
    <m/>
    <m/>
    <m/>
    <m/>
    <m/>
  </r>
  <r>
    <s v="2023-03-08 16:28 (-08)"/>
    <x v="1131"/>
    <x v="312"/>
    <x v="6"/>
    <s v="On Demand"/>
    <x v="31"/>
    <x v="1"/>
    <x v="1"/>
    <s v="Core"/>
    <x v="132"/>
    <x v="330"/>
    <m/>
    <m/>
    <m/>
    <m/>
    <m/>
    <m/>
    <n v="54"/>
    <n v="112.97"/>
    <m/>
    <m/>
  </r>
  <r>
    <s v="2023-03-08 16:39 (-08)"/>
    <x v="1131"/>
    <x v="1972"/>
    <x v="6"/>
    <s v="On Demand"/>
    <x v="31"/>
    <x v="3"/>
    <x v="1"/>
    <s v="Core"/>
    <x v="6"/>
    <x v="330"/>
    <m/>
    <m/>
    <m/>
    <m/>
    <m/>
    <m/>
    <n v="19"/>
    <n v="97.62"/>
    <m/>
    <m/>
  </r>
  <r>
    <s v="2023-03-08 16:49 (-08)"/>
    <x v="1131"/>
    <x v="1371"/>
    <x v="6"/>
    <s v="On Demand"/>
    <x v="6"/>
    <x v="2"/>
    <x v="7"/>
    <s v="Endurance"/>
    <x v="152"/>
    <x v="3258"/>
    <n v="95"/>
    <m/>
    <m/>
    <m/>
    <n v="2.63"/>
    <n v="2.67"/>
    <n v="244"/>
    <n v="134.29"/>
    <m/>
    <m/>
  </r>
  <r>
    <s v="2023-03-08 23:29 (PST)"/>
    <x v="1131"/>
    <x v="326"/>
    <x v="6"/>
    <s v="On Demand"/>
    <x v="23"/>
    <x v="1"/>
    <x v="5"/>
    <s v="Emotions"/>
    <x v="60"/>
    <x v="3259"/>
    <m/>
    <m/>
    <m/>
    <m/>
    <m/>
    <m/>
    <m/>
    <m/>
    <m/>
    <m/>
  </r>
  <r>
    <s v="2023-03-15 13:07 (PST)"/>
    <x v="1132"/>
    <x v="1973"/>
    <x v="6"/>
    <s v="On Demand"/>
    <x v="23"/>
    <x v="2"/>
    <x v="4"/>
    <s v="Focus Flow"/>
    <x v="449"/>
    <x v="3260"/>
    <m/>
    <m/>
    <m/>
    <m/>
    <m/>
    <m/>
    <n v="100"/>
    <m/>
    <m/>
    <m/>
  </r>
  <r>
    <s v="2023-03-15 14:09 (PST)"/>
    <x v="1132"/>
    <x v="1714"/>
    <x v="6"/>
    <m/>
    <x v="34"/>
    <x v="11"/>
    <x v="6"/>
    <m/>
    <x v="766"/>
    <x v="231"/>
    <n v="0"/>
    <m/>
    <m/>
    <m/>
    <n v="3.16"/>
    <n v="2.04"/>
    <n v="288"/>
    <n v="126.28"/>
    <m/>
    <m/>
  </r>
  <r>
    <s v="2023-03-22 06:56 (EST)"/>
    <x v="1133"/>
    <x v="1974"/>
    <x v="6"/>
    <s v="On Demand"/>
    <x v="19"/>
    <x v="3"/>
    <x v="5"/>
    <s v="Emotions"/>
    <x v="202"/>
    <x v="3261"/>
    <m/>
    <m/>
    <m/>
    <m/>
    <m/>
    <m/>
    <m/>
    <m/>
    <m/>
    <m/>
  </r>
  <r>
    <s v="2023-03-29 02:59 (PST)"/>
    <x v="1134"/>
    <x v="1975"/>
    <x v="6"/>
    <s v="On Demand"/>
    <x v="13"/>
    <x v="3"/>
    <x v="5"/>
    <s v="Emotions"/>
    <x v="233"/>
    <x v="3262"/>
    <m/>
    <m/>
    <m/>
    <m/>
    <m/>
    <m/>
    <m/>
    <m/>
    <m/>
    <m/>
  </r>
  <r>
    <s v="2023-03-29 14:20 (PST)"/>
    <x v="1134"/>
    <x v="1976"/>
    <x v="6"/>
    <s v="On Demand"/>
    <x v="3"/>
    <x v="2"/>
    <x v="6"/>
    <s v="Music Walk"/>
    <x v="509"/>
    <x v="3263"/>
    <n v="0"/>
    <m/>
    <m/>
    <m/>
    <n v="3.32"/>
    <n v="1.66"/>
    <n v="234"/>
    <n v="137.13999999999999"/>
    <m/>
    <m/>
  </r>
  <r>
    <s v="2023-03-29 14:50 (PST)"/>
    <x v="1134"/>
    <x v="1900"/>
    <x v="6"/>
    <m/>
    <x v="34"/>
    <x v="3"/>
    <x v="6"/>
    <m/>
    <x v="767"/>
    <x v="231"/>
    <n v="0"/>
    <m/>
    <m/>
    <m/>
    <n v="2.86"/>
    <n v="0.24"/>
    <n v="53"/>
    <n v="146.13"/>
    <m/>
    <m/>
  </r>
  <r>
    <s v="2023-03-29 22:13 (PST)"/>
    <x v="1134"/>
    <x v="235"/>
    <x v="6"/>
    <s v="On Demand"/>
    <x v="16"/>
    <x v="1"/>
    <x v="5"/>
    <s v="Mindfulness"/>
    <x v="51"/>
    <x v="3264"/>
    <m/>
    <m/>
    <m/>
    <m/>
    <m/>
    <m/>
    <m/>
    <m/>
    <m/>
    <m/>
  </r>
  <r>
    <s v="2023-04-05 14:33 (PST)"/>
    <x v="1135"/>
    <x v="873"/>
    <x v="6"/>
    <s v="On Demand"/>
    <x v="28"/>
    <x v="2"/>
    <x v="4"/>
    <s v="Focus Flow"/>
    <x v="768"/>
    <x v="3265"/>
    <m/>
    <m/>
    <m/>
    <m/>
    <m/>
    <m/>
    <n v="92"/>
    <m/>
    <m/>
    <m/>
  </r>
  <r>
    <s v="2023-04-05 20:22 (PST)"/>
    <x v="1135"/>
    <x v="380"/>
    <x v="6"/>
    <s v="On Demand"/>
    <x v="28"/>
    <x v="5"/>
    <x v="5"/>
    <s v="Mindfulness"/>
    <x v="488"/>
    <x v="3266"/>
    <m/>
    <m/>
    <m/>
    <m/>
    <m/>
    <m/>
    <m/>
    <m/>
    <m/>
    <m/>
  </r>
  <r>
    <s v="2023-04-12 06:45 (PST)"/>
    <x v="1136"/>
    <x v="1977"/>
    <x v="6"/>
    <s v="On Demand"/>
    <x v="13"/>
    <x v="2"/>
    <x v="4"/>
    <s v="Flow"/>
    <x v="91"/>
    <x v="3267"/>
    <m/>
    <m/>
    <m/>
    <m/>
    <m/>
    <m/>
    <n v="100"/>
    <m/>
    <m/>
    <m/>
  </r>
  <r>
    <s v="2023-04-12 14:12 (PST)"/>
    <x v="1136"/>
    <x v="1738"/>
    <x v="6"/>
    <m/>
    <x v="34"/>
    <x v="11"/>
    <x v="6"/>
    <m/>
    <x v="769"/>
    <x v="231"/>
    <n v="0"/>
    <m/>
    <m/>
    <m/>
    <n v="2.89"/>
    <n v="2.04"/>
    <n v="239"/>
    <n v="115.91"/>
    <m/>
    <m/>
  </r>
  <r>
    <s v="2023-04-19 09:08 (PST)"/>
    <x v="1137"/>
    <x v="1978"/>
    <x v="6"/>
    <s v="On Demand"/>
    <x v="31"/>
    <x v="0"/>
    <x v="6"/>
    <s v="Hiking"/>
    <x v="99"/>
    <x v="3268"/>
    <n v="0"/>
    <m/>
    <m/>
    <m/>
    <n v="3.21"/>
    <n v="1.53"/>
    <n v="246"/>
    <n v="135.07"/>
    <m/>
    <m/>
  </r>
  <r>
    <s v="2023-04-19 10:04 (PST)"/>
    <x v="1137"/>
    <x v="1979"/>
    <x v="6"/>
    <s v="On Demand"/>
    <x v="4"/>
    <x v="1"/>
    <x v="1"/>
    <s v="Core"/>
    <x v="1"/>
    <x v="3269"/>
    <m/>
    <m/>
    <m/>
    <m/>
    <m/>
    <m/>
    <n v="44"/>
    <m/>
    <m/>
    <m/>
  </r>
  <r>
    <s v="2023-04-19 10:14 (PST)"/>
    <x v="1137"/>
    <x v="1980"/>
    <x v="6"/>
    <s v="On Demand"/>
    <x v="37"/>
    <x v="3"/>
    <x v="2"/>
    <s v="Lower Body Stretch"/>
    <x v="444"/>
    <x v="3270"/>
    <m/>
    <m/>
    <m/>
    <m/>
    <m/>
    <m/>
    <n v="11"/>
    <m/>
    <m/>
    <m/>
  </r>
  <r>
    <s v="2023-04-26 06:24 (PST)"/>
    <x v="1138"/>
    <x v="772"/>
    <x v="6"/>
    <s v="On Demand"/>
    <x v="13"/>
    <x v="2"/>
    <x v="4"/>
    <s v="Flow"/>
    <x v="41"/>
    <x v="3271"/>
    <m/>
    <m/>
    <m/>
    <m/>
    <m/>
    <m/>
    <n v="98"/>
    <m/>
    <m/>
    <m/>
  </r>
  <r>
    <s v="2023-04-26 14:31 (PST)"/>
    <x v="1138"/>
    <x v="1981"/>
    <x v="6"/>
    <m/>
    <x v="34"/>
    <x v="34"/>
    <x v="0"/>
    <m/>
    <x v="770"/>
    <x v="231"/>
    <n v="0"/>
    <n v="0"/>
    <n v="0"/>
    <n v="0"/>
    <n v="13.05"/>
    <n v="18.34"/>
    <n v="563"/>
    <m/>
    <m/>
    <m/>
  </r>
  <r>
    <s v="2023-05-03 06:30 (PST)"/>
    <x v="1139"/>
    <x v="1982"/>
    <x v="6"/>
    <s v="On Demand"/>
    <x v="13"/>
    <x v="2"/>
    <x v="4"/>
    <s v="Focus Flow"/>
    <x v="432"/>
    <x v="3272"/>
    <m/>
    <m/>
    <m/>
    <m/>
    <m/>
    <m/>
    <n v="101"/>
    <m/>
    <m/>
    <m/>
  </r>
  <r>
    <s v="2023-05-03 15:04 (-07)"/>
    <x v="1139"/>
    <x v="1575"/>
    <x v="6"/>
    <s v="On Demand"/>
    <x v="11"/>
    <x v="2"/>
    <x v="1"/>
    <s v="Full Body"/>
    <x v="125"/>
    <x v="3273"/>
    <m/>
    <m/>
    <m/>
    <m/>
    <m/>
    <m/>
    <n v="239"/>
    <n v="135.09"/>
    <m/>
    <m/>
  </r>
  <r>
    <s v="2023-05-10 07:05 (PST)"/>
    <x v="1140"/>
    <x v="69"/>
    <x v="6"/>
    <s v="On Demand"/>
    <x v="28"/>
    <x v="2"/>
    <x v="4"/>
    <s v="Slow Flow"/>
    <x v="50"/>
    <x v="3274"/>
    <m/>
    <m/>
    <m/>
    <m/>
    <m/>
    <m/>
    <n v="93"/>
    <m/>
    <m/>
    <m/>
  </r>
  <r>
    <s v="2023-05-10 17:52 (-07)"/>
    <x v="1140"/>
    <x v="239"/>
    <x v="6"/>
    <s v="On Demand"/>
    <x v="31"/>
    <x v="2"/>
    <x v="1"/>
    <s v="Upper Body"/>
    <x v="292"/>
    <x v="3275"/>
    <m/>
    <m/>
    <m/>
    <m/>
    <m/>
    <m/>
    <n v="142"/>
    <n v="106.17"/>
    <m/>
    <m/>
  </r>
  <r>
    <s v="2023-05-10 22:28 (PST)"/>
    <x v="1140"/>
    <x v="472"/>
    <x v="6"/>
    <s v="On Demand"/>
    <x v="25"/>
    <x v="1"/>
    <x v="5"/>
    <s v="Emotions"/>
    <x v="147"/>
    <x v="1744"/>
    <m/>
    <m/>
    <m/>
    <m/>
    <m/>
    <m/>
    <m/>
    <m/>
    <m/>
    <m/>
  </r>
  <r>
    <s v="2023-05-17 15:10 (-07)"/>
    <x v="1141"/>
    <x v="1983"/>
    <x v="6"/>
    <s v="On Demand"/>
    <x v="24"/>
    <x v="7"/>
    <x v="1"/>
    <s v="Core"/>
    <x v="254"/>
    <x v="3276"/>
    <m/>
    <m/>
    <m/>
    <m/>
    <m/>
    <m/>
    <n v="95"/>
    <n v="120.35"/>
    <m/>
    <m/>
  </r>
  <r>
    <s v="2023-05-17 15:29 (-07)"/>
    <x v="1141"/>
    <x v="1718"/>
    <x v="6"/>
    <s v="On Demand"/>
    <x v="6"/>
    <x v="8"/>
    <x v="0"/>
    <s v="Power Zone"/>
    <x v="25"/>
    <x v="3277"/>
    <n v="496"/>
    <n v="111"/>
    <n v="0.38"/>
    <n v="84"/>
    <n v="16.72"/>
    <n v="20.63"/>
    <n v="780"/>
    <n v="156.16"/>
    <m/>
    <m/>
  </r>
  <r>
    <s v="2023-05-17 16:51 (-07)"/>
    <x v="1141"/>
    <x v="686"/>
    <x v="6"/>
    <s v="On Demand"/>
    <x v="20"/>
    <x v="3"/>
    <x v="2"/>
    <s v="Pre &amp; Post-Ride Stretch"/>
    <x v="8"/>
    <x v="3278"/>
    <m/>
    <m/>
    <m/>
    <m/>
    <m/>
    <m/>
    <n v="12"/>
    <m/>
    <m/>
    <m/>
  </r>
  <r>
    <s v="2023-05-24 06:46 (PST)"/>
    <x v="1142"/>
    <x v="1392"/>
    <x v="6"/>
    <s v="On Demand"/>
    <x v="13"/>
    <x v="2"/>
    <x v="4"/>
    <s v="Flow"/>
    <x v="41"/>
    <x v="3279"/>
    <m/>
    <m/>
    <m/>
    <m/>
    <m/>
    <m/>
    <n v="91"/>
    <m/>
    <m/>
    <m/>
  </r>
  <r>
    <s v="2023-05-24 10:02 (PST)"/>
    <x v="1142"/>
    <x v="883"/>
    <x v="6"/>
    <m/>
    <x v="34"/>
    <x v="24"/>
    <x v="6"/>
    <m/>
    <x v="771"/>
    <x v="231"/>
    <n v="0"/>
    <m/>
    <m/>
    <m/>
    <n v="3.11"/>
    <n v="1.96"/>
    <n v="275"/>
    <n v="131.61000000000001"/>
    <m/>
    <m/>
  </r>
  <r>
    <s v="2023-05-24 15:09 (-07)"/>
    <x v="1142"/>
    <x v="83"/>
    <x v="6"/>
    <s v="On Demand"/>
    <x v="1"/>
    <x v="7"/>
    <x v="1"/>
    <s v="Core"/>
    <x v="126"/>
    <x v="3280"/>
    <m/>
    <m/>
    <m/>
    <m/>
    <m/>
    <m/>
    <n v="76"/>
    <n v="106.43"/>
    <m/>
    <m/>
  </r>
  <r>
    <s v="2023-05-24 15:27 (-07)"/>
    <x v="1142"/>
    <x v="1984"/>
    <x v="6"/>
    <s v="On Demand"/>
    <x v="7"/>
    <x v="0"/>
    <x v="0"/>
    <s v="Power Zone"/>
    <x v="27"/>
    <x v="3281"/>
    <n v="300"/>
    <n v="111"/>
    <n v="0.38"/>
    <n v="85"/>
    <n v="16.8"/>
    <n v="12.6"/>
    <n v="448"/>
    <n v="151.47999999999999"/>
    <m/>
    <m/>
  </r>
  <r>
    <s v="2023-05-24 16:13 (-07)"/>
    <x v="1142"/>
    <x v="1730"/>
    <x v="6"/>
    <s v="On Demand"/>
    <x v="29"/>
    <x v="3"/>
    <x v="0"/>
    <s v="Cool Down"/>
    <x v="10"/>
    <x v="3282"/>
    <n v="20"/>
    <n v="65"/>
    <n v="0.31"/>
    <n v="83"/>
    <n v="13.44"/>
    <n v="1.1200000000000001"/>
    <n v="32"/>
    <n v="120.3"/>
    <m/>
    <m/>
  </r>
  <r>
    <s v="2023-05-24 16:18 (-07)"/>
    <x v="1142"/>
    <x v="622"/>
    <x v="6"/>
    <s v="On Demand"/>
    <x v="45"/>
    <x v="3"/>
    <x v="2"/>
    <s v="Pre &amp; Post-Ride Stretch"/>
    <x v="8"/>
    <x v="3282"/>
    <m/>
    <m/>
    <m/>
    <m/>
    <m/>
    <m/>
    <n v="19"/>
    <n v="98.34"/>
    <m/>
    <m/>
  </r>
  <r>
    <s v="2023-05-24 22:03 (PST)"/>
    <x v="1142"/>
    <x v="1256"/>
    <x v="6"/>
    <s v="On Demand"/>
    <x v="23"/>
    <x v="7"/>
    <x v="5"/>
    <s v="Emotions"/>
    <x v="219"/>
    <x v="3283"/>
    <m/>
    <m/>
    <m/>
    <m/>
    <m/>
    <m/>
    <m/>
    <m/>
    <m/>
    <m/>
  </r>
  <r>
    <s v="2023-05-31 06:29 (PST)"/>
    <x v="1143"/>
    <x v="1985"/>
    <x v="6"/>
    <s v="On Demand"/>
    <x v="16"/>
    <x v="2"/>
    <x v="4"/>
    <s v="Slow Flow"/>
    <x v="522"/>
    <x v="3284"/>
    <m/>
    <m/>
    <m/>
    <m/>
    <m/>
    <m/>
    <n v="85"/>
    <m/>
    <m/>
    <m/>
  </r>
  <r>
    <s v="2023-05-31 15:36 (-07)"/>
    <x v="1143"/>
    <x v="938"/>
    <x v="6"/>
    <s v="On Demand"/>
    <x v="24"/>
    <x v="5"/>
    <x v="1"/>
    <s v="Core"/>
    <x v="115"/>
    <x v="3285"/>
    <m/>
    <m/>
    <m/>
    <m/>
    <m/>
    <m/>
    <n v="113"/>
    <n v="113.86"/>
    <m/>
    <m/>
  </r>
  <r>
    <s v="2023-05-31 16:02 (-07)"/>
    <x v="1143"/>
    <x v="1523"/>
    <x v="6"/>
    <s v="On Demand"/>
    <x v="6"/>
    <x v="0"/>
    <x v="0"/>
    <s v="Power Zone"/>
    <x v="27"/>
    <x v="3286"/>
    <n v="299"/>
    <n v="111"/>
    <n v="0.38"/>
    <n v="84"/>
    <n v="16.7"/>
    <n v="12.53"/>
    <n v="440"/>
    <n v="149.88999999999999"/>
    <m/>
    <m/>
  </r>
  <r>
    <s v="2023-05-31 16:50 (-07)"/>
    <x v="1143"/>
    <x v="812"/>
    <x v="6"/>
    <s v="On Demand"/>
    <x v="36"/>
    <x v="3"/>
    <x v="2"/>
    <s v="Pre &amp; Post-Ride Stretch"/>
    <x v="8"/>
    <x v="3287"/>
    <m/>
    <m/>
    <m/>
    <m/>
    <m/>
    <m/>
    <n v="23"/>
    <n v="106.37"/>
    <m/>
    <m/>
  </r>
  <r>
    <s v="2023-06-07 07:15 (PST)"/>
    <x v="1144"/>
    <x v="792"/>
    <x v="6"/>
    <s v="On Demand"/>
    <x v="13"/>
    <x v="2"/>
    <x v="4"/>
    <s v="Theme"/>
    <x v="772"/>
    <x v="3288"/>
    <m/>
    <m/>
    <m/>
    <m/>
    <m/>
    <m/>
    <n v="94"/>
    <m/>
    <m/>
    <m/>
  </r>
  <r>
    <s v="2023-06-07 10:29 (PST)"/>
    <x v="1144"/>
    <x v="1986"/>
    <x v="6"/>
    <m/>
    <x v="34"/>
    <x v="25"/>
    <x v="6"/>
    <m/>
    <x v="773"/>
    <x v="231"/>
    <n v="0"/>
    <m/>
    <m/>
    <m/>
    <n v="3.44"/>
    <n v="1.87"/>
    <n v="228"/>
    <n v="117.97"/>
    <m/>
    <m/>
  </r>
  <r>
    <s v="2023-06-07 15:41 (-07)"/>
    <x v="1144"/>
    <x v="1987"/>
    <x v="6"/>
    <s v="On Demand"/>
    <x v="1"/>
    <x v="5"/>
    <x v="1"/>
    <s v="Core"/>
    <x v="774"/>
    <x v="3289"/>
    <m/>
    <m/>
    <m/>
    <m/>
    <m/>
    <m/>
    <n v="84"/>
    <n v="100.41"/>
    <m/>
    <m/>
  </r>
  <r>
    <s v="2023-06-07 16:04 (-07)"/>
    <x v="1144"/>
    <x v="1593"/>
    <x v="6"/>
    <s v="On Demand"/>
    <x v="4"/>
    <x v="0"/>
    <x v="0"/>
    <s v="Power Zone"/>
    <x v="148"/>
    <x v="3290"/>
    <n v="306"/>
    <n v="113"/>
    <n v="0.39"/>
    <n v="82"/>
    <n v="16.98"/>
    <n v="12.73"/>
    <n v="372"/>
    <n v="136.72999999999999"/>
    <m/>
    <m/>
  </r>
  <r>
    <s v="2023-06-07 16:50 (-07)"/>
    <x v="1144"/>
    <x v="812"/>
    <x v="6"/>
    <s v="On Demand"/>
    <x v="7"/>
    <x v="1"/>
    <x v="1"/>
    <s v="Arms &amp; Light Weights"/>
    <x v="28"/>
    <x v="3291"/>
    <m/>
    <m/>
    <m/>
    <m/>
    <m/>
    <m/>
    <n v="48"/>
    <n v="107.43"/>
    <m/>
    <m/>
  </r>
  <r>
    <s v="2023-06-07 22:44 (PST)"/>
    <x v="1144"/>
    <x v="373"/>
    <x v="6"/>
    <s v="On Demand"/>
    <x v="23"/>
    <x v="1"/>
    <x v="5"/>
    <s v="Emotions"/>
    <x v="71"/>
    <x v="3292"/>
    <m/>
    <m/>
    <m/>
    <m/>
    <m/>
    <m/>
    <m/>
    <m/>
    <m/>
    <m/>
  </r>
  <r>
    <s v="2023-06-14 22:02 (PST)"/>
    <x v="1145"/>
    <x v="399"/>
    <x v="6"/>
    <s v="On Demand"/>
    <x v="16"/>
    <x v="1"/>
    <x v="5"/>
    <s v="Sleep"/>
    <x v="39"/>
    <x v="3293"/>
    <m/>
    <m/>
    <m/>
    <m/>
    <m/>
    <m/>
    <m/>
    <m/>
    <m/>
    <m/>
  </r>
  <r>
    <s v="2023-06-21 06:44 (PST)"/>
    <x v="1146"/>
    <x v="1834"/>
    <x v="6"/>
    <s v="On Demand"/>
    <x v="23"/>
    <x v="2"/>
    <x v="4"/>
    <s v="Focus Flow"/>
    <x v="470"/>
    <x v="3294"/>
    <m/>
    <m/>
    <m/>
    <m/>
    <m/>
    <m/>
    <n v="99"/>
    <m/>
    <m/>
    <m/>
  </r>
  <r>
    <s v="2023-06-21 18:13 (-07)"/>
    <x v="1146"/>
    <x v="110"/>
    <x v="6"/>
    <s v="On Demand"/>
    <x v="4"/>
    <x v="0"/>
    <x v="0"/>
    <s v="Power Zone"/>
    <x v="148"/>
    <x v="3290"/>
    <n v="307"/>
    <n v="114"/>
    <n v="0.39"/>
    <n v="84"/>
    <n v="16.98"/>
    <n v="12.73"/>
    <n v="466"/>
    <n v="155.11000000000001"/>
    <m/>
    <m/>
  </r>
  <r>
    <s v="2023-06-21 18:59 (-07)"/>
    <x v="1146"/>
    <x v="1184"/>
    <x v="6"/>
    <s v="On Demand"/>
    <x v="29"/>
    <x v="3"/>
    <x v="2"/>
    <s v="Pre &amp; Post-Ride Stretch"/>
    <x v="8"/>
    <x v="3295"/>
    <m/>
    <m/>
    <m/>
    <m/>
    <m/>
    <m/>
    <n v="32"/>
    <n v="121.38"/>
    <m/>
    <m/>
  </r>
  <r>
    <s v="2023-06-21 21:39 (PST)"/>
    <x v="1146"/>
    <x v="602"/>
    <x v="6"/>
    <s v="On Demand"/>
    <x v="19"/>
    <x v="1"/>
    <x v="5"/>
    <s v="Emotions"/>
    <x v="46"/>
    <x v="3296"/>
    <m/>
    <m/>
    <m/>
    <m/>
    <m/>
    <m/>
    <m/>
    <m/>
    <m/>
    <m/>
  </r>
  <r>
    <s v="2023-06-28 14:53 (-07)"/>
    <x v="1147"/>
    <x v="930"/>
    <x v="6"/>
    <s v="On Demand"/>
    <x v="7"/>
    <x v="0"/>
    <x v="0"/>
    <s v="Power Zone"/>
    <x v="85"/>
    <x v="1237"/>
    <n v="292"/>
    <n v="108"/>
    <n v="0.37"/>
    <n v="83"/>
    <n v="16.3"/>
    <n v="12.22"/>
    <n v="467"/>
    <n v="155.32"/>
    <m/>
    <m/>
  </r>
  <r>
    <s v="2023-06-28 15:45 (-07)"/>
    <x v="1147"/>
    <x v="617"/>
    <x v="6"/>
    <s v="On Demand"/>
    <x v="17"/>
    <x v="1"/>
    <x v="1"/>
    <s v="Arms &amp; Light Weights"/>
    <x v="28"/>
    <x v="3297"/>
    <m/>
    <m/>
    <m/>
    <m/>
    <m/>
    <m/>
    <n v="47"/>
    <m/>
    <m/>
    <m/>
  </r>
  <r>
    <s v="2023-06-28 16:04 (PST)"/>
    <x v="1147"/>
    <x v="18"/>
    <x v="6"/>
    <s v="On Demand"/>
    <x v="24"/>
    <x v="1"/>
    <x v="1"/>
    <s v="Core"/>
    <x v="108"/>
    <x v="3298"/>
    <m/>
    <m/>
    <m/>
    <m/>
    <m/>
    <m/>
    <n v="61"/>
    <n v="115.69"/>
    <m/>
    <m/>
  </r>
  <r>
    <s v="2023-06-28 16:16 (PST)"/>
    <x v="1147"/>
    <x v="1133"/>
    <x v="6"/>
    <s v="On Demand"/>
    <x v="7"/>
    <x v="0"/>
    <x v="4"/>
    <s v="Flow"/>
    <x v="14"/>
    <x v="3299"/>
    <m/>
    <m/>
    <m/>
    <m/>
    <m/>
    <m/>
    <n v="193"/>
    <n v="99.98"/>
    <m/>
    <m/>
  </r>
  <r>
    <s v="2023-06-28 23:05 (PST)"/>
    <x v="1147"/>
    <x v="474"/>
    <x v="6"/>
    <s v="On Demand"/>
    <x v="13"/>
    <x v="1"/>
    <x v="5"/>
    <s v="Emotions"/>
    <x v="109"/>
    <x v="3300"/>
    <m/>
    <m/>
    <m/>
    <m/>
    <m/>
    <m/>
    <m/>
    <m/>
    <m/>
    <m/>
  </r>
  <r>
    <s v="2023-07-05 22:21 (PST)"/>
    <x v="1148"/>
    <x v="740"/>
    <x v="6"/>
    <s v="On Demand"/>
    <x v="16"/>
    <x v="1"/>
    <x v="5"/>
    <s v="Emotions"/>
    <x v="210"/>
    <x v="3301"/>
    <m/>
    <m/>
    <m/>
    <m/>
    <m/>
    <m/>
    <m/>
    <m/>
    <m/>
    <m/>
  </r>
  <r>
    <s v="2023-07-12 09:30 (PST)"/>
    <x v="1149"/>
    <x v="1213"/>
    <x v="6"/>
    <m/>
    <x v="34"/>
    <x v="14"/>
    <x v="6"/>
    <m/>
    <x v="775"/>
    <x v="231"/>
    <n v="0"/>
    <m/>
    <m/>
    <m/>
    <n v="3.11"/>
    <n v="1.95"/>
    <n v="284"/>
    <n v="126.55"/>
    <m/>
    <m/>
  </r>
  <r>
    <s v="2023-07-12 14:43 (-07)"/>
    <x v="1149"/>
    <x v="1988"/>
    <x v="6"/>
    <s v="On Demand"/>
    <x v="6"/>
    <x v="0"/>
    <x v="0"/>
    <s v="Power Zone"/>
    <x v="27"/>
    <x v="3302"/>
    <n v="312"/>
    <n v="115"/>
    <n v="0.39"/>
    <n v="84"/>
    <n v="17.09"/>
    <n v="12.82"/>
    <n v="438"/>
    <n v="149.59"/>
    <m/>
    <m/>
  </r>
  <r>
    <s v="2023-07-12 15:28 (-07)"/>
    <x v="1149"/>
    <x v="808"/>
    <x v="6"/>
    <s v="On Demand"/>
    <x v="15"/>
    <x v="3"/>
    <x v="0"/>
    <s v="Cool Down"/>
    <x v="10"/>
    <x v="3303"/>
    <n v="19"/>
    <n v="64"/>
    <n v="0.3"/>
    <n v="84"/>
    <n v="13.34"/>
    <n v="1.1100000000000001"/>
    <n v="34"/>
    <n v="124.41"/>
    <m/>
    <m/>
  </r>
  <r>
    <s v="2023-07-12 15:46 (-07)"/>
    <x v="1149"/>
    <x v="1989"/>
    <x v="6"/>
    <s v="On Demand"/>
    <x v="15"/>
    <x v="3"/>
    <x v="2"/>
    <s v="Pre &amp; Post-Ride Stretch"/>
    <x v="8"/>
    <x v="3304"/>
    <m/>
    <m/>
    <m/>
    <m/>
    <m/>
    <m/>
    <n v="18"/>
    <n v="96.2"/>
    <m/>
    <m/>
  </r>
  <r>
    <s v="2023-07-12 22:42 (PST)"/>
    <x v="1149"/>
    <x v="678"/>
    <x v="6"/>
    <s v="On Demand"/>
    <x v="16"/>
    <x v="7"/>
    <x v="5"/>
    <s v="Mindfulness"/>
    <x v="163"/>
    <x v="3305"/>
    <m/>
    <m/>
    <m/>
    <m/>
    <m/>
    <m/>
    <m/>
    <m/>
    <m/>
    <m/>
  </r>
  <r>
    <s v="2023-07-19 11:31 (PST)"/>
    <x v="1150"/>
    <x v="1355"/>
    <x v="6"/>
    <m/>
    <x v="34"/>
    <x v="14"/>
    <x v="6"/>
    <m/>
    <x v="776"/>
    <x v="231"/>
    <n v="0"/>
    <m/>
    <m/>
    <m/>
    <n v="3.19"/>
    <n v="2.06"/>
    <n v="275"/>
    <n v="123.99"/>
    <m/>
    <m/>
  </r>
  <r>
    <s v="2023-07-19 15:07 (-07)"/>
    <x v="1150"/>
    <x v="1990"/>
    <x v="6"/>
    <s v="On Demand"/>
    <x v="24"/>
    <x v="7"/>
    <x v="1"/>
    <s v="Core"/>
    <x v="254"/>
    <x v="3306"/>
    <m/>
    <m/>
    <m/>
    <m/>
    <m/>
    <m/>
    <n v="68"/>
    <n v="103.79"/>
    <m/>
    <m/>
  </r>
  <r>
    <s v="2023-07-19 15:25 (-07)"/>
    <x v="1150"/>
    <x v="1008"/>
    <x v="6"/>
    <s v="On Demand"/>
    <x v="6"/>
    <x v="0"/>
    <x v="0"/>
    <s v="Power Zone"/>
    <x v="85"/>
    <x v="3307"/>
    <n v="330"/>
    <n v="125"/>
    <n v="0.4"/>
    <n v="83"/>
    <n v="17.36"/>
    <n v="12.79"/>
    <n v="423"/>
    <n v="154"/>
    <m/>
    <m/>
  </r>
  <r>
    <s v="2023-07-19 16:11 (-07)"/>
    <x v="1150"/>
    <x v="1329"/>
    <x v="6"/>
    <s v="On Demand"/>
    <x v="7"/>
    <x v="3"/>
    <x v="0"/>
    <s v="Cool Down"/>
    <x v="10"/>
    <x v="3308"/>
    <n v="17"/>
    <n v="58"/>
    <n v="0.28999999999999998"/>
    <n v="85"/>
    <n v="12.65"/>
    <n v="1.05"/>
    <n v="33"/>
    <n v="127.52"/>
    <m/>
    <m/>
  </r>
  <r>
    <s v="2023-07-19 16:17 (-07)"/>
    <x v="1150"/>
    <x v="1334"/>
    <x v="6"/>
    <s v="On Demand"/>
    <x v="17"/>
    <x v="1"/>
    <x v="1"/>
    <s v="Arms &amp; Light Weights"/>
    <x v="28"/>
    <x v="3309"/>
    <m/>
    <m/>
    <m/>
    <m/>
    <m/>
    <m/>
    <n v="51"/>
    <n v="108.76"/>
    <m/>
    <m/>
  </r>
  <r>
    <s v="2023-07-19 16:42 (PST)"/>
    <x v="1150"/>
    <x v="960"/>
    <x v="6"/>
    <s v="On Demand"/>
    <x v="13"/>
    <x v="2"/>
    <x v="4"/>
    <s v="Flow"/>
    <x v="124"/>
    <x v="3310"/>
    <m/>
    <m/>
    <m/>
    <m/>
    <m/>
    <m/>
    <m/>
    <n v="92.49"/>
    <m/>
    <m/>
  </r>
  <r>
    <s v="2023-07-26 21:56 (EST)"/>
    <x v="1151"/>
    <x v="1991"/>
    <x v="6"/>
    <s v="On Demand"/>
    <x v="19"/>
    <x v="2"/>
    <x v="5"/>
    <s v="Sleep"/>
    <x v="31"/>
    <x v="3311"/>
    <m/>
    <m/>
    <m/>
    <m/>
    <m/>
    <m/>
    <m/>
    <m/>
    <m/>
    <m/>
  </r>
  <r>
    <s v="2023-08-09 07:45 (PST)"/>
    <x v="1152"/>
    <x v="126"/>
    <x v="6"/>
    <s v="On Demand"/>
    <x v="28"/>
    <x v="2"/>
    <x v="4"/>
    <s v="Flow"/>
    <x v="777"/>
    <x v="3312"/>
    <m/>
    <m/>
    <m/>
    <m/>
    <m/>
    <m/>
    <n v="95"/>
    <m/>
    <m/>
    <m/>
  </r>
  <r>
    <s v="2023-08-09 15:38 (-07)"/>
    <x v="1152"/>
    <x v="767"/>
    <x v="6"/>
    <s v="On Demand"/>
    <x v="7"/>
    <x v="0"/>
    <x v="0"/>
    <s v="Power Zone"/>
    <x v="27"/>
    <x v="3313"/>
    <n v="266"/>
    <n v="99"/>
    <n v="0.38"/>
    <n v="80"/>
    <n v="15.97"/>
    <n v="11.98"/>
    <n v="358"/>
    <n v="134.26"/>
    <m/>
    <m/>
  </r>
  <r>
    <s v="2023-08-09 21:29 (PST)"/>
    <x v="1152"/>
    <x v="423"/>
    <x v="6"/>
    <s v="On Demand"/>
    <x v="19"/>
    <x v="1"/>
    <x v="5"/>
    <s v="Sleep"/>
    <x v="39"/>
    <x v="3314"/>
    <m/>
    <m/>
    <m/>
    <m/>
    <m/>
    <m/>
    <m/>
    <m/>
    <m/>
    <m/>
  </r>
  <r>
    <s v="2023-08-16 07:59 (PST)"/>
    <x v="1153"/>
    <x v="799"/>
    <x v="6"/>
    <s v="On Demand"/>
    <x v="23"/>
    <x v="2"/>
    <x v="4"/>
    <s v="Flow"/>
    <x v="778"/>
    <x v="3315"/>
    <m/>
    <m/>
    <m/>
    <m/>
    <m/>
    <m/>
    <n v="100"/>
    <m/>
    <m/>
    <m/>
  </r>
  <r>
    <s v="2023-08-16 16:10 (-07)"/>
    <x v="1153"/>
    <x v="1992"/>
    <x v="6"/>
    <s v="On Demand"/>
    <x v="6"/>
    <x v="1"/>
    <x v="0"/>
    <s v="Power Zone"/>
    <x v="356"/>
    <x v="3316"/>
    <n v="64"/>
    <n v="106"/>
    <n v="0.35"/>
    <n v="91"/>
    <n v="16.23"/>
    <n v="2.71"/>
    <n v="92"/>
    <n v="144.97"/>
    <m/>
    <m/>
  </r>
  <r>
    <s v="2023-08-16 16:22 (-07)"/>
    <x v="1153"/>
    <x v="438"/>
    <x v="6"/>
    <s v="On Demand"/>
    <x v="6"/>
    <x v="5"/>
    <x v="0"/>
    <s v="Power Zone"/>
    <x v="88"/>
    <x v="3316"/>
    <n v="206"/>
    <n v="172"/>
    <n v="0.47"/>
    <n v="81"/>
    <n v="20.14"/>
    <n v="6.71"/>
    <n v="248"/>
    <n v="173.06"/>
    <m/>
    <m/>
  </r>
  <r>
    <s v="2023-08-16 16:45 (-07)"/>
    <x v="1153"/>
    <x v="237"/>
    <x v="6"/>
    <s v="On Demand"/>
    <x v="6"/>
    <x v="2"/>
    <x v="0"/>
    <s v="Low Impact"/>
    <x v="76"/>
    <x v="276"/>
    <n v="48"/>
    <n v="55"/>
    <n v="0.3"/>
    <n v="77"/>
    <n v="12.33"/>
    <n v="3.01"/>
    <n v="130"/>
    <n v="141.6"/>
    <m/>
    <m/>
  </r>
  <r>
    <s v="2023-08-16 21:34 (PST)"/>
    <x v="1153"/>
    <x v="549"/>
    <x v="6"/>
    <s v="On Demand"/>
    <x v="19"/>
    <x v="7"/>
    <x v="5"/>
    <s v="Relaxation"/>
    <x v="94"/>
    <x v="1745"/>
    <m/>
    <m/>
    <m/>
    <m/>
    <m/>
    <m/>
    <m/>
    <m/>
    <m/>
    <m/>
  </r>
  <r>
    <s v="2023-08-23 07:30 (PST)"/>
    <x v="1154"/>
    <x v="58"/>
    <x v="6"/>
    <s v="On Demand"/>
    <x v="28"/>
    <x v="2"/>
    <x v="4"/>
    <s v="Slow Flow"/>
    <x v="779"/>
    <x v="3317"/>
    <m/>
    <m/>
    <m/>
    <m/>
    <m/>
    <m/>
    <n v="92"/>
    <m/>
    <m/>
    <m/>
  </r>
  <r>
    <s v="2023-08-23 13:53 (-07)"/>
    <x v="1154"/>
    <x v="1993"/>
    <x v="6"/>
    <s v="On Demand"/>
    <x v="6"/>
    <x v="4"/>
    <x v="0"/>
    <s v="Power Zone"/>
    <x v="7"/>
    <x v="3318"/>
    <n v="430"/>
    <n v="119"/>
    <n v="0.4"/>
    <n v="83"/>
    <n v="17.329999999999998"/>
    <n v="17.329999999999998"/>
    <n v="601"/>
    <n v="151.94999999999999"/>
    <m/>
    <m/>
  </r>
  <r>
    <s v="2023-08-23 14:54 (-07)"/>
    <x v="1154"/>
    <x v="1994"/>
    <x v="6"/>
    <s v="On Demand"/>
    <x v="17"/>
    <x v="3"/>
    <x v="0"/>
    <s v="Cool Down"/>
    <x v="10"/>
    <x v="3319"/>
    <n v="14"/>
    <n v="48"/>
    <n v="0.28000000000000003"/>
    <n v="76"/>
    <n v="11.67"/>
    <n v="0.97"/>
    <n v="30"/>
    <n v="117.53"/>
    <m/>
    <m/>
  </r>
  <r>
    <s v="2023-08-23 15:00 (-07)"/>
    <x v="1154"/>
    <x v="1995"/>
    <x v="6"/>
    <s v="On Demand"/>
    <x v="1"/>
    <x v="1"/>
    <x v="1"/>
    <s v="Arms &amp; Light Weights"/>
    <x v="28"/>
    <x v="3320"/>
    <m/>
    <m/>
    <m/>
    <m/>
    <m/>
    <m/>
    <n v="51"/>
    <n v="109.67"/>
    <m/>
    <m/>
  </r>
  <r>
    <s v="2023-08-23 15:11 (-07)"/>
    <x v="1154"/>
    <x v="1996"/>
    <x v="6"/>
    <s v="On Demand"/>
    <x v="10"/>
    <x v="3"/>
    <x v="2"/>
    <s v="Pre &amp; Post-Ride Stretch"/>
    <x v="8"/>
    <x v="3321"/>
    <m/>
    <m/>
    <m/>
    <m/>
    <m/>
    <m/>
    <n v="19"/>
    <n v="96.99"/>
    <m/>
    <m/>
  </r>
  <r>
    <s v="2023-08-23 22:18 (PST)"/>
    <x v="1154"/>
    <x v="117"/>
    <x v="6"/>
    <s v="On Demand"/>
    <x v="19"/>
    <x v="7"/>
    <x v="5"/>
    <s v="Breath"/>
    <x v="637"/>
    <x v="3322"/>
    <m/>
    <m/>
    <m/>
    <m/>
    <m/>
    <m/>
    <m/>
    <m/>
    <m/>
    <m/>
  </r>
  <r>
    <s v="2023-08-30 07:51 (-07)"/>
    <x v="1155"/>
    <x v="1416"/>
    <x v="6"/>
    <s v="On Demand"/>
    <x v="26"/>
    <x v="2"/>
    <x v="1"/>
    <s v="Full Body"/>
    <x v="780"/>
    <x v="1343"/>
    <m/>
    <m/>
    <m/>
    <m/>
    <m/>
    <m/>
    <n v="141"/>
    <m/>
    <m/>
    <m/>
  </r>
  <r>
    <s v="2023-08-30 08:23 (-07)"/>
    <x v="1155"/>
    <x v="1997"/>
    <x v="6"/>
    <s v="On Demand"/>
    <x v="1"/>
    <x v="1"/>
    <x v="1"/>
    <s v="Core"/>
    <x v="1"/>
    <x v="3323"/>
    <m/>
    <m/>
    <m/>
    <m/>
    <m/>
    <m/>
    <n v="50"/>
    <n v="107.83"/>
    <m/>
    <m/>
  </r>
  <r>
    <s v="2023-08-30 08:34 (-07)"/>
    <x v="1155"/>
    <x v="1998"/>
    <x v="6"/>
    <s v="On Demand"/>
    <x v="37"/>
    <x v="1"/>
    <x v="2"/>
    <s v="Lower Body Stretch"/>
    <x v="3"/>
    <x v="3324"/>
    <m/>
    <m/>
    <m/>
    <m/>
    <m/>
    <m/>
    <n v="27"/>
    <n v="86.64"/>
    <m/>
    <m/>
  </r>
  <r>
    <s v="2023-08-30 22:04 (PST)"/>
    <x v="1155"/>
    <x v="529"/>
    <x v="6"/>
    <s v="On Demand"/>
    <x v="23"/>
    <x v="7"/>
    <x v="5"/>
    <s v="Breath"/>
    <x v="428"/>
    <x v="3325"/>
    <m/>
    <m/>
    <m/>
    <m/>
    <m/>
    <m/>
    <m/>
    <m/>
    <m/>
    <m/>
  </r>
  <r>
    <s v="2023-09-06 20:19 (PST)"/>
    <x v="1156"/>
    <x v="910"/>
    <x v="6"/>
    <s v="On Demand"/>
    <x v="16"/>
    <x v="2"/>
    <x v="5"/>
    <s v="Sleep"/>
    <x v="31"/>
    <x v="461"/>
    <m/>
    <m/>
    <m/>
    <m/>
    <m/>
    <m/>
    <m/>
    <m/>
    <m/>
    <m/>
  </r>
  <r>
    <s v="2023-09-13 08:03 (PST)"/>
    <x v="1157"/>
    <x v="837"/>
    <x v="6"/>
    <s v="On Demand"/>
    <x v="13"/>
    <x v="2"/>
    <x v="4"/>
    <s v="Flow"/>
    <x v="41"/>
    <x v="3326"/>
    <m/>
    <m/>
    <m/>
    <m/>
    <m/>
    <m/>
    <n v="98"/>
    <m/>
    <m/>
    <m/>
  </r>
  <r>
    <s v="2023-09-13 15:16 (-07)"/>
    <x v="1157"/>
    <x v="1790"/>
    <x v="6"/>
    <s v="On Demand"/>
    <x v="26"/>
    <x v="2"/>
    <x v="1"/>
    <s v="Full Body"/>
    <x v="781"/>
    <x v="3327"/>
    <m/>
    <m/>
    <m/>
    <m/>
    <m/>
    <m/>
    <n v="212"/>
    <n v="149.78"/>
    <m/>
    <m/>
  </r>
  <r>
    <s v="2023-09-13 15:50 (-07)"/>
    <x v="1157"/>
    <x v="931"/>
    <x v="6"/>
    <s v="On Demand"/>
    <x v="38"/>
    <x v="2"/>
    <x v="7"/>
    <s v="Endurance"/>
    <x v="152"/>
    <x v="3328"/>
    <n v="108"/>
    <m/>
    <m/>
    <m/>
    <n v="2.67"/>
    <n v="2.99"/>
    <n v="275"/>
    <n v="142.81"/>
    <m/>
    <m/>
  </r>
  <r>
    <s v="2023-09-13 21:47 (PST)"/>
    <x v="1157"/>
    <x v="844"/>
    <x v="6"/>
    <s v="On Demand"/>
    <x v="23"/>
    <x v="1"/>
    <x v="5"/>
    <s v="Emotions"/>
    <x v="44"/>
    <x v="3329"/>
    <m/>
    <m/>
    <m/>
    <m/>
    <m/>
    <m/>
    <m/>
    <m/>
    <m/>
    <m/>
  </r>
  <r>
    <s v="2023-09-20 15:49 (-07)"/>
    <x v="1158"/>
    <x v="800"/>
    <x v="6"/>
    <s v="On Demand"/>
    <x v="6"/>
    <x v="0"/>
    <x v="0"/>
    <s v="Power Zone"/>
    <x v="85"/>
    <x v="3330"/>
    <n v="295"/>
    <n v="109"/>
    <n v="0.36"/>
    <n v="86"/>
    <n v="16.27"/>
    <n v="12.2"/>
    <n v="538"/>
    <n v="168.98"/>
    <m/>
    <m/>
  </r>
  <r>
    <s v="2023-09-20 16:36 (-07)"/>
    <x v="1158"/>
    <x v="1585"/>
    <x v="6"/>
    <s v="On Demand"/>
    <x v="7"/>
    <x v="7"/>
    <x v="0"/>
    <s v="Low Impact"/>
    <x v="249"/>
    <x v="3331"/>
    <n v="61"/>
    <n v="68"/>
    <n v="0.34"/>
    <n v="77"/>
    <n v="13.76"/>
    <n v="3.44"/>
    <n v="138"/>
    <n v="144.96"/>
    <m/>
    <m/>
  </r>
  <r>
    <s v="2023-09-20 16:55 (-07)"/>
    <x v="1158"/>
    <x v="1508"/>
    <x v="6"/>
    <s v="On Demand"/>
    <x v="12"/>
    <x v="1"/>
    <x v="1"/>
    <s v="Arms &amp; Light Weights"/>
    <x v="28"/>
    <x v="3332"/>
    <m/>
    <m/>
    <m/>
    <m/>
    <m/>
    <m/>
    <n v="67"/>
    <n v="122.92"/>
    <m/>
    <m/>
  </r>
  <r>
    <s v="2023-09-20 21:56 (PST)"/>
    <x v="1158"/>
    <x v="588"/>
    <x v="6"/>
    <s v="On Demand"/>
    <x v="16"/>
    <x v="5"/>
    <x v="5"/>
    <s v="Sleep"/>
    <x v="29"/>
    <x v="3333"/>
    <m/>
    <m/>
    <m/>
    <m/>
    <m/>
    <m/>
    <m/>
    <m/>
    <m/>
    <m/>
  </r>
  <r>
    <s v="2023-09-27 21:26 (PST)"/>
    <x v="1159"/>
    <x v="492"/>
    <x v="6"/>
    <s v="On Demand"/>
    <x v="19"/>
    <x v="2"/>
    <x v="5"/>
    <s v="Sleep"/>
    <x v="31"/>
    <x v="2307"/>
    <m/>
    <m/>
    <m/>
    <m/>
    <m/>
    <m/>
    <m/>
    <m/>
    <m/>
    <m/>
  </r>
  <r>
    <s v="2023-10-04 14:17 (-07)"/>
    <x v="1160"/>
    <x v="1999"/>
    <x v="6"/>
    <s v="On Demand"/>
    <x v="6"/>
    <x v="2"/>
    <x v="0"/>
    <s v="Power Zone"/>
    <x v="97"/>
    <x v="3334"/>
    <n v="190"/>
    <n v="106"/>
    <n v="0.37"/>
    <n v="85"/>
    <n v="16.36"/>
    <n v="8.18"/>
    <n v="334"/>
    <n v="161.71"/>
    <m/>
    <m/>
  </r>
  <r>
    <s v="2023-10-04 14:49 (-07)"/>
    <x v="1160"/>
    <x v="255"/>
    <x v="6"/>
    <s v="On Demand"/>
    <x v="17"/>
    <x v="7"/>
    <x v="0"/>
    <s v="Low Impact"/>
    <x v="249"/>
    <x v="3335"/>
    <n v="72"/>
    <n v="80"/>
    <n v="0.35"/>
    <n v="78"/>
    <n v="14.49"/>
    <n v="3.63"/>
    <n v="140"/>
    <n v="145.86000000000001"/>
    <m/>
    <m/>
  </r>
  <r>
    <s v="2023-10-04 15:04 (-07)"/>
    <x v="1160"/>
    <x v="1575"/>
    <x v="6"/>
    <s v="On Demand"/>
    <x v="9"/>
    <x v="3"/>
    <x v="0"/>
    <s v="Cool Down"/>
    <x v="10"/>
    <x v="3336"/>
    <n v="14"/>
    <n v="48"/>
    <n v="0.26"/>
    <n v="86"/>
    <n v="11.7"/>
    <n v="0.97"/>
    <n v="35"/>
    <n v="127.23"/>
    <m/>
    <m/>
  </r>
  <r>
    <s v="2023-10-04 15:12 (-07)"/>
    <x v="1160"/>
    <x v="1068"/>
    <x v="6"/>
    <s v="On Demand"/>
    <x v="26"/>
    <x v="2"/>
    <x v="1"/>
    <s v="Upper Body"/>
    <x v="153"/>
    <x v="3337"/>
    <m/>
    <m/>
    <m/>
    <m/>
    <m/>
    <m/>
    <n v="140"/>
    <n v="99.64"/>
    <m/>
    <m/>
  </r>
  <r>
    <s v="2023-10-04 15:51 (PST)"/>
    <x v="1160"/>
    <x v="705"/>
    <x v="6"/>
    <s v="On Demand"/>
    <x v="13"/>
    <x v="2"/>
    <x v="4"/>
    <s v="Flow"/>
    <x v="91"/>
    <x v="3338"/>
    <m/>
    <m/>
    <m/>
    <m/>
    <m/>
    <m/>
    <n v="144"/>
    <n v="106.65"/>
    <m/>
    <m/>
  </r>
  <r>
    <s v="2023-10-11 16:18 (PST)"/>
    <x v="1161"/>
    <x v="2000"/>
    <x v="6"/>
    <s v="On Demand"/>
    <x v="23"/>
    <x v="2"/>
    <x v="4"/>
    <s v="Slow Flow"/>
    <x v="114"/>
    <x v="3339"/>
    <m/>
    <m/>
    <m/>
    <m/>
    <m/>
    <m/>
    <n v="99"/>
    <m/>
    <m/>
    <m/>
  </r>
  <r>
    <s v="2023-10-11 18:54 (-07)"/>
    <x v="1161"/>
    <x v="121"/>
    <x v="6"/>
    <s v="On Demand"/>
    <x v="4"/>
    <x v="0"/>
    <x v="0"/>
    <s v="Power Zone"/>
    <x v="27"/>
    <x v="1958"/>
    <n v="298"/>
    <n v="110"/>
    <n v="0.38"/>
    <n v="85"/>
    <n v="16.75"/>
    <n v="12.57"/>
    <n v="496"/>
    <n v="165.22"/>
    <m/>
    <m/>
  </r>
  <r>
    <s v="2023-10-11 19:40 (-07)"/>
    <x v="1161"/>
    <x v="2001"/>
    <x v="6"/>
    <s v="On Demand"/>
    <x v="6"/>
    <x v="1"/>
    <x v="0"/>
    <s v="Cool Down"/>
    <x v="17"/>
    <x v="3340"/>
    <n v="32"/>
    <n v="54"/>
    <n v="0.28000000000000003"/>
    <n v="81"/>
    <n v="12.41"/>
    <n v="2.0699999999999998"/>
    <n v="83"/>
    <n v="137.28"/>
    <m/>
    <m/>
  </r>
  <r>
    <s v="2023-10-11 19:50 (-07)"/>
    <x v="1161"/>
    <x v="1197"/>
    <x v="6"/>
    <s v="On Demand"/>
    <x v="29"/>
    <x v="3"/>
    <x v="2"/>
    <s v="Pre &amp; Post-Ride Stretch"/>
    <x v="8"/>
    <x v="3341"/>
    <m/>
    <m/>
    <m/>
    <m/>
    <m/>
    <m/>
    <n v="28"/>
    <n v="114.26"/>
    <m/>
    <m/>
  </r>
  <r>
    <s v="2023-10-18 17:01 (EST)"/>
    <x v="1162"/>
    <x v="2002"/>
    <x v="6"/>
    <s v="On Demand"/>
    <x v="31"/>
    <x v="4"/>
    <x v="11"/>
    <s v="Low Impact"/>
    <x v="782"/>
    <x v="3342"/>
    <n v="0"/>
    <m/>
    <m/>
    <m/>
    <n v="3.07"/>
    <n v="1.35"/>
    <n v="508"/>
    <n v="138.15"/>
    <n v="0"/>
    <d v="1899-12-30T19:32:00"/>
  </r>
  <r>
    <s v="2023-10-18 23:26 (EST)"/>
    <x v="1162"/>
    <x v="2003"/>
    <x v="6"/>
    <s v="On Demand"/>
    <x v="23"/>
    <x v="5"/>
    <x v="5"/>
    <s v="Sleep"/>
    <x v="29"/>
    <x v="3343"/>
    <m/>
    <m/>
    <m/>
    <m/>
    <m/>
    <m/>
    <m/>
    <m/>
    <m/>
    <m/>
  </r>
  <r>
    <s v="2023-10-25 14:51 (-07)"/>
    <x v="1163"/>
    <x v="2004"/>
    <x v="6"/>
    <s v="On Demand"/>
    <x v="35"/>
    <x v="1"/>
    <x v="1"/>
    <s v="Core"/>
    <x v="1"/>
    <x v="3344"/>
    <m/>
    <m/>
    <m/>
    <m/>
    <m/>
    <m/>
    <n v="46"/>
    <n v="104.96"/>
    <m/>
    <m/>
  </r>
  <r>
    <s v="2023-10-25 15:03 (-07)"/>
    <x v="1163"/>
    <x v="1604"/>
    <x v="6"/>
    <s v="On Demand"/>
    <x v="4"/>
    <x v="5"/>
    <x v="1"/>
    <s v="Upper Body"/>
    <x v="783"/>
    <x v="3345"/>
    <m/>
    <m/>
    <m/>
    <m/>
    <m/>
    <m/>
    <n v="141"/>
    <n v="126.56"/>
    <m/>
    <m/>
  </r>
  <r>
    <s v="2023-10-25 15:27 (-07)"/>
    <x v="1163"/>
    <x v="1984"/>
    <x v="6"/>
    <s v="On Demand"/>
    <x v="6"/>
    <x v="4"/>
    <x v="0"/>
    <s v="Power Zone"/>
    <x v="7"/>
    <x v="3346"/>
    <n v="402"/>
    <n v="112"/>
    <n v="0.4"/>
    <n v="81"/>
    <n v="16.850000000000001"/>
    <n v="16.850000000000001"/>
    <n v="679"/>
    <n v="163.29"/>
    <m/>
    <m/>
  </r>
  <r>
    <s v="2023-10-25 16:27 (-07)"/>
    <x v="1163"/>
    <x v="776"/>
    <x v="6"/>
    <s v="On Demand"/>
    <x v="42"/>
    <x v="3"/>
    <x v="0"/>
    <s v="Cool Down"/>
    <x v="10"/>
    <x v="3347"/>
    <n v="13"/>
    <n v="44"/>
    <n v="0.26"/>
    <n v="83"/>
    <n v="11.18"/>
    <n v="0.93"/>
    <n v="39"/>
    <n v="133.54"/>
    <m/>
    <m/>
  </r>
  <r>
    <s v="2023-10-25 22:33 (PST)"/>
    <x v="1163"/>
    <x v="232"/>
    <x v="6"/>
    <s v="On Demand"/>
    <x v="28"/>
    <x v="7"/>
    <x v="5"/>
    <s v="Emotions"/>
    <x v="286"/>
    <x v="3348"/>
    <m/>
    <m/>
    <m/>
    <m/>
    <m/>
    <m/>
    <m/>
    <m/>
    <m/>
    <m/>
  </r>
  <r>
    <s v="2023-11-01 11:24 (PST)"/>
    <x v="1164"/>
    <x v="2005"/>
    <x v="6"/>
    <s v="On Demand"/>
    <x v="28"/>
    <x v="2"/>
    <x v="4"/>
    <s v="Flow"/>
    <x v="69"/>
    <x v="3349"/>
    <m/>
    <m/>
    <m/>
    <m/>
    <m/>
    <m/>
    <n v="94"/>
    <m/>
    <m/>
    <m/>
  </r>
  <r>
    <s v="2023-11-01 14:22 (-07)"/>
    <x v="1164"/>
    <x v="2006"/>
    <x v="6"/>
    <s v="On Demand"/>
    <x v="6"/>
    <x v="0"/>
    <x v="0"/>
    <s v="Power Zone"/>
    <x v="27"/>
    <x v="3350"/>
    <n v="281"/>
    <n v="104"/>
    <n v="0.37"/>
    <n v="86"/>
    <n v="16.39"/>
    <n v="12.29"/>
    <n v="457"/>
    <n v="153.26"/>
    <m/>
    <m/>
  </r>
  <r>
    <s v="2023-11-01 22:28 (PST)"/>
    <x v="1164"/>
    <x v="472"/>
    <x v="6"/>
    <s v="On Demand"/>
    <x v="16"/>
    <x v="1"/>
    <x v="5"/>
    <s v="Relaxation"/>
    <x v="81"/>
    <x v="3351"/>
    <m/>
    <m/>
    <m/>
    <m/>
    <m/>
    <m/>
    <m/>
    <m/>
    <m/>
    <m/>
  </r>
  <r>
    <s v="2023-11-08 07:59 (PST)"/>
    <x v="1165"/>
    <x v="799"/>
    <x v="6"/>
    <s v="On Demand"/>
    <x v="23"/>
    <x v="2"/>
    <x v="4"/>
    <s v="Slow Flow"/>
    <x v="50"/>
    <x v="989"/>
    <m/>
    <m/>
    <m/>
    <m/>
    <m/>
    <m/>
    <n v="96"/>
    <m/>
    <m/>
    <m/>
  </r>
  <r>
    <s v="2023-11-08 10:29 (-08)"/>
    <x v="1165"/>
    <x v="2007"/>
    <x v="6"/>
    <s v="On Demand"/>
    <x v="38"/>
    <x v="2"/>
    <x v="7"/>
    <s v="Endurance"/>
    <x v="152"/>
    <x v="3352"/>
    <n v="112"/>
    <m/>
    <m/>
    <m/>
    <n v="2.73"/>
    <n v="2.89"/>
    <n v="260"/>
    <n v="141.81"/>
    <m/>
    <m/>
  </r>
  <r>
    <s v="2023-11-08 11:03 (-08)"/>
    <x v="1165"/>
    <x v="2008"/>
    <x v="6"/>
    <s v="On Demand"/>
    <x v="24"/>
    <x v="1"/>
    <x v="1"/>
    <s v="Core"/>
    <x v="108"/>
    <x v="3353"/>
    <m/>
    <m/>
    <m/>
    <m/>
    <m/>
    <m/>
    <n v="51"/>
    <n v="108.62"/>
    <m/>
    <m/>
  </r>
  <r>
    <s v="2023-11-15 17:43 (PST)"/>
    <x v="1166"/>
    <x v="1245"/>
    <x v="6"/>
    <s v="On Demand"/>
    <x v="21"/>
    <x v="2"/>
    <x v="6"/>
    <s v="Music"/>
    <x v="548"/>
    <x v="3354"/>
    <n v="0"/>
    <m/>
    <m/>
    <m/>
    <n v="3.26"/>
    <n v="1.52"/>
    <n v="221"/>
    <n v="128.38999999999999"/>
    <m/>
    <m/>
  </r>
  <r>
    <s v="2023-11-15 18:14 (PST)"/>
    <x v="1166"/>
    <x v="19"/>
    <x v="6"/>
    <s v="On Demand"/>
    <x v="21"/>
    <x v="7"/>
    <x v="6"/>
    <s v="Music"/>
    <x v="784"/>
    <x v="3355"/>
    <n v="0"/>
    <m/>
    <m/>
    <m/>
    <n v="3.38"/>
    <n v="0.8"/>
    <n v="127"/>
    <n v="137.07"/>
    <m/>
    <m/>
  </r>
  <r>
    <s v="2023-11-15 18:33 (PST)"/>
    <x v="1166"/>
    <x v="1139"/>
    <x v="6"/>
    <s v="On Demand"/>
    <x v="1"/>
    <x v="7"/>
    <x v="1"/>
    <s v="Core"/>
    <x v="126"/>
    <x v="3356"/>
    <m/>
    <m/>
    <m/>
    <m/>
    <m/>
    <m/>
    <n v="101"/>
    <n v="117.52"/>
    <m/>
    <m/>
  </r>
  <r>
    <s v="2023-11-15 22:52 (PST)"/>
    <x v="1166"/>
    <x v="1605"/>
    <x v="6"/>
    <s v="On Demand"/>
    <x v="19"/>
    <x v="7"/>
    <x v="5"/>
    <s v="Emotions"/>
    <x v="250"/>
    <x v="3357"/>
    <m/>
    <m/>
    <m/>
    <m/>
    <m/>
    <m/>
    <m/>
    <m/>
    <m/>
    <m/>
  </r>
  <r>
    <s v="2023-11-22 17:05 (-08)"/>
    <x v="1167"/>
    <x v="569"/>
    <x v="6"/>
    <s v="On Demand"/>
    <x v="6"/>
    <x v="4"/>
    <x v="0"/>
    <s v="Power Zone"/>
    <x v="23"/>
    <x v="3358"/>
    <n v="120"/>
    <n v="98"/>
    <n v="0.36"/>
    <n v="86"/>
    <n v="15.83"/>
    <n v="5.39"/>
    <n v="217"/>
    <n v="156.46"/>
    <m/>
    <m/>
  </r>
  <r>
    <s v="2023-11-22 17:33 (-08)"/>
    <x v="1167"/>
    <x v="828"/>
    <x v="6"/>
    <s v="On Demand"/>
    <x v="1"/>
    <x v="2"/>
    <x v="0"/>
    <s v="Low Impact"/>
    <x v="76"/>
    <x v="3359"/>
    <n v="170"/>
    <n v="95"/>
    <n v="0.36"/>
    <n v="84"/>
    <n v="15.82"/>
    <n v="7.91"/>
    <n v="320"/>
    <n v="156.16999999999999"/>
    <m/>
    <m/>
  </r>
  <r>
    <s v="2023-11-22 18:33 (PST)"/>
    <x v="1167"/>
    <x v="1139"/>
    <x v="6"/>
    <s v="On Demand"/>
    <x v="24"/>
    <x v="1"/>
    <x v="1"/>
    <s v="Core"/>
    <x v="1"/>
    <x v="3360"/>
    <m/>
    <m/>
    <m/>
    <m/>
    <m/>
    <m/>
    <n v="46"/>
    <m/>
    <m/>
    <m/>
  </r>
  <r>
    <s v="2023-11-22 18:45 (PST)"/>
    <x v="1167"/>
    <x v="2009"/>
    <x v="6"/>
    <s v="On Demand"/>
    <x v="16"/>
    <x v="5"/>
    <x v="4"/>
    <s v="Focus Flow"/>
    <x v="40"/>
    <x v="3361"/>
    <m/>
    <m/>
    <m/>
    <m/>
    <m/>
    <m/>
    <n v="64"/>
    <m/>
    <m/>
    <m/>
  </r>
  <r>
    <s v="2023-11-29 22:06 (PST)"/>
    <x v="1168"/>
    <x v="355"/>
    <x v="6"/>
    <s v="On Demand"/>
    <x v="19"/>
    <x v="2"/>
    <x v="5"/>
    <s v="Sleep"/>
    <x v="31"/>
    <x v="383"/>
    <m/>
    <m/>
    <m/>
    <m/>
    <m/>
    <m/>
    <m/>
    <m/>
    <m/>
    <m/>
  </r>
  <r>
    <s v="2023-12-06 15:39 (-08)"/>
    <x v="1169"/>
    <x v="1369"/>
    <x v="6"/>
    <s v="On Demand"/>
    <x v="20"/>
    <x v="1"/>
    <x v="1"/>
    <s v="Core"/>
    <x v="1"/>
    <x v="3362"/>
    <m/>
    <m/>
    <m/>
    <m/>
    <m/>
    <m/>
    <n v="46"/>
    <n v="103.84"/>
    <m/>
    <m/>
  </r>
  <r>
    <s v="2023-12-06 15:53 (-08)"/>
    <x v="1169"/>
    <x v="2010"/>
    <x v="6"/>
    <s v="On Demand"/>
    <x v="38"/>
    <x v="2"/>
    <x v="7"/>
    <s v="Endurance"/>
    <x v="152"/>
    <x v="3363"/>
    <n v="109"/>
    <m/>
    <m/>
    <m/>
    <n v="2.68"/>
    <n v="3"/>
    <n v="283"/>
    <n v="143.94999999999999"/>
    <m/>
    <m/>
  </r>
  <r>
    <s v="2023-12-06 16:29 (-08)"/>
    <x v="1169"/>
    <x v="158"/>
    <x v="6"/>
    <s v="On Demand"/>
    <x v="20"/>
    <x v="5"/>
    <x v="1"/>
    <s v="Lower Body"/>
    <x v="228"/>
    <x v="3364"/>
    <m/>
    <m/>
    <m/>
    <m/>
    <m/>
    <m/>
    <n v="121"/>
    <n v="124.77"/>
    <m/>
    <m/>
  </r>
  <r>
    <s v="2023-12-06 21:39 (PST)"/>
    <x v="1169"/>
    <x v="602"/>
    <x v="6"/>
    <s v="On Demand"/>
    <x v="7"/>
    <x v="1"/>
    <x v="4"/>
    <s v="Focus Flow"/>
    <x v="118"/>
    <x v="3365"/>
    <m/>
    <m/>
    <m/>
    <m/>
    <m/>
    <m/>
    <n v="32"/>
    <m/>
    <m/>
    <m/>
  </r>
  <r>
    <s v="2023-12-06 22:02 (PST)"/>
    <x v="1169"/>
    <x v="399"/>
    <x v="6"/>
    <s v="On Demand"/>
    <x v="28"/>
    <x v="7"/>
    <x v="5"/>
    <s v="Emotions"/>
    <x v="401"/>
    <x v="3366"/>
    <m/>
    <m/>
    <m/>
    <m/>
    <m/>
    <m/>
    <m/>
    <m/>
    <m/>
    <m/>
  </r>
  <r>
    <s v="2023-12-13 07:41 (PST)"/>
    <x v="1170"/>
    <x v="2011"/>
    <x v="6"/>
    <s v="On Demand"/>
    <x v="13"/>
    <x v="2"/>
    <x v="4"/>
    <s v="Flow"/>
    <x v="41"/>
    <x v="3367"/>
    <m/>
    <m/>
    <m/>
    <m/>
    <m/>
    <m/>
    <n v="101"/>
    <m/>
    <m/>
    <m/>
  </r>
  <r>
    <s v="2023-12-13 15:15 (-08)"/>
    <x v="1170"/>
    <x v="2012"/>
    <x v="6"/>
    <s v="On Demand"/>
    <x v="26"/>
    <x v="5"/>
    <x v="1"/>
    <s v="Upper Body"/>
    <x v="285"/>
    <x v="3368"/>
    <m/>
    <m/>
    <m/>
    <m/>
    <m/>
    <m/>
    <n v="119"/>
    <n v="116.42"/>
    <m/>
    <m/>
  </r>
  <r>
    <s v="2023-12-13 15:37 (-08)"/>
    <x v="1170"/>
    <x v="1821"/>
    <x v="6"/>
    <s v="On Demand"/>
    <x v="50"/>
    <x v="1"/>
    <x v="1"/>
    <s v="Core"/>
    <x v="108"/>
    <x v="3369"/>
    <m/>
    <m/>
    <m/>
    <m/>
    <m/>
    <m/>
    <n v="60"/>
    <n v="133.26"/>
    <m/>
    <m/>
  </r>
  <r>
    <s v="2023-12-13 15:49 (-08)"/>
    <x v="1170"/>
    <x v="179"/>
    <x v="6"/>
    <s v="On Demand"/>
    <x v="38"/>
    <x v="2"/>
    <x v="7"/>
    <s v="Endurance"/>
    <x v="152"/>
    <x v="3370"/>
    <n v="107"/>
    <m/>
    <m/>
    <m/>
    <n v="2.67"/>
    <n v="2.98"/>
    <n v="267"/>
    <n v="145.86000000000001"/>
    <m/>
    <m/>
  </r>
  <r>
    <s v="2023-12-13 16:22 (-08)"/>
    <x v="1170"/>
    <x v="1556"/>
    <x v="6"/>
    <s v="On Demand"/>
    <x v="46"/>
    <x v="3"/>
    <x v="2"/>
    <s v="Pre &amp; Post-Row Stretch"/>
    <x v="476"/>
    <x v="1379"/>
    <m/>
    <m/>
    <m/>
    <m/>
    <m/>
    <m/>
    <n v="22"/>
    <n v="103.79"/>
    <m/>
    <m/>
  </r>
  <r>
    <s v="2023-12-13 22:43 (PST)"/>
    <x v="1170"/>
    <x v="477"/>
    <x v="6"/>
    <s v="On Demand"/>
    <x v="23"/>
    <x v="1"/>
    <x v="5"/>
    <s v="Emotions"/>
    <x v="210"/>
    <x v="3371"/>
    <m/>
    <m/>
    <m/>
    <m/>
    <m/>
    <m/>
    <m/>
    <m/>
    <m/>
    <m/>
  </r>
  <r>
    <s v="2023-12-20 23:20 (PST)"/>
    <x v="1171"/>
    <x v="1063"/>
    <x v="6"/>
    <s v="On Demand"/>
    <x v="13"/>
    <x v="3"/>
    <x v="5"/>
    <s v="Emotions"/>
    <x v="785"/>
    <x v="3372"/>
    <m/>
    <m/>
    <m/>
    <m/>
    <m/>
    <m/>
    <m/>
    <m/>
    <m/>
    <m/>
  </r>
  <r>
    <s v="2023-12-27 22:39 (PST)"/>
    <x v="1172"/>
    <x v="426"/>
    <x v="6"/>
    <s v="On Demand"/>
    <x v="28"/>
    <x v="1"/>
    <x v="5"/>
    <s v="Emotions"/>
    <x v="60"/>
    <x v="3373"/>
    <m/>
    <m/>
    <m/>
    <m/>
    <m/>
    <m/>
    <m/>
    <m/>
    <m/>
    <m/>
  </r>
  <r>
    <s v="2024-01-03 14:46 (PST)"/>
    <x v="1173"/>
    <x v="1827"/>
    <x v="6"/>
    <m/>
    <x v="34"/>
    <x v="11"/>
    <x v="6"/>
    <m/>
    <x v="786"/>
    <x v="231"/>
    <n v="0"/>
    <m/>
    <m/>
    <m/>
    <n v="3.09"/>
    <n v="1.9"/>
    <n v="160"/>
    <m/>
    <m/>
    <m/>
  </r>
  <r>
    <s v="2024-01-03 16:28 (-08)"/>
    <x v="1173"/>
    <x v="312"/>
    <x v="6"/>
    <s v="On Demand"/>
    <x v="37"/>
    <x v="2"/>
    <x v="1"/>
    <s v="Lower Body"/>
    <x v="318"/>
    <x v="3374"/>
    <m/>
    <m/>
    <m/>
    <m/>
    <m/>
    <m/>
    <n v="231"/>
    <n v="130.52000000000001"/>
    <m/>
    <m/>
  </r>
  <r>
    <s v="2024-01-03 17:01 (-08)"/>
    <x v="1173"/>
    <x v="573"/>
    <x v="6"/>
    <s v="On Demand"/>
    <x v="4"/>
    <x v="1"/>
    <x v="1"/>
    <s v="Core"/>
    <x v="1"/>
    <x v="3375"/>
    <m/>
    <m/>
    <m/>
    <m/>
    <m/>
    <m/>
    <n v="49"/>
    <n v="106.37"/>
    <m/>
    <m/>
  </r>
  <r>
    <s v="2024-01-03 17:13 (-08)"/>
    <x v="1173"/>
    <x v="967"/>
    <x v="6"/>
    <s v="On Demand"/>
    <x v="4"/>
    <x v="1"/>
    <x v="1"/>
    <s v="Upper Body"/>
    <x v="313"/>
    <x v="3376"/>
    <m/>
    <m/>
    <m/>
    <m/>
    <m/>
    <m/>
    <n v="53"/>
    <n v="109.05"/>
    <m/>
    <m/>
  </r>
  <r>
    <s v="2024-01-03 17:29 (-08)"/>
    <x v="1173"/>
    <x v="2013"/>
    <x v="6"/>
    <s v="On Demand"/>
    <x v="38"/>
    <x v="5"/>
    <x v="7"/>
    <s v="Endurance"/>
    <x v="165"/>
    <x v="3377"/>
    <n v="49"/>
    <m/>
    <m/>
    <m/>
    <n v="2.62"/>
    <n v="1.39"/>
    <n v="105"/>
    <n v="129.84"/>
    <m/>
    <m/>
  </r>
  <r>
    <s v="2024-01-03 22:19 (PST)"/>
    <x v="1173"/>
    <x v="814"/>
    <x v="6"/>
    <s v="On Demand"/>
    <x v="28"/>
    <x v="5"/>
    <x v="5"/>
    <s v="Theme"/>
    <x v="787"/>
    <x v="1388"/>
    <m/>
    <m/>
    <m/>
    <m/>
    <m/>
    <m/>
    <m/>
    <m/>
    <m/>
    <m/>
  </r>
  <r>
    <s v="2024-01-10 12:11 (PST)"/>
    <x v="1174"/>
    <x v="2014"/>
    <x v="6"/>
    <m/>
    <x v="34"/>
    <x v="28"/>
    <x v="6"/>
    <m/>
    <x v="788"/>
    <x v="231"/>
    <n v="0"/>
    <m/>
    <m/>
    <m/>
    <n v="2.88"/>
    <n v="1.92"/>
    <n v="393"/>
    <m/>
    <m/>
    <m/>
  </r>
  <r>
    <s v="2024-01-10 16:11 (-08)"/>
    <x v="1174"/>
    <x v="1113"/>
    <x v="6"/>
    <s v="On Demand"/>
    <x v="4"/>
    <x v="0"/>
    <x v="0"/>
    <s v="Power Zone"/>
    <x v="148"/>
    <x v="3378"/>
    <n v="265"/>
    <n v="107"/>
    <n v="0.39"/>
    <n v="81"/>
    <n v="16.45"/>
    <n v="11.47"/>
    <n v="410"/>
    <n v="151.19"/>
    <m/>
    <m/>
  </r>
  <r>
    <s v="2024-01-10 22:12 (PST)"/>
    <x v="1174"/>
    <x v="233"/>
    <x v="6"/>
    <s v="On Demand"/>
    <x v="28"/>
    <x v="2"/>
    <x v="5"/>
    <s v="Sleep"/>
    <x v="31"/>
    <x v="3379"/>
    <m/>
    <m/>
    <m/>
    <m/>
    <m/>
    <m/>
    <m/>
    <m/>
    <m/>
    <m/>
  </r>
  <r>
    <s v="2024-01-17 15:42 (-08)"/>
    <x v="1175"/>
    <x v="2015"/>
    <x v="6"/>
    <s v="On Demand"/>
    <x v="10"/>
    <x v="0"/>
    <x v="0"/>
    <s v="Power Zone"/>
    <x v="222"/>
    <x v="3380"/>
    <n v="277"/>
    <n v="103"/>
    <n v="0.37"/>
    <n v="85"/>
    <n v="16.29"/>
    <n v="12.22"/>
    <n v="437"/>
    <n v="148.41999999999999"/>
    <m/>
    <m/>
  </r>
  <r>
    <s v="2024-01-17 16:28 (-08)"/>
    <x v="1175"/>
    <x v="312"/>
    <x v="6"/>
    <s v="On Demand"/>
    <x v="18"/>
    <x v="1"/>
    <x v="0"/>
    <s v="Cool Down"/>
    <x v="17"/>
    <x v="1383"/>
    <n v="42"/>
    <n v="70"/>
    <n v="0.32"/>
    <n v="80"/>
    <n v="13.85"/>
    <n v="2.31"/>
    <n v="80"/>
    <n v="133.59"/>
    <m/>
    <m/>
  </r>
  <r>
    <s v="2024-01-17 16:42 (-08)"/>
    <x v="1175"/>
    <x v="182"/>
    <x v="6"/>
    <s v="On Demand"/>
    <x v="1"/>
    <x v="3"/>
    <x v="2"/>
    <s v="Pre &amp; Post-Ride Stretch"/>
    <x v="8"/>
    <x v="1818"/>
    <m/>
    <m/>
    <m/>
    <m/>
    <m/>
    <m/>
    <n v="12"/>
    <m/>
    <m/>
    <m/>
  </r>
  <r>
    <m/>
    <x v="1176"/>
    <x v="2016"/>
    <x v="7"/>
    <m/>
    <x v="34"/>
    <x v="35"/>
    <x v="12"/>
    <m/>
    <x v="789"/>
    <x v="231"/>
    <m/>
    <m/>
    <m/>
    <m/>
    <m/>
    <m/>
    <m/>
    <m/>
    <m/>
    <m/>
  </r>
  <r>
    <m/>
    <x v="1176"/>
    <x v="2016"/>
    <x v="7"/>
    <m/>
    <x v="34"/>
    <x v="35"/>
    <x v="12"/>
    <m/>
    <x v="789"/>
    <x v="231"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220">
  <r>
    <s v="2019-06-14 11:56 (PST)"/>
    <d v="2019-06-14T00:00:00"/>
    <s v="11:56(PST)"/>
    <s v="Friday"/>
    <s v="On Demand"/>
    <x v="0"/>
  </r>
  <r>
    <s v="2020-01-17 07:09 (PST)"/>
    <d v="2020-01-17T00:00:00"/>
    <s v="07:09(PST)"/>
    <s v="Friday"/>
    <s v="On Demand"/>
    <x v="1"/>
  </r>
  <r>
    <s v="2020-10-16 16:02 (PST)"/>
    <d v="2020-10-16T00:00:00"/>
    <s v="16:02(PST)"/>
    <s v="Friday"/>
    <s v="On Demand"/>
    <x v="2"/>
  </r>
  <r>
    <s v="2020-10-16 16:57 (PST)"/>
    <d v="2020-10-16T00:00:00"/>
    <s v="16:57(PST)"/>
    <s v="Friday"/>
    <s v="On Demand"/>
    <x v="3"/>
  </r>
  <r>
    <s v="2020-10-23 18:36 (PST)"/>
    <d v="2020-10-23T00:00:00"/>
    <s v="18:36(PST)"/>
    <s v="Friday"/>
    <s v="On Demand"/>
    <x v="4"/>
  </r>
  <r>
    <s v="2020-11-06 06:53 (PST)"/>
    <d v="2020-11-06T00:00:00"/>
    <s v="06:53(PST)"/>
    <s v="Friday"/>
    <s v="On Demand"/>
    <x v="5"/>
  </r>
  <r>
    <s v="2020-11-06 07:26 (PST)"/>
    <d v="2020-11-06T00:00:00"/>
    <s v="07:26(PST)"/>
    <s v="Friday"/>
    <s v="On Demand"/>
    <x v="1"/>
  </r>
  <r>
    <s v="2020-11-20 18:44 (PST)"/>
    <d v="2020-11-20T00:00:00"/>
    <s v="18:44(PST)"/>
    <s v="Friday"/>
    <s v="On Demand"/>
    <x v="6"/>
  </r>
  <r>
    <s v="2020-11-20 19:47 (PST)"/>
    <d v="2020-11-20T00:00:00"/>
    <s v="19:47(PST)"/>
    <s v="Friday"/>
    <s v="On Demand"/>
    <x v="6"/>
  </r>
  <r>
    <s v="2020-11-27 10:48 (PST)"/>
    <d v="2020-11-27T00:00:00"/>
    <s v="10:48(PST)"/>
    <s v="Friday"/>
    <s v="On Demand"/>
    <x v="7"/>
  </r>
  <r>
    <s v="2020-11-27 11:34 (PST)"/>
    <d v="2020-11-27T00:00:00"/>
    <s v="11:34(PST)"/>
    <s v="Friday"/>
    <s v="On Demand"/>
    <x v="8"/>
  </r>
  <r>
    <s v="2020-12-04 07:10 (PST)"/>
    <d v="2020-12-04T00:00:00"/>
    <s v="07:10(PST)"/>
    <s v="Friday"/>
    <s v="On Demand"/>
    <x v="9"/>
  </r>
  <r>
    <s v="2020-12-04 07:57 (PST)"/>
    <d v="2020-12-04T00:00:00"/>
    <s v="07:57(PST)"/>
    <s v="Friday"/>
    <s v="On Demand"/>
    <x v="10"/>
  </r>
  <r>
    <s v="2020-12-11 07:11 (PST)"/>
    <d v="2020-12-11T00:00:00"/>
    <s v="07:11(PST)"/>
    <s v="Friday"/>
    <s v="On Demand"/>
    <x v="11"/>
  </r>
  <r>
    <s v="2020-12-18 07:01 (PST)"/>
    <d v="2020-12-18T00:00:00"/>
    <s v="07:01(PST)"/>
    <s v="Friday"/>
    <s v="On Demand"/>
    <x v="12"/>
  </r>
  <r>
    <s v="2021-01-01 11:29 (PST)"/>
    <d v="2021-01-01T00:00:00"/>
    <s v="11:29(PST)"/>
    <s v="Friday"/>
    <s v="On Demand"/>
    <x v="6"/>
  </r>
  <r>
    <s v="2021-01-01 15:06 (PST)"/>
    <d v="2021-01-01T00:00:00"/>
    <s v="15:06(PST)"/>
    <s v="Friday"/>
    <s v="On Demand"/>
    <x v="1"/>
  </r>
  <r>
    <s v="2021-01-01 15:13 (PST)"/>
    <d v="2021-01-01T00:00:00"/>
    <s v="15:13(PST)"/>
    <s v="Friday"/>
    <s v="On Demand"/>
    <x v="7"/>
  </r>
  <r>
    <s v="2021-01-01 16:04 (PST)"/>
    <d v="2021-01-01T00:00:00"/>
    <s v="16:04(PST)"/>
    <s v="Friday"/>
    <s v="On Demand"/>
    <x v="13"/>
  </r>
  <r>
    <s v="2021-01-08 18:14 (PST)"/>
    <d v="2021-01-08T00:00:00"/>
    <s v="18:14(PST)"/>
    <s v="Friday"/>
    <s v="On Demand"/>
    <x v="14"/>
  </r>
  <r>
    <s v="2021-01-08 19:16 (PST)"/>
    <d v="2021-01-08T00:00:00"/>
    <s v="19:16(PST)"/>
    <s v="Friday"/>
    <s v="On Demand"/>
    <x v="7"/>
  </r>
  <r>
    <s v="2021-01-08 19:30 (PST)"/>
    <d v="2021-01-08T00:00:00"/>
    <s v="19:30(PST)"/>
    <s v="Friday"/>
    <s v="On Demand"/>
    <x v="15"/>
  </r>
  <r>
    <s v="2021-01-15 20:46 (PST)"/>
    <d v="2021-01-15T00:00:00"/>
    <s v="20:46(PST)"/>
    <s v="Friday"/>
    <s v="On Demand"/>
    <x v="1"/>
  </r>
  <r>
    <s v="2021-01-15 20:59 (PST)"/>
    <d v="2021-01-15T00:00:00"/>
    <s v="20:59(PST)"/>
    <s v="Friday"/>
    <s v="On Demand"/>
    <x v="16"/>
  </r>
  <r>
    <s v="2021-01-22 07:07 (-08)"/>
    <d v="2021-01-22T00:00:00"/>
    <s v="07:07(-08)"/>
    <s v="Friday"/>
    <s v="On Demand"/>
    <x v="6"/>
  </r>
  <r>
    <s v="2021-01-22 08:07 (-08)"/>
    <d v="2021-01-22T00:00:00"/>
    <s v="08:07(-08)"/>
    <s v="Friday"/>
    <s v="On Demand"/>
    <x v="6"/>
  </r>
  <r>
    <s v="2021-01-29 07:12 (-08)"/>
    <d v="2021-01-29T00:00:00"/>
    <s v="07:12(-08)"/>
    <s v="Friday"/>
    <s v="On Demand"/>
    <x v="7"/>
  </r>
  <r>
    <s v="2021-01-29 08:13 (-08)"/>
    <d v="2021-01-29T00:00:00"/>
    <s v="08:13(-08)"/>
    <s v="Friday"/>
    <s v="On Demand"/>
    <x v="7"/>
  </r>
  <r>
    <s v="2021-02-05 07:56 (PST)"/>
    <d v="2021-02-05T00:00:00"/>
    <s v="07:56(PST)"/>
    <s v="Friday"/>
    <s v="On Demand"/>
    <x v="6"/>
  </r>
  <r>
    <s v="2021-02-05 09:12 (PST)"/>
    <d v="2021-02-05T00:00:00"/>
    <s v="09:12(PST)"/>
    <s v="Friday"/>
    <s v="On Demand"/>
    <x v="6"/>
  </r>
  <r>
    <s v="2021-02-05 09:17 (PST)"/>
    <d v="2021-02-05T00:00:00"/>
    <s v="09:17(PST)"/>
    <s v="Friday"/>
    <s v="On Demand"/>
    <x v="6"/>
  </r>
  <r>
    <s v="2021-02-12 08:15 (PST)"/>
    <d v="2021-02-12T00:00:00"/>
    <s v="08:15(PST)"/>
    <s v="Friday"/>
    <s v="On Demand"/>
    <x v="6"/>
  </r>
  <r>
    <s v="2021-02-12 08:45 (PST)"/>
    <d v="2021-02-12T00:00:00"/>
    <s v="08:45(PST)"/>
    <s v="Friday"/>
    <s v="On Demand"/>
    <x v="6"/>
  </r>
  <r>
    <s v="2021-02-12 08:52 (PST)"/>
    <d v="2021-02-12T00:00:00"/>
    <s v="08:52(PST)"/>
    <s v="Friday"/>
    <s v="On Demand"/>
    <x v="11"/>
  </r>
  <r>
    <s v="2021-02-19 08:33 (PST)"/>
    <d v="2021-02-19T00:00:00"/>
    <s v="08:33(PST)"/>
    <s v="Friday"/>
    <s v="On Demand"/>
    <x v="1"/>
  </r>
  <r>
    <s v="2021-02-19 08:39 (PST)"/>
    <d v="2021-02-19T00:00:00"/>
    <s v="08:39(PST)"/>
    <s v="Friday"/>
    <s v="On Demand"/>
    <x v="6"/>
  </r>
  <r>
    <s v="2021-02-19 09:40 (PST)"/>
    <d v="2021-02-19T00:00:00"/>
    <s v="09:40(PST)"/>
    <s v="Friday"/>
    <s v="On Demand"/>
    <x v="17"/>
  </r>
  <r>
    <s v="2021-02-19 09:51 (PST)"/>
    <d v="2021-02-19T00:00:00"/>
    <s v="09:51(PST)"/>
    <s v="Friday"/>
    <s v="On Demand"/>
    <x v="6"/>
  </r>
  <r>
    <s v="2021-02-26 08:29 (-08)"/>
    <d v="2021-02-26T00:00:00"/>
    <s v="08:29(-08)"/>
    <s v="Friday"/>
    <s v="On Demand"/>
    <x v="15"/>
  </r>
  <r>
    <s v="2021-02-26 08:36 (-08)"/>
    <d v="2021-02-26T00:00:00"/>
    <s v="08:36(-08)"/>
    <s v="Friday"/>
    <s v="On Demand"/>
    <x v="6"/>
  </r>
  <r>
    <s v="2021-02-26 09:37 (-08)"/>
    <d v="2021-02-26T00:00:00"/>
    <s v="09:37(-08)"/>
    <s v="Friday"/>
    <s v="On Demand"/>
    <x v="6"/>
  </r>
  <r>
    <s v="2021-02-26 09:43 (-08)"/>
    <d v="2021-02-26T00:00:00"/>
    <s v="09:43(-08)"/>
    <s v="Friday"/>
    <s v="On Demand"/>
    <x v="6"/>
  </r>
  <r>
    <s v="2021-03-05 06:58 (PST)"/>
    <d v="2021-03-05T00:00:00"/>
    <s v="06:58(PST)"/>
    <s v="Friday"/>
    <s v="On Demand"/>
    <x v="16"/>
  </r>
  <r>
    <s v="2021-03-05 18:39 (-08)"/>
    <d v="2021-03-05T00:00:00"/>
    <s v="18:39(-08)"/>
    <s v="Friday"/>
    <s v="On Demand"/>
    <x v="6"/>
  </r>
  <r>
    <s v="2021-03-12 14:52 (PST)"/>
    <d v="2021-03-12T00:00:00"/>
    <s v="14:52(PST)"/>
    <s v="Friday"/>
    <s v="On Demand"/>
    <x v="16"/>
  </r>
  <r>
    <s v="2021-03-12 18:12 (-08)"/>
    <d v="2021-03-12T00:00:00"/>
    <s v="18:12(-08)"/>
    <s v="Friday"/>
    <s v="On Demand"/>
    <x v="6"/>
  </r>
  <r>
    <s v="2021-03-12 19:49 (PST)"/>
    <d v="2021-03-12T00:00:00"/>
    <s v="19:49(PST)"/>
    <s v="Friday"/>
    <s v="On Demand"/>
    <x v="1"/>
  </r>
  <r>
    <s v="2021-03-19 07:05 (-07)"/>
    <d v="2021-03-19T00:00:00"/>
    <s v="07:05(-07)"/>
    <s v="Friday"/>
    <s v="Live"/>
    <x v="6"/>
  </r>
  <r>
    <s v="2021-03-19 07:50 (-07)"/>
    <d v="2021-03-19T00:00:00"/>
    <s v="07:50(-07)"/>
    <s v="Friday"/>
    <s v="On Demand"/>
    <x v="6"/>
  </r>
  <r>
    <s v="2021-03-19 07:56 (-07)"/>
    <d v="2021-03-19T00:00:00"/>
    <s v="07:56(-07)"/>
    <s v="Friday"/>
    <s v="On Demand"/>
    <x v="0"/>
  </r>
  <r>
    <s v="2021-03-19 08:07 (-07)"/>
    <d v="2021-03-19T00:00:00"/>
    <s v="08:07(-07)"/>
    <s v="Friday"/>
    <s v="On Demand"/>
    <x v="18"/>
  </r>
  <r>
    <s v="2021-03-19 22:16 (PST)"/>
    <d v="2021-03-19T00:00:00"/>
    <s v="22:16(PST)"/>
    <s v="Friday"/>
    <s v="On Demand"/>
    <x v="16"/>
  </r>
  <r>
    <s v="2021-03-26 07:02 (-07)"/>
    <d v="2021-03-26T00:00:00"/>
    <s v="07:02(-07)"/>
    <s v="Friday"/>
    <s v="On Demand"/>
    <x v="6"/>
  </r>
  <r>
    <s v="2021-03-26 08:03 (-07)"/>
    <d v="2021-03-26T00:00:00"/>
    <s v="08:03(-07)"/>
    <s v="Friday"/>
    <s v="On Demand"/>
    <x v="6"/>
  </r>
  <r>
    <s v="2021-04-02 18:06 (PST)"/>
    <d v="2021-04-02T00:00:00"/>
    <s v="18:06(PST)"/>
    <s v="Friday"/>
    <s v="On Demand"/>
    <x v="16"/>
  </r>
  <r>
    <s v="2021-04-02 18:29 (PST)"/>
    <d v="2021-04-02T00:00:00"/>
    <s v="18:29(PST)"/>
    <s v="Friday"/>
    <s v="On Demand"/>
    <x v="1"/>
  </r>
  <r>
    <s v="2021-04-09 22:26 (PST)"/>
    <d v="2021-04-09T00:00:00"/>
    <s v="22:26(PST)"/>
    <s v="Friday"/>
    <s v="On Demand"/>
    <x v="19"/>
  </r>
  <r>
    <s v="2021-04-16 22:30 (PST)"/>
    <d v="2021-04-16T00:00:00"/>
    <s v="22:30(PST)"/>
    <s v="Friday"/>
    <s v="On Demand"/>
    <x v="19"/>
  </r>
  <r>
    <s v="2021-04-23 07:30 (PST)"/>
    <d v="2021-04-23T00:00:00"/>
    <s v="07:30(PST)"/>
    <s v="Friday"/>
    <s v="On Demand"/>
    <x v="7"/>
  </r>
  <r>
    <s v="2021-04-23 23:30 (PST)"/>
    <d v="2021-04-23T00:00:00"/>
    <s v="23:30(PST)"/>
    <s v="Friday"/>
    <s v="On Demand"/>
    <x v="19"/>
  </r>
  <r>
    <s v="2021-04-30 07:05 (-07)"/>
    <d v="2021-04-30T00:00:00"/>
    <s v="07:05(-07)"/>
    <s v="Friday"/>
    <s v="On Demand"/>
    <x v="6"/>
  </r>
  <r>
    <s v="2021-04-30 21:55 (PST)"/>
    <d v="2021-04-30T00:00:00"/>
    <s v="21:55(PST)"/>
    <s v="Friday"/>
    <s v="On Demand"/>
    <x v="19"/>
  </r>
  <r>
    <s v="2021-05-07 06:37 (PST)"/>
    <d v="2021-05-07T00:00:00"/>
    <s v="06:37(PST)"/>
    <s v="Friday"/>
    <s v="On Demand"/>
    <x v="20"/>
  </r>
  <r>
    <s v="2021-05-07 22:01 (PST)"/>
    <d v="2021-05-07T00:00:00"/>
    <s v="22:01(PST)"/>
    <s v="Friday"/>
    <s v="On Demand"/>
    <x v="19"/>
  </r>
  <r>
    <s v="2021-05-14 20:51 (PST)"/>
    <d v="2021-05-14T00:00:00"/>
    <s v="20:51(PST)"/>
    <s v="Friday"/>
    <s v="On Demand"/>
    <x v="19"/>
  </r>
  <r>
    <s v="2021-05-21 07:00 (-07)"/>
    <d v="2021-05-21T00:00:00"/>
    <s v="07:00(-07)"/>
    <s v="Friday"/>
    <s v="On Demand"/>
    <x v="6"/>
  </r>
  <r>
    <s v="2021-05-21 07:30 (-07)"/>
    <d v="2021-05-21T00:00:00"/>
    <s v="07:30(-07)"/>
    <s v="Friday"/>
    <s v="On Demand"/>
    <x v="6"/>
  </r>
  <r>
    <s v="2021-05-21 07:38 (-07)"/>
    <d v="2021-05-21T00:00:00"/>
    <s v="07:38(-07)"/>
    <s v="Friday"/>
    <s v="On Demand"/>
    <x v="21"/>
  </r>
  <r>
    <s v="2021-05-21 07:50 (-07)"/>
    <d v="2021-05-21T00:00:00"/>
    <s v="07:50(-07)"/>
    <s v="Friday"/>
    <s v="On Demand"/>
    <x v="22"/>
  </r>
  <r>
    <s v="2021-05-21 22:40 (PST)"/>
    <d v="2021-05-21T00:00:00"/>
    <s v="22:40(PST)"/>
    <s v="Friday"/>
    <s v="On Demand"/>
    <x v="16"/>
  </r>
  <r>
    <s v="2021-06-04 00:23 (PST)"/>
    <d v="2021-06-04T00:00:00"/>
    <s v="00:23(PST)"/>
    <s v="Friday"/>
    <s v="On Demand"/>
    <x v="23"/>
  </r>
  <r>
    <s v="2021-06-11 07:05 (PST)"/>
    <d v="2021-06-11T00:00:00"/>
    <s v="07:05(PST)"/>
    <s v="Friday"/>
    <s v="On Demand"/>
    <x v="16"/>
  </r>
  <r>
    <s v="2021-06-18 07:38 (PST)"/>
    <d v="2021-06-18T00:00:00"/>
    <s v="07:38(PST)"/>
    <s v="Friday"/>
    <s v="On Demand"/>
    <x v="24"/>
  </r>
  <r>
    <s v="2021-06-18 07:50 (PST)"/>
    <d v="2021-06-18T00:00:00"/>
    <s v="07:50(PST)"/>
    <s v="Friday"/>
    <s v="On Demand"/>
    <x v="7"/>
  </r>
  <r>
    <s v="2021-06-18 22:49 (PST)"/>
    <d v="2021-06-18T00:00:00"/>
    <s v="22:49(PST)"/>
    <s v="Friday"/>
    <s v="On Demand"/>
    <x v="19"/>
  </r>
  <r>
    <s v="2021-06-25 07:05 (-07)"/>
    <d v="2021-06-25T00:00:00"/>
    <s v="07:05(-07)"/>
    <s v="Friday"/>
    <s v="On Demand"/>
    <x v="6"/>
  </r>
  <r>
    <s v="2021-06-25 08:06 (-07)"/>
    <d v="2021-06-25T00:00:00"/>
    <s v="08:06(-07)"/>
    <s v="Friday"/>
    <s v="On Demand"/>
    <x v="6"/>
  </r>
  <r>
    <s v="2021-06-25 22:54 (PST)"/>
    <d v="2021-06-25T00:00:00"/>
    <s v="22:54(PST)"/>
    <s v="Friday"/>
    <s v="On Demand"/>
    <x v="25"/>
  </r>
  <r>
    <s v="2021-07-02 10:15 (-07)"/>
    <d v="2021-07-02T00:00:00"/>
    <s v="10:15(-07)"/>
    <s v="Friday"/>
    <s v="On Demand"/>
    <x v="6"/>
  </r>
  <r>
    <s v="2021-07-02 11:19 (-07)"/>
    <d v="2021-07-02T00:00:00"/>
    <s v="11:19(-07)"/>
    <s v="Friday"/>
    <s v="On Demand"/>
    <x v="22"/>
  </r>
  <r>
    <s v="2021-07-02 11:32 (-07)"/>
    <d v="2021-07-02T00:00:00"/>
    <s v="11:32(-07)"/>
    <s v="Friday"/>
    <s v="On Demand"/>
    <x v="0"/>
  </r>
  <r>
    <s v="2021-07-02 11:38 (-07)"/>
    <d v="2021-07-02T00:00:00"/>
    <s v="11:38(-07)"/>
    <s v="Friday"/>
    <s v="On Demand"/>
    <x v="4"/>
  </r>
  <r>
    <s v="2021-07-02 23:04 (PST)"/>
    <d v="2021-07-02T00:00:00"/>
    <s v="23:04(PST)"/>
    <s v="Friday"/>
    <s v="On Demand"/>
    <x v="25"/>
  </r>
  <r>
    <s v="2021-07-09 13:37 (-07)"/>
    <d v="2021-07-09T00:00:00"/>
    <s v="13:37(-07)"/>
    <s v="Friday"/>
    <s v="On Demand"/>
    <x v="6"/>
  </r>
  <r>
    <s v="2021-07-09 14:39 (-07)"/>
    <d v="2021-07-09T00:00:00"/>
    <s v="14:39(-07)"/>
    <s v="Friday"/>
    <s v="On Demand"/>
    <x v="11"/>
  </r>
  <r>
    <s v="2021-07-09 14:57 (-07)"/>
    <d v="2021-07-09T00:00:00"/>
    <s v="14:57(-07)"/>
    <s v="Friday"/>
    <s v="On Demand"/>
    <x v="11"/>
  </r>
  <r>
    <s v="2021-07-09 15:09 (-07)"/>
    <d v="2021-07-09T00:00:00"/>
    <s v="15:09(-07)"/>
    <s v="Friday"/>
    <s v="On Demand"/>
    <x v="6"/>
  </r>
  <r>
    <s v="2021-07-09 22:58 (PST)"/>
    <d v="2021-07-09T00:00:00"/>
    <s v="22:58(PST)"/>
    <s v="Friday"/>
    <s v="On Demand"/>
    <x v="13"/>
  </r>
  <r>
    <s v="2021-07-16 06:59 (-07)"/>
    <d v="2021-07-16T00:00:00"/>
    <s v="06:59(-07)"/>
    <s v="Friday"/>
    <s v="On Demand"/>
    <x v="11"/>
  </r>
  <r>
    <s v="2021-07-16 07:59 (-07)"/>
    <d v="2021-07-16T00:00:00"/>
    <s v="07:59(-07)"/>
    <s v="Friday"/>
    <s v="On Demand"/>
    <x v="4"/>
  </r>
  <r>
    <s v="2021-07-23 06:42 (-07)"/>
    <d v="2021-07-23T00:00:00"/>
    <s v="06:42(-07)"/>
    <s v="Friday"/>
    <s v="On Demand"/>
    <x v="6"/>
  </r>
  <r>
    <s v="2021-07-23 07:43 (-07)"/>
    <d v="2021-07-23T00:00:00"/>
    <s v="07:43(-07)"/>
    <s v="Friday"/>
    <s v="On Demand"/>
    <x v="6"/>
  </r>
  <r>
    <s v="2021-07-23 07:49 (-07)"/>
    <d v="2021-07-23T00:00:00"/>
    <s v="07:49(-07)"/>
    <s v="Friday"/>
    <s v="On Demand"/>
    <x v="26"/>
  </r>
  <r>
    <s v="2021-07-23 08:00 (-07)"/>
    <d v="2021-07-23T00:00:00"/>
    <s v="08:00(-07)"/>
    <s v="Friday"/>
    <s v="On Demand"/>
    <x v="6"/>
  </r>
  <r>
    <s v="2021-07-23 14:38 (PST)"/>
    <d v="2021-07-23T00:00:00"/>
    <s v="14:38(PST)"/>
    <s v="Friday"/>
    <s v="On Demand"/>
    <x v="7"/>
  </r>
  <r>
    <s v="2021-07-30 06:57 (-07)"/>
    <d v="2021-07-30T00:00:00"/>
    <s v="06:57(-07)"/>
    <s v="Friday"/>
    <s v="On Demand"/>
    <x v="6"/>
  </r>
  <r>
    <s v="2021-07-30 07:57 (-07)"/>
    <d v="2021-07-30T00:00:00"/>
    <s v="07:57(-07)"/>
    <s v="Friday"/>
    <s v="On Demand"/>
    <x v="6"/>
  </r>
  <r>
    <s v="2021-07-30 08:03 (-07)"/>
    <d v="2021-07-30T00:00:00"/>
    <s v="08:03(-07)"/>
    <s v="Friday"/>
    <s v="On Demand"/>
    <x v="27"/>
  </r>
  <r>
    <s v="2021-07-30 08:14 (-07)"/>
    <d v="2021-07-30T00:00:00"/>
    <s v="08:14(-07)"/>
    <s v="Friday"/>
    <s v="On Demand"/>
    <x v="6"/>
  </r>
  <r>
    <s v="2021-07-30 22:30 (PST)"/>
    <d v="2021-07-30T00:00:00"/>
    <s v="22:30(PST)"/>
    <s v="Friday"/>
    <s v="On Demand"/>
    <x v="7"/>
  </r>
  <r>
    <s v="2021-08-06 07:49 (PST)"/>
    <d v="2021-08-06T00:00:00"/>
    <s v="07:49(PST)"/>
    <s v="Friday"/>
    <s v="On Demand"/>
    <x v="7"/>
  </r>
  <r>
    <s v="2021-08-06 21:59 (PST)"/>
    <d v="2021-08-06T00:00:00"/>
    <s v="21:59(PST)"/>
    <s v="Friday"/>
    <s v="On Demand"/>
    <x v="16"/>
  </r>
  <r>
    <s v="2021-08-13 07:36 (PST)"/>
    <d v="2021-08-13T00:00:00"/>
    <s v="07:36(PST)"/>
    <s v="Friday"/>
    <s v="On Demand"/>
    <x v="16"/>
  </r>
  <r>
    <s v="2021-08-13 12:03 (-07)"/>
    <d v="2021-08-13T00:00:00"/>
    <s v="12:03(-07)"/>
    <s v="Friday"/>
    <s v="On Demand"/>
    <x v="6"/>
  </r>
  <r>
    <s v="2021-08-13 16:34 (PST)"/>
    <d v="2021-08-13T00:00:00"/>
    <s v="16:34(PST)"/>
    <s v="Friday"/>
    <s v="On Demand"/>
    <x v="26"/>
  </r>
  <r>
    <s v="2021-08-13 16:46 (PST)"/>
    <d v="2021-08-13T00:00:00"/>
    <s v="16:46(PST)"/>
    <s v="Friday"/>
    <s v="On Demand"/>
    <x v="7"/>
  </r>
  <r>
    <s v="2021-08-13 22:38 (PST)"/>
    <d v="2021-08-13T00:00:00"/>
    <s v="22:38(PST)"/>
    <s v="Friday"/>
    <s v="On Demand"/>
    <x v="16"/>
  </r>
  <r>
    <s v="2021-08-20 08:52 (PST)"/>
    <d v="2021-08-20T00:00:00"/>
    <s v="08:52(PST)"/>
    <s v="Friday"/>
    <s v="On Demand"/>
    <x v="23"/>
  </r>
  <r>
    <s v="2021-08-20 22:36 (PST)"/>
    <d v="2021-08-20T00:00:00"/>
    <s v="22:36(PST)"/>
    <s v="Friday"/>
    <s v="On Demand"/>
    <x v="25"/>
  </r>
  <r>
    <s v="2021-08-27 18:52 (-07)"/>
    <d v="2021-08-27T00:00:00"/>
    <s v="18:52(-07)"/>
    <s v="Friday"/>
    <s v="On Demand"/>
    <x v="6"/>
  </r>
  <r>
    <s v="2021-09-03 07:29 (PST)"/>
    <d v="2021-09-03T00:00:00"/>
    <s v="07:29(PST)"/>
    <s v="Friday"/>
    <s v="On Demand"/>
    <x v="7"/>
  </r>
  <r>
    <s v="2021-09-03 19:44 (-07)"/>
    <d v="2021-09-03T00:00:00"/>
    <s v="19:44(-07)"/>
    <s v="Friday"/>
    <s v="On Demand"/>
    <x v="9"/>
  </r>
  <r>
    <s v="2021-09-03 20:45 (-07)"/>
    <d v="2021-09-03T00:00:00"/>
    <s v="20:45(-07)"/>
    <s v="Friday"/>
    <s v="On Demand"/>
    <x v="9"/>
  </r>
  <r>
    <s v="2021-09-03 22:16 (PST)"/>
    <d v="2021-09-03T00:00:00"/>
    <s v="22:16(PST)"/>
    <s v="Friday"/>
    <s v="On Demand"/>
    <x v="16"/>
  </r>
  <r>
    <s v="2021-09-10 07:16 (PST)"/>
    <d v="2021-09-10T00:00:00"/>
    <s v="07:16(PST)"/>
    <s v="Friday"/>
    <s v="On Demand"/>
    <x v="16"/>
  </r>
  <r>
    <s v="2021-09-10 23:54 (PST)"/>
    <d v="2021-09-10T00:00:00"/>
    <s v="23:54(PST)"/>
    <s v="Friday"/>
    <s v="On Demand"/>
    <x v="13"/>
  </r>
  <r>
    <s v="2021-09-24 17:27 (-07)"/>
    <d v="2021-09-24T00:00:00"/>
    <s v="17:27(-07)"/>
    <s v="Friday"/>
    <s v="On Demand"/>
    <x v="7"/>
  </r>
  <r>
    <s v="2021-09-24 18:13 (-07)"/>
    <d v="2021-09-24T00:00:00"/>
    <s v="18:13(-07)"/>
    <s v="Friday"/>
    <s v="On Demand"/>
    <x v="7"/>
  </r>
  <r>
    <s v="2021-09-24 18:20 (-07)"/>
    <d v="2021-09-24T00:00:00"/>
    <s v="18:20(-07)"/>
    <s v="Friday"/>
    <s v="On Demand"/>
    <x v="17"/>
  </r>
  <r>
    <s v="2021-09-24 18:31 (-07)"/>
    <d v="2021-09-24T00:00:00"/>
    <s v="18:31(-07)"/>
    <s v="Friday"/>
    <s v="On Demand"/>
    <x v="5"/>
  </r>
  <r>
    <s v="2021-09-24 18:52 (-07)"/>
    <d v="2021-09-24T00:00:00"/>
    <s v="18:52(-07)"/>
    <s v="Friday"/>
    <s v="On Demand"/>
    <x v="0"/>
  </r>
  <r>
    <s v="2021-09-24 23:17 (PST)"/>
    <d v="2021-09-24T00:00:00"/>
    <s v="23:17(PST)"/>
    <s v="Friday"/>
    <s v="On Demand"/>
    <x v="13"/>
  </r>
  <r>
    <s v="2021-10-01 07:17 (PST)"/>
    <d v="2021-10-01T00:00:00"/>
    <s v="07:17(PST)"/>
    <s v="Friday"/>
    <s v="On Demand"/>
    <x v="7"/>
  </r>
  <r>
    <s v="2021-10-01 17:27 (-07)"/>
    <d v="2021-10-01T00:00:00"/>
    <s v="17:27(-07)"/>
    <s v="Friday"/>
    <s v="On Demand"/>
    <x v="6"/>
  </r>
  <r>
    <s v="2021-10-01 18:27 (-07)"/>
    <d v="2021-10-01T00:00:00"/>
    <s v="18:27(-07)"/>
    <s v="Friday"/>
    <s v="On Demand"/>
    <x v="6"/>
  </r>
  <r>
    <s v="2021-10-01 23:51 (PST)"/>
    <d v="2021-10-01T00:00:00"/>
    <s v="23:51(PST)"/>
    <s v="Friday"/>
    <s v="On Demand"/>
    <x v="25"/>
  </r>
  <r>
    <s v="2021-10-08 08:33 (PST)"/>
    <d v="2021-10-08T00:00:00"/>
    <s v="08:33(PST)"/>
    <s v="Friday"/>
    <s v="On Demand"/>
    <x v="7"/>
  </r>
  <r>
    <s v="2021-10-08 22:18 (PST)"/>
    <d v="2021-10-08T00:00:00"/>
    <s v="22:18(PST)"/>
    <s v="Friday"/>
    <s v="On Demand"/>
    <x v="13"/>
  </r>
  <r>
    <s v="2021-10-15 07:33 (PST)"/>
    <d v="2021-10-15T00:00:00"/>
    <s v="07:33(PST)"/>
    <s v="Friday"/>
    <s v="On Demand"/>
    <x v="16"/>
  </r>
  <r>
    <s v="2021-10-15 23:07 (PST)"/>
    <d v="2021-10-15T00:00:00"/>
    <s v="23:07(PST)"/>
    <s v="Friday"/>
    <s v="On Demand"/>
    <x v="23"/>
  </r>
  <r>
    <s v="2021-10-29 07:06 (PST)"/>
    <d v="2021-10-29T00:00:00"/>
    <s v="07:06(PST)"/>
    <s v="Friday"/>
    <s v="On Demand"/>
    <x v="13"/>
  </r>
  <r>
    <s v="2021-10-29 18:54 (-07)"/>
    <d v="2021-10-29T00:00:00"/>
    <s v="18:54(-07)"/>
    <s v="Friday"/>
    <s v="On Demand"/>
    <x v="6"/>
  </r>
  <r>
    <s v="2021-10-29 19:55 (-07)"/>
    <d v="2021-10-29T00:00:00"/>
    <s v="19:55(-07)"/>
    <s v="Friday"/>
    <s v="On Demand"/>
    <x v="9"/>
  </r>
  <r>
    <s v="2021-10-29 20:01 (-07)"/>
    <d v="2021-10-29T00:00:00"/>
    <s v="20:01(-07)"/>
    <s v="Friday"/>
    <s v="On Demand"/>
    <x v="9"/>
  </r>
  <r>
    <s v="2021-10-29 22:25 (PST)"/>
    <d v="2021-10-29T00:00:00"/>
    <s v="22:25(PST)"/>
    <s v="Friday"/>
    <s v="On Demand"/>
    <x v="23"/>
  </r>
  <r>
    <s v="2021-11-05 03:40 (PST)"/>
    <d v="2021-11-05T00:00:00"/>
    <s v="03:40(PST)"/>
    <s v="Friday"/>
    <s v="On Demand"/>
    <x v="19"/>
  </r>
  <r>
    <s v="2021-11-05 07:45 (PST)"/>
    <d v="2021-11-05T00:00:00"/>
    <s v="07:45(PST)"/>
    <s v="Friday"/>
    <s v="On Demand"/>
    <x v="7"/>
  </r>
  <r>
    <s v="2021-11-05 18:10 (-07)"/>
    <d v="2021-11-05T00:00:00"/>
    <s v="18:10(-07)"/>
    <s v="Friday"/>
    <s v="On Demand"/>
    <x v="6"/>
  </r>
  <r>
    <s v="2021-11-05 18:30 (-07)"/>
    <d v="2021-11-05T00:00:00"/>
    <s v="18:30(-07)"/>
    <s v="Friday"/>
    <s v="On Demand"/>
    <x v="6"/>
  </r>
  <r>
    <s v="2021-11-05 23:00 (PST)"/>
    <d v="2021-11-05T00:00:00"/>
    <s v="23:00(PST)"/>
    <s v="Friday"/>
    <s v="On Demand"/>
    <x v="16"/>
  </r>
  <r>
    <s v="2021-11-12 07:34 (PST)"/>
    <d v="2021-11-12T00:00:00"/>
    <s v="07:34(PST)"/>
    <s v="Friday"/>
    <s v="On Demand"/>
    <x v="16"/>
  </r>
  <r>
    <s v="2021-11-12 12:26 (-08)"/>
    <d v="2021-11-12T00:00:00"/>
    <s v="12:26(-08)"/>
    <s v="Friday"/>
    <s v="On Demand"/>
    <x v="6"/>
  </r>
  <r>
    <s v="2021-11-12 13:12 (-08)"/>
    <d v="2021-11-12T00:00:00"/>
    <s v="13:12(-08)"/>
    <s v="Friday"/>
    <s v="On Demand"/>
    <x v="18"/>
  </r>
  <r>
    <s v="2021-11-12 13:24 (-08)"/>
    <d v="2021-11-12T00:00:00"/>
    <s v="13:24(-08)"/>
    <s v="Friday"/>
    <s v="On Demand"/>
    <x v="10"/>
  </r>
  <r>
    <s v="2021-11-19 03:45 (PST)"/>
    <d v="2021-11-19T00:00:00"/>
    <s v="03:45(PST)"/>
    <s v="Friday"/>
    <s v="On Demand"/>
    <x v="16"/>
  </r>
  <r>
    <s v="2021-11-19 03:58 (PST)"/>
    <d v="2021-11-19T00:00:00"/>
    <s v="03:58(PST)"/>
    <s v="Friday"/>
    <s v="On Demand"/>
    <x v="23"/>
  </r>
  <r>
    <s v="2021-11-19 07:42 (PST)"/>
    <d v="2021-11-19T00:00:00"/>
    <s v="07:42(PST)"/>
    <s v="Friday"/>
    <s v="On Demand"/>
    <x v="7"/>
  </r>
  <r>
    <s v="2021-11-19 22:11 (PST)"/>
    <d v="2021-11-19T00:00:00"/>
    <s v="22:11(PST)"/>
    <s v="Friday"/>
    <s v="On Demand"/>
    <x v="28"/>
  </r>
  <r>
    <s v="2021-12-03 07:35 (PST)"/>
    <d v="2021-12-03T00:00:00"/>
    <s v="07:35(PST)"/>
    <s v="Friday"/>
    <s v="On Demand"/>
    <x v="16"/>
  </r>
  <r>
    <s v="2021-12-03 12:27 (PST)"/>
    <d v="2021-12-03T00:00:00"/>
    <s v="12:27(PST)"/>
    <s v="Friday"/>
    <s v="On Demand"/>
    <x v="3"/>
  </r>
  <r>
    <s v="2021-12-03 18:30 (-08)"/>
    <d v="2021-12-03T00:00:00"/>
    <s v="18:30(-08)"/>
    <s v="Friday"/>
    <s v="On Demand"/>
    <x v="6"/>
  </r>
  <r>
    <s v="2021-12-03 19:31 (-08)"/>
    <d v="2021-12-03T00:00:00"/>
    <s v="19:31(-08)"/>
    <s v="Friday"/>
    <s v="On Demand"/>
    <x v="6"/>
  </r>
  <r>
    <s v="2021-12-03 19:38 (-08)"/>
    <d v="2021-12-03T00:00:00"/>
    <s v="19:38(-08)"/>
    <s v="Friday"/>
    <s v="On Demand"/>
    <x v="5"/>
  </r>
  <r>
    <s v="2021-12-03 19:45 (-08)"/>
    <d v="2021-12-03T00:00:00"/>
    <s v="19:45(-08)"/>
    <s v="Friday"/>
    <s v="On Demand"/>
    <x v="1"/>
  </r>
  <r>
    <s v="2021-12-03 23:27 (PST)"/>
    <d v="2021-12-03T00:00:00"/>
    <s v="23:27(PST)"/>
    <s v="Friday"/>
    <s v="On Demand"/>
    <x v="19"/>
  </r>
  <r>
    <s v="2021-12-10 07:34 (PST)"/>
    <d v="2021-12-10T00:00:00"/>
    <s v="07:34(PST)"/>
    <s v="Friday"/>
    <s v="On Demand"/>
    <x v="7"/>
  </r>
  <r>
    <s v="2021-12-10 12:47 (PST)"/>
    <d v="2021-12-10T00:00:00"/>
    <s v="12:47(PST)"/>
    <s v="Friday"/>
    <s v="On Demand"/>
    <x v="1"/>
  </r>
  <r>
    <s v="2021-12-10 16:21 (-08)"/>
    <d v="2021-12-10T00:00:00"/>
    <s v="16:21(-08)"/>
    <s v="Friday"/>
    <s v="On Demand"/>
    <x v="29"/>
  </r>
  <r>
    <s v="2021-12-10 16:44 (-08)"/>
    <d v="2021-12-10T00:00:00"/>
    <s v="16:44(-08)"/>
    <s v="Friday"/>
    <s v="On Demand"/>
    <x v="12"/>
  </r>
  <r>
    <s v="2021-12-10 22:54 (PST)"/>
    <d v="2021-12-10T00:00:00"/>
    <s v="22:54(PST)"/>
    <s v="Friday"/>
    <s v="On Demand"/>
    <x v="23"/>
  </r>
  <r>
    <s v="2021-12-17 23:09 (PST)"/>
    <d v="2021-12-17T00:00:00"/>
    <s v="23:09(PST)"/>
    <s v="Friday"/>
    <s v="On Demand"/>
    <x v="19"/>
  </r>
  <r>
    <s v="2021-12-24 07:53 (PST)"/>
    <d v="2021-12-24T00:00:00"/>
    <s v="07:53(PST)"/>
    <s v="Friday"/>
    <s v="On Demand"/>
    <x v="7"/>
  </r>
  <r>
    <s v="2021-12-24 09:41 (-08)"/>
    <d v="2021-12-24T00:00:00"/>
    <s v="09:41(-08)"/>
    <s v="Friday"/>
    <s v="On Demand"/>
    <x v="6"/>
  </r>
  <r>
    <s v="2021-12-24 10:27 (-08)"/>
    <d v="2021-12-24T00:00:00"/>
    <s v="10:27(-08)"/>
    <s v="Friday"/>
    <s v="On Demand"/>
    <x v="6"/>
  </r>
  <r>
    <s v="2021-12-24 21:54 (PST)"/>
    <d v="2021-12-24T00:00:00"/>
    <s v="21:54(PST)"/>
    <s v="Friday"/>
    <s v="On Demand"/>
    <x v="13"/>
  </r>
  <r>
    <s v="2021-12-31 17:17 (PST)"/>
    <d v="2021-12-31T00:00:00"/>
    <s v="17:17(PST)"/>
    <s v="Friday"/>
    <s v="On Demand"/>
    <x v="13"/>
  </r>
  <r>
    <s v="2021-12-31 17:37 (PST)"/>
    <d v="2021-12-31T00:00:00"/>
    <s v="17:37(PST)"/>
    <s v="Friday"/>
    <s v="On Demand"/>
    <x v="23"/>
  </r>
  <r>
    <s v="2021-12-31 18:01 (PST)"/>
    <d v="2021-12-31T00:00:00"/>
    <s v="18:01(PST)"/>
    <s v="Friday"/>
    <s v="On Demand"/>
    <x v="8"/>
  </r>
  <r>
    <s v="2022-01-07 13:32 (PST)"/>
    <d v="2022-01-07T00:00:00"/>
    <s v="13:32(PST)"/>
    <s v="Friday"/>
    <s v="On Demand"/>
    <x v="13"/>
  </r>
  <r>
    <s v="2022-01-07 16:18 (-08)"/>
    <d v="2022-01-07T00:00:00"/>
    <s v="16:18(-08)"/>
    <s v="Friday"/>
    <s v="On Demand"/>
    <x v="24"/>
  </r>
  <r>
    <s v="2022-01-07 16:29 (-08)"/>
    <d v="2022-01-07T00:00:00"/>
    <s v="16:29(-08)"/>
    <s v="Friday"/>
    <s v="On Demand"/>
    <x v="7"/>
  </r>
  <r>
    <s v="2022-01-07 17:16 (-08)"/>
    <d v="2022-01-07T00:00:00"/>
    <s v="17:16(-08)"/>
    <s v="Friday"/>
    <s v="On Demand"/>
    <x v="12"/>
  </r>
  <r>
    <s v="2022-01-07 17:27 (-08)"/>
    <d v="2022-01-07T00:00:00"/>
    <s v="17:27(-08)"/>
    <s v="Friday"/>
    <s v="On Demand"/>
    <x v="6"/>
  </r>
  <r>
    <s v="2022-01-07 22:54 (PST)"/>
    <d v="2022-01-07T00:00:00"/>
    <s v="22:54(PST)"/>
    <s v="Friday"/>
    <s v="On Demand"/>
    <x v="25"/>
  </r>
  <r>
    <s v="2022-01-14 07:26 (PST)"/>
    <d v="2022-01-14T00:00:00"/>
    <s v="07:26(PST)"/>
    <s v="Friday"/>
    <s v="On Demand"/>
    <x v="16"/>
  </r>
  <r>
    <s v="2022-01-14 13:28 (-08)"/>
    <d v="2022-01-14T00:00:00"/>
    <s v="13:28(-08)"/>
    <s v="Friday"/>
    <s v="On Demand"/>
    <x v="17"/>
  </r>
  <r>
    <s v="2022-01-14 13:59 (-08)"/>
    <d v="2022-01-14T00:00:00"/>
    <s v="13:59(-08)"/>
    <s v="Friday"/>
    <s v="On Demand"/>
    <x v="15"/>
  </r>
  <r>
    <s v="2022-01-14 23:08 (PST)"/>
    <d v="2022-01-14T00:00:00"/>
    <s v="23:08(PST)"/>
    <s v="Friday"/>
    <s v="On Demand"/>
    <x v="13"/>
  </r>
  <r>
    <s v="2022-01-21 07:09 (PST)"/>
    <d v="2022-01-21T00:00:00"/>
    <s v="07:09(PST)"/>
    <s v="Friday"/>
    <s v="On Demand"/>
    <x v="7"/>
  </r>
  <r>
    <s v="2022-01-21 10:51 (-08)"/>
    <d v="2022-01-21T00:00:00"/>
    <s v="10:51(-08)"/>
    <s v="Friday"/>
    <s v="On Demand"/>
    <x v="6"/>
  </r>
  <r>
    <s v="2022-01-21 11:52 (-08)"/>
    <d v="2022-01-21T00:00:00"/>
    <s v="11:52(-08)"/>
    <s v="Friday"/>
    <s v="On Demand"/>
    <x v="20"/>
  </r>
  <r>
    <s v="2022-01-21 12:00 (-08)"/>
    <d v="2022-01-21T00:00:00"/>
    <s v="12:00(-08)"/>
    <s v="Friday"/>
    <s v="On Demand"/>
    <x v="22"/>
  </r>
  <r>
    <s v="2022-01-21 12:06 (-08)"/>
    <d v="2022-01-21T00:00:00"/>
    <s v="12:06(-08)"/>
    <s v="Friday"/>
    <s v="On Demand"/>
    <x v="1"/>
  </r>
  <r>
    <s v="2022-01-21 23:22 (PST)"/>
    <d v="2022-01-21T00:00:00"/>
    <s v="23:22(PST)"/>
    <s v="Friday"/>
    <s v="On Demand"/>
    <x v="19"/>
  </r>
  <r>
    <s v="2022-01-28 07:21 (PST)"/>
    <d v="2022-01-28T00:00:00"/>
    <s v="07:21(PST)"/>
    <s v="Friday"/>
    <s v="On Demand"/>
    <x v="13"/>
  </r>
  <r>
    <s v="2022-01-28 07:54 (PST)"/>
    <d v="2022-01-28T00:00:00"/>
    <s v="07:54(PST)"/>
    <s v="Friday"/>
    <s v="On Demand"/>
    <x v="13"/>
  </r>
  <r>
    <s v="2022-01-28 22:49 (PST)"/>
    <d v="2022-01-28T00:00:00"/>
    <s v="22:49(PST)"/>
    <s v="Friday"/>
    <s v="On Demand"/>
    <x v="19"/>
  </r>
  <r>
    <s v="2022-02-04 03:11 (PST)"/>
    <d v="2022-02-04T00:00:00"/>
    <s v="03:11(PST)"/>
    <s v="Friday"/>
    <s v="On Demand"/>
    <x v="23"/>
  </r>
  <r>
    <s v="2022-02-04 07:34 (PST)"/>
    <d v="2022-02-04T00:00:00"/>
    <s v="07:34(PST)"/>
    <s v="Friday"/>
    <s v="On Demand"/>
    <x v="7"/>
  </r>
  <r>
    <s v="2022-02-04 12:15 (-08)"/>
    <d v="2022-02-04T00:00:00"/>
    <s v="12:15(-08)"/>
    <s v="Friday"/>
    <s v="On Demand"/>
    <x v="4"/>
  </r>
  <r>
    <s v="2022-02-04 13:00 (-08)"/>
    <d v="2022-02-04T00:00:00"/>
    <s v="13:00(-08)"/>
    <s v="Friday"/>
    <s v="On Demand"/>
    <x v="4"/>
  </r>
  <r>
    <s v="2022-02-04 13:10 (-08)"/>
    <d v="2022-02-04T00:00:00"/>
    <s v="13:10(-08)"/>
    <s v="Friday"/>
    <s v="On Demand"/>
    <x v="1"/>
  </r>
  <r>
    <s v="2022-02-04 13:21 (-08)"/>
    <d v="2022-02-04T00:00:00"/>
    <s v="13:21(-08)"/>
    <s v="Friday"/>
    <s v="On Demand"/>
    <x v="12"/>
  </r>
  <r>
    <s v="2022-02-04 23:16 (PST)"/>
    <d v="2022-02-04T00:00:00"/>
    <s v="23:16(PST)"/>
    <s v="Friday"/>
    <s v="On Demand"/>
    <x v="23"/>
  </r>
  <r>
    <s v="2022-02-11 07:46 (PST)"/>
    <d v="2022-02-11T00:00:00"/>
    <s v="07:46(PST)"/>
    <s v="Friday"/>
    <s v="On Demand"/>
    <x v="16"/>
  </r>
  <r>
    <s v="2022-02-11 15:36 (-08)"/>
    <d v="2022-02-11T00:00:00"/>
    <s v="15:36(-08)"/>
    <s v="Friday"/>
    <s v="On Demand"/>
    <x v="1"/>
  </r>
  <r>
    <s v="2022-02-11 15:49 (-08)"/>
    <d v="2022-02-11T00:00:00"/>
    <s v="15:49(-08)"/>
    <s v="Friday"/>
    <s v="On Demand"/>
    <x v="6"/>
  </r>
  <r>
    <s v="2022-02-11 16:07 (-08)"/>
    <d v="2022-02-11T00:00:00"/>
    <s v="16:07(-08)"/>
    <s v="Friday"/>
    <s v="On Demand"/>
    <x v="6"/>
  </r>
  <r>
    <s v="2022-02-11 16:33 (-08)"/>
    <d v="2022-02-11T00:00:00"/>
    <s v="16:33(-08)"/>
    <s v="Friday"/>
    <s v="On Demand"/>
    <x v="6"/>
  </r>
  <r>
    <s v="2022-02-11 16:42 (-08)"/>
    <d v="2022-02-11T00:00:00"/>
    <s v="16:42(-08)"/>
    <s v="Friday"/>
    <s v="On Demand"/>
    <x v="6"/>
  </r>
  <r>
    <s v="2022-02-11 22:26 (PST)"/>
    <d v="2022-02-11T00:00:00"/>
    <s v="22:26(PST)"/>
    <s v="Friday"/>
    <s v="On Demand"/>
    <x v="28"/>
  </r>
  <r>
    <s v="2022-02-18 07:45 (PST)"/>
    <d v="2022-02-18T00:00:00"/>
    <s v="07:45(PST)"/>
    <s v="Friday"/>
    <s v="On Demand"/>
    <x v="7"/>
  </r>
  <r>
    <s v="2022-02-18 23:00 (PST)"/>
    <d v="2022-02-18T00:00:00"/>
    <s v="23:00(PST)"/>
    <s v="Friday"/>
    <s v="On Demand"/>
    <x v="16"/>
  </r>
  <r>
    <s v="2022-02-25 07:09 (PST)"/>
    <d v="2022-02-25T00:00:00"/>
    <s v="07:09(PST)"/>
    <s v="Friday"/>
    <s v="On Demand"/>
    <x v="7"/>
  </r>
  <r>
    <s v="2022-02-25 23:49 (PST)"/>
    <d v="2022-02-25T00:00:00"/>
    <s v="23:49(PST)"/>
    <s v="Friday"/>
    <s v="On Demand"/>
    <x v="13"/>
  </r>
  <r>
    <s v="2022-03-04 07:36 (PST)"/>
    <d v="2022-03-04T00:00:00"/>
    <s v="07:36(PST)"/>
    <s v="Friday"/>
    <s v="On Demand"/>
    <x v="13"/>
  </r>
  <r>
    <s v="2022-03-04 18:29 (-08)"/>
    <d v="2022-03-04T00:00:00"/>
    <s v="18:29(-08)"/>
    <s v="Friday"/>
    <s v="On Demand"/>
    <x v="6"/>
  </r>
  <r>
    <s v="2022-03-04 19:30 (-08)"/>
    <d v="2022-03-04T00:00:00"/>
    <s v="19:30(-08)"/>
    <s v="Friday"/>
    <s v="On Demand"/>
    <x v="10"/>
  </r>
  <r>
    <s v="2022-03-04 19:38 (-08)"/>
    <d v="2022-03-04T00:00:00"/>
    <s v="19:38(-08)"/>
    <s v="Friday"/>
    <s v="On Demand"/>
    <x v="10"/>
  </r>
  <r>
    <s v="2022-03-04 22:49 (PST)"/>
    <d v="2022-03-04T00:00:00"/>
    <s v="22:49(PST)"/>
    <s v="Friday"/>
    <s v="On Demand"/>
    <x v="30"/>
  </r>
  <r>
    <s v="2022-03-11 09:50 (PST)"/>
    <d v="2022-03-11T00:00:00"/>
    <s v="09:50(PST)"/>
    <s v="Friday"/>
    <s v="On Demand"/>
    <x v="7"/>
  </r>
  <r>
    <s v="2022-03-11 10:41 (PST)"/>
    <d v="2022-03-11T00:00:00"/>
    <s v="10:41(PST)"/>
    <s v="Friday"/>
    <s v="On Demand"/>
    <x v="20"/>
  </r>
  <r>
    <s v="2022-03-11 10:53 (PST)"/>
    <d v="2022-03-11T00:00:00"/>
    <s v="10:53(PST)"/>
    <s v="Friday"/>
    <s v="On Demand"/>
    <x v="13"/>
  </r>
  <r>
    <s v="2022-03-11 21:41 (PST)"/>
    <d v="2022-03-11T00:00:00"/>
    <s v="21:41(PST)"/>
    <s v="Friday"/>
    <s v="On Demand"/>
    <x v="16"/>
  </r>
  <r>
    <s v="2022-03-18 07:58 (PST)"/>
    <d v="2022-03-18T00:00:00"/>
    <s v="07:58(PST)"/>
    <s v="Friday"/>
    <s v="On Demand"/>
    <x v="13"/>
  </r>
  <r>
    <s v="2022-03-18 12:18 (PST)"/>
    <d v="2022-03-18T00:00:00"/>
    <s v="12:18(PST)"/>
    <s v="Friday"/>
    <s v="On Demand"/>
    <x v="24"/>
  </r>
  <r>
    <s v="2022-03-18 13:03 (PST)"/>
    <d v="2022-03-18T00:00:00"/>
    <s v="13:03(PST)"/>
    <s v="Friday"/>
    <s v="On Demand"/>
    <x v="6"/>
  </r>
  <r>
    <s v="2022-03-18 22:46 (PST)"/>
    <d v="2022-03-18T00:00:00"/>
    <s v="22:46(PST)"/>
    <s v="Friday"/>
    <s v="On Demand"/>
    <x v="28"/>
  </r>
  <r>
    <s v="2022-03-25 07:48 (PST)"/>
    <d v="2022-03-25T00:00:00"/>
    <s v="07:48(PST)"/>
    <s v="Friday"/>
    <s v="On Demand"/>
    <x v="13"/>
  </r>
  <r>
    <s v="2022-03-25 13:33 (-07)"/>
    <d v="2022-03-25T00:00:00"/>
    <s v="13:33(-07)"/>
    <s v="Friday"/>
    <s v="On Demand"/>
    <x v="4"/>
  </r>
  <r>
    <s v="2022-03-25 13:46 (-07)"/>
    <d v="2022-03-25T00:00:00"/>
    <s v="13:46(-07)"/>
    <s v="Friday"/>
    <s v="On Demand"/>
    <x v="7"/>
  </r>
  <r>
    <s v="2022-03-25 14:32 (-07)"/>
    <d v="2022-03-25T00:00:00"/>
    <s v="14:32(-07)"/>
    <s v="Friday"/>
    <s v="On Demand"/>
    <x v="4"/>
  </r>
  <r>
    <s v="2022-03-25 14:42 (-07)"/>
    <d v="2022-03-25T00:00:00"/>
    <s v="14:42(-07)"/>
    <s v="Friday"/>
    <s v="On Demand"/>
    <x v="4"/>
  </r>
  <r>
    <s v="2022-03-25 23:22 (PST)"/>
    <d v="2022-03-25T00:00:00"/>
    <s v="23:22(PST)"/>
    <s v="Friday"/>
    <s v="On Demand"/>
    <x v="19"/>
  </r>
  <r>
    <s v="2022-04-01 13:05 (-07)"/>
    <d v="2022-04-01T00:00:00"/>
    <s v="13:05(-07)"/>
    <s v="Friday"/>
    <s v="On Demand"/>
    <x v="22"/>
  </r>
  <r>
    <s v="2022-04-01 13:11 (-07)"/>
    <d v="2022-04-01T00:00:00"/>
    <s v="13:11(-07)"/>
    <s v="Friday"/>
    <s v="On Demand"/>
    <x v="7"/>
  </r>
  <r>
    <s v="2022-04-01 13:58 (-07)"/>
    <d v="2022-04-01T00:00:00"/>
    <s v="13:58(-07)"/>
    <s v="Friday"/>
    <s v="On Demand"/>
    <x v="22"/>
  </r>
  <r>
    <s v="2022-04-01 14:09 (-07)"/>
    <d v="2022-04-01T00:00:00"/>
    <s v="14:09(-07)"/>
    <s v="Friday"/>
    <s v="On Demand"/>
    <x v="22"/>
  </r>
  <r>
    <s v="2022-04-08 07:46 (PST)"/>
    <d v="2022-04-08T00:00:00"/>
    <s v="07:46(PST)"/>
    <s v="Friday"/>
    <s v="On Demand"/>
    <x v="13"/>
  </r>
  <r>
    <s v="2022-04-08 16:39 (-07)"/>
    <d v="2022-04-08T00:00:00"/>
    <s v="16:39(-07)"/>
    <s v="Friday"/>
    <s v="On Demand"/>
    <x v="8"/>
  </r>
  <r>
    <s v="2022-04-08 17:01 (-07)"/>
    <d v="2022-04-08T00:00:00"/>
    <s v="17:01(-07)"/>
    <s v="Friday"/>
    <s v="On Demand"/>
    <x v="24"/>
  </r>
  <r>
    <s v="2022-04-08 17:18 (-07)"/>
    <d v="2022-04-08T00:00:00"/>
    <s v="17:18(-07)"/>
    <s v="Friday"/>
    <s v="On Demand"/>
    <x v="4"/>
  </r>
  <r>
    <s v="2022-04-08 17:51 (-07)"/>
    <d v="2022-04-08T00:00:00"/>
    <s v="17:51(-07)"/>
    <s v="Friday"/>
    <s v="On Demand"/>
    <x v="12"/>
  </r>
  <r>
    <s v="2022-04-08 23:04 (PST)"/>
    <d v="2022-04-08T00:00:00"/>
    <s v="23:04(PST)"/>
    <s v="Friday"/>
    <s v="On Demand"/>
    <x v="28"/>
  </r>
  <r>
    <s v="2022-04-15 22:47 (PST)"/>
    <d v="2022-04-15T00:00:00"/>
    <s v="22:47(PST)"/>
    <s v="Friday"/>
    <s v="On Demand"/>
    <x v="16"/>
  </r>
  <r>
    <s v="2022-04-22 07:51 (PST)"/>
    <d v="2022-04-22T00:00:00"/>
    <s v="07:51(PST)"/>
    <s v="Friday"/>
    <s v="On Demand"/>
    <x v="16"/>
  </r>
  <r>
    <s v="2022-04-22 08:23 (PST)"/>
    <d v="2022-04-22T00:00:00"/>
    <s v="08:23(PST)"/>
    <s v="Friday"/>
    <s v="On Demand"/>
    <x v="8"/>
  </r>
  <r>
    <s v="2022-04-22 12:45 (PST)"/>
    <d v="2022-04-22T00:00:00"/>
    <s v="12:45(PST)"/>
    <s v="Friday"/>
    <s v="On Demand"/>
    <x v="31"/>
  </r>
  <r>
    <s v="2022-04-22 23:21 (PST)"/>
    <d v="2022-04-22T00:00:00"/>
    <s v="23:21(PST)"/>
    <s v="Friday"/>
    <s v="On Demand"/>
    <x v="32"/>
  </r>
  <r>
    <s v="2022-04-29 23:45 (PST)"/>
    <d v="2022-04-29T00:00:00"/>
    <s v="23:45(PST)"/>
    <s v="Friday"/>
    <s v="On Demand"/>
    <x v="25"/>
  </r>
  <r>
    <s v="2022-05-06 08:29 (PST)"/>
    <d v="2022-05-06T00:00:00"/>
    <s v="08:29(PST)"/>
    <s v="Friday"/>
    <s v="On Demand"/>
    <x v="13"/>
  </r>
  <r>
    <s v="2022-05-06 12:12 (-07)"/>
    <d v="2022-05-06T00:00:00"/>
    <s v="12:12(-07)"/>
    <s v="Friday"/>
    <s v="On Demand"/>
    <x v="5"/>
  </r>
  <r>
    <s v="2022-05-06 12:23 (-07)"/>
    <d v="2022-05-06T00:00:00"/>
    <s v="12:23(-07)"/>
    <s v="Friday"/>
    <s v="On Demand"/>
    <x v="9"/>
  </r>
  <r>
    <s v="2022-05-06 13:11 (-07)"/>
    <d v="2022-05-06T00:00:00"/>
    <s v="13:11(-07)"/>
    <s v="Friday"/>
    <s v="On Demand"/>
    <x v="5"/>
  </r>
  <r>
    <s v="2022-05-06 23:15 (PST)"/>
    <d v="2022-05-06T00:00:00"/>
    <s v="23:15(PST)"/>
    <s v="Friday"/>
    <s v="On Demand"/>
    <x v="25"/>
  </r>
  <r>
    <s v="2022-05-13 09:20 (PST)"/>
    <d v="2022-05-13T00:00:00"/>
    <s v="09:20(PST)"/>
    <s v="Friday"/>
    <s v="On Demand"/>
    <x v="19"/>
  </r>
  <r>
    <s v="2022-05-13 11:02 (PST)"/>
    <d v="2022-05-13T00:00:00"/>
    <s v="11:02(PST)"/>
    <s v="Friday"/>
    <s v="On Demand"/>
    <x v="11"/>
  </r>
  <r>
    <s v="2022-05-13 18:05 (PST)"/>
    <d v="2022-05-13T00:00:00"/>
    <s v="18:05(PST)"/>
    <s v="Friday"/>
    <s v="On Demand"/>
    <x v="33"/>
  </r>
  <r>
    <s v="2022-05-13 19:30 (PST)"/>
    <d v="2022-05-13T00:00:00"/>
    <s v="19:30(PST)"/>
    <s v="Friday"/>
    <s v="On Demand"/>
    <x v="16"/>
  </r>
  <r>
    <s v="2022-05-13 21:16 (PST)"/>
    <d v="2022-05-13T00:00:00"/>
    <s v="21:16(PST)"/>
    <s v="Friday"/>
    <s v="On Demand"/>
    <x v="16"/>
  </r>
  <r>
    <s v="2022-05-20 23:16 (PST)"/>
    <d v="2022-05-20T00:00:00"/>
    <s v="23:16(PST)"/>
    <s v="Friday"/>
    <s v="On Demand"/>
    <x v="19"/>
  </r>
  <r>
    <s v="2022-05-27 11:17 (PST)"/>
    <d v="2022-05-27T00:00:00"/>
    <s v="11:17(PST)"/>
    <s v="Friday"/>
    <s v="On Demand"/>
    <x v="13"/>
  </r>
  <r>
    <s v="2022-05-27 12:24 (PST)"/>
    <d v="2022-05-27T00:00:00"/>
    <s v="12:24(PST)"/>
    <s v="Friday"/>
    <s v="On Demand"/>
    <x v="24"/>
  </r>
  <r>
    <s v="2022-05-27 23:50 (PST)"/>
    <d v="2022-05-27T00:00:00"/>
    <s v="23:50(PST)"/>
    <s v="Friday"/>
    <s v="On Demand"/>
    <x v="28"/>
  </r>
  <r>
    <s v="2022-06-03 08:00 (PST)"/>
    <d v="2022-06-03T00:00:00"/>
    <s v="08:00(PST)"/>
    <s v="Friday"/>
    <s v="On Demand"/>
    <x v="13"/>
  </r>
  <r>
    <s v="2022-06-03 12:21 (PST)"/>
    <d v="2022-06-03T00:00:00"/>
    <s v="12:21(PST)"/>
    <s v="Friday"/>
    <s v="On Demand"/>
    <x v="31"/>
  </r>
  <r>
    <s v="2022-06-03 12:44 (PST)"/>
    <d v="2022-06-03T00:00:00"/>
    <s v="12:44(PST)"/>
    <s v="Friday"/>
    <m/>
    <x v="34"/>
  </r>
  <r>
    <s v="2022-06-03 21:49 (PST)"/>
    <d v="2022-06-03T00:00:00"/>
    <s v="21:49(PST)"/>
    <s v="Friday"/>
    <s v="On Demand"/>
    <x v="28"/>
  </r>
  <r>
    <s v="2022-06-10 07:23 (PST)"/>
    <d v="2022-06-10T00:00:00"/>
    <s v="07:23(PST)"/>
    <s v="Friday"/>
    <s v="On Demand"/>
    <x v="13"/>
  </r>
  <r>
    <s v="2022-06-10 17:21 (-07)"/>
    <d v="2022-06-10T00:00:00"/>
    <s v="17:21(-07)"/>
    <s v="Friday"/>
    <s v="On Demand"/>
    <x v="6"/>
  </r>
  <r>
    <s v="2022-06-10 22:41 (PST)"/>
    <d v="2022-06-10T00:00:00"/>
    <s v="22:41(PST)"/>
    <s v="Friday"/>
    <s v="On Demand"/>
    <x v="25"/>
  </r>
  <r>
    <s v="2022-06-17 04:32 (PST)"/>
    <d v="2022-06-17T00:00:00"/>
    <s v="04:32(PST)"/>
    <s v="Friday"/>
    <s v="On Demand"/>
    <x v="16"/>
  </r>
  <r>
    <s v="2022-06-17 22:33 (PST)"/>
    <d v="2022-06-17T00:00:00"/>
    <s v="22:33(PST)"/>
    <s v="Friday"/>
    <s v="On Demand"/>
    <x v="19"/>
  </r>
  <r>
    <s v="2022-06-24 22:12 (PST)"/>
    <d v="2022-06-24T00:00:00"/>
    <s v="22:12(PST)"/>
    <s v="Friday"/>
    <s v="On Demand"/>
    <x v="19"/>
  </r>
  <r>
    <s v="2022-07-01 07:28 (PST)"/>
    <d v="2022-07-01T00:00:00"/>
    <s v="07:28(PST)"/>
    <s v="Friday"/>
    <s v="On Demand"/>
    <x v="16"/>
  </r>
  <r>
    <s v="2022-07-01 22:13 (PST)"/>
    <d v="2022-07-01T00:00:00"/>
    <s v="22:13(PST)"/>
    <s v="Friday"/>
    <s v="On Demand"/>
    <x v="25"/>
  </r>
  <r>
    <s v="2022-07-08 07:54 (PST)"/>
    <d v="2022-07-08T00:00:00"/>
    <s v="07:54(PST)"/>
    <s v="Friday"/>
    <s v="On Demand"/>
    <x v="25"/>
  </r>
  <r>
    <s v="2022-07-08 22:40 (PST)"/>
    <d v="2022-07-08T00:00:00"/>
    <s v="22:40(PST)"/>
    <s v="Friday"/>
    <s v="On Demand"/>
    <x v="28"/>
  </r>
  <r>
    <s v="2022-07-15 16:21 (-07)"/>
    <d v="2022-07-15T00:00:00"/>
    <s v="16:21(-07)"/>
    <s v="Friday"/>
    <s v="On Demand"/>
    <x v="35"/>
  </r>
  <r>
    <s v="2022-07-15 16:45 (-07)"/>
    <d v="2022-07-15T00:00:00"/>
    <s v="16:45(-07)"/>
    <s v="Friday"/>
    <s v="On Demand"/>
    <x v="6"/>
  </r>
  <r>
    <s v="2022-07-15 17:46 (-07)"/>
    <d v="2022-07-15T00:00:00"/>
    <s v="17:46(-07)"/>
    <s v="Friday"/>
    <s v="On Demand"/>
    <x v="5"/>
  </r>
  <r>
    <s v="2022-07-15 17:52 (-07)"/>
    <d v="2022-07-15T00:00:00"/>
    <s v="17:52(-07)"/>
    <s v="Friday"/>
    <s v="On Demand"/>
    <x v="36"/>
  </r>
  <r>
    <s v="2022-07-15 22:36 (PST)"/>
    <d v="2022-07-15T00:00:00"/>
    <s v="22:36(PST)"/>
    <s v="Friday"/>
    <s v="On Demand"/>
    <x v="23"/>
  </r>
  <r>
    <s v="2022-07-22 19:06 (-07)"/>
    <d v="2022-07-22T00:00:00"/>
    <s v="19:06(-07)"/>
    <s v="Friday"/>
    <s v="On Demand"/>
    <x v="7"/>
  </r>
  <r>
    <s v="2022-07-22 19:53 (-07)"/>
    <d v="2022-07-22T00:00:00"/>
    <s v="19:53(-07)"/>
    <s v="Friday"/>
    <s v="On Demand"/>
    <x v="12"/>
  </r>
  <r>
    <s v="2022-07-22 19:59 (-07)"/>
    <d v="2022-07-22T00:00:00"/>
    <s v="19:59(-07)"/>
    <s v="Friday"/>
    <s v="On Demand"/>
    <x v="12"/>
  </r>
  <r>
    <s v="2022-07-22 22:31 (PST)"/>
    <d v="2022-07-22T00:00:00"/>
    <s v="22:31(PST)"/>
    <s v="Friday"/>
    <s v="On Demand"/>
    <x v="13"/>
  </r>
  <r>
    <s v="2022-07-29 07:21 (PST)"/>
    <d v="2022-07-29T00:00:00"/>
    <s v="07:21(PST)"/>
    <s v="Friday"/>
    <s v="On Demand"/>
    <x v="16"/>
  </r>
  <r>
    <s v="2022-07-29 10:32 (-07)"/>
    <d v="2022-07-29T00:00:00"/>
    <s v="10:32(-07)"/>
    <s v="Friday"/>
    <s v="On Demand"/>
    <x v="6"/>
  </r>
  <r>
    <s v="2022-07-29 11:34 (-07)"/>
    <d v="2022-07-29T00:00:00"/>
    <s v="11:34(-07)"/>
    <s v="Friday"/>
    <s v="On Demand"/>
    <x v="6"/>
  </r>
  <r>
    <s v="2022-07-29 11:40 (-07)"/>
    <d v="2022-07-29T00:00:00"/>
    <s v="11:40(-07)"/>
    <s v="Friday"/>
    <s v="On Demand"/>
    <x v="6"/>
  </r>
  <r>
    <s v="2022-07-29 22:37 (PST)"/>
    <d v="2022-07-29T00:00:00"/>
    <s v="22:37(PST)"/>
    <s v="Friday"/>
    <s v="On Demand"/>
    <x v="19"/>
  </r>
  <r>
    <s v="2022-08-05 17:15 (-07)"/>
    <d v="2022-08-05T00:00:00"/>
    <s v="17:15(-07)"/>
    <s v="Friday"/>
    <s v="On Demand"/>
    <x v="6"/>
  </r>
  <r>
    <s v="2022-08-05 18:07 (-07)"/>
    <d v="2022-08-05T00:00:00"/>
    <s v="18:07(-07)"/>
    <s v="Friday"/>
    <s v="On Demand"/>
    <x v="12"/>
  </r>
  <r>
    <s v="2022-08-05 18:24 (-07)"/>
    <d v="2022-08-05T00:00:00"/>
    <s v="18:24(-07)"/>
    <s v="Friday"/>
    <s v="On Demand"/>
    <x v="24"/>
  </r>
  <r>
    <s v="2022-08-05 23:41 (PST)"/>
    <d v="2022-08-05T00:00:00"/>
    <s v="23:41(PST)"/>
    <s v="Friday"/>
    <s v="On Demand"/>
    <x v="19"/>
  </r>
  <r>
    <s v="2022-08-19 22:46 (PST)"/>
    <d v="2022-08-19T00:00:00"/>
    <s v="22:46(PST)"/>
    <s v="Friday"/>
    <s v="On Demand"/>
    <x v="16"/>
  </r>
  <r>
    <s v="2022-08-26 08:01 (PST)"/>
    <d v="2022-08-26T00:00:00"/>
    <s v="08:01(PST)"/>
    <s v="Friday"/>
    <s v="On Demand"/>
    <x v="23"/>
  </r>
  <r>
    <s v="2022-08-26 13:35 (-07)"/>
    <d v="2022-08-26T00:00:00"/>
    <s v="13:35(-07)"/>
    <s v="Friday"/>
    <s v="On Demand"/>
    <x v="5"/>
  </r>
  <r>
    <s v="2022-08-26 13:48 (-07)"/>
    <d v="2022-08-26T00:00:00"/>
    <s v="13:48(-07)"/>
    <s v="Friday"/>
    <s v="On Demand"/>
    <x v="6"/>
  </r>
  <r>
    <s v="2022-08-26 14:49 (-07)"/>
    <d v="2022-08-26T00:00:00"/>
    <s v="14:49(-07)"/>
    <s v="Friday"/>
    <s v="On Demand"/>
    <x v="7"/>
  </r>
  <r>
    <s v="2022-08-26 23:49 (PST)"/>
    <d v="2022-08-26T00:00:00"/>
    <s v="23:49(PST)"/>
    <s v="Friday"/>
    <s v="On Demand"/>
    <x v="19"/>
  </r>
  <r>
    <s v="2022-09-02 16:56 (-07)"/>
    <d v="2022-09-02T00:00:00"/>
    <s v="16:56(-07)"/>
    <s v="Friday"/>
    <s v="On Demand"/>
    <x v="6"/>
  </r>
  <r>
    <s v="2022-09-02 17:56 (-07)"/>
    <d v="2022-09-02T00:00:00"/>
    <s v="17:56(-07)"/>
    <s v="Friday"/>
    <s v="On Demand"/>
    <x v="6"/>
  </r>
  <r>
    <s v="2022-09-02 18:04 (-07)"/>
    <d v="2022-09-02T00:00:00"/>
    <s v="18:04(-07)"/>
    <s v="Friday"/>
    <s v="On Demand"/>
    <x v="1"/>
  </r>
  <r>
    <s v="2022-09-02 18:27 (PST)"/>
    <d v="2022-09-02T00:00:00"/>
    <s v="18:27(PST)"/>
    <s v="Friday"/>
    <s v="On Demand"/>
    <x v="16"/>
  </r>
  <r>
    <s v="2022-09-02 22:12 (PST)"/>
    <d v="2022-09-02T00:00:00"/>
    <s v="22:12(PST)"/>
    <s v="Friday"/>
    <s v="On Demand"/>
    <x v="23"/>
  </r>
  <r>
    <s v="2022-09-16 13:07 (-07)"/>
    <d v="2022-09-16T00:00:00"/>
    <s v="13:07(-07)"/>
    <s v="Friday"/>
    <s v="On Demand"/>
    <x v="4"/>
  </r>
  <r>
    <s v="2022-09-16 14:08 (-07)"/>
    <d v="2022-09-16T00:00:00"/>
    <s v="14:08(-07)"/>
    <s v="Friday"/>
    <s v="On Demand"/>
    <x v="4"/>
  </r>
  <r>
    <s v="2022-09-16 22:46 (PST)"/>
    <d v="2022-09-16T00:00:00"/>
    <s v="22:46(PST)"/>
    <s v="Friday"/>
    <s v="On Demand"/>
    <x v="23"/>
  </r>
  <r>
    <s v="2022-09-23 12:24 (-07)"/>
    <d v="2022-09-23T00:00:00"/>
    <s v="12:24(-07)"/>
    <s v="Friday"/>
    <s v="On Demand"/>
    <x v="11"/>
  </r>
  <r>
    <s v="2022-09-23 12:59 (-07)"/>
    <d v="2022-09-23T00:00:00"/>
    <s v="12:59(-07)"/>
    <s v="Friday"/>
    <s v="On Demand"/>
    <x v="1"/>
  </r>
  <r>
    <s v="2022-09-30 23:00 (PST)"/>
    <d v="2022-09-30T00:00:00"/>
    <s v="23:00(PST)"/>
    <s v="Friday"/>
    <s v="On Demand"/>
    <x v="23"/>
  </r>
  <r>
    <s v="2022-09-30 23:59 (PST)"/>
    <d v="2022-09-30T00:00:00"/>
    <s v="23:59(PST)"/>
    <s v="Friday"/>
    <s v="On Demand"/>
    <x v="13"/>
  </r>
  <r>
    <s v="2022-10-07 11:49 (PST)"/>
    <d v="2022-10-07T00:00:00"/>
    <s v="11:49(PST)"/>
    <s v="Friday"/>
    <s v="On Demand"/>
    <x v="16"/>
  </r>
  <r>
    <s v="2022-10-07 16:01 (-07)"/>
    <d v="2022-10-07T00:00:00"/>
    <s v="16:01(-07)"/>
    <s v="Friday"/>
    <s v="On Demand"/>
    <x v="7"/>
  </r>
  <r>
    <s v="2022-10-07 16:34 (-07)"/>
    <d v="2022-10-07T00:00:00"/>
    <s v="16:34(-07)"/>
    <s v="Friday"/>
    <s v="On Demand"/>
    <x v="6"/>
  </r>
  <r>
    <s v="2022-10-14 23:13 (PST)"/>
    <d v="2022-10-14T00:00:00"/>
    <s v="23:13(PST)"/>
    <s v="Friday"/>
    <s v="On Demand"/>
    <x v="13"/>
  </r>
  <r>
    <s v="2022-10-21 05:52 (PST)"/>
    <d v="2022-10-21T00:00:00"/>
    <s v="05:52(PST)"/>
    <s v="Friday"/>
    <m/>
    <x v="34"/>
  </r>
  <r>
    <s v="2022-10-21 06:13 (-07)"/>
    <d v="2022-10-21T00:00:00"/>
    <s v="06:13(-07)"/>
    <s v="Friday"/>
    <s v="On Demand"/>
    <x v="10"/>
  </r>
  <r>
    <s v="2022-10-21 07:05 (-07)"/>
    <d v="2022-10-21T00:00:00"/>
    <s v="07:05(-07)"/>
    <s v="Friday"/>
    <s v="On Demand"/>
    <x v="12"/>
  </r>
  <r>
    <s v="2022-10-28 07:58 (-07)"/>
    <d v="2022-10-28T00:00:00"/>
    <s v="07:58(-07)"/>
    <s v="Friday"/>
    <s v="On Demand"/>
    <x v="6"/>
  </r>
  <r>
    <s v="2022-10-28 08:32 (-07)"/>
    <d v="2022-10-28T00:00:00"/>
    <s v="08:32(-07)"/>
    <s v="Friday"/>
    <s v="On Demand"/>
    <x v="35"/>
  </r>
  <r>
    <s v="2022-10-28 08:44 (-07)"/>
    <d v="2022-10-28T00:00:00"/>
    <s v="08:44(-07)"/>
    <s v="Friday"/>
    <s v="On Demand"/>
    <x v="0"/>
  </r>
  <r>
    <s v="2022-11-04 00:52 (GMT)"/>
    <d v="2022-11-04T00:00:00"/>
    <s v="00:52(GMT)"/>
    <s v="Friday"/>
    <s v="On Demand"/>
    <x v="19"/>
  </r>
  <r>
    <s v="2022-11-11 10:05 (-05)"/>
    <d v="2022-11-11T00:00:00"/>
    <s v="10:05(-05)"/>
    <s v="Friday"/>
    <s v="On Demand"/>
    <x v="6"/>
  </r>
  <r>
    <s v="2022-11-11 10:57 (EST)"/>
    <d v="2022-11-11T00:00:00"/>
    <s v="10:57(EST)"/>
    <s v="Friday"/>
    <s v="On Demand"/>
    <x v="31"/>
  </r>
  <r>
    <s v="2022-11-11 11:08 (EST)"/>
    <d v="2022-11-11T00:00:00"/>
    <s v="11:08(EST)"/>
    <s v="Friday"/>
    <s v="On Demand"/>
    <x v="16"/>
  </r>
  <r>
    <s v="2022-11-18 00:02 (EST)"/>
    <d v="2022-11-18T00:00:00"/>
    <s v="00:02(EST)"/>
    <s v="Friday"/>
    <s v="On Demand"/>
    <x v="16"/>
  </r>
  <r>
    <s v="2022-12-02 23:50 (PST)"/>
    <d v="2022-12-02T00:00:00"/>
    <s v="23:50(PST)"/>
    <s v="Friday"/>
    <s v="On Demand"/>
    <x v="28"/>
  </r>
  <r>
    <s v="2022-12-09 12:27 (PST)"/>
    <d v="2022-12-09T00:00:00"/>
    <s v="12:27(PST)"/>
    <s v="Friday"/>
    <s v="On Demand"/>
    <x v="13"/>
  </r>
  <r>
    <s v="2022-12-09 16:47 (-08)"/>
    <d v="2022-12-09T00:00:00"/>
    <s v="16:47(-08)"/>
    <s v="Friday"/>
    <s v="On Demand"/>
    <x v="31"/>
  </r>
  <r>
    <s v="2022-12-09 16:55 (-08)"/>
    <d v="2022-12-09T00:00:00"/>
    <s v="16:55(-08)"/>
    <s v="Friday"/>
    <s v="On Demand"/>
    <x v="6"/>
  </r>
  <r>
    <s v="2022-12-09 17:56 (-08)"/>
    <d v="2022-12-09T00:00:00"/>
    <s v="17:56(-08)"/>
    <s v="Friday"/>
    <s v="On Demand"/>
    <x v="6"/>
  </r>
  <r>
    <s v="2022-12-09 23:56 (PST)"/>
    <d v="2022-12-09T00:00:00"/>
    <s v="23:56(PST)"/>
    <s v="Friday"/>
    <s v="On Demand"/>
    <x v="23"/>
  </r>
  <r>
    <s v="2022-12-16 10:08 (-05)"/>
    <d v="2022-12-16T00:00:00"/>
    <s v="10:08(-05)"/>
    <s v="Friday"/>
    <s v="On Demand"/>
    <x v="6"/>
  </r>
  <r>
    <s v="2022-12-16 11:27 (-05)"/>
    <d v="2022-12-16T00:00:00"/>
    <s v="11:27(-05)"/>
    <s v="Friday"/>
    <s v="On Demand"/>
    <x v="6"/>
  </r>
  <r>
    <s v="2022-12-23 13:00 (PST)"/>
    <d v="2022-12-23T00:00:00"/>
    <s v="13:00(PST)"/>
    <s v="Friday"/>
    <s v="On Demand"/>
    <x v="23"/>
  </r>
  <r>
    <s v="2022-12-23 16:29 (-08)"/>
    <d v="2022-12-23T00:00:00"/>
    <s v="16:29(-08)"/>
    <s v="Friday"/>
    <s v="On Demand"/>
    <x v="6"/>
  </r>
  <r>
    <s v="2022-12-23 17:35 (-08)"/>
    <d v="2022-12-23T00:00:00"/>
    <s v="17:35(-08)"/>
    <s v="Friday"/>
    <s v="On Demand"/>
    <x v="1"/>
  </r>
  <r>
    <s v="2022-12-23 17:56 (-08)"/>
    <d v="2022-12-23T00:00:00"/>
    <s v="17:56(-08)"/>
    <s v="Friday"/>
    <s v="On Demand"/>
    <x v="6"/>
  </r>
  <r>
    <s v="2022-12-30 08:57 (PST)"/>
    <d v="2022-12-30T00:00:00"/>
    <s v="08:57(PST)"/>
    <s v="Friday"/>
    <s v="On Demand"/>
    <x v="16"/>
  </r>
  <r>
    <s v="2022-12-30 11:36 (-08)"/>
    <d v="2022-12-30T00:00:00"/>
    <s v="11:36(-08)"/>
    <s v="Friday"/>
    <s v="On Demand"/>
    <x v="35"/>
  </r>
  <r>
    <s v="2022-12-30 11:48 (-08)"/>
    <d v="2022-12-30T00:00:00"/>
    <s v="11:48(-08)"/>
    <s v="Friday"/>
    <s v="On Demand"/>
    <x v="10"/>
  </r>
  <r>
    <s v="2022-12-30 12:35 (-08)"/>
    <d v="2022-12-30T00:00:00"/>
    <s v="12:35(-08)"/>
    <s v="Friday"/>
    <s v="On Demand"/>
    <x v="7"/>
  </r>
  <r>
    <s v="2022-12-30 13:07 (-08)"/>
    <d v="2022-12-30T00:00:00"/>
    <s v="13:07(-08)"/>
    <s v="Friday"/>
    <s v="On Demand"/>
    <x v="6"/>
  </r>
  <r>
    <s v="2023-01-06 12:33 (PST)"/>
    <d v="2023-01-06T00:00:00"/>
    <s v="12:33(PST)"/>
    <s v="Friday"/>
    <s v="On Demand"/>
    <x v="3"/>
  </r>
  <r>
    <s v="2023-01-06 15:33 (-08)"/>
    <d v="2023-01-06T00:00:00"/>
    <s v="15:33(-08)"/>
    <s v="Friday"/>
    <s v="On Demand"/>
    <x v="37"/>
  </r>
  <r>
    <s v="2023-01-06 16:23 (PST)"/>
    <d v="2023-01-06T00:00:00"/>
    <s v="16:23(PST)"/>
    <s v="Friday"/>
    <s v="On Demand"/>
    <x v="13"/>
  </r>
  <r>
    <s v="2023-01-06 23:01 (PST)"/>
    <d v="2023-01-06T00:00:00"/>
    <s v="23:01(PST)"/>
    <s v="Friday"/>
    <s v="On Demand"/>
    <x v="19"/>
  </r>
  <r>
    <s v="2023-01-13 22:58 (PST)"/>
    <d v="2023-01-13T00:00:00"/>
    <s v="22:58(PST)"/>
    <s v="Friday"/>
    <s v="On Demand"/>
    <x v="25"/>
  </r>
  <r>
    <s v="2023-01-20 07:19 (PST)"/>
    <d v="2023-01-20T00:00:00"/>
    <s v="07:19(PST)"/>
    <s v="Friday"/>
    <s v="On Demand"/>
    <x v="13"/>
  </r>
  <r>
    <s v="2023-01-20 07:52 (PST)"/>
    <d v="2023-01-20T00:00:00"/>
    <s v="07:52(PST)"/>
    <s v="Friday"/>
    <s v="On Demand"/>
    <x v="23"/>
  </r>
  <r>
    <s v="2023-01-20 16:59 (-08)"/>
    <d v="2023-01-20T00:00:00"/>
    <s v="16:59(-08)"/>
    <s v="Friday"/>
    <s v="On Demand"/>
    <x v="4"/>
  </r>
  <r>
    <s v="2023-01-20 17:48 (-08)"/>
    <d v="2023-01-20T00:00:00"/>
    <s v="17:48(-08)"/>
    <s v="Friday"/>
    <s v="On Demand"/>
    <x v="4"/>
  </r>
  <r>
    <s v="2023-01-20 18:09 (-08)"/>
    <d v="2023-01-20T00:00:00"/>
    <s v="18:09(-08)"/>
    <s v="Friday"/>
    <s v="On Demand"/>
    <x v="1"/>
  </r>
  <r>
    <s v="2023-01-27 11:36 (-08)"/>
    <d v="2023-01-27T00:00:00"/>
    <s v="11:36(-08)"/>
    <s v="Friday"/>
    <s v="On Demand"/>
    <x v="9"/>
  </r>
  <r>
    <s v="2023-01-27 12:26 (-08)"/>
    <d v="2023-01-27T00:00:00"/>
    <s v="12:26(-08)"/>
    <s v="Friday"/>
    <s v="On Demand"/>
    <x v="6"/>
  </r>
  <r>
    <s v="2023-01-27 12:59 (-08)"/>
    <d v="2023-01-27T00:00:00"/>
    <s v="12:59(-08)"/>
    <s v="Friday"/>
    <s v="On Demand"/>
    <x v="4"/>
  </r>
  <r>
    <s v="2023-01-27 13:13 (-08)"/>
    <d v="2023-01-27T00:00:00"/>
    <s v="13:13(-08)"/>
    <s v="Friday"/>
    <s v="On Demand"/>
    <x v="8"/>
  </r>
  <r>
    <s v="2023-02-03 11:25 (-05)"/>
    <d v="2023-02-03T00:00:00"/>
    <s v="11:25(-05)"/>
    <s v="Friday"/>
    <s v="On Demand"/>
    <x v="7"/>
  </r>
  <r>
    <s v="2023-02-03 11:56 (-05)"/>
    <d v="2023-02-03T00:00:00"/>
    <s v="11:56(-05)"/>
    <s v="Friday"/>
    <s v="On Demand"/>
    <x v="34"/>
  </r>
  <r>
    <s v="2023-02-03 12:14 (-05)"/>
    <d v="2023-02-03T00:00:00"/>
    <s v="12:14(-05)"/>
    <s v="Friday"/>
    <s v="On Demand"/>
    <x v="11"/>
  </r>
  <r>
    <s v="2023-02-03 12:46 (-05)"/>
    <d v="2023-02-03T00:00:00"/>
    <s v="12:46(-05)"/>
    <s v="Friday"/>
    <s v="On Demand"/>
    <x v="13"/>
  </r>
  <r>
    <s v="2023-02-10 11:21 (PST)"/>
    <d v="2023-02-10T00:00:00"/>
    <s v="11:21(PST)"/>
    <s v="Friday"/>
    <m/>
    <x v="34"/>
  </r>
  <r>
    <s v="2023-02-10 12:35 (PST)"/>
    <d v="2023-02-10T00:00:00"/>
    <s v="12:35(PST)"/>
    <s v="Friday"/>
    <s v="On Demand"/>
    <x v="7"/>
  </r>
  <r>
    <s v="2023-02-10 13:09 (PST)"/>
    <d v="2023-02-10T00:00:00"/>
    <s v="13:09(PST)"/>
    <s v="Friday"/>
    <s v="On Demand"/>
    <x v="1"/>
  </r>
  <r>
    <s v="2023-02-10 17:48 (-08)"/>
    <d v="2023-02-10T00:00:00"/>
    <s v="17:48(-08)"/>
    <s v="Friday"/>
    <s v="On Demand"/>
    <x v="9"/>
  </r>
  <r>
    <s v="2023-02-10 18:33 (-08)"/>
    <d v="2023-02-10T00:00:00"/>
    <s v="18:33(-08)"/>
    <s v="Friday"/>
    <s v="On Demand"/>
    <x v="17"/>
  </r>
  <r>
    <s v="2023-02-10 18:39 (-08)"/>
    <d v="2023-02-10T00:00:00"/>
    <s v="18:39(-08)"/>
    <s v="Friday"/>
    <s v="On Demand"/>
    <x v="17"/>
  </r>
  <r>
    <s v="2023-02-17 15:41 (-08)"/>
    <d v="2023-02-17T00:00:00"/>
    <s v="15:41(-08)"/>
    <s v="Friday"/>
    <s v="On Demand"/>
    <x v="10"/>
  </r>
  <r>
    <s v="2023-02-17 16:28 (-08)"/>
    <d v="2023-02-17T00:00:00"/>
    <s v="16:28(-08)"/>
    <s v="Friday"/>
    <s v="On Demand"/>
    <x v="29"/>
  </r>
  <r>
    <s v="2023-02-17 22:51 (PST)"/>
    <d v="2023-02-17T00:00:00"/>
    <s v="22:51(PST)"/>
    <s v="Friday"/>
    <s v="On Demand"/>
    <x v="23"/>
  </r>
  <r>
    <s v="2023-02-24 17:28 (-08)"/>
    <d v="2023-02-24T00:00:00"/>
    <s v="17:28(-08)"/>
    <s v="Friday"/>
    <s v="On Demand"/>
    <x v="6"/>
  </r>
  <r>
    <s v="2023-02-24 21:28 (PST)"/>
    <d v="2023-02-24T00:00:00"/>
    <s v="21:28(PST)"/>
    <s v="Friday"/>
    <s v="On Demand"/>
    <x v="28"/>
  </r>
  <r>
    <s v="2023-03-03 13:16 (-08)"/>
    <d v="2023-03-03T00:00:00"/>
    <s v="13:16(-08)"/>
    <s v="Friday"/>
    <s v="On Demand"/>
    <x v="31"/>
  </r>
  <r>
    <s v="2023-03-03 13:25 (-08)"/>
    <d v="2023-03-03T00:00:00"/>
    <s v="13:25(-08)"/>
    <s v="Friday"/>
    <s v="On Demand"/>
    <x v="4"/>
  </r>
  <r>
    <s v="2023-03-03 14:12 (-08)"/>
    <d v="2023-03-03T00:00:00"/>
    <s v="14:12(-08)"/>
    <s v="Friday"/>
    <s v="On Demand"/>
    <x v="36"/>
  </r>
  <r>
    <s v="2023-03-03 14:24 (-08)"/>
    <d v="2023-03-03T00:00:00"/>
    <s v="14:24(-08)"/>
    <s v="Friday"/>
    <s v="On Demand"/>
    <x v="1"/>
  </r>
  <r>
    <s v="2023-03-03 14:37 (-08)"/>
    <d v="2023-03-03T00:00:00"/>
    <s v="14:37(-08)"/>
    <s v="Friday"/>
    <s v="On Demand"/>
    <x v="23"/>
  </r>
  <r>
    <s v="2023-03-03 22:51 (PST)"/>
    <d v="2023-03-03T00:00:00"/>
    <s v="22:51(PST)"/>
    <s v="Friday"/>
    <s v="On Demand"/>
    <x v="16"/>
  </r>
  <r>
    <s v="2023-03-10 10:40 (PST)"/>
    <d v="2023-03-10T00:00:00"/>
    <s v="10:40(PST)"/>
    <s v="Friday"/>
    <s v="On Demand"/>
    <x v="23"/>
  </r>
  <r>
    <s v="2023-03-10 11:46 (-08)"/>
    <d v="2023-03-10T00:00:00"/>
    <s v="11:46(-08)"/>
    <s v="Friday"/>
    <s v="On Demand"/>
    <x v="31"/>
  </r>
  <r>
    <s v="2023-03-10 23:56 (PST)"/>
    <d v="2023-03-10T00:00:00"/>
    <s v="23:56(PST)"/>
    <s v="Friday"/>
    <s v="On Demand"/>
    <x v="28"/>
  </r>
  <r>
    <s v="2023-03-17 12:35 (-07)"/>
    <d v="2023-03-17T00:00:00"/>
    <s v="12:35(-07)"/>
    <s v="Friday"/>
    <s v="On Demand"/>
    <x v="31"/>
  </r>
  <r>
    <s v="2023-03-17 12:49 (-07)"/>
    <d v="2023-03-17T00:00:00"/>
    <s v="12:49(-07)"/>
    <s v="Friday"/>
    <s v="On Demand"/>
    <x v="6"/>
  </r>
  <r>
    <s v="2023-03-17 13:21 (-07)"/>
    <d v="2023-03-17T00:00:00"/>
    <s v="13:21(-07)"/>
    <s v="Friday"/>
    <s v="On Demand"/>
    <x v="24"/>
  </r>
  <r>
    <s v="2023-03-17 23:29 (PST)"/>
    <d v="2023-03-17T00:00:00"/>
    <s v="23:29(PST)"/>
    <s v="Friday"/>
    <s v="On Demand"/>
    <x v="23"/>
  </r>
  <r>
    <s v="2023-03-24 03:22 (EST)"/>
    <d v="2023-03-24T00:00:00"/>
    <s v="03:22(EST)"/>
    <s v="Friday"/>
    <s v="On Demand"/>
    <x v="25"/>
  </r>
  <r>
    <s v="2023-03-24 17:00 (EST)"/>
    <d v="2023-03-24T00:00:00"/>
    <s v="17:00(EST)"/>
    <s v="Friday"/>
    <s v="On Demand"/>
    <x v="16"/>
  </r>
  <r>
    <s v="2023-03-24 23:45 (EST)"/>
    <d v="2023-03-24T00:00:00"/>
    <s v="23:45(EST)"/>
    <s v="Friday"/>
    <s v="On Demand"/>
    <x v="23"/>
  </r>
  <r>
    <s v="2023-03-31 22:40 (PST)"/>
    <d v="2023-03-31T00:00:00"/>
    <s v="22:40(PST)"/>
    <s v="Friday"/>
    <s v="On Demand"/>
    <x v="23"/>
  </r>
  <r>
    <s v="2023-04-07 12:10 (PST)"/>
    <d v="2023-04-07T00:00:00"/>
    <s v="12:10(PST)"/>
    <s v="Friday"/>
    <m/>
    <x v="34"/>
  </r>
  <r>
    <s v="2023-04-07 23:33 (PST)"/>
    <d v="2023-04-07T00:00:00"/>
    <s v="23:33(PST)"/>
    <s v="Friday"/>
    <s v="On Demand"/>
    <x v="13"/>
  </r>
  <r>
    <s v="2023-04-21 05:01 (-07)"/>
    <d v="2023-04-21T00:00:00"/>
    <s v="05:01(-07)"/>
    <s v="Friday"/>
    <s v="On Demand"/>
    <x v="10"/>
  </r>
  <r>
    <s v="2023-04-21 05:47 (-07)"/>
    <d v="2023-04-21T00:00:00"/>
    <s v="05:47(-07)"/>
    <s v="Friday"/>
    <s v="On Demand"/>
    <x v="29"/>
  </r>
  <r>
    <s v="2023-04-21 05:59 (-07)"/>
    <d v="2023-04-21T00:00:00"/>
    <s v="05:59(-07)"/>
    <s v="Friday"/>
    <s v="On Demand"/>
    <x v="17"/>
  </r>
  <r>
    <s v="2023-04-21 06:09 (-07)"/>
    <d v="2023-04-21T00:00:00"/>
    <s v="06:09(-07)"/>
    <s v="Friday"/>
    <s v="On Demand"/>
    <x v="17"/>
  </r>
  <r>
    <s v="2023-05-05 15:44 (PST)"/>
    <d v="2023-05-05T00:00:00"/>
    <s v="15:44(PST)"/>
    <s v="Friday"/>
    <s v="On Demand"/>
    <x v="19"/>
  </r>
  <r>
    <s v="2023-05-19 14:45 (PST)"/>
    <d v="2023-05-19T00:00:00"/>
    <s v="14:45(PST)"/>
    <s v="Friday"/>
    <s v="On Demand"/>
    <x v="7"/>
  </r>
  <r>
    <s v="2023-05-19 21:13 (PST)"/>
    <d v="2023-05-19T00:00:00"/>
    <s v="21:13(PST)"/>
    <s v="Friday"/>
    <s v="On Demand"/>
    <x v="16"/>
  </r>
  <r>
    <s v="2023-05-19 21:25 (PST)"/>
    <d v="2023-05-19T00:00:00"/>
    <s v="21:25(PST)"/>
    <s v="Friday"/>
    <s v="On Demand"/>
    <x v="13"/>
  </r>
  <r>
    <s v="2023-05-26 11:06 (PST)"/>
    <d v="2023-05-26T00:00:00"/>
    <s v="11:06(PST)"/>
    <s v="Friday"/>
    <m/>
    <x v="34"/>
  </r>
  <r>
    <s v="2023-06-02 21:22 (PST)"/>
    <d v="2023-06-02T00:00:00"/>
    <s v="21:22(PST)"/>
    <s v="Friday"/>
    <s v="On Demand"/>
    <x v="19"/>
  </r>
  <r>
    <s v="2023-06-23 21:54 (PST)"/>
    <d v="2023-06-23T00:00:00"/>
    <s v="21:54(PST)"/>
    <s v="Friday"/>
    <s v="On Demand"/>
    <x v="19"/>
  </r>
  <r>
    <s v="2023-07-07 10:36 (PST)"/>
    <d v="2023-07-07T00:00:00"/>
    <s v="10:36(PST)"/>
    <s v="Friday"/>
    <m/>
    <x v="34"/>
  </r>
  <r>
    <s v="2023-07-14 13:08 (PST)"/>
    <d v="2023-07-14T00:00:00"/>
    <s v="13:08(PST)"/>
    <s v="Friday"/>
    <s v="On Demand"/>
    <x v="13"/>
  </r>
  <r>
    <s v="2023-07-14 15:20 (-07)"/>
    <d v="2023-07-14T00:00:00"/>
    <s v="15:20(-07)"/>
    <s v="Friday"/>
    <s v="On Demand"/>
    <x v="7"/>
  </r>
  <r>
    <s v="2023-07-14 16:06 (-07)"/>
    <d v="2023-07-14T00:00:00"/>
    <s v="16:06(-07)"/>
    <s v="Friday"/>
    <s v="On Demand"/>
    <x v="9"/>
  </r>
  <r>
    <s v="2023-07-21 09:38 (-07)"/>
    <d v="2023-07-21T00:00:00"/>
    <s v="09:38(-07)"/>
    <s v="Friday"/>
    <s v="On Demand"/>
    <x v="24"/>
  </r>
  <r>
    <s v="2023-07-21 09:50 (-07)"/>
    <d v="2023-07-21T00:00:00"/>
    <s v="09:50(-07)"/>
    <s v="Friday"/>
    <s v="On Demand"/>
    <x v="6"/>
  </r>
  <r>
    <s v="2023-07-21 10:51 (-07)"/>
    <d v="2023-07-21T00:00:00"/>
    <s v="10:51(-07)"/>
    <s v="Friday"/>
    <s v="On Demand"/>
    <x v="22"/>
  </r>
  <r>
    <s v="2023-07-21 11:03 (-07)"/>
    <d v="2023-07-21T00:00:00"/>
    <s v="11:03(-07)"/>
    <s v="Friday"/>
    <s v="On Demand"/>
    <x v="5"/>
  </r>
  <r>
    <s v="2023-07-21 23:19 (PST)"/>
    <d v="2023-07-21T00:00:00"/>
    <s v="23:19(PST)"/>
    <s v="Friday"/>
    <s v="On Demand"/>
    <x v="28"/>
  </r>
  <r>
    <s v="2023-08-11 10:16 (-07)"/>
    <d v="2023-08-11T00:00:00"/>
    <s v="10:16(-07)"/>
    <s v="Friday"/>
    <s v="On Demand"/>
    <x v="9"/>
  </r>
  <r>
    <s v="2023-08-18 02:50 (PST)"/>
    <d v="2023-08-18T00:00:00"/>
    <s v="02:50(PST)"/>
    <s v="Friday"/>
    <s v="On Demand"/>
    <x v="28"/>
  </r>
  <r>
    <s v="2023-08-18 13:09 (PST)"/>
    <d v="2023-08-18T00:00:00"/>
    <s v="13:09(PST)"/>
    <s v="Friday"/>
    <s v="On Demand"/>
    <x v="26"/>
  </r>
  <r>
    <s v="2023-08-18 17:13 (-07)"/>
    <d v="2023-08-18T00:00:00"/>
    <s v="17:13(-07)"/>
    <s v="Friday"/>
    <s v="On Demand"/>
    <x v="7"/>
  </r>
  <r>
    <s v="2023-08-18 17:59 (-07)"/>
    <d v="2023-08-18T00:00:00"/>
    <s v="17:59(-07)"/>
    <s v="Friday"/>
    <s v="On Demand"/>
    <x v="4"/>
  </r>
  <r>
    <s v="2023-08-18 22:06 (PST)"/>
    <d v="2023-08-18T00:00:00"/>
    <s v="22:06(PST)"/>
    <s v="Friday"/>
    <s v="On Demand"/>
    <x v="28"/>
  </r>
  <r>
    <s v="2023-09-01 23:28 (PST)"/>
    <d v="2023-09-01T00:00:00"/>
    <s v="23:28(PST)"/>
    <s v="Friday"/>
    <s v="On Demand"/>
    <x v="23"/>
  </r>
  <r>
    <s v="2023-09-08 12:20 (PST)"/>
    <d v="2023-09-08T00:00:00"/>
    <s v="12:20(PST)"/>
    <s v="Friday"/>
    <s v="On Demand"/>
    <x v="7"/>
  </r>
  <r>
    <s v="2023-09-08 20:36 (PST)"/>
    <d v="2023-09-08T00:00:00"/>
    <s v="20:36(PST)"/>
    <s v="Friday"/>
    <s v="On Demand"/>
    <x v="16"/>
  </r>
  <r>
    <s v="2023-09-15 15:41 (MST)"/>
    <d v="2023-09-15T00:00:00"/>
    <s v="15:41(MST)"/>
    <s v="Friday"/>
    <s v="On Demand"/>
    <x v="19"/>
  </r>
  <r>
    <s v="2023-09-29 15:30 (PST)"/>
    <d v="2023-09-29T00:00:00"/>
    <s v="15:30(PST)"/>
    <s v="Friday"/>
    <s v="On Demand"/>
    <x v="23"/>
  </r>
  <r>
    <s v="2023-10-20 22:16 (PST)"/>
    <d v="2023-10-20T00:00:00"/>
    <s v="22:16(PST)"/>
    <s v="Friday"/>
    <s v="On Demand"/>
    <x v="16"/>
  </r>
  <r>
    <s v="2023-10-27 22:14 (PST)"/>
    <d v="2023-10-27T00:00:00"/>
    <s v="22:14(PST)"/>
    <s v="Friday"/>
    <s v="On Demand"/>
    <x v="16"/>
  </r>
  <r>
    <s v="2023-11-03 14:10 (PST)"/>
    <d v="2023-11-03T00:00:00"/>
    <s v="14:10(PST)"/>
    <s v="Friday"/>
    <s v="On Demand"/>
    <x v="13"/>
  </r>
  <r>
    <s v="2023-11-03 15:44 (-07)"/>
    <d v="2023-11-03T00:00:00"/>
    <s v="15:44(-07)"/>
    <s v="Friday"/>
    <s v="On Demand"/>
    <x v="21"/>
  </r>
  <r>
    <s v="2023-11-03 15:55 (-07)"/>
    <d v="2023-11-03T00:00:00"/>
    <s v="15:55(-07)"/>
    <s v="Friday"/>
    <s v="On Demand"/>
    <x v="38"/>
  </r>
  <r>
    <s v="2023-11-03 22:13 (PST)"/>
    <d v="2023-11-03T00:00:00"/>
    <s v="22:13(PST)"/>
    <s v="Friday"/>
    <s v="On Demand"/>
    <x v="16"/>
  </r>
  <r>
    <s v="2023-11-10 22:00 (PST)"/>
    <d v="2023-11-10T00:00:00"/>
    <s v="22:00(PST)"/>
    <s v="Friday"/>
    <s v="On Demand"/>
    <x v="28"/>
  </r>
  <r>
    <s v="2023-12-01 00:06 (PST)"/>
    <d v="2023-12-01T00:00:00"/>
    <s v="00:06(PST)"/>
    <s v="Friday"/>
    <s v="On Demand"/>
    <x v="28"/>
  </r>
  <r>
    <s v="2023-12-01 00:17 (PST)"/>
    <d v="2023-12-01T00:00:00"/>
    <s v="00:17(PST)"/>
    <s v="Friday"/>
    <s v="On Demand"/>
    <x v="19"/>
  </r>
  <r>
    <s v="2023-12-01 23:52 (PST)"/>
    <d v="2023-12-01T00:00:00"/>
    <s v="23:52(PST)"/>
    <s v="Friday"/>
    <s v="On Demand"/>
    <x v="19"/>
  </r>
  <r>
    <s v="2023-12-08 08:48 (PST)"/>
    <d v="2023-12-08T00:00:00"/>
    <s v="08:48(PST)"/>
    <s v="Friday"/>
    <s v="On Demand"/>
    <x v="23"/>
  </r>
  <r>
    <s v="2023-12-08 10:05 (PST)"/>
    <d v="2023-12-08T00:00:00"/>
    <s v="10:05(PST)"/>
    <s v="Friday"/>
    <s v="On Demand"/>
    <x v="16"/>
  </r>
  <r>
    <s v="2023-12-29 22:35 (PST)"/>
    <d v="2023-12-29T00:00:00"/>
    <s v="22:35(PST)"/>
    <s v="Friday"/>
    <s v="On Demand"/>
    <x v="19"/>
  </r>
  <r>
    <s v="2024-01-05 16:56 (PST)"/>
    <d v="2024-01-05T00:00:00"/>
    <s v="16:56(PST)"/>
    <s v="Friday"/>
    <s v="On Demand"/>
    <x v="7"/>
  </r>
  <r>
    <s v="2024-01-12 22:44 (PST)"/>
    <d v="2024-01-12T00:00:00"/>
    <s v="22:44(PST)"/>
    <s v="Friday"/>
    <s v="On Demand"/>
    <x v="28"/>
  </r>
  <r>
    <s v="2018-09-17 05:35 (PST)"/>
    <d v="2018-09-17T00:00:00"/>
    <s v="05:35(PST)"/>
    <s v="Monday"/>
    <s v="On Demand"/>
    <x v="0"/>
  </r>
  <r>
    <s v="2018-11-12 16:24 (PST)"/>
    <d v="2018-11-12T00:00:00"/>
    <s v="16:24(PST)"/>
    <s v="Monday"/>
    <s v="On Demand"/>
    <x v="0"/>
  </r>
  <r>
    <s v="2018-11-19 07:35 (PST)"/>
    <d v="2018-11-19T00:00:00"/>
    <s v="07:35(PST)"/>
    <s v="Monday"/>
    <s v="On Demand"/>
    <x v="0"/>
  </r>
  <r>
    <s v="2018-11-26 12:13 (PST)"/>
    <d v="2018-11-26T00:00:00"/>
    <s v="12:13(PST)"/>
    <s v="Monday"/>
    <s v="On Demand"/>
    <x v="0"/>
  </r>
  <r>
    <s v="2018-12-10 12:13 (PST)"/>
    <d v="2018-12-10T00:00:00"/>
    <s v="12:13(PST)"/>
    <s v="Monday"/>
    <s v="On Demand"/>
    <x v="0"/>
  </r>
  <r>
    <s v="2019-11-11 16:26 (PST)"/>
    <d v="2019-11-11T00:00:00"/>
    <s v="16:26(PST)"/>
    <s v="Monday"/>
    <s v="On Demand"/>
    <x v="1"/>
  </r>
  <r>
    <s v="2020-01-06 18:05 (PST)"/>
    <d v="2020-01-06T00:00:00"/>
    <s v="18:05(PST)"/>
    <s v="Monday"/>
    <s v="On Demand"/>
    <x v="1"/>
  </r>
  <r>
    <s v="2020-01-06 18:13 (PST)"/>
    <d v="2020-01-06T00:00:00"/>
    <s v="18:13(PST)"/>
    <s v="Monday"/>
    <s v="On Demand"/>
    <x v="19"/>
  </r>
  <r>
    <s v="2020-01-20 12:08 (PST)"/>
    <d v="2020-01-20T00:00:00"/>
    <s v="12:08(PST)"/>
    <s v="Monday"/>
    <s v="On Demand"/>
    <x v="1"/>
  </r>
  <r>
    <s v="2020-02-03 20:22 (PST)"/>
    <d v="2020-02-03T00:00:00"/>
    <s v="20:22(PST)"/>
    <s v="Monday"/>
    <s v="On Demand"/>
    <x v="23"/>
  </r>
  <r>
    <s v="2020-02-03 20:25 (PST)"/>
    <d v="2020-02-03T00:00:00"/>
    <s v="20:25(PST)"/>
    <s v="Monday"/>
    <s v="On Demand"/>
    <x v="7"/>
  </r>
  <r>
    <s v="2020-02-17 19:04 (PST)"/>
    <d v="2020-02-17T00:00:00"/>
    <s v="19:04(PST)"/>
    <s v="Monday"/>
    <s v="On Demand"/>
    <x v="1"/>
  </r>
  <r>
    <s v="2020-10-19 18:26 (PST)"/>
    <d v="2020-10-19T00:00:00"/>
    <s v="18:26(PST)"/>
    <s v="Monday"/>
    <s v="On Demand"/>
    <x v="2"/>
  </r>
  <r>
    <s v="2020-10-19 19:17 (PST)"/>
    <d v="2020-10-19T00:00:00"/>
    <s v="19:17(PST)"/>
    <s v="Monday"/>
    <s v="On Demand"/>
    <x v="26"/>
  </r>
  <r>
    <s v="2020-11-09 07:00 (PST)"/>
    <d v="2020-11-09T00:00:00"/>
    <s v="07:00(PST)"/>
    <s v="Monday"/>
    <s v="On Demand"/>
    <x v="9"/>
  </r>
  <r>
    <s v="2020-11-09 07:35 (PST)"/>
    <d v="2020-11-09T00:00:00"/>
    <s v="07:35(PST)"/>
    <s v="Monday"/>
    <s v="On Demand"/>
    <x v="7"/>
  </r>
  <r>
    <s v="2020-11-09 18:41 (PST)"/>
    <d v="2020-11-09T00:00:00"/>
    <s v="18:41(PST)"/>
    <s v="Monday"/>
    <s v="On Demand"/>
    <x v="37"/>
  </r>
  <r>
    <s v="2020-11-09 19:04 (PST)"/>
    <d v="2020-11-09T00:00:00"/>
    <s v="19:04(PST)"/>
    <s v="Monday"/>
    <s v="On Demand"/>
    <x v="34"/>
  </r>
  <r>
    <s v="2020-11-16 06:57 (PST)"/>
    <d v="2020-11-16T00:00:00"/>
    <s v="06:57(PST)"/>
    <s v="Monday"/>
    <s v="On Demand"/>
    <x v="1"/>
  </r>
  <r>
    <s v="2020-11-16 07:28 (PST)"/>
    <d v="2020-11-16T00:00:00"/>
    <s v="07:28(PST)"/>
    <s v="Monday"/>
    <s v="On Demand"/>
    <x v="1"/>
  </r>
  <r>
    <s v="2020-11-16 07:33 (PST)"/>
    <d v="2020-11-16T00:00:00"/>
    <s v="07:33(PST)"/>
    <s v="Monday"/>
    <s v="On Demand"/>
    <x v="1"/>
  </r>
  <r>
    <s v="2020-11-23 06:15 (PST)"/>
    <d v="2020-11-23T00:00:00"/>
    <s v="06:15(PST)"/>
    <s v="Monday"/>
    <s v="On Demand"/>
    <x v="7"/>
  </r>
  <r>
    <s v="2020-11-23 07:02 (PST)"/>
    <d v="2020-11-23T00:00:00"/>
    <s v="07:02(PST)"/>
    <s v="Monday"/>
    <s v="On Demand"/>
    <x v="7"/>
  </r>
  <r>
    <s v="2020-11-30 14:36 (PST)"/>
    <d v="2020-11-30T00:00:00"/>
    <s v="14:36(PST)"/>
    <s v="Monday"/>
    <s v="On Demand"/>
    <x v="6"/>
  </r>
  <r>
    <s v="2020-11-30 15:49 (PST)"/>
    <d v="2020-11-30T00:00:00"/>
    <s v="15:49(PST)"/>
    <s v="Monday"/>
    <s v="On Demand"/>
    <x v="5"/>
  </r>
  <r>
    <s v="2020-11-30 16:01 (PST)"/>
    <d v="2020-11-30T00:00:00"/>
    <s v="16:01(PST)"/>
    <s v="Monday"/>
    <s v="On Demand"/>
    <x v="7"/>
  </r>
  <r>
    <s v="2020-12-07 12:16 (PST)"/>
    <d v="2020-12-07T00:00:00"/>
    <s v="12:16(PST)"/>
    <s v="Monday"/>
    <s v="On Demand"/>
    <x v="6"/>
  </r>
  <r>
    <s v="2020-12-14 07:32 (PST)"/>
    <d v="2020-12-14T00:00:00"/>
    <s v="07:32(PST)"/>
    <s v="Monday"/>
    <s v="On Demand"/>
    <x v="1"/>
  </r>
  <r>
    <s v="2020-12-21 07:16 (PST)"/>
    <d v="2020-12-21T00:00:00"/>
    <s v="07:16(PST)"/>
    <s v="Monday"/>
    <s v="On Demand"/>
    <x v="1"/>
  </r>
  <r>
    <s v="2020-12-21 07:50 (PST)"/>
    <d v="2020-12-21T00:00:00"/>
    <s v="07:50(PST)"/>
    <s v="Monday"/>
    <s v="On Demand"/>
    <x v="16"/>
  </r>
  <r>
    <s v="2020-12-28 18:03 (PST)"/>
    <d v="2020-12-28T00:00:00"/>
    <s v="18:03(PST)"/>
    <s v="Monday"/>
    <s v="On Demand"/>
    <x v="17"/>
  </r>
  <r>
    <s v="2020-12-28 18:52 (PST)"/>
    <d v="2020-12-28T00:00:00"/>
    <s v="18:52(PST)"/>
    <s v="Monday"/>
    <s v="On Demand"/>
    <x v="1"/>
  </r>
  <r>
    <s v="2021-01-04 07:03 (PST)"/>
    <d v="2021-01-04T00:00:00"/>
    <s v="07:03(PST)"/>
    <s v="Monday"/>
    <s v="On Demand"/>
    <x v="9"/>
  </r>
  <r>
    <s v="2021-01-04 21:52 (PST)"/>
    <d v="2021-01-04T00:00:00"/>
    <s v="21:52(PST)"/>
    <s v="Monday"/>
    <s v="On Demand"/>
    <x v="1"/>
  </r>
  <r>
    <s v="2021-01-04 22:02 (PST)"/>
    <d v="2021-01-04T00:00:00"/>
    <s v="22:02(PST)"/>
    <s v="Monday"/>
    <s v="On Demand"/>
    <x v="7"/>
  </r>
  <r>
    <s v="2021-01-11 18:17 (PST)"/>
    <d v="2021-01-11T00:00:00"/>
    <s v="18:17(PST)"/>
    <s v="Monday"/>
    <s v="On Demand"/>
    <x v="6"/>
  </r>
  <r>
    <s v="2021-01-11 18:49 (PST)"/>
    <d v="2021-01-11T00:00:00"/>
    <s v="18:49(PST)"/>
    <s v="Monday"/>
    <s v="On Demand"/>
    <x v="1"/>
  </r>
  <r>
    <s v="2021-01-11 19:03 (PST)"/>
    <d v="2021-01-11T00:00:00"/>
    <s v="19:03(PST)"/>
    <s v="Monday"/>
    <s v="On Demand"/>
    <x v="1"/>
  </r>
  <r>
    <s v="2021-01-18 17:02 (PST)"/>
    <d v="2021-01-18T00:00:00"/>
    <s v="17:02(PST)"/>
    <s v="Monday"/>
    <s v="On Demand"/>
    <x v="6"/>
  </r>
  <r>
    <s v="2021-01-18 17:49 (PST)"/>
    <d v="2021-01-18T00:00:00"/>
    <s v="17:49(PST)"/>
    <s v="Monday"/>
    <s v="On Demand"/>
    <x v="6"/>
  </r>
  <r>
    <s v="2021-01-25 07:08 (-08)"/>
    <d v="2021-01-25T00:00:00"/>
    <s v="07:08(-08)"/>
    <s v="Monday"/>
    <s v="On Demand"/>
    <x v="6"/>
  </r>
  <r>
    <s v="2021-01-25 07:53 (-08)"/>
    <d v="2021-01-25T00:00:00"/>
    <s v="07:53(-08)"/>
    <s v="Monday"/>
    <s v="On Demand"/>
    <x v="6"/>
  </r>
  <r>
    <s v="2021-01-25 21:04 (PST)"/>
    <d v="2021-01-25T00:00:00"/>
    <s v="21:04(PST)"/>
    <s v="Monday"/>
    <s v="On Demand"/>
    <x v="7"/>
  </r>
  <r>
    <s v="2021-01-25 21:42 (PST)"/>
    <d v="2021-01-25T00:00:00"/>
    <s v="21:42(PST)"/>
    <s v="Monday"/>
    <s v="On Demand"/>
    <x v="23"/>
  </r>
  <r>
    <s v="2021-02-01 20:43 (-08)"/>
    <d v="2021-02-01T00:00:00"/>
    <s v="20:43(-08)"/>
    <s v="Monday"/>
    <s v="On Demand"/>
    <x v="6"/>
  </r>
  <r>
    <s v="2021-02-01 21:29 (-08)"/>
    <d v="2021-02-01T00:00:00"/>
    <s v="21:29(-08)"/>
    <s v="Monday"/>
    <s v="On Demand"/>
    <x v="6"/>
  </r>
  <r>
    <s v="2021-02-01 21:36 (-08)"/>
    <d v="2021-02-01T00:00:00"/>
    <s v="21:36(-08)"/>
    <s v="Monday"/>
    <s v="On Demand"/>
    <x v="6"/>
  </r>
  <r>
    <s v="2021-02-08 06:17 (PST)"/>
    <d v="2021-02-08T00:00:00"/>
    <s v="06:17(PST)"/>
    <s v="Monday"/>
    <s v="On Demand"/>
    <x v="18"/>
  </r>
  <r>
    <s v="2021-02-08 06:23 (PST)"/>
    <d v="2021-02-08T00:00:00"/>
    <s v="06:23(PST)"/>
    <s v="Monday"/>
    <s v="On Demand"/>
    <x v="6"/>
  </r>
  <r>
    <s v="2021-02-08 07:08 (PST)"/>
    <d v="2021-02-08T00:00:00"/>
    <s v="07:08(PST)"/>
    <s v="Monday"/>
    <s v="On Demand"/>
    <x v="6"/>
  </r>
  <r>
    <s v="2021-02-08 07:14 (PST)"/>
    <d v="2021-02-08T00:00:00"/>
    <s v="07:14(PST)"/>
    <s v="Monday"/>
    <s v="On Demand"/>
    <x v="6"/>
  </r>
  <r>
    <s v="2021-02-15 18:00 (PST)"/>
    <d v="2021-02-15T00:00:00"/>
    <s v="18:00(PST)"/>
    <s v="Monday"/>
    <s v="On Demand"/>
    <x v="6"/>
  </r>
  <r>
    <s v="2021-02-15 18:08 (PST)"/>
    <d v="2021-02-15T00:00:00"/>
    <s v="18:08(PST)"/>
    <s v="Monday"/>
    <s v="On Demand"/>
    <x v="6"/>
  </r>
  <r>
    <s v="2021-02-15 18:52 (PST)"/>
    <d v="2021-02-15T00:00:00"/>
    <s v="18:52(PST)"/>
    <s v="Monday"/>
    <s v="On Demand"/>
    <x v="22"/>
  </r>
  <r>
    <s v="2021-02-15 19:02 (PST)"/>
    <d v="2021-02-15T00:00:00"/>
    <s v="19:02(PST)"/>
    <s v="Monday"/>
    <s v="On Demand"/>
    <x v="22"/>
  </r>
  <r>
    <s v="2021-02-15 19:13 (PST)"/>
    <d v="2021-02-15T00:00:00"/>
    <s v="19:13(PST)"/>
    <s v="Monday"/>
    <s v="On Demand"/>
    <x v="6"/>
  </r>
  <r>
    <s v="2021-02-22 19:36 (PST)"/>
    <d v="2021-02-22T00:00:00"/>
    <s v="19:36(PST)"/>
    <s v="Monday"/>
    <s v="On Demand"/>
    <x v="6"/>
  </r>
  <r>
    <s v="2021-02-22 20:09 (PST)"/>
    <d v="2021-02-22T00:00:00"/>
    <s v="20:09(PST)"/>
    <s v="Monday"/>
    <s v="On Demand"/>
    <x v="5"/>
  </r>
  <r>
    <s v="2021-03-01 06:58 (PST)"/>
    <d v="2021-03-01T00:00:00"/>
    <s v="06:58(PST)"/>
    <s v="Monday"/>
    <s v="On Demand"/>
    <x v="7"/>
  </r>
  <r>
    <s v="2021-03-08 07:25 (PST)"/>
    <d v="2021-03-08T00:00:00"/>
    <s v="07:25(PST)"/>
    <s v="Monday"/>
    <s v="On Demand"/>
    <x v="16"/>
  </r>
  <r>
    <s v="2021-03-08 21:29 (PST)"/>
    <d v="2021-03-08T00:00:00"/>
    <s v="21:29(PST)"/>
    <s v="Monday"/>
    <s v="On Demand"/>
    <x v="1"/>
  </r>
  <r>
    <s v="2021-03-08 21:48 (PST)"/>
    <d v="2021-03-08T00:00:00"/>
    <s v="21:48(PST)"/>
    <s v="Monday"/>
    <s v="On Demand"/>
    <x v="16"/>
  </r>
  <r>
    <s v="2021-03-15 05:46 (PST)"/>
    <d v="2021-03-15T00:00:00"/>
    <s v="05:46(PST)"/>
    <s v="Monday"/>
    <s v="On Demand"/>
    <x v="16"/>
  </r>
  <r>
    <s v="2021-03-15 22:39 (PST)"/>
    <d v="2021-03-15T00:00:00"/>
    <s v="22:39(PST)"/>
    <s v="Monday"/>
    <s v="On Demand"/>
    <x v="19"/>
  </r>
  <r>
    <s v="2021-03-22 18:48 (-07)"/>
    <d v="2021-03-22T00:00:00"/>
    <s v="18:48(-07)"/>
    <s v="Monday"/>
    <s v="On Demand"/>
    <x v="6"/>
  </r>
  <r>
    <s v="2021-03-22 19:34 (-07)"/>
    <d v="2021-03-22T00:00:00"/>
    <s v="19:34(-07)"/>
    <s v="Monday"/>
    <s v="On Demand"/>
    <x v="18"/>
  </r>
  <r>
    <s v="2021-03-22 19:45 (-07)"/>
    <d v="2021-03-22T00:00:00"/>
    <s v="19:45(-07)"/>
    <s v="Monday"/>
    <s v="On Demand"/>
    <x v="6"/>
  </r>
  <r>
    <s v="2021-03-22 19:51 (-07)"/>
    <d v="2021-03-22T00:00:00"/>
    <s v="19:51(-07)"/>
    <s v="Monday"/>
    <s v="On Demand"/>
    <x v="5"/>
  </r>
  <r>
    <s v="2021-03-22 22:46 (PST)"/>
    <d v="2021-03-22T00:00:00"/>
    <s v="22:46(PST)"/>
    <s v="Monday"/>
    <s v="On Demand"/>
    <x v="19"/>
  </r>
  <r>
    <s v="2021-03-29 06:54 (PST)"/>
    <d v="2021-03-29T00:00:00"/>
    <s v="06:54(PST)"/>
    <s v="Monday"/>
    <s v="On Demand"/>
    <x v="5"/>
  </r>
  <r>
    <s v="2021-03-29 07:11 (PST)"/>
    <d v="2021-03-29T00:00:00"/>
    <s v="07:11(PST)"/>
    <s v="Monday"/>
    <s v="On Demand"/>
    <x v="7"/>
  </r>
  <r>
    <s v="2021-03-29 21:46 (PST)"/>
    <d v="2021-03-29T00:00:00"/>
    <s v="21:46(PST)"/>
    <s v="Monday"/>
    <s v="On Demand"/>
    <x v="16"/>
  </r>
  <r>
    <s v="2021-04-05 06:49 (-07)"/>
    <d v="2021-04-05T00:00:00"/>
    <s v="06:49(-07)"/>
    <s v="Monday"/>
    <s v="On Demand"/>
    <x v="7"/>
  </r>
  <r>
    <s v="2021-04-05 07:36 (-07)"/>
    <d v="2021-04-05T00:00:00"/>
    <s v="07:36(-07)"/>
    <s v="Monday"/>
    <s v="On Demand"/>
    <x v="7"/>
  </r>
  <r>
    <s v="2021-04-05 22:08 (PST)"/>
    <d v="2021-04-05T00:00:00"/>
    <s v="22:08(PST)"/>
    <s v="Monday"/>
    <s v="On Demand"/>
    <x v="16"/>
  </r>
  <r>
    <s v="2021-04-12 19:35 (-07)"/>
    <d v="2021-04-12T00:00:00"/>
    <s v="19:35(-07)"/>
    <s v="Monday"/>
    <s v="On Demand"/>
    <x v="11"/>
  </r>
  <r>
    <s v="2021-04-12 19:48 (-07)"/>
    <d v="2021-04-12T00:00:00"/>
    <s v="19:48(-07)"/>
    <s v="Monday"/>
    <s v="On Demand"/>
    <x v="1"/>
  </r>
  <r>
    <s v="2021-04-12 22:11 (PST)"/>
    <d v="2021-04-12T00:00:00"/>
    <s v="22:11(PST)"/>
    <s v="Monday"/>
    <s v="On Demand"/>
    <x v="16"/>
  </r>
  <r>
    <s v="2021-04-19 16:22 (-07)"/>
    <d v="2021-04-19T00:00:00"/>
    <s v="16:22(-07)"/>
    <s v="Monday"/>
    <s v="On Demand"/>
    <x v="6"/>
  </r>
  <r>
    <s v="2021-04-19 16:33 (-07)"/>
    <d v="2021-04-19T00:00:00"/>
    <s v="16:33(-07)"/>
    <s v="Monday"/>
    <s v="On Demand"/>
    <x v="6"/>
  </r>
  <r>
    <s v="2021-04-19 17:19 (-07)"/>
    <d v="2021-04-19T00:00:00"/>
    <s v="17:19(-07)"/>
    <s v="Monday"/>
    <s v="On Demand"/>
    <x v="12"/>
  </r>
  <r>
    <s v="2021-04-19 17:25 (-07)"/>
    <d v="2021-04-19T00:00:00"/>
    <s v="17:25(-07)"/>
    <s v="Monday"/>
    <s v="On Demand"/>
    <x v="6"/>
  </r>
  <r>
    <s v="2021-04-19 17:31 (-07)"/>
    <d v="2021-04-19T00:00:00"/>
    <s v="17:31(-07)"/>
    <s v="Monday"/>
    <s v="On Demand"/>
    <x v="11"/>
  </r>
  <r>
    <s v="2021-04-19 17:54 (PST)"/>
    <d v="2021-04-19T00:00:00"/>
    <s v="17:54(PST)"/>
    <s v="Monday"/>
    <s v="On Demand"/>
    <x v="7"/>
  </r>
  <r>
    <s v="2021-04-19 21:48 (PST)"/>
    <d v="2021-04-19T00:00:00"/>
    <s v="21:48(PST)"/>
    <s v="Monday"/>
    <s v="On Demand"/>
    <x v="16"/>
  </r>
  <r>
    <s v="2021-04-26 06:27 (PST)"/>
    <d v="2021-04-26T00:00:00"/>
    <s v="06:27(PST)"/>
    <s v="Monday"/>
    <s v="On Demand"/>
    <x v="7"/>
  </r>
  <r>
    <s v="2021-04-26 20:18 (-07)"/>
    <d v="2021-04-26T00:00:00"/>
    <s v="20:18(-07)"/>
    <s v="Monday"/>
    <s v="On Demand"/>
    <x v="6"/>
  </r>
  <r>
    <s v="2021-04-26 21:04 (-07)"/>
    <d v="2021-04-26T00:00:00"/>
    <s v="21:04(-07)"/>
    <s v="Monday"/>
    <s v="On Demand"/>
    <x v="6"/>
  </r>
  <r>
    <s v="2021-04-26 21:10 (-07)"/>
    <d v="2021-04-26T00:00:00"/>
    <s v="21:10(-07)"/>
    <s v="Monday"/>
    <s v="On Demand"/>
    <x v="3"/>
  </r>
  <r>
    <s v="2021-04-26 22:27 (PST)"/>
    <d v="2021-04-26T00:00:00"/>
    <s v="22:27(PST)"/>
    <s v="Monday"/>
    <s v="On Demand"/>
    <x v="19"/>
  </r>
  <r>
    <s v="2021-05-03 06:46 (-07)"/>
    <d v="2021-05-03T00:00:00"/>
    <s v="06:46(-07)"/>
    <s v="Monday"/>
    <s v="On Demand"/>
    <x v="6"/>
  </r>
  <r>
    <s v="2021-05-03 08:07 (PST)"/>
    <d v="2021-05-03T00:00:00"/>
    <s v="08:07(PST)"/>
    <s v="Monday"/>
    <s v="On Demand"/>
    <x v="6"/>
  </r>
  <r>
    <s v="2021-05-10 06:18 (-07)"/>
    <d v="2021-05-10T00:00:00"/>
    <s v="06:18(-07)"/>
    <s v="Monday"/>
    <s v="On Demand"/>
    <x v="6"/>
  </r>
  <r>
    <s v="2021-05-10 07:34 (-07)"/>
    <d v="2021-05-10T00:00:00"/>
    <s v="07:34(-07)"/>
    <s v="Monday"/>
    <s v="On Demand"/>
    <x v="6"/>
  </r>
  <r>
    <s v="2021-05-10 07:39 (-07)"/>
    <d v="2021-05-10T00:00:00"/>
    <s v="07:39(-07)"/>
    <s v="Monday"/>
    <s v="On Demand"/>
    <x v="6"/>
  </r>
  <r>
    <s v="2021-05-10 22:32 (PST)"/>
    <d v="2021-05-10T00:00:00"/>
    <s v="22:32(PST)"/>
    <s v="Monday"/>
    <s v="On Demand"/>
    <x v="16"/>
  </r>
  <r>
    <s v="2021-05-17 16:32 (-07)"/>
    <d v="2021-05-17T00:00:00"/>
    <s v="16:32(-07)"/>
    <s v="Monday"/>
    <s v="On Demand"/>
    <x v="6"/>
  </r>
  <r>
    <s v="2021-05-17 17:33 (-07)"/>
    <d v="2021-05-17T00:00:00"/>
    <s v="17:33(-07)"/>
    <s v="Monday"/>
    <s v="On Demand"/>
    <x v="6"/>
  </r>
  <r>
    <s v="2021-05-17 17:41 (-07)"/>
    <d v="2021-05-17T00:00:00"/>
    <s v="17:41(-07)"/>
    <s v="Monday"/>
    <s v="On Demand"/>
    <x v="4"/>
  </r>
  <r>
    <s v="2021-05-17 21:30 (PST)"/>
    <d v="2021-05-17T00:00:00"/>
    <s v="21:30(PST)"/>
    <s v="Monday"/>
    <s v="On Demand"/>
    <x v="13"/>
  </r>
  <r>
    <s v="2021-05-24 07:03 (PST)"/>
    <d v="2021-05-24T00:00:00"/>
    <s v="07:03(PST)"/>
    <s v="Monday"/>
    <s v="On Demand"/>
    <x v="7"/>
  </r>
  <r>
    <s v="2021-05-24 20:38 (-07)"/>
    <d v="2021-05-24T00:00:00"/>
    <s v="20:38(-07)"/>
    <s v="Monday"/>
    <s v="On Demand"/>
    <x v="6"/>
  </r>
  <r>
    <s v="2021-05-24 21:24 (-07)"/>
    <d v="2021-05-24T00:00:00"/>
    <s v="21:24(-07)"/>
    <s v="Monday"/>
    <s v="On Demand"/>
    <x v="6"/>
  </r>
  <r>
    <s v="2021-05-24 21:30 (-07)"/>
    <d v="2021-05-24T00:00:00"/>
    <s v="21:30(-07)"/>
    <s v="Monday"/>
    <s v="On Demand"/>
    <x v="6"/>
  </r>
  <r>
    <s v="2021-05-24 22:48 (PST)"/>
    <d v="2021-05-24T00:00:00"/>
    <s v="22:48(PST)"/>
    <s v="Monday"/>
    <s v="On Demand"/>
    <x v="25"/>
  </r>
  <r>
    <s v="2021-05-31 10:41 (-07)"/>
    <d v="2021-05-31T00:00:00"/>
    <s v="10:41(-07)"/>
    <s v="Monday"/>
    <s v="On Demand"/>
    <x v="6"/>
  </r>
  <r>
    <s v="2021-05-31 12:12 (-07)"/>
    <d v="2021-05-31T00:00:00"/>
    <s v="12:12(-07)"/>
    <s v="Monday"/>
    <s v="On Demand"/>
    <x v="6"/>
  </r>
  <r>
    <s v="2021-05-31 12:21 (-07)"/>
    <d v="2021-05-31T00:00:00"/>
    <s v="12:21(-07)"/>
    <s v="Monday"/>
    <s v="On Demand"/>
    <x v="18"/>
  </r>
  <r>
    <s v="2021-05-31 20:38 (PST)"/>
    <d v="2021-05-31T00:00:00"/>
    <s v="20:38(PST)"/>
    <s v="Monday"/>
    <s v="On Demand"/>
    <x v="15"/>
  </r>
  <r>
    <s v="2021-05-31 22:12 (PST)"/>
    <d v="2021-05-31T00:00:00"/>
    <s v="22:12(PST)"/>
    <s v="Monday"/>
    <s v="On Demand"/>
    <x v="16"/>
  </r>
  <r>
    <s v="2021-06-07 17:08 (-07)"/>
    <d v="2021-06-07T00:00:00"/>
    <s v="17:08(-07)"/>
    <s v="Monday"/>
    <s v="On Demand"/>
    <x v="7"/>
  </r>
  <r>
    <s v="2021-06-07 17:41 (-07)"/>
    <d v="2021-06-07T00:00:00"/>
    <s v="17:41(-07)"/>
    <s v="Monday"/>
    <s v="On Demand"/>
    <x v="4"/>
  </r>
  <r>
    <s v="2021-06-07 18:02 (-07)"/>
    <d v="2021-06-07T00:00:00"/>
    <s v="18:02(-07)"/>
    <s v="Monday"/>
    <s v="On Demand"/>
    <x v="21"/>
  </r>
  <r>
    <s v="2021-06-14 07:03 (PST)"/>
    <d v="2021-06-14T00:00:00"/>
    <s v="07:03(PST)"/>
    <s v="Monday"/>
    <s v="On Demand"/>
    <x v="13"/>
  </r>
  <r>
    <s v="2021-06-14 07:14 (PST)"/>
    <d v="2021-06-14T00:00:00"/>
    <s v="07:14(PST)"/>
    <s v="Monday"/>
    <s v="On Demand"/>
    <x v="7"/>
  </r>
  <r>
    <s v="2021-06-14 22:09 (PST)"/>
    <d v="2021-06-14T00:00:00"/>
    <s v="22:09(PST)"/>
    <s v="Monday"/>
    <s v="On Demand"/>
    <x v="25"/>
  </r>
  <r>
    <s v="2021-06-21 06:49 (-07)"/>
    <d v="2021-06-21T00:00:00"/>
    <s v="06:49(-07)"/>
    <s v="Monday"/>
    <s v="On Demand"/>
    <x v="4"/>
  </r>
  <r>
    <s v="2021-06-21 06:54 (-07)"/>
    <d v="2021-06-21T00:00:00"/>
    <s v="06:54(-07)"/>
    <s v="Monday"/>
    <s v="On Demand"/>
    <x v="6"/>
  </r>
  <r>
    <s v="2021-06-21 07:57 (-07)"/>
    <d v="2021-06-21T00:00:00"/>
    <s v="07:57(-07)"/>
    <s v="Monday"/>
    <s v="On Demand"/>
    <x v="6"/>
  </r>
  <r>
    <s v="2021-06-21 21:15 (PST)"/>
    <d v="2021-06-21T00:00:00"/>
    <s v="21:15(PST)"/>
    <s v="Monday"/>
    <s v="On Demand"/>
    <x v="23"/>
  </r>
  <r>
    <s v="2021-06-21 22:38 (PST)"/>
    <d v="2021-06-21T00:00:00"/>
    <s v="22:38(PST)"/>
    <s v="Monday"/>
    <s v="On Demand"/>
    <x v="25"/>
  </r>
  <r>
    <s v="2021-06-28 18:10 (-07)"/>
    <d v="2021-06-28T00:00:00"/>
    <s v="18:10(-07)"/>
    <s v="Monday"/>
    <s v="On Demand"/>
    <x v="6"/>
  </r>
  <r>
    <s v="2021-06-28 19:10 (-07)"/>
    <d v="2021-06-28T00:00:00"/>
    <s v="19:10(-07)"/>
    <s v="Monday"/>
    <s v="On Demand"/>
    <x v="6"/>
  </r>
  <r>
    <s v="2021-06-28 22:28 (PST)"/>
    <d v="2021-06-28T00:00:00"/>
    <s v="22:28(PST)"/>
    <s v="Monday"/>
    <s v="On Demand"/>
    <x v="19"/>
  </r>
  <r>
    <s v="2021-07-05 00:27 (PST)"/>
    <d v="2021-07-05T00:00:00"/>
    <s v="00:27(PST)"/>
    <s v="Monday"/>
    <s v="On Demand"/>
    <x v="13"/>
  </r>
  <r>
    <s v="2021-07-05 23:05 (PST)"/>
    <d v="2021-07-05T00:00:00"/>
    <s v="23:05(PST)"/>
    <s v="Monday"/>
    <s v="On Demand"/>
    <x v="19"/>
  </r>
  <r>
    <s v="2021-07-12 06:32 (-07)"/>
    <d v="2021-07-12T00:00:00"/>
    <s v="06:32(-07)"/>
    <s v="Monday"/>
    <s v="On Demand"/>
    <x v="6"/>
  </r>
  <r>
    <s v="2021-07-12 07:32 (-07)"/>
    <d v="2021-07-12T00:00:00"/>
    <s v="07:32(-07)"/>
    <s v="Monday"/>
    <s v="On Demand"/>
    <x v="6"/>
  </r>
  <r>
    <s v="2021-07-12 07:38 (-07)"/>
    <d v="2021-07-12T00:00:00"/>
    <s v="07:38(-07)"/>
    <s v="Monday"/>
    <s v="On Demand"/>
    <x v="24"/>
  </r>
  <r>
    <s v="2021-07-12 13:08 (PST)"/>
    <d v="2021-07-12T00:00:00"/>
    <s v="13:08(PST)"/>
    <s v="Monday"/>
    <s v="On Demand"/>
    <x v="7"/>
  </r>
  <r>
    <s v="2021-07-12 22:43 (PST)"/>
    <d v="2021-07-12T00:00:00"/>
    <s v="22:43(PST)"/>
    <s v="Monday"/>
    <s v="On Demand"/>
    <x v="25"/>
  </r>
  <r>
    <s v="2021-07-19 06:35 (-07)"/>
    <d v="2021-07-19T00:00:00"/>
    <s v="06:35(-07)"/>
    <s v="Monday"/>
    <s v="On Demand"/>
    <x v="6"/>
  </r>
  <r>
    <s v="2021-07-19 07:21 (-07)"/>
    <d v="2021-07-19T00:00:00"/>
    <s v="07:21(-07)"/>
    <s v="Monday"/>
    <s v="On Demand"/>
    <x v="6"/>
  </r>
  <r>
    <s v="2021-07-19 07:32 (-07)"/>
    <d v="2021-07-19T00:00:00"/>
    <s v="07:32(-07)"/>
    <s v="Monday"/>
    <s v="On Demand"/>
    <x v="12"/>
  </r>
  <r>
    <s v="2021-07-19 07:42 (-07)"/>
    <d v="2021-07-19T00:00:00"/>
    <s v="07:42(-07)"/>
    <s v="Monday"/>
    <s v="On Demand"/>
    <x v="20"/>
  </r>
  <r>
    <s v="2021-07-19 07:53 (-07)"/>
    <d v="2021-07-19T00:00:00"/>
    <s v="07:53(-07)"/>
    <s v="Monday"/>
    <s v="On Demand"/>
    <x v="7"/>
  </r>
  <r>
    <s v="2021-07-19 11:49 (PST)"/>
    <d v="2021-07-19T00:00:00"/>
    <s v="11:49(PST)"/>
    <s v="Monday"/>
    <s v="On Demand"/>
    <x v="23"/>
  </r>
  <r>
    <s v="2021-07-19 22:37 (PST)"/>
    <d v="2021-07-19T00:00:00"/>
    <s v="22:37(PST)"/>
    <s v="Monday"/>
    <s v="On Demand"/>
    <x v="19"/>
  </r>
  <r>
    <s v="2021-07-26 06:38 (-07)"/>
    <d v="2021-07-26T00:00:00"/>
    <s v="06:38(-07)"/>
    <s v="Monday"/>
    <s v="On Demand"/>
    <x v="5"/>
  </r>
  <r>
    <s v="2021-07-26 07:23 (-07)"/>
    <d v="2021-07-26T00:00:00"/>
    <s v="07:23(-07)"/>
    <s v="Monday"/>
    <s v="On Demand"/>
    <x v="5"/>
  </r>
  <r>
    <s v="2021-07-26 07:40 (PST)"/>
    <d v="2021-07-26T00:00:00"/>
    <s v="07:40(PST)"/>
    <s v="Monday"/>
    <s v="On Demand"/>
    <x v="4"/>
  </r>
  <r>
    <s v="2021-07-26 07:52 (PST)"/>
    <d v="2021-07-26T00:00:00"/>
    <s v="07:52(PST)"/>
    <s v="Monday"/>
    <s v="On Demand"/>
    <x v="7"/>
  </r>
  <r>
    <s v="2021-07-26 22:31 (PST)"/>
    <d v="2021-07-26T00:00:00"/>
    <s v="22:31(PST)"/>
    <s v="Monday"/>
    <s v="On Demand"/>
    <x v="25"/>
  </r>
  <r>
    <s v="2021-08-02 06:33 (-07)"/>
    <d v="2021-08-02T00:00:00"/>
    <s v="06:33(-07)"/>
    <s v="Monday"/>
    <s v="On Demand"/>
    <x v="6"/>
  </r>
  <r>
    <s v="2021-08-02 07:18 (-07)"/>
    <d v="2021-08-02T00:00:00"/>
    <s v="07:18(-07)"/>
    <s v="Monday"/>
    <s v="On Demand"/>
    <x v="6"/>
  </r>
  <r>
    <s v="2021-08-02 07:23 (-07)"/>
    <d v="2021-08-02T00:00:00"/>
    <s v="07:23(-07)"/>
    <s v="Monday"/>
    <s v="On Demand"/>
    <x v="6"/>
  </r>
  <r>
    <s v="2021-08-02 22:33 (PST)"/>
    <d v="2021-08-02T00:00:00"/>
    <s v="22:33(PST)"/>
    <s v="Monday"/>
    <s v="On Demand"/>
    <x v="13"/>
  </r>
  <r>
    <s v="2021-08-09 06:57 (PST)"/>
    <d v="2021-08-09T00:00:00"/>
    <s v="06:57(PST)"/>
    <s v="Monday"/>
    <s v="On Demand"/>
    <x v="7"/>
  </r>
  <r>
    <s v="2021-08-09 17:35 (-07)"/>
    <d v="2021-08-09T00:00:00"/>
    <s v="17:35(-07)"/>
    <s v="Monday"/>
    <s v="On Demand"/>
    <x v="6"/>
  </r>
  <r>
    <s v="2021-08-09 19:11 (-07)"/>
    <d v="2021-08-09T00:00:00"/>
    <s v="19:11(-07)"/>
    <s v="Monday"/>
    <s v="On Demand"/>
    <x v="5"/>
  </r>
  <r>
    <s v="2021-08-09 22:35 (PST)"/>
    <d v="2021-08-09T00:00:00"/>
    <s v="22:35(PST)"/>
    <s v="Monday"/>
    <s v="On Demand"/>
    <x v="25"/>
  </r>
  <r>
    <s v="2021-08-16 06:38 (PST)"/>
    <d v="2021-08-16T00:00:00"/>
    <s v="06:38(PST)"/>
    <s v="Monday"/>
    <s v="On Demand"/>
    <x v="16"/>
  </r>
  <r>
    <s v="2021-08-16 16:16 (-07)"/>
    <d v="2021-08-16T00:00:00"/>
    <s v="16:16(-07)"/>
    <s v="Monday"/>
    <s v="On Demand"/>
    <x v="6"/>
  </r>
  <r>
    <s v="2021-08-16 17:02 (-07)"/>
    <d v="2021-08-16T00:00:00"/>
    <s v="17:02(-07)"/>
    <s v="Monday"/>
    <s v="On Demand"/>
    <x v="6"/>
  </r>
  <r>
    <s v="2021-08-16 17:08 (-07)"/>
    <d v="2021-08-16T00:00:00"/>
    <s v="17:08(-07)"/>
    <s v="Monday"/>
    <s v="On Demand"/>
    <x v="6"/>
  </r>
  <r>
    <s v="2021-08-16 21:26 (PST)"/>
    <d v="2021-08-16T00:00:00"/>
    <s v="21:26(PST)"/>
    <s v="Monday"/>
    <s v="On Demand"/>
    <x v="7"/>
  </r>
  <r>
    <s v="2021-08-16 22:22 (PST)"/>
    <d v="2021-08-16T00:00:00"/>
    <s v="22:22(PST)"/>
    <s v="Monday"/>
    <s v="On Demand"/>
    <x v="19"/>
  </r>
  <r>
    <s v="2021-08-23 07:04 (PST)"/>
    <d v="2021-08-23T00:00:00"/>
    <s v="07:04(PST)"/>
    <s v="Monday"/>
    <s v="On Demand"/>
    <x v="7"/>
  </r>
  <r>
    <s v="2021-08-23 18:22 (-07)"/>
    <d v="2021-08-23T00:00:00"/>
    <s v="18:22(-07)"/>
    <s v="Monday"/>
    <s v="On Demand"/>
    <x v="6"/>
  </r>
  <r>
    <s v="2021-08-23 19:23 (-07)"/>
    <d v="2021-08-23T00:00:00"/>
    <s v="19:23(-07)"/>
    <s v="Monday"/>
    <s v="On Demand"/>
    <x v="6"/>
  </r>
  <r>
    <s v="2021-08-23 19:31 (-07)"/>
    <d v="2021-08-23T00:00:00"/>
    <s v="19:31(-07)"/>
    <s v="Monday"/>
    <s v="On Demand"/>
    <x v="17"/>
  </r>
  <r>
    <s v="2021-08-30 18:26 (-07)"/>
    <d v="2021-08-30T00:00:00"/>
    <s v="18:26(-07)"/>
    <s v="Monday"/>
    <s v="On Demand"/>
    <x v="6"/>
  </r>
  <r>
    <s v="2021-08-30 22:40 (PST)"/>
    <d v="2021-08-30T00:00:00"/>
    <s v="22:40(PST)"/>
    <s v="Monday"/>
    <s v="On Demand"/>
    <x v="19"/>
  </r>
  <r>
    <s v="2021-09-06 00:58 (PST)"/>
    <d v="2021-09-06T00:00:00"/>
    <s v="00:58(PST)"/>
    <s v="Monday"/>
    <s v="On Demand"/>
    <x v="25"/>
  </r>
  <r>
    <s v="2021-09-13 07:13 (PST)"/>
    <d v="2021-09-13T00:00:00"/>
    <s v="07:13(PST)"/>
    <s v="Monday"/>
    <s v="On Demand"/>
    <x v="16"/>
  </r>
  <r>
    <s v="2021-09-13 17:13 (-07)"/>
    <d v="2021-09-13T00:00:00"/>
    <s v="17:13(-07)"/>
    <s v="Monday"/>
    <s v="On Demand"/>
    <x v="7"/>
  </r>
  <r>
    <s v="2021-09-13 18:15 (-07)"/>
    <d v="2021-09-13T00:00:00"/>
    <s v="18:15(-07)"/>
    <s v="Monday"/>
    <s v="On Demand"/>
    <x v="0"/>
  </r>
  <r>
    <s v="2021-09-13 18:22 (-07)"/>
    <d v="2021-09-13T00:00:00"/>
    <s v="18:22(-07)"/>
    <s v="Monday"/>
    <s v="On Demand"/>
    <x v="1"/>
  </r>
  <r>
    <s v="2021-09-13 21:43 (PST)"/>
    <d v="2021-09-13T00:00:00"/>
    <s v="21:43(PST)"/>
    <s v="Monday"/>
    <s v="On Demand"/>
    <x v="13"/>
  </r>
  <r>
    <s v="2021-09-20 07:07 (PST)"/>
    <d v="2021-09-20T00:00:00"/>
    <s v="07:07(PST)"/>
    <s v="Monday"/>
    <s v="On Demand"/>
    <x v="23"/>
  </r>
  <r>
    <s v="2021-09-20 07:38 (PST)"/>
    <d v="2021-09-20T00:00:00"/>
    <s v="07:38(PST)"/>
    <s v="Monday"/>
    <s v="On Demand"/>
    <x v="16"/>
  </r>
  <r>
    <s v="2021-09-20 17:43 (-07)"/>
    <d v="2021-09-20T00:00:00"/>
    <s v="17:43(-07)"/>
    <s v="Monday"/>
    <s v="On Demand"/>
    <x v="6"/>
  </r>
  <r>
    <s v="2021-09-20 18:31 (-07)"/>
    <d v="2021-09-20T00:00:00"/>
    <s v="18:31(-07)"/>
    <s v="Monday"/>
    <s v="On Demand"/>
    <x v="4"/>
  </r>
  <r>
    <s v="2021-09-20 18:42 (-07)"/>
    <d v="2021-09-20T00:00:00"/>
    <s v="18:42(-07)"/>
    <s v="Monday"/>
    <s v="On Demand"/>
    <x v="1"/>
  </r>
  <r>
    <s v="2021-09-20 18:52 (-07)"/>
    <d v="2021-09-20T00:00:00"/>
    <s v="18:52(-07)"/>
    <s v="Monday"/>
    <s v="On Demand"/>
    <x v="24"/>
  </r>
  <r>
    <s v="2021-09-20 22:25 (PST)"/>
    <d v="2021-09-20T00:00:00"/>
    <s v="22:25(PST)"/>
    <s v="Monday"/>
    <s v="On Demand"/>
    <x v="16"/>
  </r>
  <r>
    <s v="2021-09-27 02:00 (PST)"/>
    <d v="2021-09-27T00:00:00"/>
    <s v="02:00(PST)"/>
    <s v="Monday"/>
    <s v="On Demand"/>
    <x v="19"/>
  </r>
  <r>
    <s v="2021-09-27 07:20 (PST)"/>
    <d v="2021-09-27T00:00:00"/>
    <s v="07:20(PST)"/>
    <s v="Monday"/>
    <s v="On Demand"/>
    <x v="16"/>
  </r>
  <r>
    <s v="2021-09-27 17:50 (-07)"/>
    <d v="2021-09-27T00:00:00"/>
    <s v="17:50(-07)"/>
    <s v="Monday"/>
    <s v="On Demand"/>
    <x v="6"/>
  </r>
  <r>
    <s v="2021-09-27 17:56 (-07)"/>
    <d v="2021-09-27T00:00:00"/>
    <s v="17:56(-07)"/>
    <s v="Monday"/>
    <s v="On Demand"/>
    <x v="7"/>
  </r>
  <r>
    <s v="2021-09-27 18:41 (-07)"/>
    <d v="2021-09-27T00:00:00"/>
    <s v="18:41(-07)"/>
    <s v="Monday"/>
    <s v="On Demand"/>
    <x v="7"/>
  </r>
  <r>
    <s v="2021-09-27 18:47 (-07)"/>
    <d v="2021-09-27T00:00:00"/>
    <s v="18:47(-07)"/>
    <s v="Monday"/>
    <s v="On Demand"/>
    <x v="5"/>
  </r>
  <r>
    <s v="2021-09-27 21:37 (PST)"/>
    <d v="2021-09-27T00:00:00"/>
    <s v="21:37(PST)"/>
    <s v="Monday"/>
    <s v="On Demand"/>
    <x v="19"/>
  </r>
  <r>
    <s v="2021-10-04 07:23 (PST)"/>
    <d v="2021-10-04T00:00:00"/>
    <s v="07:23(PST)"/>
    <s v="Monday"/>
    <s v="On Demand"/>
    <x v="23"/>
  </r>
  <r>
    <s v="2021-10-04 18:34 (-07)"/>
    <d v="2021-10-04T00:00:00"/>
    <s v="18:34(-07)"/>
    <s v="Monday"/>
    <s v="On Demand"/>
    <x v="5"/>
  </r>
  <r>
    <s v="2021-10-04 19:05 (-07)"/>
    <d v="2021-10-04T00:00:00"/>
    <s v="19:05(-07)"/>
    <s v="Monday"/>
    <s v="On Demand"/>
    <x v="1"/>
  </r>
  <r>
    <s v="2021-10-04 19:16 (-07)"/>
    <d v="2021-10-04T00:00:00"/>
    <s v="19:16(-07)"/>
    <s v="Monday"/>
    <s v="On Demand"/>
    <x v="37"/>
  </r>
  <r>
    <s v="2021-10-04 19:27 (-07)"/>
    <d v="2021-10-04T00:00:00"/>
    <s v="19:27(-07)"/>
    <s v="Monday"/>
    <s v="On Demand"/>
    <x v="1"/>
  </r>
  <r>
    <s v="2021-10-04 22:13 (PST)"/>
    <d v="2021-10-04T00:00:00"/>
    <s v="22:13(PST)"/>
    <s v="Monday"/>
    <s v="On Demand"/>
    <x v="19"/>
  </r>
  <r>
    <s v="2021-10-11 07:04 (PST)"/>
    <d v="2021-10-11T00:00:00"/>
    <s v="07:04(PST)"/>
    <s v="Monday"/>
    <s v="On Demand"/>
    <x v="23"/>
  </r>
  <r>
    <s v="2021-10-11 18:30 (-07)"/>
    <d v="2021-10-11T00:00:00"/>
    <s v="18:30(-07)"/>
    <s v="Monday"/>
    <s v="On Demand"/>
    <x v="7"/>
  </r>
  <r>
    <s v="2021-10-11 19:16 (-07)"/>
    <d v="2021-10-11T00:00:00"/>
    <s v="19:16(-07)"/>
    <s v="Monday"/>
    <s v="On Demand"/>
    <x v="9"/>
  </r>
  <r>
    <s v="2021-10-11 19:22 (-07)"/>
    <d v="2021-10-11T00:00:00"/>
    <s v="19:22(-07)"/>
    <s v="Monday"/>
    <s v="On Demand"/>
    <x v="9"/>
  </r>
  <r>
    <s v="2021-10-11 19:34 (-07)"/>
    <d v="2021-10-11T00:00:00"/>
    <s v="19:34(-07)"/>
    <s v="Monday"/>
    <s v="On Demand"/>
    <x v="5"/>
  </r>
  <r>
    <s v="2021-10-11 22:28 (PST)"/>
    <d v="2021-10-11T00:00:00"/>
    <s v="22:28(PST)"/>
    <s v="Monday"/>
    <s v="On Demand"/>
    <x v="25"/>
  </r>
  <r>
    <s v="2021-10-18 07:07 (PST)"/>
    <d v="2021-10-18T00:00:00"/>
    <s v="07:07(PST)"/>
    <s v="Monday"/>
    <s v="On Demand"/>
    <x v="13"/>
  </r>
  <r>
    <s v="2021-10-18 17:10 (-07)"/>
    <d v="2021-10-18T00:00:00"/>
    <s v="17:10(-07)"/>
    <s v="Monday"/>
    <s v="On Demand"/>
    <x v="7"/>
  </r>
  <r>
    <s v="2021-10-18 17:56 (-07)"/>
    <d v="2021-10-18T00:00:00"/>
    <s v="17:56(-07)"/>
    <s v="Monday"/>
    <s v="On Demand"/>
    <x v="6"/>
  </r>
  <r>
    <s v="2021-10-18 18:09 (-07)"/>
    <d v="2021-10-18T00:00:00"/>
    <s v="18:09(-07)"/>
    <s v="Monday"/>
    <s v="On Demand"/>
    <x v="11"/>
  </r>
  <r>
    <s v="2021-10-18 18:19 (-07)"/>
    <d v="2021-10-18T00:00:00"/>
    <s v="18:19(-07)"/>
    <s v="Monday"/>
    <s v="On Demand"/>
    <x v="11"/>
  </r>
  <r>
    <s v="2021-10-18 18:26 (-07)"/>
    <d v="2021-10-18T00:00:00"/>
    <s v="18:26(-07)"/>
    <s v="Monday"/>
    <s v="On Demand"/>
    <x v="5"/>
  </r>
  <r>
    <s v="2021-10-18 21:59 (PST)"/>
    <d v="2021-10-18T00:00:00"/>
    <s v="21:59(PST)"/>
    <s v="Monday"/>
    <s v="On Demand"/>
    <x v="13"/>
  </r>
  <r>
    <s v="2021-10-25 07:16 (PST)"/>
    <d v="2021-10-25T00:00:00"/>
    <s v="07:16(PST)"/>
    <s v="Monday"/>
    <s v="On Demand"/>
    <x v="16"/>
  </r>
  <r>
    <s v="2021-10-25 19:36 (-07)"/>
    <d v="2021-10-25T00:00:00"/>
    <s v="19:36(-07)"/>
    <s v="Monday"/>
    <s v="On Demand"/>
    <x v="7"/>
  </r>
  <r>
    <s v="2021-10-25 20:22 (-07)"/>
    <d v="2021-10-25T00:00:00"/>
    <s v="20:22(-07)"/>
    <s v="Monday"/>
    <s v="On Demand"/>
    <x v="7"/>
  </r>
  <r>
    <s v="2021-10-25 20:28 (-07)"/>
    <d v="2021-10-25T00:00:00"/>
    <s v="20:28(-07)"/>
    <s v="Monday"/>
    <s v="On Demand"/>
    <x v="7"/>
  </r>
  <r>
    <s v="2021-10-25 22:33 (PST)"/>
    <d v="2021-10-25T00:00:00"/>
    <s v="22:33(PST)"/>
    <s v="Monday"/>
    <s v="On Demand"/>
    <x v="13"/>
  </r>
  <r>
    <s v="2021-11-01 07:05 (PST)"/>
    <d v="2021-11-01T00:00:00"/>
    <s v="07:05(PST)"/>
    <s v="Monday"/>
    <s v="On Demand"/>
    <x v="7"/>
  </r>
  <r>
    <s v="2021-11-01 20:41 (PST)"/>
    <d v="2021-11-01T00:00:00"/>
    <s v="20:41(PST)"/>
    <s v="Monday"/>
    <s v="On Demand"/>
    <x v="23"/>
  </r>
  <r>
    <s v="2021-11-08 06:59 (PST)"/>
    <d v="2021-11-08T00:00:00"/>
    <s v="06:59(PST)"/>
    <s v="Monday"/>
    <s v="On Demand"/>
    <x v="13"/>
  </r>
  <r>
    <s v="2021-11-08 07:45 (PST)"/>
    <d v="2021-11-08T00:00:00"/>
    <s v="07:45(PST)"/>
    <s v="Monday"/>
    <s v="On Demand"/>
    <x v="3"/>
  </r>
  <r>
    <s v="2021-11-08 18:19 (-08)"/>
    <d v="2021-11-08T00:00:00"/>
    <s v="18:19(-08)"/>
    <s v="Monday"/>
    <s v="On Demand"/>
    <x v="7"/>
  </r>
  <r>
    <s v="2021-11-08 18:41 (-08)"/>
    <d v="2021-11-08T00:00:00"/>
    <s v="18:41(-08)"/>
    <s v="Monday"/>
    <s v="On Demand"/>
    <x v="6"/>
  </r>
  <r>
    <s v="2021-11-08 19:12 (-08)"/>
    <d v="2021-11-08T00:00:00"/>
    <s v="19:12(-08)"/>
    <s v="Monday"/>
    <s v="On Demand"/>
    <x v="29"/>
  </r>
  <r>
    <s v="2021-11-08 19:23 (-08)"/>
    <d v="2021-11-08T00:00:00"/>
    <s v="19:23(-08)"/>
    <s v="Monday"/>
    <s v="On Demand"/>
    <x v="24"/>
  </r>
  <r>
    <s v="2021-11-08 22:04 (PST)"/>
    <d v="2021-11-08T00:00:00"/>
    <s v="22:04(PST)"/>
    <s v="Monday"/>
    <s v="On Demand"/>
    <x v="25"/>
  </r>
  <r>
    <s v="2021-11-15 02:37 (PST)"/>
    <d v="2021-11-15T00:00:00"/>
    <s v="02:37(PST)"/>
    <s v="Monday"/>
    <s v="On Demand"/>
    <x v="19"/>
  </r>
  <r>
    <s v="2021-11-15 02:51 (PST)"/>
    <d v="2021-11-15T00:00:00"/>
    <s v="02:51(PST)"/>
    <s v="Monday"/>
    <s v="On Demand"/>
    <x v="19"/>
  </r>
  <r>
    <s v="2021-11-15 07:12 (PST)"/>
    <d v="2021-11-15T00:00:00"/>
    <s v="07:12(PST)"/>
    <s v="Monday"/>
    <s v="On Demand"/>
    <x v="7"/>
  </r>
  <r>
    <s v="2021-11-15 12:57 (PST)"/>
    <d v="2021-11-15T00:00:00"/>
    <s v="12:57(PST)"/>
    <s v="Monday"/>
    <s v="On Demand"/>
    <x v="7"/>
  </r>
  <r>
    <s v="2021-11-15 16:23 (-08)"/>
    <d v="2021-11-15T00:00:00"/>
    <s v="16:23(-08)"/>
    <s v="Monday"/>
    <s v="On Demand"/>
    <x v="6"/>
  </r>
  <r>
    <s v="2021-11-15 16:56 (-08)"/>
    <d v="2021-11-15T00:00:00"/>
    <s v="16:56(-08)"/>
    <s v="Monday"/>
    <s v="On Demand"/>
    <x v="4"/>
  </r>
  <r>
    <s v="2021-11-15 17:12 (-08)"/>
    <d v="2021-11-15T00:00:00"/>
    <s v="17:12(-08)"/>
    <s v="Monday"/>
    <s v="On Demand"/>
    <x v="1"/>
  </r>
  <r>
    <s v="2021-11-15 21:45 (PST)"/>
    <d v="2021-11-15T00:00:00"/>
    <s v="21:45(PST)"/>
    <s v="Monday"/>
    <s v="On Demand"/>
    <x v="28"/>
  </r>
  <r>
    <s v="2021-11-22 07:11 (PST)"/>
    <d v="2021-11-22T00:00:00"/>
    <s v="07:11(PST)"/>
    <s v="Monday"/>
    <s v="On Demand"/>
    <x v="32"/>
  </r>
  <r>
    <s v="2021-11-22 17:00 (-08)"/>
    <d v="2021-11-22T00:00:00"/>
    <s v="17:00(-08)"/>
    <s v="Monday"/>
    <s v="On Demand"/>
    <x v="9"/>
  </r>
  <r>
    <s v="2021-11-22 17:06 (-08)"/>
    <d v="2021-11-22T00:00:00"/>
    <s v="17:06(-08)"/>
    <s v="Monday"/>
    <s v="On Demand"/>
    <x v="6"/>
  </r>
  <r>
    <s v="2021-11-22 17:52 (-08)"/>
    <d v="2021-11-22T00:00:00"/>
    <s v="17:52(-08)"/>
    <s v="Monday"/>
    <s v="On Demand"/>
    <x v="6"/>
  </r>
  <r>
    <s v="2021-11-22 17:59 (-08)"/>
    <d v="2021-11-22T00:00:00"/>
    <s v="17:59(-08)"/>
    <s v="Monday"/>
    <s v="On Demand"/>
    <x v="11"/>
  </r>
  <r>
    <s v="2021-11-22 18:21 (-08)"/>
    <d v="2021-11-22T00:00:00"/>
    <s v="18:21(-08)"/>
    <s v="Monday"/>
    <s v="On Demand"/>
    <x v="1"/>
  </r>
  <r>
    <s v="2021-11-22 22:11 (PST)"/>
    <d v="2021-11-22T00:00:00"/>
    <s v="22:11(PST)"/>
    <s v="Monday"/>
    <s v="On Demand"/>
    <x v="28"/>
  </r>
  <r>
    <s v="2021-11-29 15:27 (-08)"/>
    <d v="2021-11-29T00:00:00"/>
    <s v="15:27(-08)"/>
    <s v="Monday"/>
    <s v="On Demand"/>
    <x v="29"/>
  </r>
  <r>
    <s v="2021-11-29 15:34 (-08)"/>
    <d v="2021-11-29T00:00:00"/>
    <s v="15:34(-08)"/>
    <s v="Monday"/>
    <s v="On Demand"/>
    <x v="4"/>
  </r>
  <r>
    <s v="2021-11-29 16:19 (-08)"/>
    <d v="2021-11-29T00:00:00"/>
    <s v="16:19(-08)"/>
    <s v="Monday"/>
    <s v="On Demand"/>
    <x v="4"/>
  </r>
  <r>
    <s v="2021-11-29 16:25 (-08)"/>
    <d v="2021-11-29T00:00:00"/>
    <s v="16:25(-08)"/>
    <s v="Monday"/>
    <s v="On Demand"/>
    <x v="4"/>
  </r>
  <r>
    <s v="2021-11-29 16:40 (-08)"/>
    <d v="2021-11-29T00:00:00"/>
    <s v="16:40(-08)"/>
    <s v="Monday"/>
    <s v="On Demand"/>
    <x v="1"/>
  </r>
  <r>
    <s v="2021-11-29 16:46 (-08)"/>
    <d v="2021-11-29T00:00:00"/>
    <s v="16:46(-08)"/>
    <s v="Monday"/>
    <s v="On Demand"/>
    <x v="1"/>
  </r>
  <r>
    <s v="2021-11-29 21:34 (PST)"/>
    <d v="2021-11-29T00:00:00"/>
    <s v="21:34(PST)"/>
    <s v="Monday"/>
    <s v="On Demand"/>
    <x v="19"/>
  </r>
  <r>
    <s v="2021-12-06 01:14 (PST)"/>
    <d v="2021-12-06T00:00:00"/>
    <s v="01:14(PST)"/>
    <s v="Monday"/>
    <s v="On Demand"/>
    <x v="13"/>
  </r>
  <r>
    <s v="2021-12-06 05:40 (PST)"/>
    <d v="2021-12-06T00:00:00"/>
    <s v="05:40(PST)"/>
    <s v="Monday"/>
    <s v="On Demand"/>
    <x v="7"/>
  </r>
  <r>
    <s v="2021-12-06 06:14 (PST)"/>
    <d v="2021-12-06T00:00:00"/>
    <s v="06:14(PST)"/>
    <s v="Monday"/>
    <s v="On Demand"/>
    <x v="1"/>
  </r>
  <r>
    <s v="2021-12-06 17:37 (-08)"/>
    <d v="2021-12-06T00:00:00"/>
    <s v="17:37(-08)"/>
    <s v="Monday"/>
    <s v="On Demand"/>
    <x v="1"/>
  </r>
  <r>
    <s v="2021-12-06 17:49 (-08)"/>
    <d v="2021-12-06T00:00:00"/>
    <s v="17:49(-08)"/>
    <s v="Monday"/>
    <s v="On Demand"/>
    <x v="6"/>
  </r>
  <r>
    <s v="2021-12-06 18:23 (-08)"/>
    <d v="2021-12-06T00:00:00"/>
    <s v="18:23(-08)"/>
    <s v="Monday"/>
    <s v="On Demand"/>
    <x v="20"/>
  </r>
  <r>
    <s v="2021-12-06 20:18 (PST)"/>
    <d v="2021-12-06T00:00:00"/>
    <s v="20:18(PST)"/>
    <s v="Monday"/>
    <s v="On Demand"/>
    <x v="8"/>
  </r>
  <r>
    <s v="2021-12-06 21:49 (PST)"/>
    <d v="2021-12-06T00:00:00"/>
    <s v="21:49(PST)"/>
    <s v="Monday"/>
    <s v="On Demand"/>
    <x v="25"/>
  </r>
  <r>
    <s v="2021-12-13 07:16 (PST)"/>
    <d v="2021-12-13T00:00:00"/>
    <s v="07:16(PST)"/>
    <s v="Monday"/>
    <s v="On Demand"/>
    <x v="28"/>
  </r>
  <r>
    <s v="2021-12-13 17:02 (-08)"/>
    <d v="2021-12-13T00:00:00"/>
    <s v="17:02(-08)"/>
    <s v="Monday"/>
    <s v="On Demand"/>
    <x v="6"/>
  </r>
  <r>
    <s v="2021-12-13 17:50 (-08)"/>
    <d v="2021-12-13T00:00:00"/>
    <s v="17:50(-08)"/>
    <s v="Monday"/>
    <s v="On Demand"/>
    <x v="12"/>
  </r>
  <r>
    <s v="2021-12-13 18:03 (-08)"/>
    <d v="2021-12-13T00:00:00"/>
    <s v="18:03(-08)"/>
    <s v="Monday"/>
    <s v="On Demand"/>
    <x v="1"/>
  </r>
  <r>
    <s v="2021-12-13 18:14 (-08)"/>
    <d v="2021-12-13T00:00:00"/>
    <s v="18:14(-08)"/>
    <s v="Monday"/>
    <s v="On Demand"/>
    <x v="1"/>
  </r>
  <r>
    <s v="2021-12-13 22:26 (PST)"/>
    <d v="2021-12-13T00:00:00"/>
    <s v="22:26(PST)"/>
    <s v="Monday"/>
    <s v="On Demand"/>
    <x v="19"/>
  </r>
  <r>
    <s v="2021-12-20 06:33 (PST)"/>
    <d v="2021-12-20T00:00:00"/>
    <s v="06:33(PST)"/>
    <s v="Monday"/>
    <s v="On Demand"/>
    <x v="16"/>
  </r>
  <r>
    <s v="2021-12-20 06:50 (PST)"/>
    <d v="2021-12-20T00:00:00"/>
    <s v="06:50(PST)"/>
    <s v="Monday"/>
    <s v="On Demand"/>
    <x v="25"/>
  </r>
  <r>
    <s v="2021-12-20 17:24 (-08)"/>
    <d v="2021-12-20T00:00:00"/>
    <s v="17:24(-08)"/>
    <s v="Monday"/>
    <s v="On Demand"/>
    <x v="39"/>
  </r>
  <r>
    <s v="2021-12-20 17:36 (-08)"/>
    <d v="2021-12-20T00:00:00"/>
    <s v="17:36(-08)"/>
    <s v="Monday"/>
    <s v="On Demand"/>
    <x v="7"/>
  </r>
  <r>
    <s v="2021-12-20 18:21 (-08)"/>
    <d v="2021-12-20T00:00:00"/>
    <s v="18:21(-08)"/>
    <s v="Monday"/>
    <s v="On Demand"/>
    <x v="7"/>
  </r>
  <r>
    <s v="2021-12-20 18:27 (-08)"/>
    <d v="2021-12-20T00:00:00"/>
    <s v="18:27(-08)"/>
    <s v="Monday"/>
    <s v="On Demand"/>
    <x v="26"/>
  </r>
  <r>
    <s v="2021-12-20 21:44 (PST)"/>
    <d v="2021-12-20T00:00:00"/>
    <s v="21:44(PST)"/>
    <s v="Monday"/>
    <s v="On Demand"/>
    <x v="19"/>
  </r>
  <r>
    <s v="2021-12-27 00:58 (PST)"/>
    <d v="2021-12-27T00:00:00"/>
    <s v="00:58(PST)"/>
    <s v="Monday"/>
    <s v="On Demand"/>
    <x v="25"/>
  </r>
  <r>
    <s v="2021-12-27 07:43 (PST)"/>
    <d v="2021-12-27T00:00:00"/>
    <s v="07:43(PST)"/>
    <s v="Monday"/>
    <s v="On Demand"/>
    <x v="16"/>
  </r>
  <r>
    <s v="2021-12-27 12:26 (PST)"/>
    <d v="2021-12-27T00:00:00"/>
    <s v="12:26(PST)"/>
    <s v="Monday"/>
    <s v="On Demand"/>
    <x v="19"/>
  </r>
  <r>
    <s v="2021-12-27 16:55 (-08)"/>
    <d v="2021-12-27T00:00:00"/>
    <s v="16:55(-08)"/>
    <s v="Monday"/>
    <s v="On Demand"/>
    <x v="20"/>
  </r>
  <r>
    <s v="2021-12-27 17:05 (-08)"/>
    <d v="2021-12-27T00:00:00"/>
    <s v="17:05(-08)"/>
    <s v="Monday"/>
    <s v="On Demand"/>
    <x v="6"/>
  </r>
  <r>
    <s v="2021-12-27 17:52 (-08)"/>
    <d v="2021-12-27T00:00:00"/>
    <s v="17:52(-08)"/>
    <s v="Monday"/>
    <s v="On Demand"/>
    <x v="18"/>
  </r>
  <r>
    <s v="2021-12-27 18:09 (PST)"/>
    <d v="2021-12-27T00:00:00"/>
    <s v="18:09(PST)"/>
    <s v="Monday"/>
    <s v="On Demand"/>
    <x v="20"/>
  </r>
  <r>
    <s v="2021-12-27 21:25 (PST)"/>
    <d v="2021-12-27T00:00:00"/>
    <s v="21:25(PST)"/>
    <s v="Monday"/>
    <s v="On Demand"/>
    <x v="19"/>
  </r>
  <r>
    <s v="2022-01-03 07:07 (PST)"/>
    <d v="2022-01-03T00:00:00"/>
    <s v="07:07(PST)"/>
    <s v="Monday"/>
    <s v="On Demand"/>
    <x v="13"/>
  </r>
  <r>
    <s v="2022-01-03 07:29 (PST)"/>
    <d v="2022-01-03T00:00:00"/>
    <s v="07:29(PST)"/>
    <s v="Monday"/>
    <s v="On Demand"/>
    <x v="23"/>
  </r>
  <r>
    <s v="2022-01-03 16:08 (-08)"/>
    <d v="2022-01-03T00:00:00"/>
    <s v="16:08(-08)"/>
    <s v="Monday"/>
    <s v="On Demand"/>
    <x v="4"/>
  </r>
  <r>
    <s v="2022-01-03 16:14 (-08)"/>
    <d v="2022-01-03T00:00:00"/>
    <s v="16:14(-08)"/>
    <s v="Monday"/>
    <s v="On Demand"/>
    <x v="4"/>
  </r>
  <r>
    <s v="2022-01-03 17:01 (-08)"/>
    <d v="2022-01-03T00:00:00"/>
    <s v="17:01(-08)"/>
    <s v="Monday"/>
    <s v="On Demand"/>
    <x v="4"/>
  </r>
  <r>
    <s v="2022-01-03 17:07 (-08)"/>
    <d v="2022-01-03T00:00:00"/>
    <s v="17:07(-08)"/>
    <s v="Monday"/>
    <s v="On Demand"/>
    <x v="1"/>
  </r>
  <r>
    <s v="2022-01-03 17:20 (-08)"/>
    <d v="2022-01-03T00:00:00"/>
    <s v="17:20(-08)"/>
    <s v="Monday"/>
    <s v="On Demand"/>
    <x v="22"/>
  </r>
  <r>
    <s v="2022-01-03 22:46 (PST)"/>
    <d v="2022-01-03T00:00:00"/>
    <s v="22:46(PST)"/>
    <s v="Monday"/>
    <s v="On Demand"/>
    <x v="19"/>
  </r>
  <r>
    <s v="2022-01-10 07:20 (PST)"/>
    <d v="2022-01-10T00:00:00"/>
    <s v="07:20(PST)"/>
    <s v="Monday"/>
    <s v="On Demand"/>
    <x v="13"/>
  </r>
  <r>
    <s v="2022-01-10 17:35 (-08)"/>
    <d v="2022-01-10T00:00:00"/>
    <s v="17:35(-08)"/>
    <s v="Monday"/>
    <s v="On Demand"/>
    <x v="6"/>
  </r>
  <r>
    <s v="2022-01-10 18:05 (-08)"/>
    <d v="2022-01-10T00:00:00"/>
    <s v="18:05(-08)"/>
    <s v="Monday"/>
    <s v="On Demand"/>
    <x v="6"/>
  </r>
  <r>
    <s v="2022-01-10 18:38 (-08)"/>
    <d v="2022-01-10T00:00:00"/>
    <s v="18:38(-08)"/>
    <s v="Monday"/>
    <s v="On Demand"/>
    <x v="24"/>
  </r>
  <r>
    <s v="2022-01-10 18:49 (-08)"/>
    <d v="2022-01-10T00:00:00"/>
    <s v="18:49(-08)"/>
    <s v="Monday"/>
    <s v="On Demand"/>
    <x v="20"/>
  </r>
  <r>
    <s v="2022-01-10 22:01 (PST)"/>
    <d v="2022-01-10T00:00:00"/>
    <s v="22:01(PST)"/>
    <s v="Monday"/>
    <s v="On Demand"/>
    <x v="25"/>
  </r>
  <r>
    <s v="2022-01-17 07:10 (PST)"/>
    <d v="2022-01-17T00:00:00"/>
    <s v="07:10(PST)"/>
    <s v="Monday"/>
    <s v="On Demand"/>
    <x v="23"/>
  </r>
  <r>
    <s v="2022-01-17 17:51 (-08)"/>
    <d v="2022-01-17T00:00:00"/>
    <s v="17:51(-08)"/>
    <s v="Monday"/>
    <s v="On Demand"/>
    <x v="4"/>
  </r>
  <r>
    <s v="2022-01-17 18:04 (-08)"/>
    <d v="2022-01-17T00:00:00"/>
    <s v="18:04(-08)"/>
    <s v="Monday"/>
    <s v="On Demand"/>
    <x v="4"/>
  </r>
  <r>
    <s v="2022-01-17 18:49 (-08)"/>
    <d v="2022-01-17T00:00:00"/>
    <s v="18:49(-08)"/>
    <s v="Monday"/>
    <s v="On Demand"/>
    <x v="4"/>
  </r>
  <r>
    <s v="2022-01-17 18:58 (-08)"/>
    <d v="2022-01-17T00:00:00"/>
    <s v="18:58(-08)"/>
    <s v="Monday"/>
    <s v="On Demand"/>
    <x v="1"/>
  </r>
  <r>
    <s v="2022-01-17 19:08 (-08)"/>
    <d v="2022-01-17T00:00:00"/>
    <s v="19:08(-08)"/>
    <s v="Monday"/>
    <s v="On Demand"/>
    <x v="1"/>
  </r>
  <r>
    <s v="2022-01-17 19:14 (-08)"/>
    <d v="2022-01-17T00:00:00"/>
    <s v="19:14(-08)"/>
    <s v="Monday"/>
    <s v="On Demand"/>
    <x v="17"/>
  </r>
  <r>
    <s v="2022-01-17 21:58 (PST)"/>
    <d v="2022-01-17T00:00:00"/>
    <s v="21:58(PST)"/>
    <s v="Monday"/>
    <s v="On Demand"/>
    <x v="19"/>
  </r>
  <r>
    <s v="2022-01-24 06:56 (PST)"/>
    <d v="2022-01-24T00:00:00"/>
    <s v="06:56(PST)"/>
    <s v="Monday"/>
    <s v="On Demand"/>
    <x v="7"/>
  </r>
  <r>
    <s v="2022-01-24 07:32 (PST)"/>
    <d v="2022-01-24T00:00:00"/>
    <s v="07:32(PST)"/>
    <s v="Monday"/>
    <s v="On Demand"/>
    <x v="1"/>
  </r>
  <r>
    <s v="2022-01-24 13:08 (PST)"/>
    <d v="2022-01-24T00:00:00"/>
    <s v="13:08(PST)"/>
    <s v="Monday"/>
    <s v="On Demand"/>
    <x v="37"/>
  </r>
  <r>
    <s v="2022-01-24 17:51 (-08)"/>
    <d v="2022-01-24T00:00:00"/>
    <s v="17:51(-08)"/>
    <s v="Monday"/>
    <s v="On Demand"/>
    <x v="6"/>
  </r>
  <r>
    <s v="2022-01-24 18:36 (-08)"/>
    <d v="2022-01-24T00:00:00"/>
    <s v="18:36(-08)"/>
    <s v="Monday"/>
    <s v="On Demand"/>
    <x v="17"/>
  </r>
  <r>
    <s v="2022-01-24 18:43 (-08)"/>
    <d v="2022-01-24T00:00:00"/>
    <s v="18:43(-08)"/>
    <s v="Monday"/>
    <s v="On Demand"/>
    <x v="17"/>
  </r>
  <r>
    <s v="2022-01-24 21:56 (PST)"/>
    <d v="2022-01-24T00:00:00"/>
    <s v="21:56(PST)"/>
    <s v="Monday"/>
    <s v="On Demand"/>
    <x v="13"/>
  </r>
  <r>
    <s v="2022-01-31 07:33 (PST)"/>
    <d v="2022-01-31T00:00:00"/>
    <s v="07:33(PST)"/>
    <s v="Monday"/>
    <s v="On Demand"/>
    <x v="13"/>
  </r>
  <r>
    <s v="2022-01-31 16:05 (PST)"/>
    <d v="2022-01-31T00:00:00"/>
    <s v="16:05(PST)"/>
    <s v="Monday"/>
    <s v="On Demand"/>
    <x v="31"/>
  </r>
  <r>
    <s v="2022-01-31 17:18 (-08)"/>
    <d v="2022-01-31T00:00:00"/>
    <s v="17:18(-08)"/>
    <s v="Monday"/>
    <s v="On Demand"/>
    <x v="7"/>
  </r>
  <r>
    <s v="2022-01-31 17:39 (-08)"/>
    <d v="2022-01-31T00:00:00"/>
    <s v="17:39(-08)"/>
    <s v="Monday"/>
    <s v="On Demand"/>
    <x v="7"/>
  </r>
  <r>
    <s v="2022-01-31 18:11 (-08)"/>
    <d v="2022-01-31T00:00:00"/>
    <s v="18:11(-08)"/>
    <s v="Monday"/>
    <s v="On Demand"/>
    <x v="6"/>
  </r>
  <r>
    <s v="2022-01-31 22:15 (PST)"/>
    <d v="2022-01-31T00:00:00"/>
    <s v="22:15(PST)"/>
    <s v="Monday"/>
    <s v="On Demand"/>
    <x v="23"/>
  </r>
  <r>
    <s v="2022-02-07 07:31 (PST)"/>
    <d v="2022-02-07T00:00:00"/>
    <s v="07:31(PST)"/>
    <s v="Monday"/>
    <s v="On Demand"/>
    <x v="13"/>
  </r>
  <r>
    <s v="2022-02-07 07:54 (PST)"/>
    <d v="2022-02-07T00:00:00"/>
    <s v="07:54(PST)"/>
    <s v="Monday"/>
    <s v="On Demand"/>
    <x v="1"/>
  </r>
  <r>
    <s v="2022-02-07 11:33 (PST)"/>
    <d v="2022-02-07T00:00:00"/>
    <s v="11:33(PST)"/>
    <s v="Monday"/>
    <s v="On Demand"/>
    <x v="40"/>
  </r>
  <r>
    <s v="2022-02-07 16:29 (-08)"/>
    <d v="2022-02-07T00:00:00"/>
    <s v="16:29(-08)"/>
    <s v="Monday"/>
    <s v="On Demand"/>
    <x v="1"/>
  </r>
  <r>
    <s v="2022-02-07 17:01 (-08)"/>
    <d v="2022-02-07T00:00:00"/>
    <s v="17:01(-08)"/>
    <s v="Monday"/>
    <s v="On Demand"/>
    <x v="1"/>
  </r>
  <r>
    <s v="2022-02-07 22:34 (PST)"/>
    <d v="2022-02-07T00:00:00"/>
    <s v="22:34(PST)"/>
    <s v="Monday"/>
    <s v="On Demand"/>
    <x v="13"/>
  </r>
  <r>
    <s v="2022-02-07 23:09 (PST)"/>
    <d v="2022-02-07T00:00:00"/>
    <s v="23:09(PST)"/>
    <s v="Monday"/>
    <s v="On Demand"/>
    <x v="16"/>
  </r>
  <r>
    <s v="2022-02-14 11:08 (PST)"/>
    <d v="2022-02-14T00:00:00"/>
    <s v="11:08(PST)"/>
    <s v="Monday"/>
    <s v="On Demand"/>
    <x v="1"/>
  </r>
  <r>
    <s v="2022-02-14 11:19 (PST)"/>
    <d v="2022-02-14T00:00:00"/>
    <s v="11:19(PST)"/>
    <s v="Monday"/>
    <s v="On Demand"/>
    <x v="16"/>
  </r>
  <r>
    <s v="2022-02-14 16:58 (-08)"/>
    <d v="2022-02-14T00:00:00"/>
    <s v="16:58(-08)"/>
    <s v="Monday"/>
    <s v="On Demand"/>
    <x v="11"/>
  </r>
  <r>
    <s v="2022-02-14 17:24 (-08)"/>
    <d v="2022-02-14T00:00:00"/>
    <s v="17:24(-08)"/>
    <s v="Monday"/>
    <s v="On Demand"/>
    <x v="5"/>
  </r>
  <r>
    <s v="2022-02-14 17:57 (-08)"/>
    <d v="2022-02-14T00:00:00"/>
    <s v="17:57(-08)"/>
    <s v="Monday"/>
    <s v="On Demand"/>
    <x v="5"/>
  </r>
  <r>
    <s v="2022-02-14 22:14 (PST)"/>
    <d v="2022-02-14T00:00:00"/>
    <s v="22:14(PST)"/>
    <s v="Monday"/>
    <s v="On Demand"/>
    <x v="19"/>
  </r>
  <r>
    <s v="2022-02-21 07:32 (PST)"/>
    <d v="2022-02-21T00:00:00"/>
    <s v="07:32(PST)"/>
    <s v="Monday"/>
    <s v="On Demand"/>
    <x v="24"/>
  </r>
  <r>
    <s v="2022-02-21 07:44 (PST)"/>
    <d v="2022-02-21T00:00:00"/>
    <s v="07:44(PST)"/>
    <s v="Monday"/>
    <s v="On Demand"/>
    <x v="16"/>
  </r>
  <r>
    <s v="2022-02-21 21:39 (PST)"/>
    <d v="2022-02-21T00:00:00"/>
    <s v="21:39(PST)"/>
    <s v="Monday"/>
    <s v="On Demand"/>
    <x v="19"/>
  </r>
  <r>
    <s v="2022-02-28 07:23 (PST)"/>
    <d v="2022-02-28T00:00:00"/>
    <s v="07:23(PST)"/>
    <s v="Monday"/>
    <s v="On Demand"/>
    <x v="13"/>
  </r>
  <r>
    <s v="2022-02-28 18:06 (-08)"/>
    <d v="2022-02-28T00:00:00"/>
    <s v="18:06(-08)"/>
    <s v="Monday"/>
    <s v="On Demand"/>
    <x v="7"/>
  </r>
  <r>
    <s v="2022-02-28 18:53 (-08)"/>
    <d v="2022-02-28T00:00:00"/>
    <s v="18:53(-08)"/>
    <s v="Monday"/>
    <s v="On Demand"/>
    <x v="22"/>
  </r>
  <r>
    <s v="2022-02-28 19:01 (-08)"/>
    <d v="2022-02-28T00:00:00"/>
    <s v="19:01(-08)"/>
    <s v="Monday"/>
    <s v="On Demand"/>
    <x v="7"/>
  </r>
  <r>
    <s v="2022-02-28 22:30 (PST)"/>
    <d v="2022-02-28T00:00:00"/>
    <s v="22:30(PST)"/>
    <s v="Monday"/>
    <s v="On Demand"/>
    <x v="19"/>
  </r>
  <r>
    <s v="2022-03-07 16:05 (PST)"/>
    <d v="2022-03-07T00:00:00"/>
    <s v="16:05(PST)"/>
    <s v="Monday"/>
    <s v="On Demand"/>
    <x v="26"/>
  </r>
  <r>
    <s v="2022-03-07 17:42 (PST)"/>
    <d v="2022-03-07T00:00:00"/>
    <s v="17:42(PST)"/>
    <s v="Monday"/>
    <s v="On Demand"/>
    <x v="7"/>
  </r>
  <r>
    <s v="2022-03-07 22:06 (PST)"/>
    <d v="2022-03-07T00:00:00"/>
    <s v="22:06(PST)"/>
    <s v="Monday"/>
    <s v="On Demand"/>
    <x v="13"/>
  </r>
  <r>
    <s v="2022-03-14 07:08 (PST)"/>
    <d v="2022-03-14T00:00:00"/>
    <s v="07:08(PST)"/>
    <s v="Monday"/>
    <s v="On Demand"/>
    <x v="7"/>
  </r>
  <r>
    <s v="2022-03-14 17:09 (-07)"/>
    <d v="2022-03-14T00:00:00"/>
    <s v="17:09(-07)"/>
    <s v="Monday"/>
    <s v="On Demand"/>
    <x v="4"/>
  </r>
  <r>
    <s v="2022-03-14 17:55 (-07)"/>
    <d v="2022-03-14T00:00:00"/>
    <s v="17:55(-07)"/>
    <s v="Monday"/>
    <s v="On Demand"/>
    <x v="29"/>
  </r>
  <r>
    <s v="2022-03-14 18:07 (-07)"/>
    <d v="2022-03-14T00:00:00"/>
    <s v="18:07(-07)"/>
    <s v="Monday"/>
    <s v="On Demand"/>
    <x v="31"/>
  </r>
  <r>
    <s v="2022-03-14 18:20 (-07)"/>
    <d v="2022-03-14T00:00:00"/>
    <s v="18:20(-07)"/>
    <s v="Monday"/>
    <s v="On Demand"/>
    <x v="7"/>
  </r>
  <r>
    <s v="2022-03-14 22:18 (PST)"/>
    <d v="2022-03-14T00:00:00"/>
    <s v="22:18(PST)"/>
    <s v="Monday"/>
    <s v="On Demand"/>
    <x v="19"/>
  </r>
  <r>
    <s v="2022-03-21 07:11 (PST)"/>
    <d v="2022-03-21T00:00:00"/>
    <s v="07:11(PST)"/>
    <s v="Monday"/>
    <s v="On Demand"/>
    <x v="16"/>
  </r>
  <r>
    <s v="2022-03-21 16:37 (-07)"/>
    <d v="2022-03-21T00:00:00"/>
    <s v="16:37(-07)"/>
    <s v="Monday"/>
    <s v="On Demand"/>
    <x v="1"/>
  </r>
  <r>
    <s v="2022-03-21 16:48 (-07)"/>
    <d v="2022-03-21T00:00:00"/>
    <s v="16:48(-07)"/>
    <s v="Monday"/>
    <s v="On Demand"/>
    <x v="29"/>
  </r>
  <r>
    <s v="2022-03-21 16:54 (-07)"/>
    <d v="2022-03-21T00:00:00"/>
    <s v="16:54(-07)"/>
    <s v="Monday"/>
    <s v="On Demand"/>
    <x v="6"/>
  </r>
  <r>
    <s v="2022-03-21 17:41 (-07)"/>
    <d v="2022-03-21T00:00:00"/>
    <s v="17:41(-07)"/>
    <s v="Monday"/>
    <s v="On Demand"/>
    <x v="22"/>
  </r>
  <r>
    <s v="2022-03-21 18:01 (-07)"/>
    <d v="2022-03-21T00:00:00"/>
    <s v="18:01(-07)"/>
    <s v="Monday"/>
    <s v="On Demand"/>
    <x v="7"/>
  </r>
  <r>
    <s v="2022-03-21 22:31 (PST)"/>
    <d v="2022-03-21T00:00:00"/>
    <s v="22:31(PST)"/>
    <s v="Monday"/>
    <s v="On Demand"/>
    <x v="23"/>
  </r>
  <r>
    <s v="2022-03-28 02:20 (PST)"/>
    <d v="2022-03-28T00:00:00"/>
    <s v="02:20(PST)"/>
    <s v="Monday"/>
    <s v="On Demand"/>
    <x v="13"/>
  </r>
  <r>
    <s v="2022-03-28 07:16 (PST)"/>
    <d v="2022-03-28T00:00:00"/>
    <s v="07:16(PST)"/>
    <s v="Monday"/>
    <s v="On Demand"/>
    <x v="4"/>
  </r>
  <r>
    <s v="2022-03-28 07:27 (PST)"/>
    <d v="2022-03-28T00:00:00"/>
    <s v="07:27(PST)"/>
    <s v="Monday"/>
    <s v="On Demand"/>
    <x v="16"/>
  </r>
  <r>
    <s v="2022-03-28 16:32 (-07)"/>
    <d v="2022-03-28T00:00:00"/>
    <s v="16:32(-07)"/>
    <s v="Monday"/>
    <s v="On Demand"/>
    <x v="15"/>
  </r>
  <r>
    <s v="2022-03-28 16:38 (-07)"/>
    <d v="2022-03-28T00:00:00"/>
    <s v="16:38(-07)"/>
    <s v="Monday"/>
    <s v="On Demand"/>
    <x v="6"/>
  </r>
  <r>
    <s v="2022-03-28 17:39 (-07)"/>
    <d v="2022-03-28T00:00:00"/>
    <s v="17:39(-07)"/>
    <s v="Monday"/>
    <s v="On Demand"/>
    <x v="5"/>
  </r>
  <r>
    <s v="2022-03-28 17:46 (-07)"/>
    <d v="2022-03-28T00:00:00"/>
    <s v="17:46(-07)"/>
    <s v="Monday"/>
    <s v="On Demand"/>
    <x v="29"/>
  </r>
  <r>
    <s v="2022-03-28 17:59 (-07)"/>
    <d v="2022-03-28T00:00:00"/>
    <s v="17:59(-07)"/>
    <s v="Monday"/>
    <s v="On Demand"/>
    <x v="20"/>
  </r>
  <r>
    <s v="2022-03-28 22:16 (PST)"/>
    <d v="2022-03-28T00:00:00"/>
    <s v="22:16(PST)"/>
    <s v="Monday"/>
    <s v="On Demand"/>
    <x v="25"/>
  </r>
  <r>
    <s v="2022-04-04 15:45 (-07)"/>
    <d v="2022-04-04T00:00:00"/>
    <s v="15:45(-07)"/>
    <s v="Monday"/>
    <s v="On Demand"/>
    <x v="24"/>
  </r>
  <r>
    <s v="2022-04-04 15:59 (-07)"/>
    <d v="2022-04-04T00:00:00"/>
    <s v="15:59(-07)"/>
    <s v="Monday"/>
    <s v="On Demand"/>
    <x v="6"/>
  </r>
  <r>
    <s v="2022-04-04 17:20 (-07)"/>
    <d v="2022-04-04T00:00:00"/>
    <s v="17:20(-07)"/>
    <s v="Monday"/>
    <s v="On Demand"/>
    <x v="16"/>
  </r>
  <r>
    <s v="2022-04-04 22:10 (PST)"/>
    <d v="2022-04-04T00:00:00"/>
    <s v="22:10(PST)"/>
    <s v="Monday"/>
    <s v="On Demand"/>
    <x v="16"/>
  </r>
  <r>
    <s v="2022-04-11 12:22 (PST)"/>
    <d v="2022-04-11T00:00:00"/>
    <s v="12:22(PST)"/>
    <s v="Monday"/>
    <s v="On Demand"/>
    <x v="13"/>
  </r>
  <r>
    <s v="2022-04-11 16:06 (-07)"/>
    <d v="2022-04-11T00:00:00"/>
    <s v="16:06(-07)"/>
    <s v="Monday"/>
    <s v="On Demand"/>
    <x v="0"/>
  </r>
  <r>
    <s v="2022-04-11 16:18 (-07)"/>
    <d v="2022-04-11T00:00:00"/>
    <s v="16:18(-07)"/>
    <s v="Monday"/>
    <s v="On Demand"/>
    <x v="4"/>
  </r>
  <r>
    <s v="2022-04-11 16:32 (-07)"/>
    <d v="2022-04-11T00:00:00"/>
    <s v="16:32(-07)"/>
    <s v="Monday"/>
    <s v="On Demand"/>
    <x v="6"/>
  </r>
  <r>
    <s v="2022-04-11 17:17 (-07)"/>
    <d v="2022-04-11T00:00:00"/>
    <s v="17:17(-07)"/>
    <s v="Monday"/>
    <s v="On Demand"/>
    <x v="20"/>
  </r>
  <r>
    <s v="2022-04-11 17:24 (-07)"/>
    <d v="2022-04-11T00:00:00"/>
    <s v="17:24(-07)"/>
    <s v="Monday"/>
    <s v="On Demand"/>
    <x v="7"/>
  </r>
  <r>
    <s v="2022-04-11 23:01 (PST)"/>
    <d v="2022-04-11T00:00:00"/>
    <s v="23:01(PST)"/>
    <s v="Monday"/>
    <s v="On Demand"/>
    <x v="19"/>
  </r>
  <r>
    <s v="2022-04-18 07:04 (PST)"/>
    <d v="2022-04-18T00:00:00"/>
    <s v="07:04(PST)"/>
    <s v="Monday"/>
    <s v="On Demand"/>
    <x v="7"/>
  </r>
  <r>
    <s v="2022-04-18 13:00 (PST)"/>
    <d v="2022-04-18T00:00:00"/>
    <s v="13:00(PST)"/>
    <s v="Monday"/>
    <s v="On Demand"/>
    <x v="41"/>
  </r>
  <r>
    <s v="2022-04-18 15:58 (-07)"/>
    <d v="2022-04-18T00:00:00"/>
    <s v="15:58(-07)"/>
    <s v="Monday"/>
    <s v="On Demand"/>
    <x v="31"/>
  </r>
  <r>
    <s v="2022-04-18 16:14 (-07)"/>
    <d v="2022-04-18T00:00:00"/>
    <s v="16:14(-07)"/>
    <s v="Monday"/>
    <s v="On Demand"/>
    <x v="6"/>
  </r>
  <r>
    <s v="2022-04-18 16:59 (-07)"/>
    <d v="2022-04-18T00:00:00"/>
    <s v="16:59(-07)"/>
    <s v="Monday"/>
    <s v="On Demand"/>
    <x v="29"/>
  </r>
  <r>
    <s v="2022-04-18 17:06 (-07)"/>
    <d v="2022-04-18T00:00:00"/>
    <s v="17:06(-07)"/>
    <s v="Monday"/>
    <s v="On Demand"/>
    <x v="29"/>
  </r>
  <r>
    <s v="2022-04-18 22:44 (PST)"/>
    <d v="2022-04-18T00:00:00"/>
    <s v="22:44(PST)"/>
    <s v="Monday"/>
    <s v="On Demand"/>
    <x v="25"/>
  </r>
  <r>
    <s v="2022-04-25 07:29 (PST)"/>
    <d v="2022-04-25T00:00:00"/>
    <s v="07:29(PST)"/>
    <s v="Monday"/>
    <s v="On Demand"/>
    <x v="16"/>
  </r>
  <r>
    <s v="2022-04-25 08:08 (PST)"/>
    <d v="2022-04-25T00:00:00"/>
    <s v="08:08(PST)"/>
    <s v="Monday"/>
    <s v="On Demand"/>
    <x v="16"/>
  </r>
  <r>
    <s v="2022-04-25 19:01 (-07)"/>
    <d v="2022-04-25T00:00:00"/>
    <s v="19:01(-07)"/>
    <s v="Monday"/>
    <s v="On Demand"/>
    <x v="37"/>
  </r>
  <r>
    <s v="2022-04-25 19:13 (-07)"/>
    <d v="2022-04-25T00:00:00"/>
    <s v="19:13(-07)"/>
    <s v="Monday"/>
    <s v="On Demand"/>
    <x v="6"/>
  </r>
  <r>
    <s v="2022-04-25 20:01 (-07)"/>
    <d v="2022-04-25T00:00:00"/>
    <s v="20:01(-07)"/>
    <s v="Monday"/>
    <s v="On Demand"/>
    <x v="42"/>
  </r>
  <r>
    <s v="2022-04-25 20:12 (-07)"/>
    <d v="2022-04-25T00:00:00"/>
    <s v="20:12(-07)"/>
    <s v="Monday"/>
    <s v="On Demand"/>
    <x v="18"/>
  </r>
  <r>
    <s v="2022-04-25 22:36 (PST)"/>
    <d v="2022-04-25T00:00:00"/>
    <s v="22:36(PST)"/>
    <s v="Monday"/>
    <s v="On Demand"/>
    <x v="25"/>
  </r>
  <r>
    <s v="2022-05-02 07:05 (PST)"/>
    <d v="2022-05-02T00:00:00"/>
    <s v="07:05(PST)"/>
    <s v="Monday"/>
    <s v="On Demand"/>
    <x v="30"/>
  </r>
  <r>
    <s v="2022-05-02 16:40 (PST)"/>
    <d v="2022-05-02T00:00:00"/>
    <s v="16:40(PST)"/>
    <s v="Monday"/>
    <s v="On Demand"/>
    <x v="15"/>
  </r>
  <r>
    <s v="2022-05-02 21:50 (PST)"/>
    <d v="2022-05-02T00:00:00"/>
    <s v="21:50(PST)"/>
    <s v="Monday"/>
    <s v="On Demand"/>
    <x v="19"/>
  </r>
  <r>
    <s v="2022-05-02 23:05 (PST)"/>
    <d v="2022-05-02T00:00:00"/>
    <s v="23:05(PST)"/>
    <s v="Monday"/>
    <s v="On Demand"/>
    <x v="25"/>
  </r>
  <r>
    <s v="2022-05-09 07:51 (PST)"/>
    <d v="2022-05-09T00:00:00"/>
    <s v="07:51(PST)"/>
    <s v="Monday"/>
    <s v="On Demand"/>
    <x v="7"/>
  </r>
  <r>
    <s v="2022-05-09 15:58 (PST)"/>
    <d v="2022-05-09T00:00:00"/>
    <s v="15:58(PST)"/>
    <s v="Monday"/>
    <s v="On Demand"/>
    <x v="15"/>
  </r>
  <r>
    <s v="2022-05-09 17:46 (-07)"/>
    <d v="2022-05-09T00:00:00"/>
    <s v="17:46(-07)"/>
    <s v="Monday"/>
    <s v="On Demand"/>
    <x v="3"/>
  </r>
  <r>
    <s v="2022-05-09 17:58 (-07)"/>
    <d v="2022-05-09T00:00:00"/>
    <s v="17:58(-07)"/>
    <s v="Monday"/>
    <s v="On Demand"/>
    <x v="6"/>
  </r>
  <r>
    <s v="2022-05-09 19:35 (-07)"/>
    <d v="2022-05-09T00:00:00"/>
    <s v="19:35(-07)"/>
    <s v="Monday"/>
    <s v="On Demand"/>
    <x v="8"/>
  </r>
  <r>
    <s v="2022-05-09 21:46 (PST)"/>
    <d v="2022-05-09T00:00:00"/>
    <s v="21:46(PST)"/>
    <s v="Monday"/>
    <s v="On Demand"/>
    <x v="23"/>
  </r>
  <r>
    <s v="2022-05-16 19:49 (-07)"/>
    <d v="2022-05-16T00:00:00"/>
    <s v="19:49(-07)"/>
    <s v="Monday"/>
    <s v="On Demand"/>
    <x v="37"/>
  </r>
  <r>
    <s v="2022-05-16 20:08 (-07)"/>
    <d v="2022-05-16T00:00:00"/>
    <s v="20:08(-07)"/>
    <s v="Monday"/>
    <s v="On Demand"/>
    <x v="1"/>
  </r>
  <r>
    <s v="2022-05-16 20:46 (PST)"/>
    <d v="2022-05-16T00:00:00"/>
    <s v="20:46(PST)"/>
    <s v="Monday"/>
    <s v="On Demand"/>
    <x v="8"/>
  </r>
  <r>
    <s v="2022-05-16 22:29 (PST)"/>
    <d v="2022-05-16T00:00:00"/>
    <s v="22:29(PST)"/>
    <s v="Monday"/>
    <s v="On Demand"/>
    <x v="13"/>
  </r>
  <r>
    <s v="2022-05-23 07:25 (PST)"/>
    <d v="2022-05-23T00:00:00"/>
    <s v="07:25(PST)"/>
    <s v="Monday"/>
    <s v="On Demand"/>
    <x v="16"/>
  </r>
  <r>
    <s v="2022-05-23 12:48 (PST)"/>
    <d v="2022-05-23T00:00:00"/>
    <s v="12:48(PST)"/>
    <s v="Monday"/>
    <s v="On Demand"/>
    <x v="40"/>
  </r>
  <r>
    <s v="2022-05-23 13:09 (PST)"/>
    <d v="2022-05-23T00:00:00"/>
    <s v="13:09(PST)"/>
    <s v="Monday"/>
    <s v="On Demand"/>
    <x v="43"/>
  </r>
  <r>
    <s v="2022-05-23 18:26 (-07)"/>
    <d v="2022-05-23T00:00:00"/>
    <s v="18:26(-07)"/>
    <s v="Monday"/>
    <s v="On Demand"/>
    <x v="6"/>
  </r>
  <r>
    <s v="2022-05-23 19:28 (-07)"/>
    <d v="2022-05-23T00:00:00"/>
    <s v="19:28(-07)"/>
    <s v="Monday"/>
    <s v="On Demand"/>
    <x v="21"/>
  </r>
  <r>
    <s v="2022-05-23 22:08 (PST)"/>
    <d v="2022-05-23T00:00:00"/>
    <s v="22:08(PST)"/>
    <s v="Monday"/>
    <s v="On Demand"/>
    <x v="23"/>
  </r>
  <r>
    <s v="2022-05-30 02:43 (PST)"/>
    <d v="2022-05-30T00:00:00"/>
    <s v="02:43(PST)"/>
    <s v="Monday"/>
    <s v="On Demand"/>
    <x v="25"/>
  </r>
  <r>
    <s v="2022-05-30 09:15 (PST)"/>
    <d v="2022-05-30T00:00:00"/>
    <s v="09:15(PST)"/>
    <s v="Monday"/>
    <s v="On Demand"/>
    <x v="16"/>
  </r>
  <r>
    <s v="2022-05-30 18:41 (-07)"/>
    <d v="2022-05-30T00:00:00"/>
    <s v="18:41(-07)"/>
    <s v="Monday"/>
    <s v="On Demand"/>
    <x v="6"/>
  </r>
  <r>
    <s v="2022-05-30 19:43 (-07)"/>
    <d v="2022-05-30T00:00:00"/>
    <s v="19:43(-07)"/>
    <s v="Monday"/>
    <s v="On Demand"/>
    <x v="5"/>
  </r>
  <r>
    <s v="2022-05-30 19:55 (-07)"/>
    <d v="2022-05-30T00:00:00"/>
    <s v="19:55(-07)"/>
    <s v="Monday"/>
    <s v="On Demand"/>
    <x v="37"/>
  </r>
  <r>
    <s v="2022-05-30 20:08 (-07)"/>
    <d v="2022-05-30T00:00:00"/>
    <s v="20:08(-07)"/>
    <s v="Monday"/>
    <s v="On Demand"/>
    <x v="1"/>
  </r>
  <r>
    <s v="2022-05-30 22:37 (PST)"/>
    <d v="2022-05-30T00:00:00"/>
    <s v="22:37(PST)"/>
    <s v="Monday"/>
    <s v="On Demand"/>
    <x v="28"/>
  </r>
  <r>
    <s v="2022-06-06 07:13 (PST)"/>
    <d v="2022-06-06T00:00:00"/>
    <s v="07:13(PST)"/>
    <s v="Monday"/>
    <s v="On Demand"/>
    <x v="7"/>
  </r>
  <r>
    <s v="2022-06-06 16:33 (PST)"/>
    <d v="2022-06-06T00:00:00"/>
    <s v="16:33(PST)"/>
    <s v="Monday"/>
    <s v="On Demand"/>
    <x v="2"/>
  </r>
  <r>
    <s v="2022-06-06 16:54 (PST)"/>
    <d v="2022-06-06T00:00:00"/>
    <s v="16:54(PST)"/>
    <s v="Monday"/>
    <m/>
    <x v="34"/>
  </r>
  <r>
    <s v="2022-06-06 17:56 (-07)"/>
    <d v="2022-06-06T00:00:00"/>
    <s v="17:56(-07)"/>
    <s v="Monday"/>
    <s v="On Demand"/>
    <x v="4"/>
  </r>
  <r>
    <s v="2022-06-06 18:07 (-07)"/>
    <d v="2022-06-06T00:00:00"/>
    <s v="18:07(-07)"/>
    <s v="Monday"/>
    <s v="On Demand"/>
    <x v="6"/>
  </r>
  <r>
    <s v="2022-06-06 18:40 (-07)"/>
    <d v="2022-06-06T00:00:00"/>
    <s v="18:40(-07)"/>
    <s v="Monday"/>
    <s v="On Demand"/>
    <x v="6"/>
  </r>
  <r>
    <s v="2022-06-06 22:39 (PST)"/>
    <d v="2022-06-06T00:00:00"/>
    <s v="22:39(PST)"/>
    <s v="Monday"/>
    <s v="On Demand"/>
    <x v="25"/>
  </r>
  <r>
    <s v="2022-06-13 07:08 (PST)"/>
    <d v="2022-06-13T00:00:00"/>
    <s v="07:08(PST)"/>
    <s v="Monday"/>
    <s v="On Demand"/>
    <x v="23"/>
  </r>
  <r>
    <s v="2022-06-13 17:09 (-07)"/>
    <d v="2022-06-13T00:00:00"/>
    <s v="17:09(-07)"/>
    <s v="Monday"/>
    <s v="On Demand"/>
    <x v="24"/>
  </r>
  <r>
    <s v="2022-06-13 17:27 (-07)"/>
    <d v="2022-06-13T00:00:00"/>
    <s v="17:27(-07)"/>
    <s v="Monday"/>
    <s v="On Demand"/>
    <x v="7"/>
  </r>
  <r>
    <s v="2022-06-13 18:14 (-07)"/>
    <d v="2022-06-13T00:00:00"/>
    <s v="18:14(-07)"/>
    <s v="Monday"/>
    <s v="On Demand"/>
    <x v="15"/>
  </r>
  <r>
    <s v="2022-06-13 18:28 (-07)"/>
    <d v="2022-06-13T00:00:00"/>
    <s v="18:28(-07)"/>
    <s v="Monday"/>
    <s v="On Demand"/>
    <x v="4"/>
  </r>
  <r>
    <s v="2022-06-13 22:06 (PST)"/>
    <d v="2022-06-13T00:00:00"/>
    <s v="22:06(PST)"/>
    <s v="Monday"/>
    <s v="On Demand"/>
    <x v="16"/>
  </r>
  <r>
    <s v="2022-06-20 01:46 (PST)"/>
    <d v="2022-06-20T00:00:00"/>
    <s v="01:46(PST)"/>
    <s v="Monday"/>
    <s v="On Demand"/>
    <x v="19"/>
  </r>
  <r>
    <s v="2022-06-20 02:08 (PST)"/>
    <d v="2022-06-20T00:00:00"/>
    <s v="02:08(PST)"/>
    <s v="Monday"/>
    <s v="On Demand"/>
    <x v="19"/>
  </r>
  <r>
    <s v="2022-06-20 07:08 (PST)"/>
    <d v="2022-06-20T00:00:00"/>
    <s v="07:08(PST)"/>
    <s v="Monday"/>
    <s v="On Demand"/>
    <x v="30"/>
  </r>
  <r>
    <s v="2022-06-20 15:51 (-07)"/>
    <d v="2022-06-20T00:00:00"/>
    <s v="15:51(-07)"/>
    <s v="Monday"/>
    <s v="On Demand"/>
    <x v="7"/>
  </r>
  <r>
    <s v="2022-06-20 16:37 (-07)"/>
    <d v="2022-06-20T00:00:00"/>
    <s v="16:37(-07)"/>
    <s v="Monday"/>
    <s v="On Demand"/>
    <x v="0"/>
  </r>
  <r>
    <s v="2022-06-20 16:46 (-07)"/>
    <d v="2022-06-20T00:00:00"/>
    <s v="16:46(-07)"/>
    <s v="Monday"/>
    <s v="On Demand"/>
    <x v="35"/>
  </r>
  <r>
    <s v="2022-06-20 16:58 (-07)"/>
    <d v="2022-06-20T00:00:00"/>
    <s v="16:58(-07)"/>
    <s v="Monday"/>
    <s v="On Demand"/>
    <x v="6"/>
  </r>
  <r>
    <s v="2022-06-20 22:05 (PST)"/>
    <d v="2022-06-20T00:00:00"/>
    <s v="22:05(PST)"/>
    <s v="Monday"/>
    <s v="On Demand"/>
    <x v="23"/>
  </r>
  <r>
    <s v="2022-06-27 07:47 (PST)"/>
    <d v="2022-06-27T00:00:00"/>
    <s v="07:47(PST)"/>
    <s v="Monday"/>
    <s v="On Demand"/>
    <x v="13"/>
  </r>
  <r>
    <s v="2022-06-27 18:42 (-07)"/>
    <d v="2022-06-27T00:00:00"/>
    <s v="18:42(-07)"/>
    <s v="Monday"/>
    <s v="On Demand"/>
    <x v="21"/>
  </r>
  <r>
    <s v="2022-06-27 19:00 (-07)"/>
    <d v="2022-06-27T00:00:00"/>
    <s v="19:00(-07)"/>
    <s v="Monday"/>
    <s v="On Demand"/>
    <x v="11"/>
  </r>
  <r>
    <s v="2022-06-27 19:21 (-07)"/>
    <d v="2022-06-27T00:00:00"/>
    <s v="19:21(-07)"/>
    <s v="Monday"/>
    <s v="On Demand"/>
    <x v="26"/>
  </r>
  <r>
    <s v="2022-06-27 19:33 (-07)"/>
    <d v="2022-06-27T00:00:00"/>
    <s v="19:33(-07)"/>
    <s v="Monday"/>
    <s v="On Demand"/>
    <x v="1"/>
  </r>
  <r>
    <s v="2022-06-27 22:41 (PST)"/>
    <d v="2022-06-27T00:00:00"/>
    <s v="22:41(PST)"/>
    <s v="Monday"/>
    <s v="On Demand"/>
    <x v="13"/>
  </r>
  <r>
    <s v="2022-07-04 11:42 (-07)"/>
    <d v="2022-07-04T00:00:00"/>
    <s v="11:42(-07)"/>
    <s v="Monday"/>
    <s v="On Demand"/>
    <x v="20"/>
  </r>
  <r>
    <s v="2022-07-04 11:55 (-07)"/>
    <d v="2022-07-04T00:00:00"/>
    <s v="11:55(-07)"/>
    <s v="Monday"/>
    <s v="On Demand"/>
    <x v="4"/>
  </r>
  <r>
    <s v="2022-07-04 12:41 (-07)"/>
    <d v="2022-07-04T00:00:00"/>
    <s v="12:41(-07)"/>
    <s v="Monday"/>
    <s v="On Demand"/>
    <x v="6"/>
  </r>
  <r>
    <s v="2022-07-04 13:42 (-07)"/>
    <d v="2022-07-04T00:00:00"/>
    <s v="13:42(-07)"/>
    <s v="Monday"/>
    <s v="On Demand"/>
    <x v="6"/>
  </r>
  <r>
    <s v="2022-07-04 13:47 (-07)"/>
    <d v="2022-07-04T00:00:00"/>
    <s v="13:47(-07)"/>
    <s v="Monday"/>
    <s v="On Demand"/>
    <x v="6"/>
  </r>
  <r>
    <s v="2022-07-11 07:13 (-07)"/>
    <d v="2022-07-11T00:00:00"/>
    <s v="07:13(-07)"/>
    <s v="Monday"/>
    <s v="On Demand"/>
    <x v="6"/>
  </r>
  <r>
    <s v="2022-07-11 08:13 (-07)"/>
    <d v="2022-07-11T00:00:00"/>
    <s v="08:13(-07)"/>
    <s v="Monday"/>
    <s v="On Demand"/>
    <x v="6"/>
  </r>
  <r>
    <s v="2022-07-11 08:19 (-07)"/>
    <d v="2022-07-11T00:00:00"/>
    <s v="08:19(-07)"/>
    <s v="Monday"/>
    <s v="On Demand"/>
    <x v="6"/>
  </r>
  <r>
    <s v="2022-07-11 23:57 (PST)"/>
    <d v="2022-07-11T00:00:00"/>
    <s v="23:57(PST)"/>
    <s v="Monday"/>
    <s v="On Demand"/>
    <x v="25"/>
  </r>
  <r>
    <s v="2022-07-18 07:48 (PST)"/>
    <d v="2022-07-18T00:00:00"/>
    <s v="07:48(PST)"/>
    <s v="Monday"/>
    <s v="On Demand"/>
    <x v="23"/>
  </r>
  <r>
    <s v="2022-07-18 13:38 (-07)"/>
    <d v="2022-07-18T00:00:00"/>
    <s v="13:38(-07)"/>
    <s v="Monday"/>
    <s v="On Demand"/>
    <x v="4"/>
  </r>
  <r>
    <s v="2022-07-18 14:24 (-07)"/>
    <d v="2022-07-18T00:00:00"/>
    <s v="14:24(-07)"/>
    <s v="Monday"/>
    <s v="On Demand"/>
    <x v="12"/>
  </r>
  <r>
    <s v="2022-07-18 14:30 (-07)"/>
    <d v="2022-07-18T00:00:00"/>
    <s v="14:30(-07)"/>
    <s v="Monday"/>
    <s v="On Demand"/>
    <x v="12"/>
  </r>
  <r>
    <s v="2022-07-18 22:18 (PST)"/>
    <d v="2022-07-18T00:00:00"/>
    <s v="22:18(PST)"/>
    <s v="Monday"/>
    <s v="On Demand"/>
    <x v="25"/>
  </r>
  <r>
    <s v="2022-07-25 03:48 (PST)"/>
    <d v="2022-07-25T00:00:00"/>
    <s v="03:48(PST)"/>
    <s v="Monday"/>
    <s v="On Demand"/>
    <x v="28"/>
  </r>
  <r>
    <s v="2022-07-25 22:34 (PST)"/>
    <d v="2022-07-25T00:00:00"/>
    <s v="22:34(PST)"/>
    <s v="Monday"/>
    <s v="On Demand"/>
    <x v="23"/>
  </r>
  <r>
    <s v="2022-08-01 17:20 (-07)"/>
    <d v="2022-08-01T00:00:00"/>
    <s v="17:20(-07)"/>
    <s v="Monday"/>
    <s v="On Demand"/>
    <x v="12"/>
  </r>
  <r>
    <s v="2022-08-01 17:37 (-07)"/>
    <d v="2022-08-01T00:00:00"/>
    <s v="17:37(-07)"/>
    <s v="Monday"/>
    <s v="On Demand"/>
    <x v="24"/>
  </r>
  <r>
    <s v="2022-08-01 17:54 (-07)"/>
    <d v="2022-08-01T00:00:00"/>
    <s v="17:54(-07)"/>
    <s v="Monday"/>
    <s v="On Demand"/>
    <x v="6"/>
  </r>
  <r>
    <s v="2022-08-01 18:35 (PST)"/>
    <d v="2022-08-01T00:00:00"/>
    <s v="18:35(PST)"/>
    <s v="Monday"/>
    <s v="On Demand"/>
    <x v="13"/>
  </r>
  <r>
    <s v="2022-08-01 22:45 (PST)"/>
    <d v="2022-08-01T00:00:00"/>
    <s v="22:45(PST)"/>
    <s v="Monday"/>
    <s v="On Demand"/>
    <x v="25"/>
  </r>
  <r>
    <s v="2022-08-08 07:51 (PST)"/>
    <d v="2022-08-08T00:00:00"/>
    <s v="07:51(PST)"/>
    <s v="Monday"/>
    <s v="On Demand"/>
    <x v="16"/>
  </r>
  <r>
    <s v="2022-08-08 22:13 (PST)"/>
    <d v="2022-08-08T00:00:00"/>
    <s v="22:13(PST)"/>
    <s v="Monday"/>
    <s v="On Demand"/>
    <x v="23"/>
  </r>
  <r>
    <s v="2022-08-15 07:20 (PST)"/>
    <d v="2022-08-15T00:00:00"/>
    <s v="07:20(PST)"/>
    <s v="Monday"/>
    <s v="On Demand"/>
    <x v="7"/>
  </r>
  <r>
    <s v="2022-08-15 17:44 (-07)"/>
    <d v="2022-08-15T00:00:00"/>
    <s v="17:44(-07)"/>
    <s v="Monday"/>
    <s v="On Demand"/>
    <x v="7"/>
  </r>
  <r>
    <s v="2022-08-15 22:42 (PST)"/>
    <d v="2022-08-15T00:00:00"/>
    <s v="22:42(PST)"/>
    <s v="Monday"/>
    <s v="On Demand"/>
    <x v="13"/>
  </r>
  <r>
    <s v="2022-08-22 11:46 (PST)"/>
    <d v="2022-08-22T00:00:00"/>
    <s v="11:46(PST)"/>
    <s v="Monday"/>
    <s v="On Demand"/>
    <x v="7"/>
  </r>
  <r>
    <s v="2022-08-22 17:40 (-07)"/>
    <d v="2022-08-22T00:00:00"/>
    <s v="17:40(-07)"/>
    <s v="Monday"/>
    <s v="On Demand"/>
    <x v="6"/>
  </r>
  <r>
    <s v="2022-08-22 18:43 (-07)"/>
    <d v="2022-08-22T00:00:00"/>
    <s v="18:43(-07)"/>
    <s v="Monday"/>
    <s v="On Demand"/>
    <x v="9"/>
  </r>
  <r>
    <s v="2022-08-22 18:53 (-07)"/>
    <d v="2022-08-22T00:00:00"/>
    <s v="18:53(-07)"/>
    <s v="Monday"/>
    <s v="On Demand"/>
    <x v="6"/>
  </r>
  <r>
    <s v="2022-08-22 22:30 (PST)"/>
    <d v="2022-08-22T00:00:00"/>
    <s v="22:30(PST)"/>
    <s v="Monday"/>
    <s v="On Demand"/>
    <x v="25"/>
  </r>
  <r>
    <s v="2022-08-29 07:39 (PST)"/>
    <d v="2022-08-29T00:00:00"/>
    <s v="07:39(PST)"/>
    <s v="Monday"/>
    <s v="On Demand"/>
    <x v="23"/>
  </r>
  <r>
    <s v="2022-08-29 08:12 (PST)"/>
    <d v="2022-08-29T00:00:00"/>
    <s v="08:12(PST)"/>
    <s v="Monday"/>
    <s v="On Demand"/>
    <x v="8"/>
  </r>
  <r>
    <s v="2022-08-29 11:36 (PST)"/>
    <d v="2022-08-29T00:00:00"/>
    <s v="11:36(PST)"/>
    <s v="Monday"/>
    <s v="On Demand"/>
    <x v="31"/>
  </r>
  <r>
    <s v="2022-08-29 11:56 (PST)"/>
    <d v="2022-08-29T00:00:00"/>
    <s v="11:56(PST)"/>
    <s v="Monday"/>
    <s v="On Demand"/>
    <x v="44"/>
  </r>
  <r>
    <s v="2022-08-29 22:14 (PST)"/>
    <d v="2022-08-29T00:00:00"/>
    <s v="22:14(PST)"/>
    <s v="Monday"/>
    <s v="On Demand"/>
    <x v="23"/>
  </r>
  <r>
    <s v="2022-09-05 16:51 (-07)"/>
    <d v="2022-09-05T00:00:00"/>
    <s v="16:51(-07)"/>
    <s v="Monday"/>
    <s v="On Demand"/>
    <x v="29"/>
  </r>
  <r>
    <s v="2022-09-05 16:56 (-07)"/>
    <d v="2022-09-05T00:00:00"/>
    <s v="16:56(-07)"/>
    <s v="Monday"/>
    <s v="On Demand"/>
    <x v="7"/>
  </r>
  <r>
    <s v="2022-09-05 17:42 (-07)"/>
    <d v="2022-09-05T00:00:00"/>
    <s v="17:42(-07)"/>
    <s v="Monday"/>
    <s v="On Demand"/>
    <x v="45"/>
  </r>
  <r>
    <s v="2022-09-05 17:54 (-07)"/>
    <d v="2022-09-05T00:00:00"/>
    <s v="17:54(-07)"/>
    <s v="Monday"/>
    <s v="On Demand"/>
    <x v="35"/>
  </r>
  <r>
    <s v="2022-09-05 17:59 (-07)"/>
    <d v="2022-09-05T00:00:00"/>
    <s v="17:59(-07)"/>
    <s v="Monday"/>
    <s v="On Demand"/>
    <x v="22"/>
  </r>
  <r>
    <s v="2022-09-05 21:54 (PST)"/>
    <d v="2022-09-05T00:00:00"/>
    <s v="21:54(PST)"/>
    <s v="Monday"/>
    <s v="On Demand"/>
    <x v="16"/>
  </r>
  <r>
    <s v="2022-09-12 07:49 (PST)"/>
    <d v="2022-09-12T00:00:00"/>
    <s v="07:49(PST)"/>
    <s v="Monday"/>
    <s v="On Demand"/>
    <x v="28"/>
  </r>
  <r>
    <s v="2022-09-12 17:39 (-07)"/>
    <d v="2022-09-12T00:00:00"/>
    <s v="17:39(-07)"/>
    <s v="Monday"/>
    <s v="On Demand"/>
    <x v="7"/>
  </r>
  <r>
    <s v="2022-09-12 18:25 (-07)"/>
    <d v="2022-09-12T00:00:00"/>
    <s v="18:25(-07)"/>
    <s v="Monday"/>
    <s v="On Demand"/>
    <x v="7"/>
  </r>
  <r>
    <s v="2022-09-12 22:31 (PST)"/>
    <d v="2022-09-12T00:00:00"/>
    <s v="22:31(PST)"/>
    <s v="Monday"/>
    <s v="On Demand"/>
    <x v="13"/>
  </r>
  <r>
    <s v="2022-09-19 07:29 (PST)"/>
    <d v="2022-09-19T00:00:00"/>
    <s v="07:29(PST)"/>
    <s v="Monday"/>
    <s v="On Demand"/>
    <x v="16"/>
  </r>
  <r>
    <s v="2022-09-26 00:35 (PST)"/>
    <d v="2022-09-26T00:00:00"/>
    <s v="00:35(PST)"/>
    <s v="Monday"/>
    <s v="On Demand"/>
    <x v="13"/>
  </r>
  <r>
    <s v="2022-09-26 06:47 (-07)"/>
    <d v="2022-09-26T00:00:00"/>
    <s v="06:47(-07)"/>
    <s v="Monday"/>
    <s v="On Demand"/>
    <x v="6"/>
  </r>
  <r>
    <s v="2022-09-26 07:49 (-07)"/>
    <d v="2022-09-26T00:00:00"/>
    <s v="07:49(-07)"/>
    <s v="Monday"/>
    <s v="On Demand"/>
    <x v="29"/>
  </r>
  <r>
    <s v="2022-09-26 07:59 (-07)"/>
    <d v="2022-09-26T00:00:00"/>
    <s v="07:59(-07)"/>
    <s v="Monday"/>
    <s v="On Demand"/>
    <x v="29"/>
  </r>
  <r>
    <s v="2022-09-26 22:34 (PST)"/>
    <d v="2022-09-26T00:00:00"/>
    <s v="22:34(PST)"/>
    <s v="Monday"/>
    <s v="On Demand"/>
    <x v="28"/>
  </r>
  <r>
    <s v="2022-10-03 07:50 (PST)"/>
    <d v="2022-10-03T00:00:00"/>
    <s v="07:50(PST)"/>
    <s v="Monday"/>
    <s v="On Demand"/>
    <x v="13"/>
  </r>
  <r>
    <s v="2022-10-03 16:16 (-07)"/>
    <d v="2022-10-03T00:00:00"/>
    <s v="16:16(-07)"/>
    <s v="Monday"/>
    <s v="On Demand"/>
    <x v="6"/>
  </r>
  <r>
    <s v="2022-10-03 17:52 (-07)"/>
    <d v="2022-10-03T00:00:00"/>
    <s v="17:52(-07)"/>
    <s v="Monday"/>
    <s v="On Demand"/>
    <x v="8"/>
  </r>
  <r>
    <s v="2022-10-03 22:37 (PST)"/>
    <d v="2022-10-03T00:00:00"/>
    <s v="22:37(PST)"/>
    <s v="Monday"/>
    <s v="On Demand"/>
    <x v="23"/>
  </r>
  <r>
    <s v="2022-10-10 07:25 (PST)"/>
    <d v="2022-10-10T00:00:00"/>
    <s v="07:25(PST)"/>
    <s v="Monday"/>
    <s v="On Demand"/>
    <x v="16"/>
  </r>
  <r>
    <s v="2022-10-10 17:21 (-07)"/>
    <d v="2022-10-10T00:00:00"/>
    <s v="17:21(-07)"/>
    <s v="Monday"/>
    <s v="On Demand"/>
    <x v="4"/>
  </r>
  <r>
    <s v="2022-10-10 18:07 (-07)"/>
    <d v="2022-10-10T00:00:00"/>
    <s v="18:07(-07)"/>
    <s v="Monday"/>
    <s v="On Demand"/>
    <x v="29"/>
  </r>
  <r>
    <s v="2022-10-10 18:17 (-07)"/>
    <d v="2022-10-10T00:00:00"/>
    <s v="18:17(-07)"/>
    <s v="Monday"/>
    <s v="On Demand"/>
    <x v="24"/>
  </r>
  <r>
    <s v="2022-10-10 22:02 (PST)"/>
    <d v="2022-10-10T00:00:00"/>
    <s v="22:02(PST)"/>
    <s v="Monday"/>
    <s v="On Demand"/>
    <x v="19"/>
  </r>
  <r>
    <s v="2022-10-17 05:48 (-07)"/>
    <d v="2022-10-17T00:00:00"/>
    <s v="05:48(-07)"/>
    <s v="Monday"/>
    <s v="On Demand"/>
    <x v="0"/>
  </r>
  <r>
    <s v="2022-10-17 05:53 (-07)"/>
    <d v="2022-10-17T00:00:00"/>
    <s v="05:53(-07)"/>
    <s v="Monday"/>
    <s v="On Demand"/>
    <x v="18"/>
  </r>
  <r>
    <s v="2022-10-17 06:00 (-07)"/>
    <d v="2022-10-17T00:00:00"/>
    <s v="06:00(-07)"/>
    <s v="Monday"/>
    <s v="Live"/>
    <x v="6"/>
  </r>
  <r>
    <s v="2022-10-17 07:01 (-07)"/>
    <d v="2022-10-17T00:00:00"/>
    <s v="07:01(-07)"/>
    <s v="Monday"/>
    <s v="On Demand"/>
    <x v="29"/>
  </r>
  <r>
    <s v="2022-10-17 21:50 (PST)"/>
    <d v="2022-10-17T00:00:00"/>
    <s v="21:50(PST)"/>
    <s v="Monday"/>
    <s v="On Demand"/>
    <x v="16"/>
  </r>
  <r>
    <s v="2022-10-24 03:13 (PST)"/>
    <d v="2022-10-24T00:00:00"/>
    <s v="03:13(PST)"/>
    <s v="Monday"/>
    <s v="On Demand"/>
    <x v="25"/>
  </r>
  <r>
    <s v="2022-10-24 07:21 (PST)"/>
    <d v="2022-10-24T00:00:00"/>
    <s v="07:21(PST)"/>
    <s v="Monday"/>
    <s v="On Demand"/>
    <x v="7"/>
  </r>
  <r>
    <s v="2022-10-24 10:28 (PST)"/>
    <d v="2022-10-24T00:00:00"/>
    <s v="10:28(PST)"/>
    <s v="Monday"/>
    <s v="On Demand"/>
    <x v="40"/>
  </r>
  <r>
    <s v="2022-10-24 10:38 (PST)"/>
    <d v="2022-10-24T00:00:00"/>
    <s v="10:38(PST)"/>
    <s v="Monday"/>
    <s v="On Demand"/>
    <x v="5"/>
  </r>
  <r>
    <s v="2022-10-24 17:52 (-07)"/>
    <d v="2022-10-24T00:00:00"/>
    <s v="17:52(-07)"/>
    <s v="Monday"/>
    <s v="On Demand"/>
    <x v="7"/>
  </r>
  <r>
    <s v="2022-10-24 18:44 (-07)"/>
    <d v="2022-10-24T00:00:00"/>
    <s v="18:44(-07)"/>
    <s v="Monday"/>
    <s v="On Demand"/>
    <x v="24"/>
  </r>
  <r>
    <s v="2022-10-24 22:35 (PST)"/>
    <d v="2022-10-24T00:00:00"/>
    <s v="22:35(PST)"/>
    <s v="Monday"/>
    <s v="On Demand"/>
    <x v="19"/>
  </r>
  <r>
    <s v="2022-10-31 20:15 (GMT)"/>
    <d v="2022-10-31T00:00:00"/>
    <s v="20:15(GMT)"/>
    <s v="Monday"/>
    <s v="On Demand"/>
    <x v="24"/>
  </r>
  <r>
    <s v="2022-10-31 20:27 (GMT)"/>
    <d v="2022-10-31T00:00:00"/>
    <s v="20:27(GMT)"/>
    <s v="Monday"/>
    <s v="On Demand"/>
    <x v="23"/>
  </r>
  <r>
    <s v="2022-11-14 04:57 (EST)"/>
    <d v="2022-11-14T00:00:00"/>
    <s v="04:57(EST)"/>
    <s v="Monday"/>
    <s v="On Demand"/>
    <x v="25"/>
  </r>
  <r>
    <s v="2022-11-14 10:54 (-05)"/>
    <d v="2022-11-14T00:00:00"/>
    <s v="10:54(-05)"/>
    <s v="Monday"/>
    <s v="On Demand"/>
    <x v="6"/>
  </r>
  <r>
    <s v="2022-11-14 11:25 (-05)"/>
    <d v="2022-11-14T00:00:00"/>
    <s v="11:25(-05)"/>
    <s v="Monday"/>
    <s v="On Demand"/>
    <x v="6"/>
  </r>
  <r>
    <s v="2022-11-21 07:44 (PST)"/>
    <d v="2022-11-21T00:00:00"/>
    <s v="07:44(PST)"/>
    <s v="Monday"/>
    <s v="On Demand"/>
    <x v="16"/>
  </r>
  <r>
    <s v="2022-11-21 15:31 (PST)"/>
    <d v="2022-11-21T00:00:00"/>
    <s v="15:31(PST)"/>
    <s v="Monday"/>
    <s v="On Demand"/>
    <x v="15"/>
  </r>
  <r>
    <s v="2022-11-21 15:51 (PST)"/>
    <d v="2022-11-21T00:00:00"/>
    <s v="15:51(PST)"/>
    <s v="Monday"/>
    <s v="On Demand"/>
    <x v="37"/>
  </r>
  <r>
    <s v="2022-11-21 22:15 (PST)"/>
    <d v="2022-11-21T00:00:00"/>
    <s v="22:15(PST)"/>
    <s v="Monday"/>
    <s v="On Demand"/>
    <x v="28"/>
  </r>
  <r>
    <s v="2022-11-28 22:12 (PST)"/>
    <d v="2022-11-28T00:00:00"/>
    <s v="22:12(PST)"/>
    <s v="Monday"/>
    <s v="On Demand"/>
    <x v="19"/>
  </r>
  <r>
    <s v="2022-12-05 07:23 (PST)"/>
    <d v="2022-12-05T00:00:00"/>
    <s v="07:23(PST)"/>
    <s v="Monday"/>
    <s v="On Demand"/>
    <x v="7"/>
  </r>
  <r>
    <s v="2022-12-05 15:49 (-08)"/>
    <d v="2022-12-05T00:00:00"/>
    <s v="15:49(-08)"/>
    <s v="Monday"/>
    <s v="On Demand"/>
    <x v="31"/>
  </r>
  <r>
    <s v="2022-12-05 16:06 (-08)"/>
    <d v="2022-12-05T00:00:00"/>
    <s v="16:06(-08)"/>
    <s v="Monday"/>
    <s v="On Demand"/>
    <x v="6"/>
  </r>
  <r>
    <s v="2022-12-05 17:08 (-08)"/>
    <d v="2022-12-05T00:00:00"/>
    <s v="17:08(-08)"/>
    <s v="Monday"/>
    <s v="On Demand"/>
    <x v="15"/>
  </r>
  <r>
    <s v="2022-12-12 09:08 (-05)"/>
    <d v="2022-12-12T00:00:00"/>
    <s v="09:08(-05)"/>
    <s v="Monday"/>
    <s v="On Demand"/>
    <x v="29"/>
  </r>
  <r>
    <s v="2022-12-12 09:15 (-05)"/>
    <d v="2022-12-12T00:00:00"/>
    <s v="09:15(-05)"/>
    <s v="Monday"/>
    <s v="On Demand"/>
    <x v="6"/>
  </r>
  <r>
    <s v="2022-12-12 10:01 (-05)"/>
    <d v="2022-12-12T00:00:00"/>
    <s v="10:01(-05)"/>
    <s v="Monday"/>
    <s v="On Demand"/>
    <x v="29"/>
  </r>
  <r>
    <s v="2022-12-12 10:13 (-05)"/>
    <d v="2022-12-12T00:00:00"/>
    <s v="10:13(-05)"/>
    <s v="Monday"/>
    <s v="On Demand"/>
    <x v="4"/>
  </r>
  <r>
    <s v="2022-12-12 15:00 (EST)"/>
    <d v="2022-12-12T00:00:00"/>
    <s v="15:00(EST)"/>
    <s v="Monday"/>
    <s v="On Demand"/>
    <x v="13"/>
  </r>
  <r>
    <s v="2022-12-12 22:40 (EST)"/>
    <d v="2022-12-12T00:00:00"/>
    <s v="22:40(EST)"/>
    <s v="Monday"/>
    <s v="On Demand"/>
    <x v="28"/>
  </r>
  <r>
    <s v="2022-12-19 09:13 (-05)"/>
    <d v="2022-12-19T00:00:00"/>
    <s v="09:13(-05)"/>
    <s v="Monday"/>
    <s v="On Demand"/>
    <x v="10"/>
  </r>
  <r>
    <s v="2022-12-19 09:22 (-05)"/>
    <d v="2022-12-19T00:00:00"/>
    <s v="09:22(-05)"/>
    <s v="Monday"/>
    <s v="On Demand"/>
    <x v="7"/>
  </r>
  <r>
    <s v="2022-12-19 10:08 (-05)"/>
    <d v="2022-12-19T00:00:00"/>
    <s v="10:08(-05)"/>
    <s v="Monday"/>
    <s v="On Demand"/>
    <x v="18"/>
  </r>
  <r>
    <s v="2022-12-19 10:15 (-05)"/>
    <d v="2022-12-19T00:00:00"/>
    <s v="10:15(-05)"/>
    <s v="Monday"/>
    <s v="On Demand"/>
    <x v="12"/>
  </r>
  <r>
    <s v="2022-12-19 10:32 (EST)"/>
    <d v="2022-12-19T00:00:00"/>
    <s v="10:32(EST)"/>
    <s v="Monday"/>
    <s v="On Demand"/>
    <x v="24"/>
  </r>
  <r>
    <s v="2022-12-26 11:01 (-08)"/>
    <d v="2022-12-26T00:00:00"/>
    <s v="11:01(-08)"/>
    <s v="Monday"/>
    <s v="On Demand"/>
    <x v="6"/>
  </r>
  <r>
    <s v="2022-12-26 11:48 (-08)"/>
    <d v="2022-12-26T00:00:00"/>
    <s v="11:48(-08)"/>
    <s v="Monday"/>
    <s v="On Demand"/>
    <x v="6"/>
  </r>
  <r>
    <s v="2022-12-26 12:06 (-08)"/>
    <d v="2022-12-26T00:00:00"/>
    <s v="12:06(-08)"/>
    <s v="Monday"/>
    <s v="On Demand"/>
    <x v="31"/>
  </r>
  <r>
    <s v="2022-12-26 22:58 (PST)"/>
    <d v="2022-12-26T00:00:00"/>
    <s v="22:58(PST)"/>
    <s v="Monday"/>
    <s v="On Demand"/>
    <x v="25"/>
  </r>
  <r>
    <s v="2023-01-02 10:45 (PST)"/>
    <d v="2023-01-02T00:00:00"/>
    <s v="10:45(PST)"/>
    <s v="Monday"/>
    <s v="On Demand"/>
    <x v="13"/>
  </r>
  <r>
    <s v="2023-01-02 12:57 (-08)"/>
    <d v="2023-01-02T00:00:00"/>
    <s v="12:57(-08)"/>
    <s v="Monday"/>
    <s v="On Demand"/>
    <x v="46"/>
  </r>
  <r>
    <s v="2023-01-02 13:48 (-08)"/>
    <d v="2023-01-02T00:00:00"/>
    <s v="13:48(-08)"/>
    <s v="Monday"/>
    <s v="On Demand"/>
    <x v="20"/>
  </r>
  <r>
    <s v="2023-01-02 22:30 (PST)"/>
    <d v="2023-01-02T00:00:00"/>
    <s v="22:30(PST)"/>
    <s v="Monday"/>
    <s v="On Demand"/>
    <x v="25"/>
  </r>
  <r>
    <s v="2023-01-09 03:50 (PST)"/>
    <d v="2023-01-09T00:00:00"/>
    <s v="03:50(PST)"/>
    <s v="Monday"/>
    <s v="On Demand"/>
    <x v="23"/>
  </r>
  <r>
    <s v="2023-01-09 10:45 (PST)"/>
    <d v="2023-01-09T00:00:00"/>
    <s v="10:45(PST)"/>
    <s v="Monday"/>
    <s v="On Demand"/>
    <x v="23"/>
  </r>
  <r>
    <s v="2023-01-09 11:59 (PST)"/>
    <d v="2023-01-09T00:00:00"/>
    <s v="11:59(PST)"/>
    <s v="Monday"/>
    <s v="On Demand"/>
    <x v="2"/>
  </r>
  <r>
    <s v="2023-01-09 12:09 (PST)"/>
    <d v="2023-01-09T00:00:00"/>
    <s v="12:09(PST)"/>
    <s v="Monday"/>
    <s v="On Demand"/>
    <x v="15"/>
  </r>
  <r>
    <s v="2023-01-09 12:24 (PST)"/>
    <d v="2023-01-09T00:00:00"/>
    <s v="12:24(PST)"/>
    <s v="Monday"/>
    <s v="On Demand"/>
    <x v="3"/>
  </r>
  <r>
    <s v="2023-01-09 17:20 (-08)"/>
    <d v="2023-01-09T00:00:00"/>
    <s v="17:20(-08)"/>
    <s v="Monday"/>
    <s v="On Demand"/>
    <x v="7"/>
  </r>
  <r>
    <s v="2023-01-09 17:54 (-08)"/>
    <d v="2023-01-09T00:00:00"/>
    <s v="17:54(-08)"/>
    <s v="Monday"/>
    <s v="On Demand"/>
    <x v="11"/>
  </r>
  <r>
    <s v="2023-01-09 18:26 (-08)"/>
    <d v="2023-01-09T00:00:00"/>
    <s v="18:26(-08)"/>
    <s v="Monday"/>
    <s v="On Demand"/>
    <x v="26"/>
  </r>
  <r>
    <s v="2023-01-09 21:13 (PST)"/>
    <d v="2023-01-09T00:00:00"/>
    <s v="21:13(PST)"/>
    <s v="Monday"/>
    <s v="On Demand"/>
    <x v="23"/>
  </r>
  <r>
    <s v="2023-01-16 11:33 (PST)"/>
    <d v="2023-01-16T00:00:00"/>
    <s v="11:33(PST)"/>
    <s v="Monday"/>
    <s v="On Demand"/>
    <x v="16"/>
  </r>
  <r>
    <s v="2023-01-16 22:35 (PST)"/>
    <d v="2023-01-16T00:00:00"/>
    <s v="22:35(PST)"/>
    <s v="Monday"/>
    <s v="On Demand"/>
    <x v="28"/>
  </r>
  <r>
    <s v="2023-01-23 14:44 (PST)"/>
    <d v="2023-01-23T00:00:00"/>
    <s v="14:44(PST)"/>
    <s v="Monday"/>
    <s v="On Demand"/>
    <x v="43"/>
  </r>
  <r>
    <s v="2023-01-23 15:15 (PST)"/>
    <d v="2023-01-23T00:00:00"/>
    <s v="15:15(PST)"/>
    <s v="Monday"/>
    <m/>
    <x v="34"/>
  </r>
  <r>
    <s v="2023-01-23 16:26 (-08)"/>
    <d v="2023-01-23T00:00:00"/>
    <s v="16:26(-08)"/>
    <s v="Monday"/>
    <s v="On Demand"/>
    <x v="21"/>
  </r>
  <r>
    <s v="2023-01-23 17:03 (PST)"/>
    <d v="2023-01-23T00:00:00"/>
    <s v="17:03(PST)"/>
    <s v="Monday"/>
    <s v="On Demand"/>
    <x v="31"/>
  </r>
  <r>
    <s v="2023-01-30 00:33 (EST)"/>
    <d v="2023-01-30T00:00:00"/>
    <s v="00:33(EST)"/>
    <s v="Monday"/>
    <s v="On Demand"/>
    <x v="23"/>
  </r>
  <r>
    <s v="2023-01-30 23:01 (EST)"/>
    <d v="2023-01-30T00:00:00"/>
    <s v="23:01(EST)"/>
    <s v="Monday"/>
    <s v="On Demand"/>
    <x v="19"/>
  </r>
  <r>
    <s v="2023-02-06 10:00 (-05)"/>
    <d v="2023-02-06T00:00:00"/>
    <s v="10:00(-05)"/>
    <s v="Monday"/>
    <s v="On Demand"/>
    <x v="11"/>
  </r>
  <r>
    <s v="2023-02-06 10:34 (-05)"/>
    <d v="2023-02-06T00:00:00"/>
    <s v="10:34(-05)"/>
    <s v="Monday"/>
    <s v="On Demand"/>
    <x v="20"/>
  </r>
  <r>
    <s v="2023-02-06 23:31 (EST)"/>
    <d v="2023-02-06T00:00:00"/>
    <s v="23:31(EST)"/>
    <s v="Monday"/>
    <s v="On Demand"/>
    <x v="19"/>
  </r>
  <r>
    <s v="2023-02-13 15:39 (PST)"/>
    <d v="2023-02-13T00:00:00"/>
    <s v="15:39(PST)"/>
    <s v="Monday"/>
    <s v="On Demand"/>
    <x v="8"/>
  </r>
  <r>
    <s v="2023-02-13 22:15 (PST)"/>
    <d v="2023-02-13T00:00:00"/>
    <s v="22:15(PST)"/>
    <s v="Monday"/>
    <s v="On Demand"/>
    <x v="25"/>
  </r>
  <r>
    <s v="2023-02-13 22:25 (PST)"/>
    <d v="2023-02-13T00:00:00"/>
    <s v="22:25(PST)"/>
    <s v="Monday"/>
    <s v="On Demand"/>
    <x v="13"/>
  </r>
  <r>
    <s v="2023-02-20 11:42 (-08)"/>
    <d v="2023-02-20T00:00:00"/>
    <s v="11:42(-08)"/>
    <s v="Monday"/>
    <s v="On Demand"/>
    <x v="6"/>
  </r>
  <r>
    <s v="2023-02-20 12:43 (-08)"/>
    <d v="2023-02-20T00:00:00"/>
    <s v="12:43(-08)"/>
    <s v="Monday"/>
    <s v="On Demand"/>
    <x v="29"/>
  </r>
  <r>
    <s v="2023-02-20 12:49 (-08)"/>
    <d v="2023-02-20T00:00:00"/>
    <s v="12:49(-08)"/>
    <s v="Monday"/>
    <s v="On Demand"/>
    <x v="29"/>
  </r>
  <r>
    <s v="2023-02-20 22:21 (PST)"/>
    <d v="2023-02-20T00:00:00"/>
    <s v="22:21(PST)"/>
    <s v="Monday"/>
    <s v="On Demand"/>
    <x v="23"/>
  </r>
  <r>
    <s v="2023-02-27 12:53 (PST)"/>
    <d v="2023-02-27T00:00:00"/>
    <s v="12:53(PST)"/>
    <s v="Monday"/>
    <m/>
    <x v="34"/>
  </r>
  <r>
    <s v="2023-02-27 13:53 (-08)"/>
    <d v="2023-02-27T00:00:00"/>
    <s v="13:53(-08)"/>
    <s v="Monday"/>
    <s v="On Demand"/>
    <x v="24"/>
  </r>
  <r>
    <s v="2023-02-27 14:05 (-08)"/>
    <d v="2023-02-27T00:00:00"/>
    <s v="14:05(-08)"/>
    <s v="Monday"/>
    <s v="On Demand"/>
    <x v="6"/>
  </r>
  <r>
    <s v="2023-02-27 15:07 (-08)"/>
    <d v="2023-02-27T00:00:00"/>
    <s v="15:07(-08)"/>
    <s v="Monday"/>
    <s v="On Demand"/>
    <x v="0"/>
  </r>
  <r>
    <s v="2023-02-27 23:02 (PST)"/>
    <d v="2023-02-27T00:00:00"/>
    <s v="23:02(PST)"/>
    <s v="Monday"/>
    <s v="On Demand"/>
    <x v="25"/>
  </r>
  <r>
    <s v="2023-03-06 10:25 (-08)"/>
    <d v="2023-03-06T00:00:00"/>
    <s v="10:25(-08)"/>
    <s v="Monday"/>
    <s v="On Demand"/>
    <x v="31"/>
  </r>
  <r>
    <s v="2023-03-06 10:43 (-08)"/>
    <d v="2023-03-06T00:00:00"/>
    <s v="10:43(-08)"/>
    <s v="Monday"/>
    <s v="On Demand"/>
    <x v="7"/>
  </r>
  <r>
    <s v="2023-03-06 11:30 (-08)"/>
    <d v="2023-03-06T00:00:00"/>
    <s v="11:30(-08)"/>
    <s v="Monday"/>
    <s v="On Demand"/>
    <x v="29"/>
  </r>
  <r>
    <s v="2023-03-06 22:22 (PST)"/>
    <d v="2023-03-06T00:00:00"/>
    <s v="22:22(PST)"/>
    <s v="Monday"/>
    <s v="On Demand"/>
    <x v="28"/>
  </r>
  <r>
    <s v="2023-03-13 07:20 (PST)"/>
    <d v="2023-03-13T00:00:00"/>
    <s v="07:20(PST)"/>
    <s v="Monday"/>
    <s v="On Demand"/>
    <x v="23"/>
  </r>
  <r>
    <s v="2023-03-13 15:34 (-07)"/>
    <d v="2023-03-13T00:00:00"/>
    <s v="15:34(-07)"/>
    <s v="Monday"/>
    <s v="On Demand"/>
    <x v="31"/>
  </r>
  <r>
    <s v="2023-03-13 15:58 (-07)"/>
    <d v="2023-03-13T00:00:00"/>
    <s v="15:58(-07)"/>
    <s v="Monday"/>
    <s v="On Demand"/>
    <x v="6"/>
  </r>
  <r>
    <s v="2023-03-13 16:43 (-07)"/>
    <d v="2023-03-13T00:00:00"/>
    <s v="16:43(-07)"/>
    <s v="Monday"/>
    <s v="On Demand"/>
    <x v="10"/>
  </r>
  <r>
    <s v="2023-03-13 17:15 (-07)"/>
    <d v="2023-03-13T00:00:00"/>
    <s v="17:15(-07)"/>
    <s v="Monday"/>
    <s v="On Demand"/>
    <x v="18"/>
  </r>
  <r>
    <s v="2023-03-13 23:05 (PST)"/>
    <d v="2023-03-13T00:00:00"/>
    <s v="23:05(PST)"/>
    <s v="Monday"/>
    <s v="On Demand"/>
    <x v="19"/>
  </r>
  <r>
    <s v="2023-03-27 06:08 (EST)"/>
    <d v="2023-03-27T00:00:00"/>
    <s v="06:08(EST)"/>
    <s v="Monday"/>
    <s v="On Demand"/>
    <x v="28"/>
  </r>
  <r>
    <s v="2023-03-27 19:53 (PST)"/>
    <d v="2023-03-27T00:00:00"/>
    <s v="19:53(PST)"/>
    <s v="Monday"/>
    <s v="On Demand"/>
    <x v="28"/>
  </r>
  <r>
    <s v="2023-04-03 06:19 (PST)"/>
    <d v="2023-04-03T00:00:00"/>
    <s v="06:19(PST)"/>
    <s v="Monday"/>
    <s v="On Demand"/>
    <x v="13"/>
  </r>
  <r>
    <s v="2023-04-03 15:35 (-07)"/>
    <d v="2023-04-03T00:00:00"/>
    <s v="15:35(-07)"/>
    <s v="Monday"/>
    <s v="On Demand"/>
    <x v="9"/>
  </r>
  <r>
    <s v="2023-04-03 16:23 (-07)"/>
    <d v="2023-04-03T00:00:00"/>
    <s v="16:23(-07)"/>
    <s v="Monday"/>
    <s v="On Demand"/>
    <x v="24"/>
  </r>
  <r>
    <s v="2023-04-03 16:35 (-07)"/>
    <d v="2023-04-03T00:00:00"/>
    <s v="16:35(-07)"/>
    <s v="Monday"/>
    <s v="On Demand"/>
    <x v="24"/>
  </r>
  <r>
    <s v="2023-04-10 12:03 (PST)"/>
    <d v="2023-04-10T00:00:00"/>
    <s v="12:03(PST)"/>
    <s v="Monday"/>
    <s v="On Demand"/>
    <x v="13"/>
  </r>
  <r>
    <s v="2023-04-10 18:08 (-07)"/>
    <d v="2023-04-10T00:00:00"/>
    <s v="18:08(-07)"/>
    <s v="Monday"/>
    <s v="On Demand"/>
    <x v="6"/>
  </r>
  <r>
    <s v="2023-04-10 18:55 (-07)"/>
    <d v="2023-04-10T00:00:00"/>
    <s v="18:55(-07)"/>
    <s v="Monday"/>
    <s v="On Demand"/>
    <x v="29"/>
  </r>
  <r>
    <s v="2023-04-10 19:07 (-07)"/>
    <d v="2023-04-10T00:00:00"/>
    <s v="19:07(-07)"/>
    <s v="Monday"/>
    <s v="On Demand"/>
    <x v="24"/>
  </r>
  <r>
    <s v="2023-04-10 19:19 (-07)"/>
    <d v="2023-04-10T00:00:00"/>
    <s v="19:19(-07)"/>
    <s v="Monday"/>
    <s v="On Demand"/>
    <x v="23"/>
  </r>
  <r>
    <s v="2023-04-10 22:50 (PST)"/>
    <d v="2023-04-10T00:00:00"/>
    <s v="22:50(PST)"/>
    <s v="Monday"/>
    <s v="On Demand"/>
    <x v="19"/>
  </r>
  <r>
    <s v="2023-04-17 09:50 (PST)"/>
    <d v="2023-04-17T00:00:00"/>
    <s v="09:50(PST)"/>
    <s v="Monday"/>
    <s v="On Demand"/>
    <x v="13"/>
  </r>
  <r>
    <s v="2023-04-17 14:15 (-07)"/>
    <d v="2023-04-17T00:00:00"/>
    <s v="14:15(-07)"/>
    <s v="Monday"/>
    <s v="On Demand"/>
    <x v="47"/>
  </r>
  <r>
    <s v="2023-04-17 15:02 (-07)"/>
    <d v="2023-04-17T00:00:00"/>
    <s v="15:02(-07)"/>
    <s v="Monday"/>
    <s v="On Demand"/>
    <x v="26"/>
  </r>
  <r>
    <s v="2023-04-17 15:14 (-07)"/>
    <d v="2023-04-17T00:00:00"/>
    <s v="15:14(-07)"/>
    <s v="Monday"/>
    <s v="On Demand"/>
    <x v="7"/>
  </r>
  <r>
    <s v="2023-04-17 22:20 (PST)"/>
    <d v="2023-04-17T00:00:00"/>
    <s v="22:20(PST)"/>
    <s v="Monday"/>
    <s v="On Demand"/>
    <x v="16"/>
  </r>
  <r>
    <s v="2023-04-24 06:15 (PST)"/>
    <d v="2023-04-24T00:00:00"/>
    <s v="06:15(PST)"/>
    <s v="Monday"/>
    <s v="On Demand"/>
    <x v="23"/>
  </r>
  <r>
    <s v="2023-04-24 14:45 (PST)"/>
    <d v="2023-04-24T00:00:00"/>
    <s v="14:45(PST)"/>
    <s v="Monday"/>
    <m/>
    <x v="34"/>
  </r>
  <r>
    <s v="2023-04-24 15:38 (-07)"/>
    <d v="2023-04-24T00:00:00"/>
    <s v="15:38(-07)"/>
    <s v="Monday"/>
    <s v="On Demand"/>
    <x v="24"/>
  </r>
  <r>
    <s v="2023-04-24 15:59 (-07)"/>
    <d v="2023-04-24T00:00:00"/>
    <s v="15:59(-07)"/>
    <s v="Monday"/>
    <s v="On Demand"/>
    <x v="21"/>
  </r>
  <r>
    <s v="2023-04-24 22:30 (PST)"/>
    <d v="2023-04-24T00:00:00"/>
    <s v="22:30(PST)"/>
    <s v="Monday"/>
    <s v="On Demand"/>
    <x v="28"/>
  </r>
  <r>
    <s v="2023-05-01 13:00 (PST)"/>
    <d v="2023-05-01T00:00:00"/>
    <s v="13:00(PST)"/>
    <s v="Monday"/>
    <m/>
    <x v="34"/>
  </r>
  <r>
    <s v="2023-05-01 17:29 (-07)"/>
    <d v="2023-05-01T00:00:00"/>
    <s v="17:29(-07)"/>
    <s v="Monday"/>
    <s v="On Demand"/>
    <x v="24"/>
  </r>
  <r>
    <s v="2023-05-01 17:50 (-07)"/>
    <d v="2023-05-01T00:00:00"/>
    <s v="17:50(-07)"/>
    <s v="Monday"/>
    <s v="On Demand"/>
    <x v="6"/>
  </r>
  <r>
    <s v="2023-05-01 18:53 (-07)"/>
    <d v="2023-05-01T00:00:00"/>
    <s v="18:53(-07)"/>
    <s v="Monday"/>
    <s v="On Demand"/>
    <x v="7"/>
  </r>
  <r>
    <s v="2023-05-01 22:31 (PST)"/>
    <d v="2023-05-01T00:00:00"/>
    <s v="22:31(PST)"/>
    <s v="Monday"/>
    <s v="On Demand"/>
    <x v="19"/>
  </r>
  <r>
    <s v="2023-05-08 06:34 (PST)"/>
    <d v="2023-05-08T00:00:00"/>
    <s v="06:34(PST)"/>
    <s v="Monday"/>
    <s v="On Demand"/>
    <x v="13"/>
  </r>
  <r>
    <s v="2023-05-08 17:06 (-07)"/>
    <d v="2023-05-08T00:00:00"/>
    <s v="17:06(-07)"/>
    <s v="Monday"/>
    <s v="On Demand"/>
    <x v="24"/>
  </r>
  <r>
    <s v="2023-05-08 17:38 (-07)"/>
    <d v="2023-05-08T00:00:00"/>
    <s v="17:38(-07)"/>
    <s v="Monday"/>
    <s v="On Demand"/>
    <x v="1"/>
  </r>
  <r>
    <s v="2023-05-08 22:00 (PST)"/>
    <d v="2023-05-08T00:00:00"/>
    <s v="22:00(PST)"/>
    <s v="Monday"/>
    <s v="On Demand"/>
    <x v="19"/>
  </r>
  <r>
    <s v="2023-05-15 06:27 (PST)"/>
    <d v="2023-05-15T00:00:00"/>
    <s v="06:27(PST)"/>
    <s v="Monday"/>
    <s v="On Demand"/>
    <x v="7"/>
  </r>
  <r>
    <s v="2023-05-22 21:39 (PST)"/>
    <d v="2023-05-22T00:00:00"/>
    <s v="21:39(PST)"/>
    <s v="Monday"/>
    <s v="On Demand"/>
    <x v="25"/>
  </r>
  <r>
    <s v="2023-05-29 02:09 (PST)"/>
    <d v="2023-05-29T00:00:00"/>
    <s v="02:09(PST)"/>
    <s v="Monday"/>
    <s v="On Demand"/>
    <x v="19"/>
  </r>
  <r>
    <s v="2023-06-05 06:24 (PST)"/>
    <d v="2023-06-05T00:00:00"/>
    <s v="06:24(PST)"/>
    <s v="Monday"/>
    <s v="On Demand"/>
    <x v="7"/>
  </r>
  <r>
    <s v="2023-06-05 14:51 (PST)"/>
    <d v="2023-06-05T00:00:00"/>
    <s v="14:51(PST)"/>
    <s v="Monday"/>
    <m/>
    <x v="34"/>
  </r>
  <r>
    <s v="2023-06-05 16:34 (-07)"/>
    <d v="2023-06-05T00:00:00"/>
    <s v="16:34(-07)"/>
    <s v="Monday"/>
    <s v="On Demand"/>
    <x v="12"/>
  </r>
  <r>
    <s v="2023-06-05 22:15 (PST)"/>
    <d v="2023-06-05T00:00:00"/>
    <s v="22:15(PST)"/>
    <s v="Monday"/>
    <s v="On Demand"/>
    <x v="25"/>
  </r>
  <r>
    <s v="2023-06-12 22:21 (PST)"/>
    <d v="2023-06-12T00:00:00"/>
    <s v="22:21(PST)"/>
    <s v="Monday"/>
    <s v="On Demand"/>
    <x v="16"/>
  </r>
  <r>
    <s v="2023-06-19 12:22 (-07)"/>
    <d v="2023-06-19T00:00:00"/>
    <s v="12:22(-07)"/>
    <s v="Monday"/>
    <s v="On Demand"/>
    <x v="6"/>
  </r>
  <r>
    <s v="2023-06-19 13:09 (-07)"/>
    <d v="2023-06-19T00:00:00"/>
    <s v="13:09(-07)"/>
    <s v="Monday"/>
    <s v="On Demand"/>
    <x v="12"/>
  </r>
  <r>
    <s v="2023-06-19 13:21 (-07)"/>
    <d v="2023-06-19T00:00:00"/>
    <s v="13:21(-07)"/>
    <s v="Monday"/>
    <s v="On Demand"/>
    <x v="1"/>
  </r>
  <r>
    <s v="2023-06-26 07:50 (PST)"/>
    <d v="2023-06-26T00:00:00"/>
    <s v="07:50(PST)"/>
    <s v="Monday"/>
    <s v="On Demand"/>
    <x v="13"/>
  </r>
  <r>
    <s v="2023-06-26 15:20 (-07)"/>
    <d v="2023-06-26T00:00:00"/>
    <s v="15:20(-07)"/>
    <s v="Monday"/>
    <s v="On Demand"/>
    <x v="7"/>
  </r>
  <r>
    <s v="2023-06-26 16:22 (-07)"/>
    <d v="2023-06-26T00:00:00"/>
    <s v="16:22(-07)"/>
    <s v="Monday"/>
    <s v="On Demand"/>
    <x v="1"/>
  </r>
  <r>
    <s v="2023-06-26 16:27 (-07)"/>
    <d v="2023-06-26T00:00:00"/>
    <s v="16:27(-07)"/>
    <s v="Monday"/>
    <s v="On Demand"/>
    <x v="17"/>
  </r>
  <r>
    <s v="2023-06-26 22:26 (PST)"/>
    <d v="2023-06-26T00:00:00"/>
    <s v="22:26(PST)"/>
    <s v="Monday"/>
    <s v="On Demand"/>
    <x v="28"/>
  </r>
  <r>
    <s v="2023-07-03 14:35 (PST)"/>
    <d v="2023-07-03T00:00:00"/>
    <s v="14:35(PST)"/>
    <s v="Monday"/>
    <s v="On Demand"/>
    <x v="16"/>
  </r>
  <r>
    <s v="2023-07-03 15:23 (-07)"/>
    <d v="2023-07-03T00:00:00"/>
    <s v="15:23(-07)"/>
    <s v="Monday"/>
    <s v="On Demand"/>
    <x v="6"/>
  </r>
  <r>
    <s v="2023-07-03 16:24 (-07)"/>
    <d v="2023-07-03T00:00:00"/>
    <s v="16:24(-07)"/>
    <s v="Monday"/>
    <s v="On Demand"/>
    <x v="36"/>
  </r>
  <r>
    <s v="2023-07-03 16:37 (-07)"/>
    <d v="2023-07-03T00:00:00"/>
    <s v="16:37(-07)"/>
    <s v="Monday"/>
    <s v="On Demand"/>
    <x v="35"/>
  </r>
  <r>
    <s v="2023-07-03 16:49 (-07)"/>
    <d v="2023-07-03T00:00:00"/>
    <s v="16:49(-07)"/>
    <s v="Monday"/>
    <s v="On Demand"/>
    <x v="22"/>
  </r>
  <r>
    <s v="2023-07-03 22:14 (PST)"/>
    <d v="2023-07-03T00:00:00"/>
    <s v="22:14(PST)"/>
    <s v="Monday"/>
    <s v="On Demand"/>
    <x v="28"/>
  </r>
  <r>
    <s v="2023-07-10 03:31 (PST)"/>
    <d v="2023-07-10T00:00:00"/>
    <s v="03:31(PST)"/>
    <s v="Monday"/>
    <s v="On Demand"/>
    <x v="16"/>
  </r>
  <r>
    <s v="2023-07-10 06:34 (PST)"/>
    <d v="2023-07-10T00:00:00"/>
    <s v="06:34(PST)"/>
    <s v="Monday"/>
    <s v="On Demand"/>
    <x v="16"/>
  </r>
  <r>
    <s v="2023-07-10 14:40 (PST)"/>
    <d v="2023-07-10T00:00:00"/>
    <s v="14:40(PST)"/>
    <s v="Monday"/>
    <m/>
    <x v="34"/>
  </r>
  <r>
    <s v="2023-07-10 16:47 (-07)"/>
    <d v="2023-07-10T00:00:00"/>
    <s v="16:47(-07)"/>
    <s v="Monday"/>
    <s v="On Demand"/>
    <x v="6"/>
  </r>
  <r>
    <s v="2023-07-10 18:06 (-07)"/>
    <d v="2023-07-10T00:00:00"/>
    <s v="18:06(-07)"/>
    <s v="Monday"/>
    <s v="On Demand"/>
    <x v="0"/>
  </r>
  <r>
    <s v="2023-07-10 22:34 (PST)"/>
    <d v="2023-07-10T00:00:00"/>
    <s v="22:34(PST)"/>
    <s v="Monday"/>
    <s v="On Demand"/>
    <x v="13"/>
  </r>
  <r>
    <s v="2023-07-17 07:35 (PST)"/>
    <d v="2023-07-17T00:00:00"/>
    <s v="07:35(PST)"/>
    <s v="Monday"/>
    <s v="On Demand"/>
    <x v="7"/>
  </r>
  <r>
    <s v="2023-07-17 17:33 (-07)"/>
    <d v="2023-07-17T00:00:00"/>
    <s v="17:33(-07)"/>
    <s v="Monday"/>
    <s v="On Demand"/>
    <x v="9"/>
  </r>
  <r>
    <s v="2023-07-17 18:34 (-07)"/>
    <d v="2023-07-17T00:00:00"/>
    <s v="18:34(-07)"/>
    <s v="Monday"/>
    <s v="On Demand"/>
    <x v="36"/>
  </r>
  <r>
    <s v="2023-07-17 18:41 (-07)"/>
    <d v="2023-07-17T00:00:00"/>
    <s v="18:41(-07)"/>
    <s v="Monday"/>
    <s v="On Demand"/>
    <x v="0"/>
  </r>
  <r>
    <s v="2023-07-24 03:10 (EST)"/>
    <d v="2023-07-24T00:00:00"/>
    <s v="03:10(EST)"/>
    <s v="Monday"/>
    <s v="On Demand"/>
    <x v="25"/>
  </r>
  <r>
    <s v="2023-07-31 15:53 (-07)"/>
    <d v="2023-07-31T00:00:00"/>
    <s v="15:53(-07)"/>
    <s v="Monday"/>
    <s v="On Demand"/>
    <x v="1"/>
  </r>
  <r>
    <s v="2023-07-31 16:15 (-07)"/>
    <d v="2023-07-31T00:00:00"/>
    <s v="16:15(-07)"/>
    <s v="Monday"/>
    <s v="On Demand"/>
    <x v="6"/>
  </r>
  <r>
    <s v="2023-07-31 17:16 (-07)"/>
    <d v="2023-07-31T00:00:00"/>
    <s v="17:16(-07)"/>
    <s v="Monday"/>
    <s v="On Demand"/>
    <x v="6"/>
  </r>
  <r>
    <s v="2023-07-31 17:23 (-07)"/>
    <d v="2023-07-31T00:00:00"/>
    <s v="17:23(-07)"/>
    <s v="Monday"/>
    <s v="On Demand"/>
    <x v="12"/>
  </r>
  <r>
    <s v="2023-07-31 18:55 (PST)"/>
    <d v="2023-07-31T00:00:00"/>
    <s v="18:55(PST)"/>
    <s v="Monday"/>
    <m/>
    <x v="34"/>
  </r>
  <r>
    <s v="2023-07-31 22:39 (PST)"/>
    <d v="2023-07-31T00:00:00"/>
    <s v="22:39(PST)"/>
    <s v="Monday"/>
    <s v="On Demand"/>
    <x v="19"/>
  </r>
  <r>
    <s v="2023-08-07 03:18 (PST)"/>
    <d v="2023-08-07T00:00:00"/>
    <s v="03:18(PST)"/>
    <s v="Monday"/>
    <s v="On Demand"/>
    <x v="16"/>
  </r>
  <r>
    <s v="2023-08-07 07:15 (PST)"/>
    <d v="2023-08-07T00:00:00"/>
    <s v="07:15(PST)"/>
    <s v="Monday"/>
    <s v="On Demand"/>
    <x v="7"/>
  </r>
  <r>
    <s v="2023-08-07 15:52 (-07)"/>
    <d v="2023-08-07T00:00:00"/>
    <s v="15:52(-07)"/>
    <s v="Monday"/>
    <s v="On Demand"/>
    <x v="7"/>
  </r>
  <r>
    <s v="2023-08-07 16:38 (-07)"/>
    <d v="2023-08-07T00:00:00"/>
    <s v="16:38(-07)"/>
    <s v="Monday"/>
    <s v="On Demand"/>
    <x v="42"/>
  </r>
  <r>
    <s v="2023-08-07 16:47 (-07)"/>
    <d v="2023-08-07T00:00:00"/>
    <s v="16:47(-07)"/>
    <s v="Monday"/>
    <s v="On Demand"/>
    <x v="48"/>
  </r>
  <r>
    <s v="2023-08-07 17:00 (-07)"/>
    <d v="2023-08-07T00:00:00"/>
    <s v="17:00(-07)"/>
    <s v="Monday"/>
    <s v="On Demand"/>
    <x v="35"/>
  </r>
  <r>
    <s v="2023-08-07 22:44 (PST)"/>
    <d v="2023-08-07T00:00:00"/>
    <s v="22:44(PST)"/>
    <s v="Monday"/>
    <s v="On Demand"/>
    <x v="25"/>
  </r>
  <r>
    <s v="2023-08-14 15:38 (-07)"/>
    <d v="2023-08-14T00:00:00"/>
    <s v="15:38(-07)"/>
    <s v="Monday"/>
    <s v="On Demand"/>
    <x v="46"/>
  </r>
  <r>
    <s v="2023-08-14 16:26 (-07)"/>
    <d v="2023-08-14T00:00:00"/>
    <s v="16:26(-07)"/>
    <s v="Monday"/>
    <s v="On Demand"/>
    <x v="38"/>
  </r>
  <r>
    <s v="2023-08-14 16:31 (-07)"/>
    <d v="2023-08-14T00:00:00"/>
    <s v="16:31(-07)"/>
    <s v="Monday"/>
    <s v="On Demand"/>
    <x v="46"/>
  </r>
  <r>
    <s v="2023-08-14 19:06 (PST)"/>
    <d v="2023-08-14T00:00:00"/>
    <s v="19:06(PST)"/>
    <s v="Monday"/>
    <s v="On Demand"/>
    <x v="13"/>
  </r>
  <r>
    <s v="2023-08-14 20:34 (PST)"/>
    <d v="2023-08-14T00:00:00"/>
    <s v="20:34(PST)"/>
    <s v="Monday"/>
    <s v="On Demand"/>
    <x v="25"/>
  </r>
  <r>
    <s v="2023-08-21 07:59 (PST)"/>
    <d v="2023-08-21T00:00:00"/>
    <s v="07:59(PST)"/>
    <s v="Monday"/>
    <s v="On Demand"/>
    <x v="13"/>
  </r>
  <r>
    <s v="2023-08-21 16:34 (-07)"/>
    <d v="2023-08-21T00:00:00"/>
    <s v="16:34(-07)"/>
    <s v="Monday"/>
    <s v="On Demand"/>
    <x v="4"/>
  </r>
  <r>
    <s v="2023-08-21 16:47 (-07)"/>
    <d v="2023-08-21T00:00:00"/>
    <s v="16:47(-07)"/>
    <s v="Monday"/>
    <s v="On Demand"/>
    <x v="9"/>
  </r>
  <r>
    <s v="2023-08-21 17:40 (-07)"/>
    <d v="2023-08-21T00:00:00"/>
    <s v="17:40(-07)"/>
    <s v="Monday"/>
    <s v="On Demand"/>
    <x v="12"/>
  </r>
  <r>
    <s v="2023-08-21 21:49 (PST)"/>
    <d v="2023-08-21T00:00:00"/>
    <s v="21:49(PST)"/>
    <s v="Monday"/>
    <s v="On Demand"/>
    <x v="25"/>
  </r>
  <r>
    <s v="2023-08-28 15:49 (-07)"/>
    <d v="2023-08-28T00:00:00"/>
    <s v="15:49(-07)"/>
    <s v="Monday"/>
    <s v="On Demand"/>
    <x v="6"/>
  </r>
  <r>
    <s v="2023-08-28 16:35 (-07)"/>
    <d v="2023-08-28T00:00:00"/>
    <s v="16:35(-07)"/>
    <s v="Monday"/>
    <s v="On Demand"/>
    <x v="12"/>
  </r>
  <r>
    <s v="2023-08-28 16:46 (-07)"/>
    <d v="2023-08-28T00:00:00"/>
    <s v="16:46(-07)"/>
    <s v="Monday"/>
    <s v="On Demand"/>
    <x v="22"/>
  </r>
  <r>
    <s v="2023-08-28 17:03 (-07)"/>
    <d v="2023-08-28T00:00:00"/>
    <s v="17:03(-07)"/>
    <s v="Monday"/>
    <s v="On Demand"/>
    <x v="26"/>
  </r>
  <r>
    <s v="2023-08-28 17:25 (-07)"/>
    <d v="2023-08-28T00:00:00"/>
    <s v="17:25(-07)"/>
    <s v="Monday"/>
    <s v="On Demand"/>
    <x v="31"/>
  </r>
  <r>
    <s v="2023-08-28 21:56 (PST)"/>
    <d v="2023-08-28T00:00:00"/>
    <s v="21:56(PST)"/>
    <s v="Monday"/>
    <s v="On Demand"/>
    <x v="28"/>
  </r>
  <r>
    <s v="2023-09-04 00:07 (PST)"/>
    <d v="2023-09-04T00:00:00"/>
    <s v="00:07(PST)"/>
    <s v="Monday"/>
    <s v="On Demand"/>
    <x v="13"/>
  </r>
  <r>
    <s v="2023-09-04 11:53 (-07)"/>
    <d v="2023-09-04T00:00:00"/>
    <s v="11:53(-07)"/>
    <s v="Monday"/>
    <s v="On Demand"/>
    <x v="7"/>
  </r>
  <r>
    <s v="2023-09-04 12:40 (-07)"/>
    <d v="2023-09-04T00:00:00"/>
    <s v="12:40(-07)"/>
    <s v="Monday"/>
    <s v="On Demand"/>
    <x v="1"/>
  </r>
  <r>
    <s v="2023-09-04 12:51 (-07)"/>
    <d v="2023-09-04T00:00:00"/>
    <s v="12:51(-07)"/>
    <s v="Monday"/>
    <s v="On Demand"/>
    <x v="18"/>
  </r>
  <r>
    <s v="2023-09-04 12:56 (-07)"/>
    <d v="2023-09-04T00:00:00"/>
    <s v="12:56(-07)"/>
    <s v="Monday"/>
    <s v="On Demand"/>
    <x v="6"/>
  </r>
  <r>
    <s v="2023-09-04 21:02 (PST)"/>
    <d v="2023-09-04T00:00:00"/>
    <s v="21:02(PST)"/>
    <s v="Monday"/>
    <s v="On Demand"/>
    <x v="7"/>
  </r>
  <r>
    <s v="2023-09-04 21:55 (PST)"/>
    <d v="2023-09-04T00:00:00"/>
    <s v="21:55(PST)"/>
    <s v="Monday"/>
    <s v="On Demand"/>
    <x v="19"/>
  </r>
  <r>
    <s v="2023-09-11 15:20 (-07)"/>
    <d v="2023-09-11T00:00:00"/>
    <s v="15:20(-07)"/>
    <s v="Monday"/>
    <s v="On Demand"/>
    <x v="9"/>
  </r>
  <r>
    <s v="2023-09-11 15:28 (-07)"/>
    <d v="2023-09-11T00:00:00"/>
    <s v="15:28(-07)"/>
    <s v="Monday"/>
    <s v="On Demand"/>
    <x v="7"/>
  </r>
  <r>
    <s v="2023-09-11 16:14 (-07)"/>
    <d v="2023-09-11T00:00:00"/>
    <s v="16:14(-07)"/>
    <s v="Monday"/>
    <s v="On Demand"/>
    <x v="7"/>
  </r>
  <r>
    <s v="2023-09-11 16:26 (-07)"/>
    <d v="2023-09-11T00:00:00"/>
    <s v="16:26(-07)"/>
    <s v="Monday"/>
    <s v="On Demand"/>
    <x v="17"/>
  </r>
  <r>
    <s v="2023-09-11 16:38 (-07)"/>
    <d v="2023-09-11T00:00:00"/>
    <s v="16:38(-07)"/>
    <s v="Monday"/>
    <s v="On Demand"/>
    <x v="4"/>
  </r>
  <r>
    <s v="2023-09-11 16:49 (-07)"/>
    <d v="2023-09-11T00:00:00"/>
    <s v="16:49(-07)"/>
    <s v="Monday"/>
    <s v="On Demand"/>
    <x v="21"/>
  </r>
  <r>
    <s v="2023-09-11 20:38 (PST)"/>
    <d v="2023-09-11T00:00:00"/>
    <s v="20:38(PST)"/>
    <s v="Monday"/>
    <s v="On Demand"/>
    <x v="13"/>
  </r>
  <r>
    <s v="2023-09-18 23:47 (MST)"/>
    <d v="2023-09-18T00:00:00"/>
    <s v="23:47(MST)"/>
    <s v="Monday"/>
    <s v="On Demand"/>
    <x v="19"/>
  </r>
  <r>
    <s v="2023-09-25 07:50 (PST)"/>
    <d v="2023-09-25T00:00:00"/>
    <s v="07:50(PST)"/>
    <s v="Monday"/>
    <s v="On Demand"/>
    <x v="28"/>
  </r>
  <r>
    <s v="2023-09-25 16:09 (-07)"/>
    <d v="2023-09-25T00:00:00"/>
    <s v="16:09(-07)"/>
    <s v="Monday"/>
    <s v="On Demand"/>
    <x v="37"/>
  </r>
  <r>
    <s v="2023-10-02 07:22 (PST)"/>
    <d v="2023-10-02T00:00:00"/>
    <s v="07:22(PST)"/>
    <s v="Monday"/>
    <s v="On Demand"/>
    <x v="13"/>
  </r>
  <r>
    <s v="2023-10-02 16:31 (-07)"/>
    <d v="2023-10-02T00:00:00"/>
    <s v="16:31(-07)"/>
    <s v="Monday"/>
    <s v="On Demand"/>
    <x v="26"/>
  </r>
  <r>
    <s v="2023-10-02 16:37 (-07)"/>
    <d v="2023-10-02T00:00:00"/>
    <s v="16:37(-07)"/>
    <s v="Monday"/>
    <s v="On Demand"/>
    <x v="20"/>
  </r>
  <r>
    <s v="2023-10-02 16:50 (-07)"/>
    <d v="2023-10-02T00:00:00"/>
    <s v="16:50(-07)"/>
    <s v="Monday"/>
    <s v="On Demand"/>
    <x v="38"/>
  </r>
  <r>
    <s v="2023-10-02 22:45 (PST)"/>
    <d v="2023-10-02T00:00:00"/>
    <s v="22:45(PST)"/>
    <s v="Monday"/>
    <s v="On Demand"/>
    <x v="28"/>
  </r>
  <r>
    <s v="2023-10-09 16:27 (-07)"/>
    <d v="2023-10-09T00:00:00"/>
    <s v="16:27(-07)"/>
    <s v="Monday"/>
    <s v="On Demand"/>
    <x v="6"/>
  </r>
  <r>
    <s v="2023-10-09 17:13 (-07)"/>
    <d v="2023-10-09T00:00:00"/>
    <s v="17:13(-07)"/>
    <s v="Monday"/>
    <s v="On Demand"/>
    <x v="15"/>
  </r>
  <r>
    <s v="2023-10-09 17:24 (-07)"/>
    <d v="2023-10-09T00:00:00"/>
    <s v="17:24(-07)"/>
    <s v="Monday"/>
    <s v="On Demand"/>
    <x v="0"/>
  </r>
  <r>
    <s v="2023-10-09 17:30 (-07)"/>
    <d v="2023-10-09T00:00:00"/>
    <s v="17:30(-07)"/>
    <s v="Monday"/>
    <s v="On Demand"/>
    <x v="0"/>
  </r>
  <r>
    <s v="2023-10-09 22:19 (PST)"/>
    <d v="2023-10-09T00:00:00"/>
    <s v="22:19(PST)"/>
    <s v="Monday"/>
    <s v="On Demand"/>
    <x v="25"/>
  </r>
  <r>
    <s v="2023-10-16 17:12 (EST)"/>
    <d v="2023-10-16T00:00:00"/>
    <s v="17:12(EST)"/>
    <s v="Monday"/>
    <s v="On Demand"/>
    <x v="31"/>
  </r>
  <r>
    <s v="2023-10-16 17:58 (EST)"/>
    <d v="2023-10-16T00:00:00"/>
    <s v="17:58(EST)"/>
    <s v="Monday"/>
    <s v="On Demand"/>
    <x v="31"/>
  </r>
  <r>
    <s v="2023-10-16 18:11 (EST)"/>
    <d v="2023-10-16T00:00:00"/>
    <s v="18:11(EST)"/>
    <s v="Monday"/>
    <s v="On Demand"/>
    <x v="26"/>
  </r>
  <r>
    <s v="2023-10-16 23:55 (EST)"/>
    <d v="2023-10-16T00:00:00"/>
    <s v="23:55(EST)"/>
    <s v="Monday"/>
    <s v="On Demand"/>
    <x v="25"/>
  </r>
  <r>
    <s v="2023-10-23 22:29 (PST)"/>
    <d v="2023-10-23T00:00:00"/>
    <s v="22:29(PST)"/>
    <s v="Monday"/>
    <s v="On Demand"/>
    <x v="23"/>
  </r>
  <r>
    <s v="2023-10-30 06:23 (PST)"/>
    <d v="2023-10-30T00:00:00"/>
    <s v="06:23(PST)"/>
    <s v="Monday"/>
    <s v="On Demand"/>
    <x v="13"/>
  </r>
  <r>
    <s v="2023-10-30 15:05 (-07)"/>
    <d v="2023-10-30T00:00:00"/>
    <s v="15:05(-07)"/>
    <s v="Monday"/>
    <s v="On Demand"/>
    <x v="9"/>
  </r>
  <r>
    <s v="2023-10-30 16:37 (-07)"/>
    <d v="2023-10-30T00:00:00"/>
    <s v="16:37(-07)"/>
    <s v="Monday"/>
    <s v="On Demand"/>
    <x v="36"/>
  </r>
  <r>
    <s v="2023-10-30 22:56 (PST)"/>
    <d v="2023-10-30T00:00:00"/>
    <s v="22:56(PST)"/>
    <s v="Monday"/>
    <s v="On Demand"/>
    <x v="25"/>
  </r>
  <r>
    <s v="2023-11-06 08:07 (PST)"/>
    <d v="2023-11-06T00:00:00"/>
    <s v="08:07(PST)"/>
    <s v="Monday"/>
    <s v="On Demand"/>
    <x v="7"/>
  </r>
  <r>
    <s v="2023-11-06 09:54 (-08)"/>
    <d v="2023-11-06T00:00:00"/>
    <s v="09:54(-08)"/>
    <s v="Monday"/>
    <s v="On Demand"/>
    <x v="6"/>
  </r>
  <r>
    <s v="2023-11-06 10:42 (-08)"/>
    <d v="2023-11-06T00:00:00"/>
    <s v="10:42(-08)"/>
    <s v="Monday"/>
    <s v="On Demand"/>
    <x v="18"/>
  </r>
  <r>
    <s v="2023-11-06 10:47 (-08)"/>
    <d v="2023-11-06T00:00:00"/>
    <s v="10:47(-08)"/>
    <s v="Monday"/>
    <s v="On Demand"/>
    <x v="4"/>
  </r>
  <r>
    <s v="2023-11-06 21:57 (PST)"/>
    <d v="2023-11-06T00:00:00"/>
    <s v="21:57(PST)"/>
    <s v="Monday"/>
    <s v="On Demand"/>
    <x v="19"/>
  </r>
  <r>
    <s v="2023-11-13 11:05 (PST)"/>
    <d v="2023-11-13T00:00:00"/>
    <s v="11:05(PST)"/>
    <s v="Monday"/>
    <m/>
    <x v="34"/>
  </r>
  <r>
    <s v="2023-11-13 17:49 (-08)"/>
    <d v="2023-11-13T00:00:00"/>
    <s v="17:49(-08)"/>
    <s v="Monday"/>
    <s v="On Demand"/>
    <x v="38"/>
  </r>
  <r>
    <s v="2023-11-13 18:23 (-08)"/>
    <d v="2023-11-13T00:00:00"/>
    <s v="18:23(-08)"/>
    <s v="Monday"/>
    <s v="On Demand"/>
    <x v="4"/>
  </r>
  <r>
    <s v="2023-11-13 18:35 (-08)"/>
    <d v="2023-11-13T00:00:00"/>
    <s v="18:35(-08)"/>
    <s v="Monday"/>
    <s v="On Demand"/>
    <x v="24"/>
  </r>
  <r>
    <s v="2023-11-13 18:55 (-08)"/>
    <d v="2023-11-13T00:00:00"/>
    <s v="18:55(-08)"/>
    <s v="Monday"/>
    <s v="On Demand"/>
    <x v="1"/>
  </r>
  <r>
    <s v="2023-11-13 21:39 (PST)"/>
    <d v="2023-11-13T00:00:00"/>
    <s v="21:39(PST)"/>
    <s v="Monday"/>
    <s v="On Demand"/>
    <x v="16"/>
  </r>
  <r>
    <s v="2023-11-20 16:29 (-08)"/>
    <d v="2023-11-20T00:00:00"/>
    <s v="16:29(-08)"/>
    <s v="Monday"/>
    <s v="On Demand"/>
    <x v="7"/>
  </r>
  <r>
    <s v="2023-11-20 17:20 (-08)"/>
    <d v="2023-11-20T00:00:00"/>
    <s v="17:20(-08)"/>
    <s v="Monday"/>
    <s v="On Demand"/>
    <x v="1"/>
  </r>
  <r>
    <s v="2023-11-20 17:33 (-08)"/>
    <d v="2023-11-20T00:00:00"/>
    <s v="17:33(-08)"/>
    <s v="Monday"/>
    <s v="On Demand"/>
    <x v="27"/>
  </r>
  <r>
    <s v="2023-11-20 22:20 (PST)"/>
    <d v="2023-11-20T00:00:00"/>
    <s v="22:20(PST)"/>
    <s v="Monday"/>
    <s v="On Demand"/>
    <x v="13"/>
  </r>
  <r>
    <s v="2023-11-27 01:03 (PST)"/>
    <d v="2023-11-27T00:00:00"/>
    <s v="01:03(PST)"/>
    <s v="Monday"/>
    <s v="On Demand"/>
    <x v="19"/>
  </r>
  <r>
    <s v="2023-11-27 01:15 (PST)"/>
    <d v="2023-11-27T00:00:00"/>
    <s v="01:15(PST)"/>
    <s v="Monday"/>
    <s v="On Demand"/>
    <x v="23"/>
  </r>
  <r>
    <s v="2023-11-27 19:05 (PST)"/>
    <d v="2023-11-27T00:00:00"/>
    <s v="19:05(PST)"/>
    <s v="Monday"/>
    <s v="On Demand"/>
    <x v="12"/>
  </r>
  <r>
    <s v="2023-12-04 07:49 (PST)"/>
    <d v="2023-12-04T00:00:00"/>
    <s v="07:49(PST)"/>
    <s v="Monday"/>
    <s v="On Demand"/>
    <x v="16"/>
  </r>
  <r>
    <s v="2023-12-04 15:29 (-08)"/>
    <d v="2023-12-04T00:00:00"/>
    <s v="15:29(-08)"/>
    <s v="Monday"/>
    <s v="On Demand"/>
    <x v="3"/>
  </r>
  <r>
    <s v="2023-12-04 15:41 (-08)"/>
    <d v="2023-12-04T00:00:00"/>
    <s v="15:41(-08)"/>
    <s v="Monday"/>
    <s v="On Demand"/>
    <x v="24"/>
  </r>
  <r>
    <s v="2023-12-04 16:10 (-08)"/>
    <d v="2023-12-04T00:00:00"/>
    <s v="16:10(-08)"/>
    <s v="Monday"/>
    <s v="On Demand"/>
    <x v="6"/>
  </r>
  <r>
    <s v="2023-12-04 16:42 (-08)"/>
    <d v="2023-12-04T00:00:00"/>
    <s v="16:42(-08)"/>
    <s v="Monday"/>
    <s v="On Demand"/>
    <x v="29"/>
  </r>
  <r>
    <s v="2023-12-04 16:52 (-08)"/>
    <d v="2023-12-04T00:00:00"/>
    <s v="16:52(-08)"/>
    <s v="Monday"/>
    <s v="On Demand"/>
    <x v="12"/>
  </r>
  <r>
    <s v="2023-12-11 07:46 (PST)"/>
    <d v="2023-12-11T00:00:00"/>
    <s v="07:46(PST)"/>
    <s v="Monday"/>
    <s v="On Demand"/>
    <x v="13"/>
  </r>
  <r>
    <s v="2023-12-11 15:17 (-08)"/>
    <d v="2023-12-11T00:00:00"/>
    <s v="15:17(-08)"/>
    <s v="Monday"/>
    <s v="On Demand"/>
    <x v="1"/>
  </r>
  <r>
    <s v="2023-12-11 16:35 (-08)"/>
    <d v="2023-12-11T00:00:00"/>
    <s v="16:35(-08)"/>
    <s v="Monday"/>
    <s v="On Demand"/>
    <x v="7"/>
  </r>
  <r>
    <s v="2023-12-11 22:10 (PST)"/>
    <d v="2023-12-11T00:00:00"/>
    <s v="22:10(PST)"/>
    <s v="Monday"/>
    <s v="On Demand"/>
    <x v="25"/>
  </r>
  <r>
    <s v="2023-12-18 08:03 (PST)"/>
    <d v="2023-12-18T00:00:00"/>
    <s v="08:03(PST)"/>
    <s v="Monday"/>
    <s v="On Demand"/>
    <x v="7"/>
  </r>
  <r>
    <s v="2023-12-18 22:13 (PST)"/>
    <d v="2023-12-18T00:00:00"/>
    <s v="22:13(PST)"/>
    <s v="Monday"/>
    <s v="On Demand"/>
    <x v="19"/>
  </r>
  <r>
    <s v="2023-12-25 12:57 (-08)"/>
    <d v="2023-12-25T00:00:00"/>
    <s v="12:57(-08)"/>
    <s v="Monday"/>
    <s v="On Demand"/>
    <x v="1"/>
  </r>
  <r>
    <s v="2023-12-25 13:18 (-08)"/>
    <d v="2023-12-25T00:00:00"/>
    <s v="13:18(-08)"/>
    <s v="Monday"/>
    <s v="On Demand"/>
    <x v="37"/>
  </r>
  <r>
    <s v="2023-12-25 13:31 (-08)"/>
    <d v="2023-12-25T00:00:00"/>
    <s v="13:31(-08)"/>
    <s v="Monday"/>
    <s v="On Demand"/>
    <x v="37"/>
  </r>
  <r>
    <s v="2023-12-25 14:05 (-08)"/>
    <d v="2023-12-25T00:00:00"/>
    <s v="14:05(-08)"/>
    <s v="Monday"/>
    <s v="On Demand"/>
    <x v="6"/>
  </r>
  <r>
    <s v="2023-12-25 14:36 (-08)"/>
    <d v="2023-12-25T00:00:00"/>
    <s v="14:36(-08)"/>
    <s v="Monday"/>
    <s v="On Demand"/>
    <x v="49"/>
  </r>
  <r>
    <s v="2023-12-25 22:17 (PST)"/>
    <d v="2023-12-25T00:00:00"/>
    <s v="22:17(PST)"/>
    <s v="Monday"/>
    <s v="On Demand"/>
    <x v="23"/>
  </r>
  <r>
    <s v="2024-01-01 16:01 (-08)"/>
    <d v="2024-01-01T00:00:00"/>
    <s v="16:01(-08)"/>
    <s v="Monday"/>
    <s v="On Demand"/>
    <x v="37"/>
  </r>
  <r>
    <s v="2024-01-01 16:42 (-08)"/>
    <d v="2024-01-01T00:00:00"/>
    <s v="16:42(-08)"/>
    <s v="Monday"/>
    <s v="On Demand"/>
    <x v="50"/>
  </r>
  <r>
    <s v="2024-01-01 19:07 (PST)"/>
    <d v="2024-01-01T00:00:00"/>
    <s v="19:07(PST)"/>
    <s v="Monday"/>
    <s v="On Demand"/>
    <x v="13"/>
  </r>
  <r>
    <s v="2024-01-01 21:47 (PST)"/>
    <d v="2024-01-01T00:00:00"/>
    <s v="21:47(PST)"/>
    <s v="Monday"/>
    <s v="On Demand"/>
    <x v="23"/>
  </r>
  <r>
    <s v="2024-01-08 07:33 (PST)"/>
    <d v="2024-01-08T00:00:00"/>
    <s v="07:33(PST)"/>
    <s v="Monday"/>
    <s v="On Demand"/>
    <x v="23"/>
  </r>
  <r>
    <s v="2024-01-08 15:09 (PST)"/>
    <d v="2024-01-08T00:00:00"/>
    <s v="15:09(PST)"/>
    <s v="Monday"/>
    <s v="On Demand"/>
    <x v="21"/>
  </r>
  <r>
    <s v="2024-01-08 16:17 (-08)"/>
    <d v="2024-01-08T00:00:00"/>
    <s v="16:17(-08)"/>
    <s v="Monday"/>
    <s v="On Demand"/>
    <x v="6"/>
  </r>
  <r>
    <s v="2024-01-08 17:05 (-08)"/>
    <d v="2024-01-08T00:00:00"/>
    <s v="17:05(-08)"/>
    <s v="Monday"/>
    <s v="On Demand"/>
    <x v="12"/>
  </r>
  <r>
    <s v="2024-01-08 17:19 (-08)"/>
    <d v="2024-01-08T00:00:00"/>
    <s v="17:19(-08)"/>
    <s v="Monday"/>
    <s v="On Demand"/>
    <x v="26"/>
  </r>
  <r>
    <s v="2024-01-08 22:10 (PST)"/>
    <d v="2024-01-08T00:00:00"/>
    <s v="22:10(PST)"/>
    <s v="Monday"/>
    <s v="On Demand"/>
    <x v="13"/>
  </r>
  <r>
    <s v="2024-01-15 12:35 (-08)"/>
    <d v="2024-01-15T00:00:00"/>
    <s v="12:35(-08)"/>
    <s v="Monday"/>
    <s v="On Demand"/>
    <x v="1"/>
  </r>
  <r>
    <s v="2024-01-15 12:52 (-08)"/>
    <d v="2024-01-15T00:00:00"/>
    <s v="12:52(-08)"/>
    <s v="Monday"/>
    <s v="On Demand"/>
    <x v="4"/>
  </r>
  <r>
    <s v="2024-01-15 13:38 (-08)"/>
    <d v="2024-01-15T00:00:00"/>
    <s v="13:38(-08)"/>
    <s v="Monday"/>
    <s v="On Demand"/>
    <x v="1"/>
  </r>
  <r>
    <s v="2024-01-15 13:49 (-08)"/>
    <d v="2024-01-15T00:00:00"/>
    <s v="13:49(-08)"/>
    <s v="Monday"/>
    <s v="On Demand"/>
    <x v="12"/>
  </r>
  <r>
    <s v="2024-01-15 21:49 (PST)"/>
    <d v="2024-01-15T00:00:00"/>
    <s v="21:49(PST)"/>
    <s v="Monday"/>
    <s v="On Demand"/>
    <x v="25"/>
  </r>
  <r>
    <s v="2020-10-24 08:57 (PST)"/>
    <d v="2020-10-24T00:00:00"/>
    <s v="08:57(PST)"/>
    <s v="Saturday"/>
    <s v="On Demand"/>
    <x v="6"/>
  </r>
  <r>
    <s v="2020-10-24 09:04 (PST)"/>
    <d v="2020-10-24T00:00:00"/>
    <s v="09:04(PST)"/>
    <s v="Saturday"/>
    <s v="On Demand"/>
    <x v="2"/>
  </r>
  <r>
    <s v="2020-10-24 09:45 (PST)"/>
    <d v="2020-10-24T00:00:00"/>
    <s v="09:45(PST)"/>
    <s v="Saturday"/>
    <s v="On Demand"/>
    <x v="26"/>
  </r>
  <r>
    <s v="2020-10-31 10:35 (PST)"/>
    <d v="2020-10-31T00:00:00"/>
    <s v="10:35(PST)"/>
    <s v="Saturday"/>
    <s v="On Demand"/>
    <x v="1"/>
  </r>
  <r>
    <s v="2020-10-31 11:19 (PST)"/>
    <d v="2020-10-31T00:00:00"/>
    <s v="11:19(PST)"/>
    <s v="Saturday"/>
    <s v="On Demand"/>
    <x v="37"/>
  </r>
  <r>
    <s v="2020-11-07 16:56 (PST)"/>
    <d v="2020-11-07T00:00:00"/>
    <s v="16:56(PST)"/>
    <s v="Saturday"/>
    <s v="On Demand"/>
    <x v="1"/>
  </r>
  <r>
    <s v="2020-11-07 17:21 (PST)"/>
    <d v="2020-11-07T00:00:00"/>
    <s v="17:21(PST)"/>
    <s v="Saturday"/>
    <s v="On Demand"/>
    <x v="1"/>
  </r>
  <r>
    <s v="2020-11-07 17:59 (PST)"/>
    <d v="2020-11-07T00:00:00"/>
    <s v="17:59(PST)"/>
    <s v="Saturday"/>
    <s v="On Demand"/>
    <x v="7"/>
  </r>
  <r>
    <s v="2020-11-14 08:32 (PST)"/>
    <d v="2020-11-14T00:00:00"/>
    <s v="08:32(PST)"/>
    <s v="Saturday"/>
    <s v="On Demand"/>
    <x v="51"/>
  </r>
  <r>
    <s v="2020-11-21 09:47 (PST)"/>
    <d v="2020-11-21T00:00:00"/>
    <s v="09:47(PST)"/>
    <s v="Saturday"/>
    <s v="On Demand"/>
    <x v="15"/>
  </r>
  <r>
    <s v="2020-11-21 10:01 (PST)"/>
    <d v="2020-11-21T00:00:00"/>
    <s v="10:01(PST)"/>
    <s v="Saturday"/>
    <s v="On Demand"/>
    <x v="15"/>
  </r>
  <r>
    <s v="2020-11-21 10:32 (PST)"/>
    <d v="2020-11-21T00:00:00"/>
    <s v="10:32(PST)"/>
    <s v="Saturday"/>
    <s v="On Demand"/>
    <x v="15"/>
  </r>
  <r>
    <s v="2020-11-21 10:47 (PST)"/>
    <d v="2020-11-21T00:00:00"/>
    <s v="10:47(PST)"/>
    <s v="Saturday"/>
    <s v="On Demand"/>
    <x v="7"/>
  </r>
  <r>
    <s v="2020-12-05 10:30 (PST)"/>
    <d v="2020-12-05T00:00:00"/>
    <s v="10:30(PST)"/>
    <s v="Saturday"/>
    <s v="On Demand"/>
    <x v="1"/>
  </r>
  <r>
    <s v="2020-12-05 11:11 (PST)"/>
    <d v="2020-12-05T00:00:00"/>
    <s v="11:11(PST)"/>
    <s v="Saturday"/>
    <s v="On Demand"/>
    <x v="7"/>
  </r>
  <r>
    <s v="2020-12-05 11:46 (PST)"/>
    <d v="2020-12-05T00:00:00"/>
    <s v="11:46(PST)"/>
    <s v="Saturday"/>
    <s v="On Demand"/>
    <x v="16"/>
  </r>
  <r>
    <s v="2020-12-12 16:58 (PST)"/>
    <d v="2020-12-12T00:00:00"/>
    <s v="16:58(PST)"/>
    <s v="Saturday"/>
    <s v="On Demand"/>
    <x v="4"/>
  </r>
  <r>
    <s v="2020-12-12 17:05 (PST)"/>
    <d v="2020-12-12T00:00:00"/>
    <s v="17:05(PST)"/>
    <s v="Saturday"/>
    <s v="On Demand"/>
    <x v="12"/>
  </r>
  <r>
    <s v="2020-12-12 17:33 (PST)"/>
    <d v="2020-12-12T00:00:00"/>
    <s v="17:33(PST)"/>
    <s v="Saturday"/>
    <s v="On Demand"/>
    <x v="16"/>
  </r>
  <r>
    <s v="2020-12-19 13:55 (PST)"/>
    <d v="2020-12-19T00:00:00"/>
    <s v="13:55(PST)"/>
    <s v="Saturday"/>
    <s v="On Demand"/>
    <x v="6"/>
  </r>
  <r>
    <s v="2020-12-19 14:42 (PST)"/>
    <d v="2020-12-19T00:00:00"/>
    <s v="14:42(PST)"/>
    <s v="Saturday"/>
    <s v="On Demand"/>
    <x v="12"/>
  </r>
  <r>
    <s v="2020-12-19 15:00 (PST)"/>
    <d v="2020-12-19T00:00:00"/>
    <s v="15:00(PST)"/>
    <s v="Saturday"/>
    <s v="On Demand"/>
    <x v="4"/>
  </r>
  <r>
    <s v="2020-12-26 10:27 (PST)"/>
    <d v="2020-12-26T00:00:00"/>
    <s v="10:27(PST)"/>
    <s v="Saturday"/>
    <s v="On Demand"/>
    <x v="1"/>
  </r>
  <r>
    <s v="2020-12-26 10:58 (PST)"/>
    <d v="2020-12-26T00:00:00"/>
    <s v="10:58(PST)"/>
    <s v="Saturday"/>
    <s v="On Demand"/>
    <x v="18"/>
  </r>
  <r>
    <s v="2020-12-26 11:09 (PST)"/>
    <d v="2020-12-26T00:00:00"/>
    <s v="11:09(PST)"/>
    <s v="Saturday"/>
    <s v="On Demand"/>
    <x v="8"/>
  </r>
  <r>
    <s v="2021-01-02 13:31 (PST)"/>
    <d v="2021-01-02T00:00:00"/>
    <s v="13:31(PST)"/>
    <s v="Saturday"/>
    <s v="On Demand"/>
    <x v="11"/>
  </r>
  <r>
    <s v="2021-01-02 14:33 (PST)"/>
    <d v="2021-01-02T00:00:00"/>
    <s v="14:33(PST)"/>
    <s v="Saturday"/>
    <s v="On Demand"/>
    <x v="17"/>
  </r>
  <r>
    <s v="2021-01-02 21:14 (PST)"/>
    <d v="2021-01-02T00:00:00"/>
    <s v="21:14(PST)"/>
    <s v="Saturday"/>
    <s v="On Demand"/>
    <x v="1"/>
  </r>
  <r>
    <s v="2021-01-02 21:21 (PST)"/>
    <d v="2021-01-02T00:00:00"/>
    <s v="21:21(PST)"/>
    <s v="Saturday"/>
    <s v="On Demand"/>
    <x v="7"/>
  </r>
  <r>
    <s v="2021-01-09 19:19 (PST)"/>
    <d v="2021-01-09T00:00:00"/>
    <s v="19:19(PST)"/>
    <s v="Saturday"/>
    <s v="On Demand"/>
    <x v="6"/>
  </r>
  <r>
    <s v="2021-01-09 20:20 (PST)"/>
    <d v="2021-01-09T00:00:00"/>
    <s v="20:20(PST)"/>
    <s v="Saturday"/>
    <s v="On Demand"/>
    <x v="6"/>
  </r>
  <r>
    <s v="2021-01-16 22:34 (PST)"/>
    <d v="2021-01-16T00:00:00"/>
    <s v="22:34(PST)"/>
    <s v="Saturday"/>
    <s v="On Demand"/>
    <x v="13"/>
  </r>
  <r>
    <s v="2021-01-23 20:56 (PST)"/>
    <d v="2021-01-23T00:00:00"/>
    <s v="20:56(PST)"/>
    <s v="Saturday"/>
    <s v="On Demand"/>
    <x v="7"/>
  </r>
  <r>
    <s v="2021-01-23 21:44 (PST)"/>
    <d v="2021-01-23T00:00:00"/>
    <s v="21:44(PST)"/>
    <s v="Saturday"/>
    <s v="On Demand"/>
    <x v="16"/>
  </r>
  <r>
    <s v="2021-01-30 19:06 (PST)"/>
    <d v="2021-01-30T00:00:00"/>
    <s v="19:06(PST)"/>
    <s v="Saturday"/>
    <s v="On Demand"/>
    <x v="16"/>
  </r>
  <r>
    <s v="2021-02-06 20:02 (PST)"/>
    <d v="2021-02-06T00:00:00"/>
    <s v="20:02(PST)"/>
    <s v="Saturday"/>
    <s v="On Demand"/>
    <x v="7"/>
  </r>
  <r>
    <s v="2021-02-13 08:47 (PST)"/>
    <d v="2021-02-13T00:00:00"/>
    <s v="08:47(PST)"/>
    <s v="Saturday"/>
    <s v="On Demand"/>
    <x v="4"/>
  </r>
  <r>
    <s v="2021-02-13 08:53 (PST)"/>
    <d v="2021-02-13T00:00:00"/>
    <s v="08:53(PST)"/>
    <s v="Saturday"/>
    <s v="On Demand"/>
    <x v="4"/>
  </r>
  <r>
    <s v="2021-02-13 09:01 (PST)"/>
    <d v="2021-02-13T00:00:00"/>
    <s v="09:01(PST)"/>
    <s v="Saturday"/>
    <s v="On Demand"/>
    <x v="4"/>
  </r>
  <r>
    <s v="2021-02-13 10:01 (PST)"/>
    <d v="2021-02-13T00:00:00"/>
    <s v="10:01(PST)"/>
    <s v="Saturday"/>
    <s v="On Demand"/>
    <x v="4"/>
  </r>
  <r>
    <s v="2021-02-20 08:52 (PST)"/>
    <d v="2021-02-20T00:00:00"/>
    <s v="08:52(PST)"/>
    <s v="Saturday"/>
    <s v="On Demand"/>
    <x v="4"/>
  </r>
  <r>
    <s v="2021-02-20 09:01 (PST)"/>
    <d v="2021-02-20T00:00:00"/>
    <s v="09:01(PST)"/>
    <s v="Saturday"/>
    <s v="On Demand"/>
    <x v="9"/>
  </r>
  <r>
    <s v="2021-02-20 10:02 (PST)"/>
    <d v="2021-02-20T00:00:00"/>
    <s v="10:02(PST)"/>
    <s v="Saturday"/>
    <s v="On Demand"/>
    <x v="9"/>
  </r>
  <r>
    <s v="2021-02-20 10:08 (PST)"/>
    <d v="2021-02-20T00:00:00"/>
    <s v="10:08(PST)"/>
    <s v="Saturday"/>
    <s v="On Demand"/>
    <x v="1"/>
  </r>
  <r>
    <s v="2021-02-20 20:57 (PST)"/>
    <d v="2021-02-20T00:00:00"/>
    <s v="20:57(PST)"/>
    <s v="Saturday"/>
    <s v="On Demand"/>
    <x v="23"/>
  </r>
  <r>
    <s v="2021-03-06 20:12 (-08)"/>
    <d v="2021-03-06T00:00:00"/>
    <s v="20:12(-08)"/>
    <s v="Saturday"/>
    <s v="On Demand"/>
    <x v="12"/>
  </r>
  <r>
    <s v="2021-03-06 21:08 (PST)"/>
    <d v="2021-03-06T00:00:00"/>
    <s v="21:08(PST)"/>
    <s v="Saturday"/>
    <s v="On Demand"/>
    <x v="7"/>
  </r>
  <r>
    <s v="2021-03-13 20:11 (PST)"/>
    <d v="2021-03-13T00:00:00"/>
    <s v="20:11(PST)"/>
    <s v="Saturday"/>
    <s v="On Demand"/>
    <x v="19"/>
  </r>
  <r>
    <s v="2021-03-20 08:29 (-07)"/>
    <d v="2021-03-20T00:00:00"/>
    <s v="08:29(-07)"/>
    <s v="Saturday"/>
    <s v="On Demand"/>
    <x v="15"/>
  </r>
  <r>
    <s v="2021-03-20 09:01 (-07)"/>
    <d v="2021-03-20T00:00:00"/>
    <s v="09:01(-07)"/>
    <s v="Saturday"/>
    <s v="On Demand"/>
    <x v="4"/>
  </r>
  <r>
    <s v="2021-03-20 10:04 (-07)"/>
    <d v="2021-03-20T00:00:00"/>
    <s v="10:04(-07)"/>
    <s v="Saturday"/>
    <s v="On Demand"/>
    <x v="4"/>
  </r>
  <r>
    <s v="2021-03-20 10:17 (-07)"/>
    <d v="2021-03-20T00:00:00"/>
    <s v="10:17(-07)"/>
    <s v="Saturday"/>
    <s v="On Demand"/>
    <x v="17"/>
  </r>
  <r>
    <s v="2021-03-20 10:36 (PST)"/>
    <d v="2021-03-20T00:00:00"/>
    <s v="10:36(PST)"/>
    <s v="Saturday"/>
    <s v="On Demand"/>
    <x v="1"/>
  </r>
  <r>
    <s v="2021-03-20 10:48 (PST)"/>
    <d v="2021-03-20T00:00:00"/>
    <s v="10:48(PST)"/>
    <s v="Saturday"/>
    <s v="On Demand"/>
    <x v="13"/>
  </r>
  <r>
    <s v="2021-03-27 01:37 (PST)"/>
    <d v="2021-03-27T00:00:00"/>
    <s v="01:37(PST)"/>
    <s v="Saturday"/>
    <s v="On Demand"/>
    <x v="19"/>
  </r>
  <r>
    <s v="2021-03-27 21:58 (PST)"/>
    <d v="2021-03-27T00:00:00"/>
    <s v="21:58(PST)"/>
    <s v="Saturday"/>
    <s v="On Demand"/>
    <x v="19"/>
  </r>
  <r>
    <s v="2021-04-03 00:01 (PST)"/>
    <d v="2021-04-03T00:00:00"/>
    <s v="00:01(PST)"/>
    <s v="Saturday"/>
    <s v="On Demand"/>
    <x v="16"/>
  </r>
  <r>
    <s v="2021-04-03 21:45 (PST)"/>
    <d v="2021-04-03T00:00:00"/>
    <s v="21:45(PST)"/>
    <s v="Saturday"/>
    <s v="On Demand"/>
    <x v="19"/>
  </r>
  <r>
    <s v="2021-04-10 09:30 (-07)"/>
    <d v="2021-04-10T00:00:00"/>
    <s v="09:30(-07)"/>
    <s v="Saturday"/>
    <s v="On Demand"/>
    <x v="6"/>
  </r>
  <r>
    <s v="2021-04-10 09:36 (-07)"/>
    <d v="2021-04-10T00:00:00"/>
    <s v="09:36(-07)"/>
    <s v="Saturday"/>
    <s v="On Demand"/>
    <x v="6"/>
  </r>
  <r>
    <s v="2021-04-10 10:25 (-07)"/>
    <d v="2021-04-10T00:00:00"/>
    <s v="10:25(-07)"/>
    <s v="Saturday"/>
    <s v="On Demand"/>
    <x v="6"/>
  </r>
  <r>
    <s v="2021-04-10 11:28 (-07)"/>
    <d v="2021-04-10T00:00:00"/>
    <s v="11:28(-07)"/>
    <s v="Saturday"/>
    <s v="On Demand"/>
    <x v="4"/>
  </r>
  <r>
    <s v="2021-04-10 11:55 (PST)"/>
    <d v="2021-04-10T00:00:00"/>
    <s v="11:55(PST)"/>
    <s v="Saturday"/>
    <s v="On Demand"/>
    <x v="7"/>
  </r>
  <r>
    <s v="2021-04-10 22:31 (PST)"/>
    <d v="2021-04-10T00:00:00"/>
    <s v="22:31(PST)"/>
    <s v="Saturday"/>
    <s v="On Demand"/>
    <x v="16"/>
  </r>
  <r>
    <s v="2021-04-17 21:53 (PST)"/>
    <d v="2021-04-17T00:00:00"/>
    <s v="21:53(PST)"/>
    <s v="Saturday"/>
    <s v="On Demand"/>
    <x v="19"/>
  </r>
  <r>
    <s v="2021-04-24 10:43 (-07)"/>
    <d v="2021-04-24T00:00:00"/>
    <s v="10:43(-07)"/>
    <s v="Saturday"/>
    <s v="On Demand"/>
    <x v="6"/>
  </r>
  <r>
    <s v="2021-04-24 11:14 (-07)"/>
    <d v="2021-04-24T00:00:00"/>
    <s v="11:14(-07)"/>
    <s v="Saturday"/>
    <s v="On Demand"/>
    <x v="9"/>
  </r>
  <r>
    <s v="2021-04-24 12:15 (-07)"/>
    <d v="2021-04-24T00:00:00"/>
    <s v="12:15(-07)"/>
    <s v="Saturday"/>
    <s v="On Demand"/>
    <x v="7"/>
  </r>
  <r>
    <s v="2021-04-24 12:26 (-07)"/>
    <d v="2021-04-24T00:00:00"/>
    <s v="12:26(-07)"/>
    <s v="Saturday"/>
    <s v="On Demand"/>
    <x v="7"/>
  </r>
  <r>
    <s v="2021-05-01 07:43 (-07)"/>
    <d v="2021-05-01T00:00:00"/>
    <s v="07:43(-07)"/>
    <s v="Saturday"/>
    <s v="On Demand"/>
    <x v="6"/>
  </r>
  <r>
    <s v="2021-05-01 08:15 (-07)"/>
    <d v="2021-05-01T00:00:00"/>
    <s v="08:15(-07)"/>
    <s v="Saturday"/>
    <s v="On Demand"/>
    <x v="11"/>
  </r>
  <r>
    <s v="2021-05-01 09:02 (-07)"/>
    <d v="2021-05-01T00:00:00"/>
    <s v="09:02(-07)"/>
    <s v="Saturday"/>
    <s v="On Demand"/>
    <x v="4"/>
  </r>
  <r>
    <s v="2021-05-01 22:48 (PST)"/>
    <d v="2021-05-01T00:00:00"/>
    <s v="22:48(PST)"/>
    <s v="Saturday"/>
    <s v="On Demand"/>
    <x v="13"/>
  </r>
  <r>
    <s v="2021-05-08 08:12 (PST)"/>
    <d v="2021-05-08T00:00:00"/>
    <s v="08:12(PST)"/>
    <s v="Saturday"/>
    <s v="On Demand"/>
    <x v="19"/>
  </r>
  <r>
    <s v="2021-05-08 22:45 (PST)"/>
    <d v="2021-05-08T00:00:00"/>
    <s v="22:45(PST)"/>
    <s v="Saturday"/>
    <s v="On Demand"/>
    <x v="25"/>
  </r>
  <r>
    <s v="2021-05-15 05:27 (PST)"/>
    <d v="2021-05-15T00:00:00"/>
    <s v="05:27(PST)"/>
    <s v="Saturday"/>
    <s v="On Demand"/>
    <x v="17"/>
  </r>
  <r>
    <s v="2021-05-15 06:11 (-07)"/>
    <d v="2021-05-15T00:00:00"/>
    <s v="06:11(-07)"/>
    <s v="Saturday"/>
    <s v="On Demand"/>
    <x v="7"/>
  </r>
  <r>
    <s v="2021-05-15 22:21 (PST)"/>
    <d v="2021-05-15T00:00:00"/>
    <s v="22:21(PST)"/>
    <s v="Saturday"/>
    <s v="On Demand"/>
    <x v="19"/>
  </r>
  <r>
    <s v="2021-05-22 10:17 (PST)"/>
    <d v="2021-05-22T00:00:00"/>
    <s v="10:17(PST)"/>
    <s v="Saturday"/>
    <s v="On Demand"/>
    <x v="7"/>
  </r>
  <r>
    <s v="2021-05-22 22:50 (PST)"/>
    <d v="2021-05-22T00:00:00"/>
    <s v="22:50(PST)"/>
    <s v="Saturday"/>
    <s v="On Demand"/>
    <x v="16"/>
  </r>
  <r>
    <s v="2021-05-29 20:19 (PST)"/>
    <d v="2021-05-29T00:00:00"/>
    <s v="20:19(PST)"/>
    <s v="Saturday"/>
    <s v="On Demand"/>
    <x v="16"/>
  </r>
  <r>
    <s v="2021-05-29 22:27 (PST)"/>
    <d v="2021-05-29T00:00:00"/>
    <s v="22:27(PST)"/>
    <s v="Saturday"/>
    <s v="On Demand"/>
    <x v="23"/>
  </r>
  <r>
    <s v="2021-06-05 15:55 (PST)"/>
    <d v="2021-06-05T00:00:00"/>
    <s v="15:55(PST)"/>
    <s v="Saturday"/>
    <s v="On Demand"/>
    <x v="25"/>
  </r>
  <r>
    <s v="2021-06-12 12:23 (-07)"/>
    <d v="2021-06-12T00:00:00"/>
    <s v="12:23(-07)"/>
    <s v="Saturday"/>
    <s v="On Demand"/>
    <x v="5"/>
  </r>
  <r>
    <s v="2021-06-12 12:56 (-07)"/>
    <d v="2021-06-12T00:00:00"/>
    <s v="12:56(-07)"/>
    <s v="Saturday"/>
    <s v="On Demand"/>
    <x v="11"/>
  </r>
  <r>
    <s v="2021-06-12 13:17 (-07)"/>
    <d v="2021-06-12T00:00:00"/>
    <s v="13:17(-07)"/>
    <s v="Saturday"/>
    <s v="On Demand"/>
    <x v="11"/>
  </r>
  <r>
    <s v="2021-06-19 20:06 (PST)"/>
    <d v="2021-06-19T00:00:00"/>
    <s v="20:06(PST)"/>
    <s v="Saturday"/>
    <s v="On Demand"/>
    <x v="19"/>
  </r>
  <r>
    <s v="2021-06-19 21:12 (PST)"/>
    <d v="2021-06-19T00:00:00"/>
    <s v="21:12(PST)"/>
    <s v="Saturday"/>
    <s v="On Demand"/>
    <x v="25"/>
  </r>
  <r>
    <s v="2021-06-19 21:12 (PST)"/>
    <d v="2021-06-19T00:00:00"/>
    <s v="21:12(PST)"/>
    <s v="Saturday"/>
    <s v="On Demand"/>
    <x v="25"/>
  </r>
  <r>
    <s v="2021-06-26 11:52 (-07)"/>
    <d v="2021-06-26T00:00:00"/>
    <s v="11:52(-07)"/>
    <s v="Saturday"/>
    <s v="On Demand"/>
    <x v="6"/>
  </r>
  <r>
    <s v="2021-06-26 12:23 (-07)"/>
    <d v="2021-06-26T00:00:00"/>
    <s v="12:23(-07)"/>
    <s v="Saturday"/>
    <s v="On Demand"/>
    <x v="5"/>
  </r>
  <r>
    <s v="2021-06-26 12:35 (-07)"/>
    <d v="2021-06-26T00:00:00"/>
    <s v="12:35(-07)"/>
    <s v="Saturday"/>
    <s v="On Demand"/>
    <x v="4"/>
  </r>
  <r>
    <s v="2021-06-26 12:50 (-07)"/>
    <d v="2021-06-26T00:00:00"/>
    <s v="12:50(-07)"/>
    <s v="Saturday"/>
    <s v="On Demand"/>
    <x v="22"/>
  </r>
  <r>
    <s v="2021-06-26 13:59 (PST)"/>
    <d v="2021-06-26T00:00:00"/>
    <s v="13:59(PST)"/>
    <s v="Saturday"/>
    <s v="On Demand"/>
    <x v="37"/>
  </r>
  <r>
    <s v="2021-06-26 14:10 (PST)"/>
    <d v="2021-06-26T00:00:00"/>
    <s v="14:10(PST)"/>
    <s v="Saturday"/>
    <s v="On Demand"/>
    <x v="13"/>
  </r>
  <r>
    <s v="2021-06-26 23:35 (PST)"/>
    <d v="2021-06-26T00:00:00"/>
    <s v="23:35(PST)"/>
    <s v="Saturday"/>
    <s v="On Demand"/>
    <x v="25"/>
  </r>
  <r>
    <s v="2021-07-03 05:50 (-07)"/>
    <d v="2021-07-03T00:00:00"/>
    <s v="05:50(-07)"/>
    <s v="Saturday"/>
    <s v="On Demand"/>
    <x v="7"/>
  </r>
  <r>
    <s v="2021-07-03 06:35 (-07)"/>
    <d v="2021-07-03T00:00:00"/>
    <s v="06:35(-07)"/>
    <s v="Saturday"/>
    <s v="On Demand"/>
    <x v="0"/>
  </r>
  <r>
    <s v="2021-07-03 06:42 (-07)"/>
    <d v="2021-07-03T00:00:00"/>
    <s v="06:42(-07)"/>
    <s v="Saturday"/>
    <s v="On Demand"/>
    <x v="7"/>
  </r>
  <r>
    <s v="2021-07-03 06:49 (-07)"/>
    <d v="2021-07-03T00:00:00"/>
    <s v="06:49(-07)"/>
    <s v="Saturday"/>
    <s v="On Demand"/>
    <x v="11"/>
  </r>
  <r>
    <s v="2021-07-10 23:45 (PST)"/>
    <d v="2021-07-10T00:00:00"/>
    <s v="23:45(PST)"/>
    <s v="Saturday"/>
    <s v="On Demand"/>
    <x v="19"/>
  </r>
  <r>
    <s v="2021-07-24 21:13 (PST)"/>
    <d v="2021-07-24T00:00:00"/>
    <s v="21:13(PST)"/>
    <s v="Saturday"/>
    <s v="On Demand"/>
    <x v="16"/>
  </r>
  <r>
    <s v="2021-07-24 21:38 (PST)"/>
    <d v="2021-07-24T00:00:00"/>
    <s v="21:38(PST)"/>
    <s v="Saturday"/>
    <s v="On Demand"/>
    <x v="13"/>
  </r>
  <r>
    <s v="2021-07-31 08:12 (-07)"/>
    <d v="2021-07-31T00:00:00"/>
    <s v="08:12(-07)"/>
    <s v="Saturday"/>
    <s v="On Demand"/>
    <x v="6"/>
  </r>
  <r>
    <s v="2021-07-31 09:43 (-07)"/>
    <d v="2021-07-31T00:00:00"/>
    <s v="09:43(-07)"/>
    <s v="Saturday"/>
    <s v="On Demand"/>
    <x v="20"/>
  </r>
  <r>
    <s v="2021-07-31 21:53 (PST)"/>
    <d v="2021-07-31T00:00:00"/>
    <s v="21:53(PST)"/>
    <s v="Saturday"/>
    <s v="On Demand"/>
    <x v="25"/>
  </r>
  <r>
    <s v="2021-08-07 08:38 (PST)"/>
    <d v="2021-08-07T00:00:00"/>
    <s v="08:38(PST)"/>
    <s v="Saturday"/>
    <s v="On Demand"/>
    <x v="28"/>
  </r>
  <r>
    <s v="2021-08-07 22:30 (PST)"/>
    <d v="2021-08-07T00:00:00"/>
    <s v="22:30(PST)"/>
    <s v="Saturday"/>
    <s v="On Demand"/>
    <x v="23"/>
  </r>
  <r>
    <s v="2021-08-14 14:16 (PST)"/>
    <d v="2021-08-14T00:00:00"/>
    <s v="14:16(PST)"/>
    <s v="Saturday"/>
    <s v="On Demand"/>
    <x v="16"/>
  </r>
  <r>
    <s v="2021-08-21 10:51 (-07)"/>
    <d v="2021-08-21T00:00:00"/>
    <s v="10:51(-07)"/>
    <s v="Saturday"/>
    <s v="On Demand"/>
    <x v="6"/>
  </r>
  <r>
    <s v="2021-08-21 11:51 (-07)"/>
    <d v="2021-08-21T00:00:00"/>
    <s v="11:51(-07)"/>
    <s v="Saturday"/>
    <s v="On Demand"/>
    <x v="6"/>
  </r>
  <r>
    <s v="2021-08-21 11:57 (-07)"/>
    <d v="2021-08-21T00:00:00"/>
    <s v="11:57(-07)"/>
    <s v="Saturday"/>
    <s v="On Demand"/>
    <x v="24"/>
  </r>
  <r>
    <s v="2021-08-21 12:10 (-07)"/>
    <d v="2021-08-21T00:00:00"/>
    <s v="12:10(-07)"/>
    <s v="Saturday"/>
    <s v="On Demand"/>
    <x v="29"/>
  </r>
  <r>
    <s v="2021-08-28 18:24 (PST)"/>
    <d v="2021-08-28T00:00:00"/>
    <s v="18:24(PST)"/>
    <s v="Saturday"/>
    <s v="On Demand"/>
    <x v="23"/>
  </r>
  <r>
    <s v="2021-08-28 18:57 (PST)"/>
    <d v="2021-08-28T00:00:00"/>
    <s v="18:57(PST)"/>
    <s v="Saturday"/>
    <s v="On Demand"/>
    <x v="26"/>
  </r>
  <r>
    <s v="2021-08-28 21:28 (PST)"/>
    <d v="2021-08-28T00:00:00"/>
    <s v="21:28(PST)"/>
    <s v="Saturday"/>
    <s v="On Demand"/>
    <x v="16"/>
  </r>
  <r>
    <s v="2021-09-04 14:53 (-07)"/>
    <d v="2021-09-04T00:00:00"/>
    <s v="14:53(-07)"/>
    <s v="Saturday"/>
    <s v="On Demand"/>
    <x v="7"/>
  </r>
  <r>
    <s v="2021-09-04 15:38 (-07)"/>
    <d v="2021-09-04T00:00:00"/>
    <s v="15:38(-07)"/>
    <s v="Saturday"/>
    <s v="On Demand"/>
    <x v="7"/>
  </r>
  <r>
    <s v="2021-09-04 15:50 (-07)"/>
    <d v="2021-09-04T00:00:00"/>
    <s v="15:50(-07)"/>
    <s v="Saturday"/>
    <s v="On Demand"/>
    <x v="7"/>
  </r>
  <r>
    <s v="2021-09-04 21:58 (PST)"/>
    <d v="2021-09-04T00:00:00"/>
    <s v="21:58(PST)"/>
    <s v="Saturday"/>
    <s v="On Demand"/>
    <x v="23"/>
  </r>
  <r>
    <s v="2021-09-11 10:35 (-07)"/>
    <d v="2021-09-11T00:00:00"/>
    <s v="10:35(-07)"/>
    <s v="Saturday"/>
    <s v="On Demand"/>
    <x v="9"/>
  </r>
  <r>
    <s v="2021-09-11 11:22 (-07)"/>
    <d v="2021-09-11T00:00:00"/>
    <s v="11:22(-07)"/>
    <s v="Saturday"/>
    <s v="On Demand"/>
    <x v="29"/>
  </r>
  <r>
    <s v="2021-09-11 11:37 (-07)"/>
    <d v="2021-09-11T00:00:00"/>
    <s v="11:37(-07)"/>
    <s v="Saturday"/>
    <s v="On Demand"/>
    <x v="37"/>
  </r>
  <r>
    <s v="2021-09-11 12:10 (-07)"/>
    <d v="2021-09-11T00:00:00"/>
    <s v="12:10(-07)"/>
    <s v="Saturday"/>
    <s v="On Demand"/>
    <x v="21"/>
  </r>
  <r>
    <s v="2021-09-11 21:14 (PST)"/>
    <d v="2021-09-11T00:00:00"/>
    <s v="21:14(PST)"/>
    <s v="Saturday"/>
    <s v="On Demand"/>
    <x v="23"/>
  </r>
  <r>
    <s v="2021-09-18 22:15 (PST)"/>
    <d v="2021-09-18T00:00:00"/>
    <s v="22:15(PST)"/>
    <s v="Saturday"/>
    <s v="On Demand"/>
    <x v="13"/>
  </r>
  <r>
    <s v="2021-09-25 10:31 (-07)"/>
    <d v="2021-09-25T00:00:00"/>
    <s v="10:31(-07)"/>
    <s v="Saturday"/>
    <s v="On Demand"/>
    <x v="6"/>
  </r>
  <r>
    <s v="2021-09-25 10:43 (-07)"/>
    <d v="2021-09-25T00:00:00"/>
    <s v="10:43(-07)"/>
    <s v="Saturday"/>
    <s v="On Demand"/>
    <x v="6"/>
  </r>
  <r>
    <s v="2021-09-25 11:06 (-07)"/>
    <d v="2021-09-25T00:00:00"/>
    <s v="11:06(-07)"/>
    <s v="Saturday"/>
    <s v="On Demand"/>
    <x v="12"/>
  </r>
  <r>
    <s v="2021-09-25 11:36 (-07)"/>
    <d v="2021-09-25T00:00:00"/>
    <s v="11:36(-07)"/>
    <s v="Saturday"/>
    <s v="On Demand"/>
    <x v="6"/>
  </r>
  <r>
    <s v="2021-10-02 15:36 (-07)"/>
    <d v="2021-10-02T00:00:00"/>
    <s v="15:36(-07)"/>
    <s v="Saturday"/>
    <s v="On Demand"/>
    <x v="11"/>
  </r>
  <r>
    <s v="2021-10-02 16:26 (-07)"/>
    <d v="2021-10-02T00:00:00"/>
    <s v="16:26(-07)"/>
    <s v="Saturday"/>
    <s v="On Demand"/>
    <x v="6"/>
  </r>
  <r>
    <s v="2021-10-02 16:59 (-07)"/>
    <d v="2021-10-02T00:00:00"/>
    <s v="16:59(-07)"/>
    <s v="Saturday"/>
    <s v="On Demand"/>
    <x v="9"/>
  </r>
  <r>
    <s v="2021-10-02 17:07 (-07)"/>
    <d v="2021-10-02T00:00:00"/>
    <s v="17:07(-07)"/>
    <s v="Saturday"/>
    <s v="On Demand"/>
    <x v="7"/>
  </r>
  <r>
    <s v="2021-10-02 23:51 (PST)"/>
    <d v="2021-10-02T00:00:00"/>
    <s v="23:51(PST)"/>
    <s v="Saturday"/>
    <s v="On Demand"/>
    <x v="25"/>
  </r>
  <r>
    <s v="2021-10-09 10:55 (-07)"/>
    <d v="2021-10-09T00:00:00"/>
    <s v="10:55(-07)"/>
    <s v="Saturday"/>
    <s v="On Demand"/>
    <x v="6"/>
  </r>
  <r>
    <s v="2021-10-09 11:55 (-07)"/>
    <d v="2021-10-09T00:00:00"/>
    <s v="11:55(-07)"/>
    <s v="Saturday"/>
    <s v="On Demand"/>
    <x v="6"/>
  </r>
  <r>
    <s v="2021-10-09 12:01 (-07)"/>
    <d v="2021-10-09T00:00:00"/>
    <s v="12:01(-07)"/>
    <s v="Saturday"/>
    <s v="On Demand"/>
    <x v="5"/>
  </r>
  <r>
    <s v="2021-10-09 12:12 (-07)"/>
    <d v="2021-10-09T00:00:00"/>
    <s v="12:12(-07)"/>
    <s v="Saturday"/>
    <s v="On Demand"/>
    <x v="9"/>
  </r>
  <r>
    <s v="2021-10-16 19:38 (PST)"/>
    <d v="2021-10-16T00:00:00"/>
    <s v="19:38(PST)"/>
    <s v="Saturday"/>
    <s v="On Demand"/>
    <x v="8"/>
  </r>
  <r>
    <s v="2021-10-16 19:56 (PST)"/>
    <d v="2021-10-16T00:00:00"/>
    <s v="19:56(PST)"/>
    <s v="Saturday"/>
    <s v="On Demand"/>
    <x v="8"/>
  </r>
  <r>
    <s v="2021-10-16 21:57 (PST)"/>
    <d v="2021-10-16T00:00:00"/>
    <s v="21:57(PST)"/>
    <s v="Saturday"/>
    <s v="On Demand"/>
    <x v="19"/>
  </r>
  <r>
    <s v="2021-10-30 18:27 (PST)"/>
    <d v="2021-10-30T00:00:00"/>
    <s v="18:27(PST)"/>
    <s v="Saturday"/>
    <s v="On Demand"/>
    <x v="7"/>
  </r>
  <r>
    <s v="2021-10-30 23:59 (PST)"/>
    <d v="2021-10-30T00:00:00"/>
    <s v="23:59(PST)"/>
    <s v="Saturday"/>
    <s v="On Demand"/>
    <x v="19"/>
  </r>
  <r>
    <s v="2021-11-06 11:55 (PST)"/>
    <d v="2021-11-06T00:00:00"/>
    <s v="11:55(PST)"/>
    <s v="Saturday"/>
    <s v="On Demand"/>
    <x v="1"/>
  </r>
  <r>
    <s v="2021-11-06 12:06 (PST)"/>
    <d v="2021-11-06T00:00:00"/>
    <s v="12:06(PST)"/>
    <s v="Saturday"/>
    <s v="On Demand"/>
    <x v="24"/>
  </r>
  <r>
    <s v="2021-11-06 12:18 (PST)"/>
    <d v="2021-11-06T00:00:00"/>
    <s v="12:18(PST)"/>
    <s v="Saturday"/>
    <s v="On Demand"/>
    <x v="16"/>
  </r>
  <r>
    <s v="2021-11-06 23:41 (PST)"/>
    <d v="2021-11-06T00:00:00"/>
    <s v="23:41(PST)"/>
    <s v="Saturday"/>
    <s v="On Demand"/>
    <x v="25"/>
  </r>
  <r>
    <s v="2021-11-13 17:36 (-08)"/>
    <d v="2021-11-13T00:00:00"/>
    <s v="17:36(-08)"/>
    <s v="Saturday"/>
    <s v="On Demand"/>
    <x v="6"/>
  </r>
  <r>
    <s v="2021-11-13 17:42 (-08)"/>
    <d v="2021-11-13T00:00:00"/>
    <s v="17:42(-08)"/>
    <s v="Saturday"/>
    <s v="On Demand"/>
    <x v="6"/>
  </r>
  <r>
    <s v="2021-11-13 18:42 (-08)"/>
    <d v="2021-11-13T00:00:00"/>
    <s v="18:42(-08)"/>
    <s v="Saturday"/>
    <s v="On Demand"/>
    <x v="6"/>
  </r>
  <r>
    <s v="2021-11-13 18:54 (-08)"/>
    <d v="2021-11-13T00:00:00"/>
    <s v="18:54(-08)"/>
    <s v="Saturday"/>
    <s v="On Demand"/>
    <x v="16"/>
  </r>
  <r>
    <s v="2021-11-13 22:09 (PST)"/>
    <d v="2021-11-13T00:00:00"/>
    <s v="22:09(PST)"/>
    <s v="Saturday"/>
    <s v="On Demand"/>
    <x v="16"/>
  </r>
  <r>
    <s v="2021-11-20 13:01 (-08)"/>
    <d v="2021-11-20T00:00:00"/>
    <s v="13:01(-08)"/>
    <s v="Saturday"/>
    <s v="On Demand"/>
    <x v="6"/>
  </r>
  <r>
    <s v="2021-11-20 14:01 (-08)"/>
    <d v="2021-11-20T00:00:00"/>
    <s v="14:01(-08)"/>
    <s v="Saturday"/>
    <s v="On Demand"/>
    <x v="6"/>
  </r>
  <r>
    <s v="2021-11-20 14:09 (-08)"/>
    <d v="2021-11-20T00:00:00"/>
    <s v="14:09(-08)"/>
    <s v="Saturday"/>
    <s v="On Demand"/>
    <x v="1"/>
  </r>
  <r>
    <s v="2021-11-20 14:20 (-08)"/>
    <d v="2021-11-20T00:00:00"/>
    <s v="14:20(-08)"/>
    <s v="Saturday"/>
    <s v="On Demand"/>
    <x v="1"/>
  </r>
  <r>
    <s v="2021-12-04 08:36 (PST)"/>
    <d v="2021-12-04T00:00:00"/>
    <s v="08:36(PST)"/>
    <s v="Saturday"/>
    <s v="On Demand"/>
    <x v="7"/>
  </r>
  <r>
    <s v="2021-12-04 11:43 (PST)"/>
    <d v="2021-12-04T00:00:00"/>
    <s v="11:43(PST)"/>
    <s v="Saturday"/>
    <s v="On Demand"/>
    <x v="16"/>
  </r>
  <r>
    <s v="2021-12-11 23:13 (PST)"/>
    <d v="2021-12-11T00:00:00"/>
    <s v="23:13(PST)"/>
    <s v="Saturday"/>
    <s v="On Demand"/>
    <x v="23"/>
  </r>
  <r>
    <s v="2021-12-18 14:31 (-08)"/>
    <d v="2021-12-18T00:00:00"/>
    <s v="14:31(-08)"/>
    <s v="Saturday"/>
    <s v="On Demand"/>
    <x v="6"/>
  </r>
  <r>
    <s v="2021-12-18 15:17 (-08)"/>
    <d v="2021-12-18T00:00:00"/>
    <s v="15:17(-08)"/>
    <s v="Saturday"/>
    <s v="On Demand"/>
    <x v="6"/>
  </r>
  <r>
    <s v="2021-12-18 16:38 (PST)"/>
    <d v="2021-12-18T00:00:00"/>
    <s v="16:38(PST)"/>
    <s v="Saturday"/>
    <s v="On Demand"/>
    <x v="7"/>
  </r>
  <r>
    <s v="2021-12-18 22:41 (PST)"/>
    <d v="2021-12-18T00:00:00"/>
    <s v="22:41(PST)"/>
    <s v="Saturday"/>
    <s v="On Demand"/>
    <x v="13"/>
  </r>
  <r>
    <s v="2021-12-25 08:27 (PST)"/>
    <d v="2021-12-25T00:00:00"/>
    <s v="08:27(PST)"/>
    <s v="Saturday"/>
    <s v="On Demand"/>
    <x v="16"/>
  </r>
  <r>
    <s v="2021-12-25 08:59 (PST)"/>
    <d v="2021-12-25T00:00:00"/>
    <s v="08:59(PST)"/>
    <s v="Saturday"/>
    <s v="On Demand"/>
    <x v="20"/>
  </r>
  <r>
    <s v="2021-12-25 22:08 (PST)"/>
    <d v="2021-12-25T00:00:00"/>
    <s v="22:08(PST)"/>
    <s v="Saturday"/>
    <s v="On Demand"/>
    <x v="25"/>
  </r>
  <r>
    <s v="2022-01-01 00:53 (PST)"/>
    <d v="2022-01-01T00:00:00"/>
    <s v="00:53(PST)"/>
    <s v="Saturday"/>
    <s v="On Demand"/>
    <x v="19"/>
  </r>
  <r>
    <s v="2022-01-01 12:17 (PST)"/>
    <d v="2022-01-01T00:00:00"/>
    <s v="12:17(PST)"/>
    <s v="Saturday"/>
    <s v="On Demand"/>
    <x v="16"/>
  </r>
  <r>
    <s v="2022-01-01 22:39 (PST)"/>
    <d v="2022-01-01T00:00:00"/>
    <s v="22:39(PST)"/>
    <s v="Saturday"/>
    <s v="On Demand"/>
    <x v="23"/>
  </r>
  <r>
    <s v="2022-01-08 16:42 (PST)"/>
    <d v="2022-01-08T00:00:00"/>
    <s v="16:42(PST)"/>
    <s v="Saturday"/>
    <s v="On Demand"/>
    <x v="16"/>
  </r>
  <r>
    <s v="2022-01-08 22:51 (PST)"/>
    <d v="2022-01-08T00:00:00"/>
    <s v="22:51(PST)"/>
    <s v="Saturday"/>
    <s v="On Demand"/>
    <x v="28"/>
  </r>
  <r>
    <s v="2022-01-15 09:06 (-08)"/>
    <d v="2022-01-15T00:00:00"/>
    <s v="09:06(-08)"/>
    <s v="Saturday"/>
    <s v="On Demand"/>
    <x v="1"/>
  </r>
  <r>
    <s v="2022-01-15 09:30 (-08)"/>
    <d v="2022-01-15T00:00:00"/>
    <s v="09:30(-08)"/>
    <s v="Saturday"/>
    <s v="On Demand"/>
    <x v="6"/>
  </r>
  <r>
    <s v="2022-01-15 10:30 (-08)"/>
    <d v="2022-01-15T00:00:00"/>
    <s v="10:30(-08)"/>
    <s v="Saturday"/>
    <s v="On Demand"/>
    <x v="6"/>
  </r>
  <r>
    <s v="2022-01-15 22:17 (PST)"/>
    <d v="2022-01-15T00:00:00"/>
    <s v="22:17(PST)"/>
    <s v="Saturday"/>
    <s v="On Demand"/>
    <x v="19"/>
  </r>
  <r>
    <s v="2022-01-22 22:53 (PST)"/>
    <d v="2022-01-22T00:00:00"/>
    <s v="22:53(PST)"/>
    <s v="Saturday"/>
    <s v="On Demand"/>
    <x v="16"/>
  </r>
  <r>
    <s v="2022-01-29 16:27 (-08)"/>
    <d v="2022-01-29T00:00:00"/>
    <s v="16:27(-08)"/>
    <s v="Saturday"/>
    <s v="On Demand"/>
    <x v="6"/>
  </r>
  <r>
    <s v="2022-01-29 17:42 (-08)"/>
    <d v="2022-01-29T00:00:00"/>
    <s v="17:42(-08)"/>
    <s v="Saturday"/>
    <s v="On Demand"/>
    <x v="8"/>
  </r>
  <r>
    <s v="2022-01-29 17:50 (-08)"/>
    <d v="2022-01-29T00:00:00"/>
    <s v="17:50(-08)"/>
    <s v="Saturday"/>
    <s v="On Demand"/>
    <x v="1"/>
  </r>
  <r>
    <s v="2022-01-29 18:00 (-08)"/>
    <d v="2022-01-29T00:00:00"/>
    <s v="18:00(-08)"/>
    <s v="Saturday"/>
    <s v="On Demand"/>
    <x v="39"/>
  </r>
  <r>
    <s v="2022-01-29 23:21 (PST)"/>
    <d v="2022-01-29T00:00:00"/>
    <s v="23:21(PST)"/>
    <s v="Saturday"/>
    <s v="On Demand"/>
    <x v="19"/>
  </r>
  <r>
    <s v="2022-02-05 17:13 (-08)"/>
    <d v="2022-02-05T00:00:00"/>
    <s v="17:13(-08)"/>
    <s v="Saturday"/>
    <s v="On Demand"/>
    <x v="6"/>
  </r>
  <r>
    <s v="2022-02-05 18:29 (-08)"/>
    <d v="2022-02-05T00:00:00"/>
    <s v="18:29(-08)"/>
    <s v="Saturday"/>
    <s v="On Demand"/>
    <x v="0"/>
  </r>
  <r>
    <s v="2022-02-05 18:36 (-08)"/>
    <d v="2022-02-05T00:00:00"/>
    <s v="18:36(-08)"/>
    <s v="Saturday"/>
    <s v="On Demand"/>
    <x v="17"/>
  </r>
  <r>
    <s v="2022-02-05 21:05 (PST)"/>
    <d v="2022-02-05T00:00:00"/>
    <s v="21:05(PST)"/>
    <s v="Saturday"/>
    <s v="On Demand"/>
    <x v="23"/>
  </r>
  <r>
    <s v="2022-02-05 21:17 (PST)"/>
    <d v="2022-02-05T00:00:00"/>
    <s v="21:17(PST)"/>
    <s v="Saturday"/>
    <s v="On Demand"/>
    <x v="13"/>
  </r>
  <r>
    <s v="2022-02-05 22:12 (PST)"/>
    <d v="2022-02-05T00:00:00"/>
    <s v="22:12(PST)"/>
    <s v="Saturday"/>
    <s v="On Demand"/>
    <x v="16"/>
  </r>
  <r>
    <s v="2022-02-12 09:13 (PST)"/>
    <d v="2022-02-12T00:00:00"/>
    <s v="09:13(PST)"/>
    <s v="Saturday"/>
    <s v="On Demand"/>
    <x v="16"/>
  </r>
  <r>
    <s v="2022-02-12 23:27 (PST)"/>
    <d v="2022-02-12T00:00:00"/>
    <s v="23:27(PST)"/>
    <s v="Saturday"/>
    <s v="On Demand"/>
    <x v="13"/>
  </r>
  <r>
    <s v="2022-02-19 11:19 (PST)"/>
    <d v="2022-02-19T00:00:00"/>
    <s v="11:19(PST)"/>
    <s v="Saturday"/>
    <s v="On Demand"/>
    <x v="7"/>
  </r>
  <r>
    <s v="2022-02-19 21:56 (PST)"/>
    <d v="2022-02-19T00:00:00"/>
    <s v="21:56(PST)"/>
    <s v="Saturday"/>
    <s v="On Demand"/>
    <x v="19"/>
  </r>
  <r>
    <s v="2022-02-26 08:51 (PST)"/>
    <d v="2022-02-26T00:00:00"/>
    <s v="08:51(PST)"/>
    <s v="Saturday"/>
    <s v="On Demand"/>
    <x v="15"/>
  </r>
  <r>
    <s v="2022-02-26 09:22 (PST)"/>
    <d v="2022-02-26T00:00:00"/>
    <s v="09:22(PST)"/>
    <s v="Saturday"/>
    <s v="On Demand"/>
    <x v="52"/>
  </r>
  <r>
    <s v="2022-02-26 09:36 (PST)"/>
    <d v="2022-02-26T00:00:00"/>
    <s v="09:36(PST)"/>
    <s v="Saturday"/>
    <s v="On Demand"/>
    <x v="21"/>
  </r>
  <r>
    <s v="2022-02-26 09:47 (PST)"/>
    <d v="2022-02-26T00:00:00"/>
    <s v="09:47(PST)"/>
    <s v="Saturday"/>
    <s v="On Demand"/>
    <x v="24"/>
  </r>
  <r>
    <s v="2022-02-26 09:53 (PST)"/>
    <d v="2022-02-26T00:00:00"/>
    <s v="09:53(PST)"/>
    <s v="Saturday"/>
    <s v="On Demand"/>
    <x v="3"/>
  </r>
  <r>
    <s v="2022-03-05 23:08 (PST)"/>
    <d v="2022-03-05T00:00:00"/>
    <s v="23:08(PST)"/>
    <s v="Saturday"/>
    <s v="On Demand"/>
    <x v="13"/>
  </r>
  <r>
    <s v="2022-03-12 09:19 (PST)"/>
    <d v="2022-03-12T00:00:00"/>
    <s v="09:19(PST)"/>
    <s v="Saturday"/>
    <s v="On Demand"/>
    <x v="13"/>
  </r>
  <r>
    <s v="2022-03-12 09:42 (PST)"/>
    <d v="2022-03-12T00:00:00"/>
    <s v="09:42(PST)"/>
    <s v="Saturday"/>
    <s v="On Demand"/>
    <x v="13"/>
  </r>
  <r>
    <s v="2022-03-12 10:12 (PST)"/>
    <d v="2022-03-12T00:00:00"/>
    <s v="10:12(PST)"/>
    <s v="Saturday"/>
    <s v="On Demand"/>
    <x v="13"/>
  </r>
  <r>
    <s v="2022-03-12 10:54 (-08)"/>
    <d v="2022-03-12T00:00:00"/>
    <s v="10:54(-08)"/>
    <s v="Saturday"/>
    <s v="On Demand"/>
    <x v="1"/>
  </r>
  <r>
    <s v="2022-03-12 11:17 (-08)"/>
    <d v="2022-03-12T00:00:00"/>
    <s v="11:17(-08)"/>
    <s v="Saturday"/>
    <s v="On Demand"/>
    <x v="9"/>
  </r>
  <r>
    <s v="2022-03-12 22:33 (PST)"/>
    <d v="2022-03-12T00:00:00"/>
    <s v="22:33(PST)"/>
    <s v="Saturday"/>
    <s v="On Demand"/>
    <x v="30"/>
  </r>
  <r>
    <s v="2022-03-19 11:46 (-07)"/>
    <d v="2022-03-19T00:00:00"/>
    <s v="11:46(-07)"/>
    <s v="Saturday"/>
    <s v="On Demand"/>
    <x v="5"/>
  </r>
  <r>
    <s v="2022-03-19 11:53 (-07)"/>
    <d v="2022-03-19T00:00:00"/>
    <s v="11:53(-07)"/>
    <s v="Saturday"/>
    <s v="On Demand"/>
    <x v="6"/>
  </r>
  <r>
    <s v="2022-03-19 12:54 (-07)"/>
    <d v="2022-03-19T00:00:00"/>
    <s v="12:54(-07)"/>
    <s v="Saturday"/>
    <s v="On Demand"/>
    <x v="12"/>
  </r>
  <r>
    <s v="2022-03-19 13:10 (-07)"/>
    <d v="2022-03-19T00:00:00"/>
    <s v="13:10(-07)"/>
    <s v="Saturday"/>
    <s v="On Demand"/>
    <x v="6"/>
  </r>
  <r>
    <s v="2022-03-19 13:22 (-07)"/>
    <d v="2022-03-19T00:00:00"/>
    <s v="13:22(-07)"/>
    <s v="Saturday"/>
    <s v="On Demand"/>
    <x v="29"/>
  </r>
  <r>
    <s v="2022-03-19 23:59 (PST)"/>
    <d v="2022-03-19T00:00:00"/>
    <s v="23:59(PST)"/>
    <s v="Saturday"/>
    <s v="On Demand"/>
    <x v="28"/>
  </r>
  <r>
    <s v="2022-03-26 20:47 (PST)"/>
    <d v="2022-03-26T00:00:00"/>
    <s v="20:47(PST)"/>
    <s v="Saturday"/>
    <s v="On Demand"/>
    <x v="16"/>
  </r>
  <r>
    <s v="2022-03-26 21:59 (PST)"/>
    <d v="2022-03-26T00:00:00"/>
    <s v="21:59(PST)"/>
    <s v="Saturday"/>
    <s v="On Demand"/>
    <x v="19"/>
  </r>
  <r>
    <s v="2022-04-02 09:36 (PST)"/>
    <d v="2022-04-02T00:00:00"/>
    <s v="09:36(PST)"/>
    <s v="Saturday"/>
    <s v="On Demand"/>
    <x v="21"/>
  </r>
  <r>
    <s v="2022-04-02 20:47 (PST)"/>
    <d v="2022-04-02T00:00:00"/>
    <s v="20:47(PST)"/>
    <s v="Saturday"/>
    <s v="On Demand"/>
    <x v="25"/>
  </r>
  <r>
    <s v="2022-04-09 08:27 (PST)"/>
    <d v="2022-04-09T00:00:00"/>
    <s v="08:27(PST)"/>
    <s v="Saturday"/>
    <s v="On Demand"/>
    <x v="16"/>
  </r>
  <r>
    <s v="2022-04-09 23:11 (PST)"/>
    <d v="2022-04-09T00:00:00"/>
    <s v="23:11(PST)"/>
    <s v="Saturday"/>
    <s v="On Demand"/>
    <x v="13"/>
  </r>
  <r>
    <s v="2022-04-16 01:07 (PST)"/>
    <d v="2022-04-16T00:00:00"/>
    <s v="01:07(PST)"/>
    <s v="Saturday"/>
    <s v="On Demand"/>
    <x v="16"/>
  </r>
  <r>
    <s v="2022-04-16 09:29 (-07)"/>
    <d v="2022-04-16T00:00:00"/>
    <s v="09:29(-07)"/>
    <s v="Saturday"/>
    <s v="On Demand"/>
    <x v="6"/>
  </r>
  <r>
    <s v="2022-04-16 10:35 (PST)"/>
    <d v="2022-04-16T00:00:00"/>
    <s v="10:35(PST)"/>
    <s v="Saturday"/>
    <s v="On Demand"/>
    <x v="23"/>
  </r>
  <r>
    <s v="2022-04-23 08:55 (-07)"/>
    <d v="2022-04-23T00:00:00"/>
    <s v="08:55(-07)"/>
    <s v="Saturday"/>
    <s v="On Demand"/>
    <x v="14"/>
  </r>
  <r>
    <s v="2022-04-23 10:03 (-07)"/>
    <d v="2022-04-23T00:00:00"/>
    <s v="10:03(-07)"/>
    <s v="Saturday"/>
    <s v="On Demand"/>
    <x v="7"/>
  </r>
  <r>
    <s v="2022-04-23 10:17 (-07)"/>
    <d v="2022-04-23T00:00:00"/>
    <s v="10:17(-07)"/>
    <s v="Saturday"/>
    <s v="On Demand"/>
    <x v="33"/>
  </r>
  <r>
    <s v="2022-04-23 10:29 (-07)"/>
    <d v="2022-04-23T00:00:00"/>
    <s v="10:29(-07)"/>
    <s v="Saturday"/>
    <s v="On Demand"/>
    <x v="20"/>
  </r>
  <r>
    <s v="2022-04-23 22:36 (PST)"/>
    <d v="2022-04-23T00:00:00"/>
    <s v="22:36(PST)"/>
    <s v="Saturday"/>
    <s v="On Demand"/>
    <x v="28"/>
  </r>
  <r>
    <s v="2022-04-30 12:25 (-07)"/>
    <d v="2022-04-30T00:00:00"/>
    <s v="12:25(-07)"/>
    <s v="Saturday"/>
    <s v="On Demand"/>
    <x v="6"/>
  </r>
  <r>
    <s v="2022-04-30 13:57 (-07)"/>
    <d v="2022-04-30T00:00:00"/>
    <s v="13:57(-07)"/>
    <s v="Saturday"/>
    <s v="On Demand"/>
    <x v="34"/>
  </r>
  <r>
    <s v="2022-04-30 14:05 (-07)"/>
    <d v="2022-04-30T00:00:00"/>
    <s v="14:05(-07)"/>
    <s v="Saturday"/>
    <s v="On Demand"/>
    <x v="21"/>
  </r>
  <r>
    <s v="2022-04-30 22:49 (PST)"/>
    <d v="2022-04-30T00:00:00"/>
    <s v="22:49(PST)"/>
    <s v="Saturday"/>
    <s v="On Demand"/>
    <x v="19"/>
  </r>
  <r>
    <s v="2022-05-07 11:25 (-07)"/>
    <d v="2022-05-07T00:00:00"/>
    <s v="11:25(-07)"/>
    <s v="Saturday"/>
    <s v="On Demand"/>
    <x v="6"/>
  </r>
  <r>
    <s v="2022-05-07 11:31 (-07)"/>
    <d v="2022-05-07T00:00:00"/>
    <s v="11:31(-07)"/>
    <s v="Saturday"/>
    <s v="On Demand"/>
    <x v="6"/>
  </r>
  <r>
    <s v="2022-05-07 11:49 (-07)"/>
    <d v="2022-05-07T00:00:00"/>
    <s v="11:49(-07)"/>
    <s v="Saturday"/>
    <s v="On Demand"/>
    <x v="6"/>
  </r>
  <r>
    <s v="2022-05-07 12:13 (-07)"/>
    <d v="2022-05-07T00:00:00"/>
    <s v="12:13(-07)"/>
    <s v="Saturday"/>
    <s v="On Demand"/>
    <x v="6"/>
  </r>
  <r>
    <s v="2022-05-07 12:22 (-07)"/>
    <d v="2022-05-07T00:00:00"/>
    <s v="12:22(-07)"/>
    <s v="Saturday"/>
    <s v="On Demand"/>
    <x v="34"/>
  </r>
  <r>
    <s v="2022-05-07 12:41 (-07)"/>
    <d v="2022-05-07T00:00:00"/>
    <s v="12:41(-07)"/>
    <s v="Saturday"/>
    <s v="On Demand"/>
    <x v="4"/>
  </r>
  <r>
    <s v="2022-05-07 12:53 (-07)"/>
    <d v="2022-05-07T00:00:00"/>
    <s v="12:53(-07)"/>
    <s v="Saturday"/>
    <s v="On Demand"/>
    <x v="16"/>
  </r>
  <r>
    <s v="2022-05-07 23:49 (PST)"/>
    <d v="2022-05-07T00:00:00"/>
    <s v="23:49(PST)"/>
    <s v="Saturday"/>
    <s v="On Demand"/>
    <x v="19"/>
  </r>
  <r>
    <s v="2022-05-14 05:59 (PST)"/>
    <d v="2022-05-14T00:00:00"/>
    <s v="05:59(PST)"/>
    <s v="Saturday"/>
    <s v="On Demand"/>
    <x v="17"/>
  </r>
  <r>
    <s v="2022-05-14 22:00 (PST)"/>
    <d v="2022-05-14T00:00:00"/>
    <s v="22:00(PST)"/>
    <s v="Saturday"/>
    <s v="On Demand"/>
    <x v="19"/>
  </r>
  <r>
    <s v="2022-05-21 00:01 (PST)"/>
    <d v="2022-05-21T00:00:00"/>
    <s v="00:01(PST)"/>
    <s v="Saturday"/>
    <s v="On Demand"/>
    <x v="16"/>
  </r>
  <r>
    <s v="2022-05-21 09:02 (PST)"/>
    <d v="2022-05-21T00:00:00"/>
    <s v="09:02(PST)"/>
    <s v="Saturday"/>
    <s v="On Demand"/>
    <x v="31"/>
  </r>
  <r>
    <s v="2022-05-21 09:13 (PST)"/>
    <d v="2022-05-21T00:00:00"/>
    <s v="09:13(PST)"/>
    <s v="Saturday"/>
    <s v="On Demand"/>
    <x v="0"/>
  </r>
  <r>
    <s v="2022-05-21 09:26 (PST)"/>
    <d v="2022-05-21T00:00:00"/>
    <s v="09:26(PST)"/>
    <s v="Saturday"/>
    <s v="On Demand"/>
    <x v="16"/>
  </r>
  <r>
    <s v="2022-05-28 10:00 (-07)"/>
    <d v="2022-05-28T00:00:00"/>
    <s v="10:00(-07)"/>
    <s v="Saturday"/>
    <s v="On Demand"/>
    <x v="6"/>
  </r>
  <r>
    <s v="2022-05-28 11:33 (-07)"/>
    <d v="2022-05-28T00:00:00"/>
    <s v="11:33(-07)"/>
    <s v="Saturday"/>
    <s v="On Demand"/>
    <x v="6"/>
  </r>
  <r>
    <s v="2022-05-28 23:01 (PST)"/>
    <d v="2022-05-28T00:00:00"/>
    <s v="23:01(PST)"/>
    <s v="Saturday"/>
    <s v="On Demand"/>
    <x v="28"/>
  </r>
  <r>
    <s v="2022-06-04 07:16 (PST)"/>
    <d v="2022-06-04T00:00:00"/>
    <s v="07:16(PST)"/>
    <s v="Saturday"/>
    <s v="On Demand"/>
    <x v="19"/>
  </r>
  <r>
    <s v="2022-06-04 22:13 (PST)"/>
    <d v="2022-06-04T00:00:00"/>
    <s v="22:13(PST)"/>
    <s v="Saturday"/>
    <s v="On Demand"/>
    <x v="23"/>
  </r>
  <r>
    <s v="2022-06-11 22:44 (PST)"/>
    <d v="2022-06-11T00:00:00"/>
    <s v="22:44(PST)"/>
    <s v="Saturday"/>
    <s v="On Demand"/>
    <x v="16"/>
  </r>
  <r>
    <s v="2022-06-18 09:14 (PST)"/>
    <d v="2022-06-18T00:00:00"/>
    <s v="09:14(PST)"/>
    <s v="Saturday"/>
    <s v="On Demand"/>
    <x v="7"/>
  </r>
  <r>
    <s v="2022-06-18 21:32 (PST)"/>
    <d v="2022-06-18T00:00:00"/>
    <s v="21:32(PST)"/>
    <s v="Saturday"/>
    <s v="On Demand"/>
    <x v="13"/>
  </r>
  <r>
    <s v="2022-06-25 20:23 (PST)"/>
    <d v="2022-06-25T00:00:00"/>
    <s v="20:23(PST)"/>
    <s v="Saturday"/>
    <s v="On Demand"/>
    <x v="23"/>
  </r>
  <r>
    <s v="2022-07-02 23:12 (PST)"/>
    <d v="2022-07-02T00:00:00"/>
    <s v="23:12(PST)"/>
    <s v="Saturday"/>
    <s v="On Demand"/>
    <x v="13"/>
  </r>
  <r>
    <s v="2022-07-09 15:25 (-07)"/>
    <d v="2022-07-09T00:00:00"/>
    <s v="15:25(-07)"/>
    <s v="Saturday"/>
    <s v="On Demand"/>
    <x v="7"/>
  </r>
  <r>
    <s v="2022-07-09 16:12 (-07)"/>
    <d v="2022-07-09T00:00:00"/>
    <s v="16:12(-07)"/>
    <s v="Saturday"/>
    <s v="On Demand"/>
    <x v="7"/>
  </r>
  <r>
    <s v="2022-07-09 16:31 (-07)"/>
    <d v="2022-07-09T00:00:00"/>
    <s v="16:31(-07)"/>
    <s v="Saturday"/>
    <s v="On Demand"/>
    <x v="35"/>
  </r>
  <r>
    <s v="2022-07-09 16:43 (-07)"/>
    <d v="2022-07-09T00:00:00"/>
    <s v="16:43(-07)"/>
    <s v="Saturday"/>
    <s v="On Demand"/>
    <x v="23"/>
  </r>
  <r>
    <s v="2022-07-16 22:16 (PST)"/>
    <d v="2022-07-16T00:00:00"/>
    <s v="22:16(PST)"/>
    <s v="Saturday"/>
    <s v="On Demand"/>
    <x v="23"/>
  </r>
  <r>
    <s v="2022-07-23 09:54 (-07)"/>
    <d v="2022-07-23T00:00:00"/>
    <s v="09:54(-07)"/>
    <s v="Saturday"/>
    <s v="On Demand"/>
    <x v="6"/>
  </r>
  <r>
    <s v="2022-07-23 10:11 (-07)"/>
    <d v="2022-07-23T00:00:00"/>
    <s v="10:11(-07)"/>
    <s v="Saturday"/>
    <s v="On Demand"/>
    <x v="6"/>
  </r>
  <r>
    <s v="2022-07-23 10:35 (-07)"/>
    <d v="2022-07-23T00:00:00"/>
    <s v="10:35(-07)"/>
    <s v="Saturday"/>
    <s v="On Demand"/>
    <x v="34"/>
  </r>
  <r>
    <s v="2022-07-23 10:58 (PST)"/>
    <d v="2022-07-23T00:00:00"/>
    <s v="10:58(PST)"/>
    <s v="Saturday"/>
    <s v="On Demand"/>
    <x v="23"/>
  </r>
  <r>
    <s v="2022-07-30 22:33 (PST)"/>
    <d v="2022-07-30T00:00:00"/>
    <s v="22:33(PST)"/>
    <s v="Saturday"/>
    <s v="On Demand"/>
    <x v="19"/>
  </r>
  <r>
    <s v="2022-08-06 22:15 (PST)"/>
    <d v="2022-08-06T00:00:00"/>
    <s v="22:15(PST)"/>
    <s v="Saturday"/>
    <s v="On Demand"/>
    <x v="13"/>
  </r>
  <r>
    <s v="2022-08-20 22:56 (PST)"/>
    <d v="2022-08-20T00:00:00"/>
    <s v="22:56(PST)"/>
    <s v="Saturday"/>
    <s v="On Demand"/>
    <x v="16"/>
  </r>
  <r>
    <s v="2022-08-27 12:23 (PST)"/>
    <d v="2022-08-27T00:00:00"/>
    <s v="12:23(PST)"/>
    <s v="Saturday"/>
    <s v="On Demand"/>
    <x v="7"/>
  </r>
  <r>
    <s v="2022-08-27 12:55 (PST)"/>
    <d v="2022-08-27T00:00:00"/>
    <s v="12:55(PST)"/>
    <s v="Saturday"/>
    <s v="On Demand"/>
    <x v="1"/>
  </r>
  <r>
    <s v="2022-08-27 13:06 (PST)"/>
    <d v="2022-08-27T00:00:00"/>
    <s v="13:06(PST)"/>
    <s v="Saturday"/>
    <s v="On Demand"/>
    <x v="8"/>
  </r>
  <r>
    <s v="2022-09-03 17:08 (PST)"/>
    <d v="2022-09-03T00:00:00"/>
    <s v="17:08(PST)"/>
    <s v="Saturday"/>
    <s v="On Demand"/>
    <x v="8"/>
  </r>
  <r>
    <s v="2022-09-03 17:19 (PST)"/>
    <d v="2022-09-03T00:00:00"/>
    <s v="17:19(PST)"/>
    <s v="Saturday"/>
    <s v="On Demand"/>
    <x v="8"/>
  </r>
  <r>
    <s v="2022-09-03 17:30 (PST)"/>
    <d v="2022-09-03T00:00:00"/>
    <s v="17:30(PST)"/>
    <s v="Saturday"/>
    <s v="On Demand"/>
    <x v="23"/>
  </r>
  <r>
    <s v="2022-09-17 19:54 (PST)"/>
    <d v="2022-09-17T00:00:00"/>
    <s v="19:54(PST)"/>
    <s v="Saturday"/>
    <s v="On Demand"/>
    <x v="28"/>
  </r>
  <r>
    <s v="2022-09-17 20:07 (PST)"/>
    <d v="2022-09-17T00:00:00"/>
    <s v="20:07(PST)"/>
    <s v="Saturday"/>
    <s v="On Demand"/>
    <x v="28"/>
  </r>
  <r>
    <s v="2022-10-01 22:20 (PST)"/>
    <d v="2022-10-01T00:00:00"/>
    <s v="22:20(PST)"/>
    <s v="Saturday"/>
    <s v="On Demand"/>
    <x v="16"/>
  </r>
  <r>
    <s v="2022-10-15 10:53 (-07)"/>
    <d v="2022-10-15T00:00:00"/>
    <s v="10:53(-07)"/>
    <s v="Saturday"/>
    <s v="On Demand"/>
    <x v="6"/>
  </r>
  <r>
    <s v="2022-10-15 11:55 (-07)"/>
    <d v="2022-10-15T00:00:00"/>
    <s v="11:55(-07)"/>
    <s v="Saturday"/>
    <s v="On Demand"/>
    <x v="34"/>
  </r>
  <r>
    <s v="2022-10-15 12:07 (-07)"/>
    <d v="2022-10-15T00:00:00"/>
    <s v="12:07(-07)"/>
    <s v="Saturday"/>
    <s v="On Demand"/>
    <x v="12"/>
  </r>
  <r>
    <s v="2022-10-15 12:18 (-07)"/>
    <d v="2022-10-15T00:00:00"/>
    <s v="12:18(-07)"/>
    <s v="Saturday"/>
    <s v="On Demand"/>
    <x v="1"/>
  </r>
  <r>
    <s v="2022-10-15 12:29 (-07)"/>
    <d v="2022-10-15T00:00:00"/>
    <s v="12:29(-07)"/>
    <s v="Saturday"/>
    <s v="On Demand"/>
    <x v="13"/>
  </r>
  <r>
    <s v="2022-10-22 22:21 (PST)"/>
    <d v="2022-10-22T00:00:00"/>
    <s v="22:21(PST)"/>
    <s v="Saturday"/>
    <s v="On Demand"/>
    <x v="16"/>
  </r>
  <r>
    <s v="2022-10-29 21:38 (GMT)"/>
    <d v="2022-10-29T00:00:00"/>
    <s v="21:38(GMT)"/>
    <s v="Saturday"/>
    <s v="On Demand"/>
    <x v="19"/>
  </r>
  <r>
    <s v="2022-11-12 09:08 (EST)"/>
    <d v="2022-11-12T00:00:00"/>
    <s v="09:08(EST)"/>
    <s v="Saturday"/>
    <s v="On Demand"/>
    <x v="16"/>
  </r>
  <r>
    <s v="2022-11-19 11:16 (PST)"/>
    <d v="2022-11-19T00:00:00"/>
    <s v="11:16(PST)"/>
    <s v="Saturday"/>
    <s v="On Demand"/>
    <x v="7"/>
  </r>
  <r>
    <s v="2022-11-19 21:14 (PST)"/>
    <d v="2022-11-19T00:00:00"/>
    <s v="21:14(PST)"/>
    <s v="Saturday"/>
    <s v="On Demand"/>
    <x v="19"/>
  </r>
  <r>
    <s v="2022-11-19 21:39 (PST)"/>
    <d v="2022-11-19T00:00:00"/>
    <s v="21:39(PST)"/>
    <s v="Saturday"/>
    <s v="On Demand"/>
    <x v="16"/>
  </r>
  <r>
    <s v="2022-12-03 14:56 (-08)"/>
    <d v="2022-12-03T00:00:00"/>
    <s v="14:56(-08)"/>
    <s v="Saturday"/>
    <s v="On Demand"/>
    <x v="6"/>
  </r>
  <r>
    <s v="2022-12-03 15:41 (-08)"/>
    <d v="2022-12-03T00:00:00"/>
    <s v="15:41(-08)"/>
    <s v="Saturday"/>
    <s v="On Demand"/>
    <x v="39"/>
  </r>
  <r>
    <s v="2022-12-03 15:54 (-08)"/>
    <d v="2022-12-03T00:00:00"/>
    <s v="15:54(-08)"/>
    <s v="Saturday"/>
    <s v="On Demand"/>
    <x v="12"/>
  </r>
  <r>
    <s v="2022-12-03 16:55 (PST)"/>
    <d v="2022-12-03T00:00:00"/>
    <s v="16:55(PST)"/>
    <s v="Saturday"/>
    <s v="On Demand"/>
    <x v="7"/>
  </r>
  <r>
    <s v="2022-12-03 23:39 (PST)"/>
    <d v="2022-12-03T00:00:00"/>
    <s v="23:39(PST)"/>
    <s v="Saturday"/>
    <s v="On Demand"/>
    <x v="16"/>
  </r>
  <r>
    <s v="2022-12-10 08:07 (PST)"/>
    <d v="2022-12-10T00:00:00"/>
    <s v="08:07(PST)"/>
    <s v="Saturday"/>
    <s v="On Demand"/>
    <x v="16"/>
  </r>
  <r>
    <s v="2022-12-10 08:23 (PST)"/>
    <d v="2022-12-10T00:00:00"/>
    <s v="08:23(PST)"/>
    <s v="Saturday"/>
    <s v="On Demand"/>
    <x v="23"/>
  </r>
  <r>
    <s v="2022-12-10 23:43 (EST)"/>
    <d v="2022-12-10T00:00:00"/>
    <s v="23:43(EST)"/>
    <s v="Saturday"/>
    <s v="On Demand"/>
    <x v="25"/>
  </r>
  <r>
    <s v="2022-12-17 04:00 (EST)"/>
    <d v="2022-12-17T00:00:00"/>
    <s v="04:00(EST)"/>
    <s v="Saturday"/>
    <s v="On Demand"/>
    <x v="28"/>
  </r>
  <r>
    <s v="2022-12-17 13:45 (EST)"/>
    <d v="2022-12-17T00:00:00"/>
    <s v="13:45(EST)"/>
    <s v="Saturday"/>
    <m/>
    <x v="34"/>
  </r>
  <r>
    <s v="2022-12-17 15:26 (EST)"/>
    <d v="2022-12-17T00:00:00"/>
    <s v="15:26(EST)"/>
    <s v="Saturday"/>
    <m/>
    <x v="34"/>
  </r>
  <r>
    <s v="2022-12-17 16:12 (EST)"/>
    <d v="2022-12-17T00:00:00"/>
    <s v="16:12(EST)"/>
    <s v="Saturday"/>
    <s v="On Demand"/>
    <x v="35"/>
  </r>
  <r>
    <s v="2022-12-17 16:18 (EST)"/>
    <d v="2022-12-17T00:00:00"/>
    <s v="16:18(EST)"/>
    <s v="Saturday"/>
    <s v="On Demand"/>
    <x v="32"/>
  </r>
  <r>
    <s v="2022-12-17 23:29 (EST)"/>
    <d v="2022-12-17T00:00:00"/>
    <s v="23:29(EST)"/>
    <s v="Saturday"/>
    <s v="On Demand"/>
    <x v="25"/>
  </r>
  <r>
    <s v="2022-12-24 11:15 (-08)"/>
    <d v="2022-12-24T00:00:00"/>
    <s v="11:15(-08)"/>
    <s v="Saturday"/>
    <s v="On Demand"/>
    <x v="37"/>
  </r>
  <r>
    <s v="2022-12-24 12:04 (-08)"/>
    <d v="2022-12-24T00:00:00"/>
    <s v="12:04(-08)"/>
    <s v="Saturday"/>
    <s v="On Demand"/>
    <x v="38"/>
  </r>
  <r>
    <s v="2022-12-24 12:45 (PST)"/>
    <d v="2022-12-24T00:00:00"/>
    <s v="12:45(PST)"/>
    <s v="Saturday"/>
    <s v="On Demand"/>
    <x v="16"/>
  </r>
  <r>
    <s v="2022-12-24 22:13 (PST)"/>
    <d v="2022-12-24T00:00:00"/>
    <s v="22:13(PST)"/>
    <s v="Saturday"/>
    <s v="On Demand"/>
    <x v="16"/>
  </r>
  <r>
    <s v="2023-01-07 21:55 (PST)"/>
    <d v="2023-01-07T00:00:00"/>
    <s v="21:55(PST)"/>
    <s v="Saturday"/>
    <s v="On Demand"/>
    <x v="16"/>
  </r>
  <r>
    <s v="2023-01-07 22:43 (PST)"/>
    <d v="2023-01-07T00:00:00"/>
    <s v="22:43(PST)"/>
    <s v="Saturday"/>
    <s v="On Demand"/>
    <x v="25"/>
  </r>
  <r>
    <s v="2023-01-14 12:49 (-08)"/>
    <d v="2023-01-14T00:00:00"/>
    <s v="12:49(-08)"/>
    <s v="Saturday"/>
    <s v="On Demand"/>
    <x v="4"/>
  </r>
  <r>
    <s v="2023-01-14 13:20 (-08)"/>
    <d v="2023-01-14T00:00:00"/>
    <s v="13:20(-08)"/>
    <s v="Saturday"/>
    <s v="On Demand"/>
    <x v="6"/>
  </r>
  <r>
    <s v="2023-01-14 13:32 (-08)"/>
    <d v="2023-01-14T00:00:00"/>
    <s v="13:32(-08)"/>
    <s v="Saturday"/>
    <s v="On Demand"/>
    <x v="36"/>
  </r>
  <r>
    <s v="2023-01-14 16:34 (PST)"/>
    <d v="2023-01-14T00:00:00"/>
    <s v="16:34(PST)"/>
    <s v="Saturday"/>
    <s v="On Demand"/>
    <x v="13"/>
  </r>
  <r>
    <s v="2023-01-21 02:06 (PST)"/>
    <d v="2023-01-21T00:00:00"/>
    <s v="02:06(PST)"/>
    <s v="Saturday"/>
    <s v="On Demand"/>
    <x v="19"/>
  </r>
  <r>
    <s v="2023-01-21 16:15 (-08)"/>
    <d v="2023-01-21T00:00:00"/>
    <s v="16:15(-08)"/>
    <s v="Saturday"/>
    <s v="On Demand"/>
    <x v="7"/>
  </r>
  <r>
    <s v="2023-01-21 17:16 (-08)"/>
    <d v="2023-01-21T00:00:00"/>
    <s v="17:16(-08)"/>
    <s v="Saturday"/>
    <s v="On Demand"/>
    <x v="7"/>
  </r>
  <r>
    <s v="2023-01-21 22:23 (PST)"/>
    <d v="2023-01-21T00:00:00"/>
    <s v="22:23(PST)"/>
    <s v="Saturday"/>
    <s v="On Demand"/>
    <x v="16"/>
  </r>
  <r>
    <s v="2023-01-28 23:10 (EST)"/>
    <d v="2023-01-28T00:00:00"/>
    <s v="23:10(EST)"/>
    <s v="Saturday"/>
    <s v="On Demand"/>
    <x v="28"/>
  </r>
  <r>
    <s v="2023-02-04 00:01 (EST)"/>
    <d v="2023-02-04T00:00:00"/>
    <s v="00:01(EST)"/>
    <s v="Saturday"/>
    <s v="On Demand"/>
    <x v="16"/>
  </r>
  <r>
    <s v="2023-02-11 01:10 (PST)"/>
    <d v="2023-02-11T00:00:00"/>
    <s v="01:10(PST)"/>
    <s v="Saturday"/>
    <s v="On Demand"/>
    <x v="16"/>
  </r>
  <r>
    <s v="2023-02-11 22:43 (PST)"/>
    <d v="2023-02-11T00:00:00"/>
    <s v="22:43(PST)"/>
    <s v="Saturday"/>
    <s v="On Demand"/>
    <x v="13"/>
  </r>
  <r>
    <s v="2023-02-18 21:09 (PST)"/>
    <d v="2023-02-18T00:00:00"/>
    <s v="21:09(PST)"/>
    <s v="Saturday"/>
    <s v="On Demand"/>
    <x v="19"/>
  </r>
  <r>
    <s v="2023-02-25 08:00 (-08)"/>
    <d v="2023-02-25T00:00:00"/>
    <s v="08:00(-08)"/>
    <s v="Saturday"/>
    <s v="Live"/>
    <x v="15"/>
  </r>
  <r>
    <s v="2023-02-25 08:31 (-08)"/>
    <d v="2023-02-25T00:00:00"/>
    <s v="08:31(-08)"/>
    <s v="Saturday"/>
    <s v="On Demand"/>
    <x v="7"/>
  </r>
  <r>
    <s v="2023-02-25 09:18 (-08)"/>
    <d v="2023-02-25T00:00:00"/>
    <s v="09:18(-08)"/>
    <s v="Saturday"/>
    <s v="On Demand"/>
    <x v="4"/>
  </r>
  <r>
    <s v="2023-02-25 09:53 (PST)"/>
    <d v="2023-02-25T00:00:00"/>
    <s v="09:53(PST)"/>
    <s v="Saturday"/>
    <s v="On Demand"/>
    <x v="24"/>
  </r>
  <r>
    <s v="2023-02-25 10:05 (PST)"/>
    <d v="2023-02-25T00:00:00"/>
    <s v="10:05(PST)"/>
    <s v="Saturday"/>
    <s v="On Demand"/>
    <x v="13"/>
  </r>
  <r>
    <s v="2023-03-04 15:49 (-08)"/>
    <d v="2023-03-04T00:00:00"/>
    <s v="15:49(-08)"/>
    <s v="Saturday"/>
    <s v="On Demand"/>
    <x v="31"/>
  </r>
  <r>
    <s v="2023-03-04 16:01 (-08)"/>
    <d v="2023-03-04T00:00:00"/>
    <s v="16:01(-08)"/>
    <s v="Saturday"/>
    <s v="On Demand"/>
    <x v="6"/>
  </r>
  <r>
    <s v="2023-03-04 16:46 (PST)"/>
    <d v="2023-03-04T00:00:00"/>
    <s v="16:46(PST)"/>
    <s v="Saturday"/>
    <s v="On Demand"/>
    <x v="7"/>
  </r>
  <r>
    <s v="2023-03-04 23:04 (PST)"/>
    <d v="2023-03-04T00:00:00"/>
    <s v="23:04(PST)"/>
    <s v="Saturday"/>
    <s v="On Demand"/>
    <x v="19"/>
  </r>
  <r>
    <s v="2023-03-25 12:02 (-04)"/>
    <d v="2023-03-25T00:00:00"/>
    <s v="12:02(-04)"/>
    <s v="Saturday"/>
    <s v="On Demand"/>
    <x v="5"/>
  </r>
  <r>
    <s v="2023-03-25 12:35 (-04)"/>
    <d v="2023-03-25T00:00:00"/>
    <s v="12:35(-04)"/>
    <s v="Saturday"/>
    <s v="On Demand"/>
    <x v="7"/>
  </r>
  <r>
    <s v="2023-03-25 12:55 (-04)"/>
    <d v="2023-03-25T00:00:00"/>
    <s v="12:55(-04)"/>
    <s v="Saturday"/>
    <s v="On Demand"/>
    <x v="7"/>
  </r>
  <r>
    <s v="2023-03-25 16:34 (EST)"/>
    <d v="2023-03-25T00:00:00"/>
    <s v="16:34(EST)"/>
    <s v="Saturday"/>
    <s v="On Demand"/>
    <x v="16"/>
  </r>
  <r>
    <s v="2023-04-01 11:17 (-07)"/>
    <d v="2023-04-01T00:00:00"/>
    <s v="11:17(-07)"/>
    <s v="Saturday"/>
    <s v="On Demand"/>
    <x v="12"/>
  </r>
  <r>
    <s v="2023-04-01 11:29 (-07)"/>
    <d v="2023-04-01T00:00:00"/>
    <s v="11:29(-07)"/>
    <s v="Saturday"/>
    <s v="On Demand"/>
    <x v="6"/>
  </r>
  <r>
    <s v="2023-04-01 12:32 (-07)"/>
    <d v="2023-04-01T00:00:00"/>
    <s v="12:32(-07)"/>
    <s v="Saturday"/>
    <s v="On Demand"/>
    <x v="8"/>
  </r>
  <r>
    <s v="2023-04-01 12:37 (-07)"/>
    <d v="2023-04-01T00:00:00"/>
    <s v="12:37(-07)"/>
    <s v="Saturday"/>
    <s v="On Demand"/>
    <x v="10"/>
  </r>
  <r>
    <s v="2023-04-08 15:39 (PST)"/>
    <d v="2023-04-08T00:00:00"/>
    <s v="15:39(PST)"/>
    <s v="Saturday"/>
    <s v="On Demand"/>
    <x v="13"/>
  </r>
  <r>
    <s v="2023-04-15 12:07 (-07)"/>
    <d v="2023-04-15T00:00:00"/>
    <s v="12:07(-07)"/>
    <s v="Saturday"/>
    <s v="On Demand"/>
    <x v="7"/>
  </r>
  <r>
    <s v="2023-04-15 12:53 (-07)"/>
    <d v="2023-04-15T00:00:00"/>
    <s v="12:53(-07)"/>
    <s v="Saturday"/>
    <s v="On Demand"/>
    <x v="6"/>
  </r>
  <r>
    <s v="2023-04-15 13:00 (-07)"/>
    <d v="2023-04-15T00:00:00"/>
    <s v="13:00(-07)"/>
    <s v="Saturday"/>
    <s v="On Demand"/>
    <x v="12"/>
  </r>
  <r>
    <s v="2023-04-15 13:12 (-07)"/>
    <d v="2023-04-15T00:00:00"/>
    <s v="13:12(-07)"/>
    <s v="Saturday"/>
    <s v="On Demand"/>
    <x v="37"/>
  </r>
  <r>
    <s v="2023-04-22 22:53 (PST)"/>
    <d v="2023-04-22T00:00:00"/>
    <s v="22:53(PST)"/>
    <s v="Saturday"/>
    <s v="On Demand"/>
    <x v="28"/>
  </r>
  <r>
    <s v="2023-04-29 09:28 (PST)"/>
    <d v="2023-04-29T00:00:00"/>
    <s v="09:28(PST)"/>
    <s v="Saturday"/>
    <s v="On Demand"/>
    <x v="13"/>
  </r>
  <r>
    <s v="2023-04-29 23:20 (PST)"/>
    <d v="2023-04-29T00:00:00"/>
    <s v="23:20(PST)"/>
    <s v="Saturday"/>
    <s v="On Demand"/>
    <x v="28"/>
  </r>
  <r>
    <s v="2023-05-06 18:07 (-07)"/>
    <d v="2023-05-06T00:00:00"/>
    <s v="18:07(-07)"/>
    <s v="Saturday"/>
    <s v="On Demand"/>
    <x v="4"/>
  </r>
  <r>
    <s v="2023-05-06 18:52 (-07)"/>
    <d v="2023-05-06T00:00:00"/>
    <s v="18:52(-07)"/>
    <s v="Saturday"/>
    <s v="On Demand"/>
    <x v="6"/>
  </r>
  <r>
    <s v="2023-05-06 22:20 (PST)"/>
    <d v="2023-05-06T00:00:00"/>
    <s v="22:20(PST)"/>
    <s v="Saturday"/>
    <s v="On Demand"/>
    <x v="19"/>
  </r>
  <r>
    <s v="2023-05-13 17:39 (-07)"/>
    <d v="2023-05-13T00:00:00"/>
    <s v="17:39(-07)"/>
    <s v="Saturday"/>
    <s v="On Demand"/>
    <x v="5"/>
  </r>
  <r>
    <s v="2023-05-13 17:53 (-07)"/>
    <d v="2023-05-13T00:00:00"/>
    <s v="17:53(-07)"/>
    <s v="Saturday"/>
    <s v="On Demand"/>
    <x v="6"/>
  </r>
  <r>
    <s v="2023-05-13 18:43 (-07)"/>
    <d v="2023-05-13T00:00:00"/>
    <s v="18:43(-07)"/>
    <s v="Saturday"/>
    <s v="On Demand"/>
    <x v="15"/>
  </r>
  <r>
    <s v="2023-05-13 22:55 (PST)"/>
    <d v="2023-05-13T00:00:00"/>
    <s v="22:55(PST)"/>
    <s v="Saturday"/>
    <s v="On Demand"/>
    <x v="16"/>
  </r>
  <r>
    <s v="2023-05-20 07:49 (PST)"/>
    <d v="2023-05-20T00:00:00"/>
    <s v="07:49(PST)"/>
    <s v="Saturday"/>
    <s v="On Demand"/>
    <x v="7"/>
  </r>
  <r>
    <s v="2023-05-27 14:33 (-07)"/>
    <d v="2023-05-27T00:00:00"/>
    <s v="14:33(-07)"/>
    <s v="Saturday"/>
    <s v="On Demand"/>
    <x v="24"/>
  </r>
  <r>
    <s v="2023-05-27 14:47 (-07)"/>
    <d v="2023-05-27T00:00:00"/>
    <s v="14:47(-07)"/>
    <s v="Saturday"/>
    <s v="On Demand"/>
    <x v="24"/>
  </r>
  <r>
    <s v="2023-05-27 15:12 (-07)"/>
    <d v="2023-05-27T00:00:00"/>
    <s v="15:12(-07)"/>
    <s v="Saturday"/>
    <s v="On Demand"/>
    <x v="6"/>
  </r>
  <r>
    <s v="2023-06-03 22:14 (PST)"/>
    <d v="2023-06-03T00:00:00"/>
    <s v="22:14(PST)"/>
    <s v="Saturday"/>
    <s v="On Demand"/>
    <x v="16"/>
  </r>
  <r>
    <s v="2023-06-10 11:57 (MST)"/>
    <d v="2023-06-10T00:00:00"/>
    <s v="11:57(MST)"/>
    <s v="Saturday"/>
    <m/>
    <x v="34"/>
  </r>
  <r>
    <s v="2023-06-10 21:20 (MST)"/>
    <d v="2023-06-10T00:00:00"/>
    <s v="21:20(MST)"/>
    <s v="Saturday"/>
    <s v="On Demand"/>
    <x v="23"/>
  </r>
  <r>
    <s v="2023-06-24 09:00 (PST)"/>
    <d v="2023-06-24T00:00:00"/>
    <s v="09:00(PST)"/>
    <s v="Saturday"/>
    <m/>
    <x v="34"/>
  </r>
  <r>
    <s v="2023-07-01 18:46 (-07)"/>
    <d v="2023-07-01T00:00:00"/>
    <s v="18:46(-07)"/>
    <s v="Saturday"/>
    <s v="On Demand"/>
    <x v="6"/>
  </r>
  <r>
    <s v="2023-07-01 19:34 (PST)"/>
    <d v="2023-07-01T00:00:00"/>
    <s v="19:34(PST)"/>
    <s v="Saturday"/>
    <s v="On Demand"/>
    <x v="1"/>
  </r>
  <r>
    <s v="2023-07-01 21:59 (PST)"/>
    <d v="2023-07-01T00:00:00"/>
    <s v="21:59(PST)"/>
    <s v="Saturday"/>
    <s v="On Demand"/>
    <x v="28"/>
  </r>
  <r>
    <s v="2023-07-08 14:16 (PST)"/>
    <d v="2023-07-08T00:00:00"/>
    <s v="14:16(PST)"/>
    <s v="Saturday"/>
    <s v="On Demand"/>
    <x v="23"/>
  </r>
  <r>
    <s v="2023-07-08 17:07 (-07)"/>
    <d v="2023-07-08T00:00:00"/>
    <s v="17:07(-07)"/>
    <s v="Saturday"/>
    <s v="On Demand"/>
    <x v="37"/>
  </r>
  <r>
    <s v="2023-07-08 17:19 (-07)"/>
    <d v="2023-07-08T00:00:00"/>
    <s v="17:19(-07)"/>
    <s v="Saturday"/>
    <s v="On Demand"/>
    <x v="7"/>
  </r>
  <r>
    <s v="2023-07-08 18:04 (-07)"/>
    <d v="2023-07-08T00:00:00"/>
    <s v="18:04(-07)"/>
    <s v="Saturday"/>
    <s v="On Demand"/>
    <x v="6"/>
  </r>
  <r>
    <s v="2023-07-15 13:43 (PST)"/>
    <d v="2023-07-15T00:00:00"/>
    <s v="13:43(PST)"/>
    <s v="Saturday"/>
    <s v="On Demand"/>
    <x v="28"/>
  </r>
  <r>
    <s v="2023-07-15 13:54 (PST)"/>
    <d v="2023-07-15T00:00:00"/>
    <s v="13:54(PST)"/>
    <s v="Saturday"/>
    <s v="On Demand"/>
    <x v="13"/>
  </r>
  <r>
    <s v="2023-07-15 14:06 (PST)"/>
    <d v="2023-07-15T00:00:00"/>
    <s v="14:06(PST)"/>
    <s v="Saturday"/>
    <s v="On Demand"/>
    <x v="25"/>
  </r>
  <r>
    <s v="2023-07-29 01:48 (PST)"/>
    <d v="2023-07-29T00:00:00"/>
    <s v="01:48(PST)"/>
    <s v="Saturday"/>
    <s v="On Demand"/>
    <x v="19"/>
  </r>
  <r>
    <s v="2023-07-29 20:48 (PST)"/>
    <d v="2023-07-29T00:00:00"/>
    <s v="20:48(PST)"/>
    <s v="Saturday"/>
    <s v="On Demand"/>
    <x v="19"/>
  </r>
  <r>
    <s v="2023-07-29 23:41 (PST)"/>
    <d v="2023-07-29T00:00:00"/>
    <s v="23:41(PST)"/>
    <s v="Saturday"/>
    <s v="On Demand"/>
    <x v="25"/>
  </r>
  <r>
    <s v="2023-08-05 21:56 (PST)"/>
    <d v="2023-08-05T00:00:00"/>
    <s v="21:56(PST)"/>
    <s v="Saturday"/>
    <s v="On Demand"/>
    <x v="19"/>
  </r>
  <r>
    <s v="2023-08-12 00:57 (EST)"/>
    <d v="2023-08-12T00:00:00"/>
    <s v="00:57(EST)"/>
    <s v="Saturday"/>
    <s v="On Demand"/>
    <x v="13"/>
  </r>
  <r>
    <s v="2023-08-12 10:05 (EST)"/>
    <d v="2023-08-12T00:00:00"/>
    <s v="10:05(EST)"/>
    <s v="Saturday"/>
    <s v="On Demand"/>
    <x v="11"/>
  </r>
  <r>
    <s v="2023-08-12 10:36 (EST)"/>
    <d v="2023-08-12T00:00:00"/>
    <s v="10:36(EST)"/>
    <s v="Saturday"/>
    <s v="On Demand"/>
    <x v="21"/>
  </r>
  <r>
    <s v="2023-08-12 10:47 (EST)"/>
    <d v="2023-08-12T00:00:00"/>
    <s v="10:47(EST)"/>
    <s v="Saturday"/>
    <s v="On Demand"/>
    <x v="15"/>
  </r>
  <r>
    <s v="2023-08-12 10:54 (EST)"/>
    <d v="2023-08-12T00:00:00"/>
    <s v="10:54(EST)"/>
    <s v="Saturday"/>
    <s v="On Demand"/>
    <x v="1"/>
  </r>
  <r>
    <s v="2023-08-19 22:21 (PST)"/>
    <d v="2023-08-19T00:00:00"/>
    <s v="22:21(PST)"/>
    <s v="Saturday"/>
    <s v="On Demand"/>
    <x v="28"/>
  </r>
  <r>
    <s v="2023-08-26 23:11 (PST)"/>
    <d v="2023-08-26T00:00:00"/>
    <s v="23:11(PST)"/>
    <s v="Saturday"/>
    <s v="On Demand"/>
    <x v="13"/>
  </r>
  <r>
    <s v="2023-09-02 10:40 (-07)"/>
    <d v="2023-09-02T00:00:00"/>
    <s v="10:40(-07)"/>
    <s v="Saturday"/>
    <s v="On Demand"/>
    <x v="26"/>
  </r>
  <r>
    <s v="2023-09-02 11:01 (-07)"/>
    <d v="2023-09-02T00:00:00"/>
    <s v="11:01(-07)"/>
    <s v="Saturday"/>
    <s v="On Demand"/>
    <x v="1"/>
  </r>
  <r>
    <s v="2023-09-02 11:16 (-07)"/>
    <d v="2023-09-02T00:00:00"/>
    <s v="11:16(-07)"/>
    <s v="Saturday"/>
    <s v="On Demand"/>
    <x v="38"/>
  </r>
  <r>
    <s v="2023-09-02 11:48 (-07)"/>
    <d v="2023-09-02T00:00:00"/>
    <s v="11:48(-07)"/>
    <s v="Saturday"/>
    <s v="On Demand"/>
    <x v="6"/>
  </r>
  <r>
    <s v="2023-09-02 12:08 (PST)"/>
    <d v="2023-09-02T00:00:00"/>
    <s v="12:08(PST)"/>
    <s v="Saturday"/>
    <s v="On Demand"/>
    <x v="13"/>
  </r>
  <r>
    <s v="2023-09-02 22:43 (PST)"/>
    <d v="2023-09-02T00:00:00"/>
    <s v="22:43(PST)"/>
    <s v="Saturday"/>
    <s v="On Demand"/>
    <x v="13"/>
  </r>
  <r>
    <s v="2023-09-09 09:56 (PST)"/>
    <d v="2023-09-09T00:00:00"/>
    <s v="09:56(PST)"/>
    <s v="Saturday"/>
    <s v="On Demand"/>
    <x v="43"/>
  </r>
  <r>
    <s v="2023-09-09 10:27 (PST)"/>
    <d v="2023-09-09T00:00:00"/>
    <s v="10:27(PST)"/>
    <s v="Saturday"/>
    <m/>
    <x v="34"/>
  </r>
  <r>
    <s v="2023-09-09 16:56 (PST)"/>
    <d v="2023-09-09T00:00:00"/>
    <s v="16:56(PST)"/>
    <s v="Saturday"/>
    <s v="On Demand"/>
    <x v="28"/>
  </r>
  <r>
    <s v="2023-09-09 20:54 (PST)"/>
    <d v="2023-09-09T00:00:00"/>
    <s v="20:54(PST)"/>
    <s v="Saturday"/>
    <s v="On Demand"/>
    <x v="19"/>
  </r>
  <r>
    <s v="2023-09-16 12:51 (MST)"/>
    <d v="2023-09-16T00:00:00"/>
    <s v="12:51(MST)"/>
    <s v="Saturday"/>
    <s v="On Demand"/>
    <x v="25"/>
  </r>
  <r>
    <s v="2023-09-16 23:13 (MST)"/>
    <d v="2023-09-16T00:00:00"/>
    <s v="23:13(MST)"/>
    <s v="Saturday"/>
    <s v="On Demand"/>
    <x v="13"/>
  </r>
  <r>
    <s v="2023-09-23 18:48 (PST)"/>
    <d v="2023-09-23T00:00:00"/>
    <s v="18:48(PST)"/>
    <s v="Saturday"/>
    <s v="On Demand"/>
    <x v="19"/>
  </r>
  <r>
    <s v="2023-09-30 23:57 (PST)"/>
    <d v="2023-09-30T00:00:00"/>
    <s v="23:57(PST)"/>
    <s v="Saturday"/>
    <s v="On Demand"/>
    <x v="19"/>
  </r>
  <r>
    <s v="2023-10-14 21:51 (PST)"/>
    <d v="2023-10-14T00:00:00"/>
    <s v="21:51(PST)"/>
    <s v="Saturday"/>
    <s v="On Demand"/>
    <x v="28"/>
  </r>
  <r>
    <s v="2023-10-21 10:55 (-07)"/>
    <d v="2023-10-21T00:00:00"/>
    <s v="10:55(-07)"/>
    <s v="Saturday"/>
    <s v="On Demand"/>
    <x v="7"/>
  </r>
  <r>
    <s v="2023-10-21 11:41 (-07)"/>
    <d v="2023-10-21T00:00:00"/>
    <s v="11:41(-07)"/>
    <s v="Saturday"/>
    <s v="On Demand"/>
    <x v="22"/>
  </r>
  <r>
    <s v="2023-10-21 11:48 (-07)"/>
    <d v="2023-10-21T00:00:00"/>
    <s v="11:48(-07)"/>
    <s v="Saturday"/>
    <s v="On Demand"/>
    <x v="1"/>
  </r>
  <r>
    <s v="2023-10-21 12:01 (-07)"/>
    <d v="2023-10-21T00:00:00"/>
    <s v="12:01(-07)"/>
    <s v="Saturday"/>
    <s v="On Demand"/>
    <x v="24"/>
  </r>
  <r>
    <s v="2023-10-21 12:14 (-07)"/>
    <d v="2023-10-21T00:00:00"/>
    <s v="12:14(-07)"/>
    <s v="Saturday"/>
    <s v="On Demand"/>
    <x v="17"/>
  </r>
  <r>
    <s v="2023-10-28 23:29 (PST)"/>
    <d v="2023-10-28T00:00:00"/>
    <s v="23:29(PST)"/>
    <s v="Saturday"/>
    <s v="On Demand"/>
    <x v="19"/>
  </r>
  <r>
    <s v="2023-11-04 11:38 (-07)"/>
    <d v="2023-11-04T00:00:00"/>
    <s v="11:38(-07)"/>
    <s v="Saturday"/>
    <s v="On Demand"/>
    <x v="31"/>
  </r>
  <r>
    <s v="2023-11-04 11:50 (-07)"/>
    <d v="2023-11-04T00:00:00"/>
    <s v="11:50(-07)"/>
    <s v="Saturday"/>
    <s v="On Demand"/>
    <x v="6"/>
  </r>
  <r>
    <s v="2023-11-04 12:37 (-07)"/>
    <d v="2023-11-04T00:00:00"/>
    <s v="12:37(-07)"/>
    <s v="Saturday"/>
    <s v="On Demand"/>
    <x v="17"/>
  </r>
  <r>
    <s v="2023-11-04 12:48 (-07)"/>
    <d v="2023-11-04T00:00:00"/>
    <s v="12:48(-07)"/>
    <s v="Saturday"/>
    <s v="On Demand"/>
    <x v="17"/>
  </r>
  <r>
    <s v="2023-11-04 12:58 (-07)"/>
    <d v="2023-11-04T00:00:00"/>
    <s v="12:58(-07)"/>
    <s v="Saturday"/>
    <s v="On Demand"/>
    <x v="22"/>
  </r>
  <r>
    <s v="2023-11-11 10:14 (-08)"/>
    <d v="2023-11-11T00:00:00"/>
    <s v="10:14(-08)"/>
    <s v="Saturday"/>
    <s v="On Demand"/>
    <x v="5"/>
  </r>
  <r>
    <s v="2023-11-11 10:26 (-08)"/>
    <d v="2023-11-11T00:00:00"/>
    <s v="10:26(-08)"/>
    <s v="Saturday"/>
    <s v="On Demand"/>
    <x v="4"/>
  </r>
  <r>
    <s v="2023-11-11 11:12 (-08)"/>
    <d v="2023-11-11T00:00:00"/>
    <s v="11:12(-08)"/>
    <s v="Saturday"/>
    <s v="On Demand"/>
    <x v="4"/>
  </r>
  <r>
    <s v="2023-11-11 11:18 (-08)"/>
    <d v="2023-11-11T00:00:00"/>
    <s v="11:18(-08)"/>
    <s v="Saturday"/>
    <s v="On Demand"/>
    <x v="29"/>
  </r>
  <r>
    <s v="2023-11-11 11:28 (-08)"/>
    <d v="2023-11-11T00:00:00"/>
    <s v="11:28(-08)"/>
    <s v="Saturday"/>
    <s v="On Demand"/>
    <x v="7"/>
  </r>
  <r>
    <s v="2023-11-18 02:40 (PST)"/>
    <d v="2023-11-18T00:00:00"/>
    <s v="02:40(PST)"/>
    <s v="Saturday"/>
    <s v="On Demand"/>
    <x v="16"/>
  </r>
  <r>
    <s v="2023-11-18 15:04 (-08)"/>
    <d v="2023-11-18T00:00:00"/>
    <s v="15:04(-08)"/>
    <s v="Saturday"/>
    <s v="On Demand"/>
    <x v="6"/>
  </r>
  <r>
    <s v="2023-11-18 15:50 (-08)"/>
    <d v="2023-11-18T00:00:00"/>
    <s v="15:50(-08)"/>
    <s v="Saturday"/>
    <s v="On Demand"/>
    <x v="8"/>
  </r>
  <r>
    <s v="2023-11-18 15:57 (-08)"/>
    <d v="2023-11-18T00:00:00"/>
    <s v="15:57(-08)"/>
    <s v="Saturday"/>
    <s v="On Demand"/>
    <x v="39"/>
  </r>
  <r>
    <s v="2023-11-18 23:16 (PST)"/>
    <d v="2023-11-18T00:00:00"/>
    <s v="23:16(PST)"/>
    <s v="Saturday"/>
    <s v="On Demand"/>
    <x v="19"/>
  </r>
  <r>
    <s v="2023-12-02 21:28 (PST)"/>
    <d v="2023-12-02T00:00:00"/>
    <s v="21:28(PST)"/>
    <s v="Saturday"/>
    <s v="On Demand"/>
    <x v="28"/>
  </r>
  <r>
    <s v="2023-12-09 11:06 (-08)"/>
    <d v="2023-12-09T00:00:00"/>
    <s v="11:06(-08)"/>
    <s v="Saturday"/>
    <s v="On Demand"/>
    <x v="1"/>
  </r>
  <r>
    <s v="2023-12-09 11:20 (-08)"/>
    <d v="2023-12-09T00:00:00"/>
    <s v="11:20(-08)"/>
    <s v="Saturday"/>
    <s v="On Demand"/>
    <x v="17"/>
  </r>
  <r>
    <s v="2023-12-09 11:26 (-08)"/>
    <d v="2023-12-09T00:00:00"/>
    <s v="11:26(-08)"/>
    <s v="Saturday"/>
    <s v="On Demand"/>
    <x v="12"/>
  </r>
  <r>
    <s v="2023-12-09 12:07 (-08)"/>
    <d v="2023-12-09T00:00:00"/>
    <s v="12:07(-08)"/>
    <s v="Saturday"/>
    <s v="On Demand"/>
    <x v="17"/>
  </r>
  <r>
    <s v="2023-12-09 12:18 (-08)"/>
    <d v="2023-12-09T00:00:00"/>
    <s v="12:18(-08)"/>
    <s v="Saturday"/>
    <s v="On Demand"/>
    <x v="9"/>
  </r>
  <r>
    <s v="2023-12-16 22:45 (PST)"/>
    <d v="2023-12-16T00:00:00"/>
    <s v="22:45(PST)"/>
    <s v="Saturday"/>
    <s v="On Demand"/>
    <x v="13"/>
  </r>
  <r>
    <s v="2023-12-30 16:11 (-08)"/>
    <d v="2023-12-30T00:00:00"/>
    <s v="16:11(-08)"/>
    <s v="Saturday"/>
    <s v="On Demand"/>
    <x v="37"/>
  </r>
  <r>
    <s v="2023-12-30 16:44 (-08)"/>
    <d v="2023-12-30T00:00:00"/>
    <s v="16:44(-08)"/>
    <s v="Saturday"/>
    <s v="On Demand"/>
    <x v="27"/>
  </r>
  <r>
    <s v="2023-12-30 16:58 (-08)"/>
    <d v="2023-12-30T00:00:00"/>
    <s v="16:58(-08)"/>
    <s v="Saturday"/>
    <s v="On Demand"/>
    <x v="6"/>
  </r>
  <r>
    <s v="2023-12-30 17:44 (-08)"/>
    <d v="2023-12-30T00:00:00"/>
    <s v="17:44(-08)"/>
    <s v="Saturday"/>
    <s v="On Demand"/>
    <x v="42"/>
  </r>
  <r>
    <s v="2023-12-30 22:53 (PST)"/>
    <d v="2023-12-30T00:00:00"/>
    <s v="22:53(PST)"/>
    <s v="Saturday"/>
    <s v="On Demand"/>
    <x v="25"/>
  </r>
  <r>
    <s v="2024-01-06 23:27 (PST)"/>
    <d v="2024-01-06T00:00:00"/>
    <s v="23:27(PST)"/>
    <s v="Saturday"/>
    <s v="On Demand"/>
    <x v="28"/>
  </r>
  <r>
    <s v="2024-01-13 14:29 (-08)"/>
    <d v="2024-01-13T00:00:00"/>
    <s v="14:29(-08)"/>
    <s v="Saturday"/>
    <s v="On Demand"/>
    <x v="9"/>
  </r>
  <r>
    <s v="2024-01-13 21:18 (PST)"/>
    <d v="2024-01-13T00:00:00"/>
    <s v="21:18(PST)"/>
    <s v="Saturday"/>
    <s v="On Demand"/>
    <x v="16"/>
  </r>
  <r>
    <s v="2020-02-09 19:55 (PST)"/>
    <d v="2020-02-09T00:00:00"/>
    <s v="19:55(PST)"/>
    <s v="Sunday"/>
    <s v="On Demand"/>
    <x v="1"/>
  </r>
  <r>
    <s v="2020-02-09 20:02 (PST)"/>
    <d v="2020-02-09T00:00:00"/>
    <s v="20:02(PST)"/>
    <s v="Sunday"/>
    <s v="On Demand"/>
    <x v="7"/>
  </r>
  <r>
    <s v="2020-03-15 20:34 (PST)"/>
    <d v="2020-03-15T00:00:00"/>
    <s v="20:34(PST)"/>
    <s v="Sunday"/>
    <s v="On Demand"/>
    <x v="7"/>
  </r>
  <r>
    <s v="2020-04-05 11:30 (PST)"/>
    <d v="2020-04-05T00:00:00"/>
    <s v="11:30(PST)"/>
    <s v="Sunday"/>
    <s v="On Demand"/>
    <x v="7"/>
  </r>
  <r>
    <s v="2020-05-03 16:49 (PST)"/>
    <d v="2020-05-03T00:00:00"/>
    <s v="16:49(PST)"/>
    <s v="Sunday"/>
    <s v="On Demand"/>
    <x v="7"/>
  </r>
  <r>
    <s v="2020-05-03 16:50 (PST)"/>
    <d v="2020-05-03T00:00:00"/>
    <s v="16:50(PST)"/>
    <s v="Sunday"/>
    <s v="On Demand"/>
    <x v="7"/>
  </r>
  <r>
    <s v="2020-05-03 16:53 (PST)"/>
    <d v="2020-05-03T00:00:00"/>
    <s v="16:53(PST)"/>
    <s v="Sunday"/>
    <s v="On Demand"/>
    <x v="16"/>
  </r>
  <r>
    <s v="2020-11-01 15:40 (PST)"/>
    <d v="2020-11-01T00:00:00"/>
    <s v="15:40(PST)"/>
    <s v="Sunday"/>
    <s v="On Demand"/>
    <x v="12"/>
  </r>
  <r>
    <s v="2020-11-01 16:27 (PST)"/>
    <d v="2020-11-01T00:00:00"/>
    <s v="16:27(PST)"/>
    <s v="Sunday"/>
    <s v="On Demand"/>
    <x v="12"/>
  </r>
  <r>
    <s v="2020-11-01 16:41 (PST)"/>
    <d v="2020-11-01T00:00:00"/>
    <s v="16:41(PST)"/>
    <s v="Sunday"/>
    <s v="On Demand"/>
    <x v="37"/>
  </r>
  <r>
    <s v="2020-11-08 09:22 (PST)"/>
    <d v="2020-11-08T00:00:00"/>
    <s v="09:22(PST)"/>
    <s v="Sunday"/>
    <s v="On Demand"/>
    <x v="16"/>
  </r>
  <r>
    <s v="2020-11-15 13:11 (PST)"/>
    <d v="2020-11-15T00:00:00"/>
    <s v="13:11(PST)"/>
    <s v="Sunday"/>
    <s v="On Demand"/>
    <x v="6"/>
  </r>
  <r>
    <s v="2020-11-15 13:42 (PST)"/>
    <d v="2020-11-15T00:00:00"/>
    <s v="13:42(PST)"/>
    <s v="Sunday"/>
    <s v="On Demand"/>
    <x v="6"/>
  </r>
  <r>
    <s v="2020-11-15 14:07 (PST)"/>
    <d v="2020-11-15T00:00:00"/>
    <s v="14:07(PST)"/>
    <s v="Sunday"/>
    <s v="On Demand"/>
    <x v="25"/>
  </r>
  <r>
    <s v="2020-11-15 14:43 (PST)"/>
    <d v="2020-11-15T00:00:00"/>
    <s v="14:43(PST)"/>
    <s v="Sunday"/>
    <s v="On Demand"/>
    <x v="25"/>
  </r>
  <r>
    <s v="2020-11-22 09:39 (PST)"/>
    <d v="2020-11-22T00:00:00"/>
    <s v="09:39(PST)"/>
    <s v="Sunday"/>
    <s v="On Demand"/>
    <x v="12"/>
  </r>
  <r>
    <s v="2020-11-22 10:25 (PST)"/>
    <d v="2020-11-22T00:00:00"/>
    <s v="10:25(PST)"/>
    <s v="Sunday"/>
    <s v="On Demand"/>
    <x v="12"/>
  </r>
  <r>
    <s v="2020-12-06 12:14 (PST)"/>
    <d v="2020-12-06T00:00:00"/>
    <s v="12:14(PST)"/>
    <s v="Sunday"/>
    <s v="On Demand"/>
    <x v="12"/>
  </r>
  <r>
    <s v="2020-12-06 12:47 (PST)"/>
    <d v="2020-12-06T00:00:00"/>
    <s v="12:47(PST)"/>
    <s v="Sunday"/>
    <s v="On Demand"/>
    <x v="1"/>
  </r>
  <r>
    <s v="2020-12-13 14:47 (PST)"/>
    <d v="2020-12-13T00:00:00"/>
    <s v="14:47(PST)"/>
    <s v="Sunday"/>
    <s v="On Demand"/>
    <x v="6"/>
  </r>
  <r>
    <s v="2020-12-13 16:16 (PST)"/>
    <d v="2020-12-13T00:00:00"/>
    <s v="16:16(PST)"/>
    <s v="Sunday"/>
    <s v="On Demand"/>
    <x v="7"/>
  </r>
  <r>
    <s v="2020-12-20 12:37 (PST)"/>
    <d v="2020-12-20T00:00:00"/>
    <s v="12:37(PST)"/>
    <s v="Sunday"/>
    <s v="On Demand"/>
    <x v="7"/>
  </r>
  <r>
    <s v="2020-12-20 13:10 (PST)"/>
    <d v="2020-12-20T00:00:00"/>
    <s v="13:10(PST)"/>
    <s v="Sunday"/>
    <s v="On Demand"/>
    <x v="7"/>
  </r>
  <r>
    <s v="2020-12-20 13:25 (PST)"/>
    <d v="2020-12-20T00:00:00"/>
    <s v="13:25(PST)"/>
    <s v="Sunday"/>
    <s v="On Demand"/>
    <x v="1"/>
  </r>
  <r>
    <s v="2020-12-27 17:19 (PST)"/>
    <d v="2020-12-27T00:00:00"/>
    <s v="17:19(PST)"/>
    <s v="Sunday"/>
    <s v="On Demand"/>
    <x v="6"/>
  </r>
  <r>
    <s v="2020-12-27 18:05 (PST)"/>
    <d v="2020-12-27T00:00:00"/>
    <s v="18:05(PST)"/>
    <s v="Sunday"/>
    <s v="On Demand"/>
    <x v="6"/>
  </r>
  <r>
    <s v="2020-12-27 18:12 (PST)"/>
    <d v="2020-12-27T00:00:00"/>
    <s v="18:12(PST)"/>
    <s v="Sunday"/>
    <s v="On Demand"/>
    <x v="6"/>
  </r>
  <r>
    <s v="2020-12-27 18:21 (PST)"/>
    <d v="2020-12-27T00:00:00"/>
    <s v="18:21(PST)"/>
    <s v="Sunday"/>
    <s v="On Demand"/>
    <x v="7"/>
  </r>
  <r>
    <s v="2020-12-27 18:33 (PST)"/>
    <d v="2020-12-27T00:00:00"/>
    <s v="18:33(PST)"/>
    <s v="Sunday"/>
    <s v="On Demand"/>
    <x v="13"/>
  </r>
  <r>
    <s v="2021-01-03 15:52 (PST)"/>
    <d v="2021-01-03T00:00:00"/>
    <s v="15:52(PST)"/>
    <s v="Sunday"/>
    <s v="On Demand"/>
    <x v="1"/>
  </r>
  <r>
    <s v="2021-01-03 16:42 (PST)"/>
    <d v="2021-01-03T00:00:00"/>
    <s v="16:42(PST)"/>
    <s v="Sunday"/>
    <s v="On Demand"/>
    <x v="1"/>
  </r>
  <r>
    <s v="2021-01-03 18:18 (PST)"/>
    <d v="2021-01-03T00:00:00"/>
    <s v="18:18(PST)"/>
    <s v="Sunday"/>
    <s v="On Demand"/>
    <x v="7"/>
  </r>
  <r>
    <s v="2021-01-03 19:06 (PST)"/>
    <d v="2021-01-03T00:00:00"/>
    <s v="19:06(PST)"/>
    <s v="Sunday"/>
    <s v="On Demand"/>
    <x v="23"/>
  </r>
  <r>
    <s v="2021-01-10 17:29 (PST)"/>
    <d v="2021-01-10T00:00:00"/>
    <s v="17:29(PST)"/>
    <s v="Sunday"/>
    <s v="On Demand"/>
    <x v="22"/>
  </r>
  <r>
    <s v="2021-01-10 17:53 (PST)"/>
    <d v="2021-01-10T00:00:00"/>
    <s v="17:53(PST)"/>
    <s v="Sunday"/>
    <s v="On Demand"/>
    <x v="16"/>
  </r>
  <r>
    <s v="2021-01-10 18:05 (PST)"/>
    <d v="2021-01-10T00:00:00"/>
    <s v="18:05(PST)"/>
    <s v="Sunday"/>
    <s v="On Demand"/>
    <x v="11"/>
  </r>
  <r>
    <s v="2021-01-17 12:04 (PST)"/>
    <d v="2021-01-17T00:00:00"/>
    <s v="12:04(PST)"/>
    <s v="Sunday"/>
    <s v="On Demand"/>
    <x v="6"/>
  </r>
  <r>
    <s v="2021-01-17 12:40 (PST)"/>
    <d v="2021-01-17T00:00:00"/>
    <s v="12:40(PST)"/>
    <s v="Sunday"/>
    <s v="On Demand"/>
    <x v="11"/>
  </r>
  <r>
    <s v="2021-01-17 13:02 (PST)"/>
    <d v="2021-01-17T00:00:00"/>
    <s v="13:02(PST)"/>
    <s v="Sunday"/>
    <s v="On Demand"/>
    <x v="1"/>
  </r>
  <r>
    <s v="2021-01-24 10:15 (PST)"/>
    <d v="2021-01-24T00:00:00"/>
    <s v="10:15(PST)"/>
    <s v="Sunday"/>
    <s v="On Demand"/>
    <x v="16"/>
  </r>
  <r>
    <s v="2021-01-24 18:43 (-08)"/>
    <d v="2021-01-24T00:00:00"/>
    <s v="18:43(-08)"/>
    <s v="Sunday"/>
    <s v="On Demand"/>
    <x v="5"/>
  </r>
  <r>
    <s v="2021-01-24 19:29 (-08)"/>
    <d v="2021-01-24T00:00:00"/>
    <s v="19:29(-08)"/>
    <s v="Sunday"/>
    <s v="On Demand"/>
    <x v="5"/>
  </r>
  <r>
    <s v="2021-01-31 18:56 (-08)"/>
    <d v="2021-01-31T00:00:00"/>
    <s v="18:56(-08)"/>
    <s v="Sunday"/>
    <s v="On Demand"/>
    <x v="9"/>
  </r>
  <r>
    <s v="2021-01-31 19:44 (-08)"/>
    <d v="2021-01-31T00:00:00"/>
    <s v="19:44(-08)"/>
    <s v="Sunday"/>
    <s v="On Demand"/>
    <x v="9"/>
  </r>
  <r>
    <s v="2021-01-31 19:50 (-08)"/>
    <d v="2021-01-31T00:00:00"/>
    <s v="19:50(-08)"/>
    <s v="Sunday"/>
    <s v="On Demand"/>
    <x v="12"/>
  </r>
  <r>
    <s v="2021-01-31 21:24 (PST)"/>
    <d v="2021-01-31T00:00:00"/>
    <s v="21:24(PST)"/>
    <s v="Sunday"/>
    <s v="On Demand"/>
    <x v="16"/>
  </r>
  <r>
    <s v="2021-01-31 21:36 (PST)"/>
    <d v="2021-01-31T00:00:00"/>
    <s v="21:36(PST)"/>
    <s v="Sunday"/>
    <s v="On Demand"/>
    <x v="16"/>
  </r>
  <r>
    <s v="2021-02-07 20:47 (PST)"/>
    <d v="2021-02-07T00:00:00"/>
    <s v="20:47(PST)"/>
    <s v="Sunday"/>
    <s v="On Demand"/>
    <x v="7"/>
  </r>
  <r>
    <s v="2021-02-07 21:01 (PST)"/>
    <d v="2021-02-07T00:00:00"/>
    <s v="21:01(PST)"/>
    <s v="Sunday"/>
    <s v="On Demand"/>
    <x v="7"/>
  </r>
  <r>
    <s v="2021-02-21 07:49 (PST)"/>
    <d v="2021-02-21T00:00:00"/>
    <s v="07:49(PST)"/>
    <s v="Sunday"/>
    <s v="On Demand"/>
    <x v="7"/>
  </r>
  <r>
    <s v="2021-02-21 08:01 (PST)"/>
    <d v="2021-02-21T00:00:00"/>
    <s v="08:01(PST)"/>
    <s v="Sunday"/>
    <s v="On Demand"/>
    <x v="7"/>
  </r>
  <r>
    <s v="2021-02-21 08:26 (PST)"/>
    <d v="2021-02-21T00:00:00"/>
    <s v="08:26(PST)"/>
    <s v="Sunday"/>
    <s v="On Demand"/>
    <x v="21"/>
  </r>
  <r>
    <s v="2021-02-28 21:46 (PST)"/>
    <d v="2021-02-28T00:00:00"/>
    <s v="21:46(PST)"/>
    <s v="Sunday"/>
    <s v="On Demand"/>
    <x v="16"/>
  </r>
  <r>
    <s v="2021-03-07 19:32 (PST)"/>
    <d v="2021-03-07T00:00:00"/>
    <s v="19:32(PST)"/>
    <s v="Sunday"/>
    <s v="On Demand"/>
    <x v="1"/>
  </r>
  <r>
    <s v="2021-03-07 22:16 (PST)"/>
    <d v="2021-03-07T00:00:00"/>
    <s v="22:16(PST)"/>
    <s v="Sunday"/>
    <s v="On Demand"/>
    <x v="23"/>
  </r>
  <r>
    <s v="2021-03-14 19:20 (-07)"/>
    <d v="2021-03-14T00:00:00"/>
    <s v="19:20(-07)"/>
    <s v="Sunday"/>
    <s v="On Demand"/>
    <x v="5"/>
  </r>
  <r>
    <s v="2021-03-14 19:26 (-07)"/>
    <d v="2021-03-14T00:00:00"/>
    <s v="19:26(-07)"/>
    <s v="Sunday"/>
    <s v="On Demand"/>
    <x v="1"/>
  </r>
  <r>
    <s v="2021-03-14 19:56 (-07)"/>
    <d v="2021-03-14T00:00:00"/>
    <s v="19:56(-07)"/>
    <s v="Sunday"/>
    <s v="On Demand"/>
    <x v="5"/>
  </r>
  <r>
    <s v="2021-03-14 20:08 (PST)"/>
    <d v="2021-03-14T00:00:00"/>
    <s v="20:08(PST)"/>
    <s v="Sunday"/>
    <s v="On Demand"/>
    <x v="7"/>
  </r>
  <r>
    <s v="2021-03-14 22:54 (PST)"/>
    <d v="2021-03-14T00:00:00"/>
    <s v="22:54(PST)"/>
    <s v="Sunday"/>
    <s v="On Demand"/>
    <x v="13"/>
  </r>
  <r>
    <s v="2021-03-21 12:17 (PST)"/>
    <d v="2021-03-21T00:00:00"/>
    <s v="12:17(PST)"/>
    <s v="Sunday"/>
    <s v="On Demand"/>
    <x v="19"/>
  </r>
  <r>
    <s v="2021-03-21 15:34 (-07)"/>
    <d v="2021-03-21T00:00:00"/>
    <s v="15:34(-07)"/>
    <s v="Sunday"/>
    <s v="On Demand"/>
    <x v="5"/>
  </r>
  <r>
    <s v="2021-03-21 16:20 (-07)"/>
    <d v="2021-03-21T00:00:00"/>
    <s v="16:20(-07)"/>
    <s v="Sunday"/>
    <s v="On Demand"/>
    <x v="0"/>
  </r>
  <r>
    <s v="2021-03-21 16:32 (-07)"/>
    <d v="2021-03-21T00:00:00"/>
    <s v="16:32(-07)"/>
    <s v="Sunday"/>
    <s v="On Demand"/>
    <x v="4"/>
  </r>
  <r>
    <s v="2021-03-21 16:47 (PST)"/>
    <d v="2021-03-21T00:00:00"/>
    <s v="16:47(PST)"/>
    <s v="Sunday"/>
    <s v="On Demand"/>
    <x v="4"/>
  </r>
  <r>
    <s v="2021-03-21 16:58 (PST)"/>
    <d v="2021-03-21T00:00:00"/>
    <s v="16:58(PST)"/>
    <s v="Sunday"/>
    <s v="On Demand"/>
    <x v="7"/>
  </r>
  <r>
    <s v="2021-03-21 21:55 (PST)"/>
    <d v="2021-03-21T00:00:00"/>
    <s v="21:55(PST)"/>
    <s v="Sunday"/>
    <s v="On Demand"/>
    <x v="19"/>
  </r>
  <r>
    <s v="2021-03-28 10:58 (-07)"/>
    <d v="2021-03-28T00:00:00"/>
    <s v="10:58(-07)"/>
    <s v="Sunday"/>
    <s v="On Demand"/>
    <x v="4"/>
  </r>
  <r>
    <s v="2021-03-28 11:08 (-07)"/>
    <d v="2021-03-28T00:00:00"/>
    <s v="11:08(-07)"/>
    <s v="Sunday"/>
    <s v="On Demand"/>
    <x v="6"/>
  </r>
  <r>
    <s v="2021-03-28 12:39 (-07)"/>
    <d v="2021-03-28T00:00:00"/>
    <s v="12:39(-07)"/>
    <s v="Sunday"/>
    <s v="On Demand"/>
    <x v="17"/>
  </r>
  <r>
    <s v="2021-03-28 12:49 (-07)"/>
    <d v="2021-03-28T00:00:00"/>
    <s v="12:49(-07)"/>
    <s v="Sunday"/>
    <s v="On Demand"/>
    <x v="17"/>
  </r>
  <r>
    <s v="2021-03-28 22:09 (PST)"/>
    <d v="2021-03-28T00:00:00"/>
    <s v="22:09(PST)"/>
    <s v="Sunday"/>
    <s v="On Demand"/>
    <x v="23"/>
  </r>
  <r>
    <s v="2021-04-04 20:45 (PST)"/>
    <d v="2021-04-04T00:00:00"/>
    <s v="20:45(PST)"/>
    <s v="Sunday"/>
    <s v="On Demand"/>
    <x v="7"/>
  </r>
  <r>
    <s v="2021-04-04 22:39 (PST)"/>
    <d v="2021-04-04T00:00:00"/>
    <s v="22:39(PST)"/>
    <s v="Sunday"/>
    <s v="On Demand"/>
    <x v="19"/>
  </r>
  <r>
    <s v="2021-04-11 22:13 (PST)"/>
    <d v="2021-04-11T00:00:00"/>
    <s v="22:13(PST)"/>
    <s v="Sunday"/>
    <s v="On Demand"/>
    <x v="16"/>
  </r>
  <r>
    <s v="2021-04-18 17:37 (PST)"/>
    <d v="2021-04-18T00:00:00"/>
    <s v="17:37(PST)"/>
    <s v="Sunday"/>
    <s v="On Demand"/>
    <x v="7"/>
  </r>
  <r>
    <s v="2021-04-18 22:13 (PST)"/>
    <d v="2021-04-18T00:00:00"/>
    <s v="22:13(PST)"/>
    <s v="Sunday"/>
    <s v="On Demand"/>
    <x v="16"/>
  </r>
  <r>
    <s v="2021-04-25 21:55 (PST)"/>
    <d v="2021-04-25T00:00:00"/>
    <s v="21:55(PST)"/>
    <s v="Sunday"/>
    <s v="On Demand"/>
    <x v="19"/>
  </r>
  <r>
    <s v="2021-05-02 19:12 (PST)"/>
    <d v="2021-05-02T00:00:00"/>
    <s v="19:12(PST)"/>
    <s v="Sunday"/>
    <s v="On Demand"/>
    <x v="16"/>
  </r>
  <r>
    <s v="2021-05-02 19:58 (-07)"/>
    <d v="2021-05-02T00:00:00"/>
    <s v="19:58(-07)"/>
    <s v="Sunday"/>
    <s v="On Demand"/>
    <x v="9"/>
  </r>
  <r>
    <s v="2021-05-02 20:44 (-07)"/>
    <d v="2021-05-02T00:00:00"/>
    <s v="20:44(-07)"/>
    <s v="Sunday"/>
    <s v="On Demand"/>
    <x v="15"/>
  </r>
  <r>
    <s v="2021-05-02 22:31 (PST)"/>
    <d v="2021-05-02T00:00:00"/>
    <s v="22:31(PST)"/>
    <s v="Sunday"/>
    <s v="On Demand"/>
    <x v="19"/>
  </r>
  <r>
    <s v="2021-05-09 18:37 (PST)"/>
    <d v="2021-05-09T00:00:00"/>
    <s v="18:37(PST)"/>
    <s v="Sunday"/>
    <s v="On Demand"/>
    <x v="16"/>
  </r>
  <r>
    <s v="2021-05-09 22:08 (PST)"/>
    <d v="2021-05-09T00:00:00"/>
    <s v="22:08(PST)"/>
    <s v="Sunday"/>
    <s v="On Demand"/>
    <x v="16"/>
  </r>
  <r>
    <s v="2021-05-16 12:30 (-07)"/>
    <d v="2021-05-16T00:00:00"/>
    <s v="12:30(-07)"/>
    <s v="Sunday"/>
    <s v="On Demand"/>
    <x v="5"/>
  </r>
  <r>
    <s v="2021-05-16 13:02 (-07)"/>
    <d v="2021-05-16T00:00:00"/>
    <s v="13:02(-07)"/>
    <s v="Sunday"/>
    <s v="On Demand"/>
    <x v="5"/>
  </r>
  <r>
    <s v="2021-05-16 13:51 (PST)"/>
    <d v="2021-05-16T00:00:00"/>
    <s v="13:51(PST)"/>
    <s v="Sunday"/>
    <s v="On Demand"/>
    <x v="25"/>
  </r>
  <r>
    <s v="2021-05-16 14:19 (PST)"/>
    <d v="2021-05-16T00:00:00"/>
    <s v="14:19(PST)"/>
    <s v="Sunday"/>
    <s v="On Demand"/>
    <x v="16"/>
  </r>
  <r>
    <s v="2021-05-16 15:01 (PST)"/>
    <d v="2021-05-16T00:00:00"/>
    <s v="15:01(PST)"/>
    <s v="Sunday"/>
    <s v="On Demand"/>
    <x v="6"/>
  </r>
  <r>
    <s v="2021-05-16 23:45 (PST)"/>
    <d v="2021-05-16T00:00:00"/>
    <s v="23:45(PST)"/>
    <s v="Sunday"/>
    <s v="On Demand"/>
    <x v="25"/>
  </r>
  <r>
    <s v="2021-05-23 00:42 (PST)"/>
    <d v="2021-05-23T00:00:00"/>
    <s v="00:42(PST)"/>
    <s v="Sunday"/>
    <s v="On Demand"/>
    <x v="16"/>
  </r>
  <r>
    <s v="2021-05-23 08:53 (-07)"/>
    <d v="2021-05-23T00:00:00"/>
    <s v="08:53(-07)"/>
    <s v="Sunday"/>
    <s v="On Demand"/>
    <x v="6"/>
  </r>
  <r>
    <s v="2021-05-23 20:12 (PST)"/>
    <d v="2021-05-23T00:00:00"/>
    <s v="20:12(PST)"/>
    <s v="Sunday"/>
    <s v="On Demand"/>
    <x v="7"/>
  </r>
  <r>
    <s v="2021-05-23 20:43 (PST)"/>
    <d v="2021-05-23T00:00:00"/>
    <s v="20:43(PST)"/>
    <s v="Sunday"/>
    <s v="On Demand"/>
    <x v="16"/>
  </r>
  <r>
    <s v="2021-05-23 22:09 (PST)"/>
    <d v="2021-05-23T00:00:00"/>
    <s v="22:09(PST)"/>
    <s v="Sunday"/>
    <s v="On Demand"/>
    <x v="23"/>
  </r>
  <r>
    <s v="2021-05-30 06:41 (-07)"/>
    <d v="2021-05-30T00:00:00"/>
    <s v="06:41(-07)"/>
    <s v="Sunday"/>
    <s v="On Demand"/>
    <x v="5"/>
  </r>
  <r>
    <s v="2021-05-30 07:14 (-07)"/>
    <d v="2021-05-30T00:00:00"/>
    <s v="07:14(-07)"/>
    <s v="Sunday"/>
    <s v="On Demand"/>
    <x v="26"/>
  </r>
  <r>
    <s v="2021-05-30 07:26 (-07)"/>
    <d v="2021-05-30T00:00:00"/>
    <s v="07:26(-07)"/>
    <s v="Sunday"/>
    <s v="On Demand"/>
    <x v="4"/>
  </r>
  <r>
    <s v="2021-05-30 22:20 (PST)"/>
    <d v="2021-05-30T00:00:00"/>
    <s v="22:20(PST)"/>
    <s v="Sunday"/>
    <s v="On Demand"/>
    <x v="16"/>
  </r>
  <r>
    <s v="2021-06-06 17:22 (-07)"/>
    <d v="2021-06-06T00:00:00"/>
    <s v="17:22(-07)"/>
    <s v="Sunday"/>
    <s v="On Demand"/>
    <x v="6"/>
  </r>
  <r>
    <s v="2021-06-06 18:53 (-07)"/>
    <d v="2021-06-06T00:00:00"/>
    <s v="18:53(-07)"/>
    <s v="Sunday"/>
    <s v="On Demand"/>
    <x v="6"/>
  </r>
  <r>
    <s v="2021-06-06 18:59 (-07)"/>
    <d v="2021-06-06T00:00:00"/>
    <s v="18:59(-07)"/>
    <s v="Sunday"/>
    <s v="On Demand"/>
    <x v="4"/>
  </r>
  <r>
    <s v="2021-06-06 21:55 (PST)"/>
    <d v="2021-06-06T00:00:00"/>
    <s v="21:55(PST)"/>
    <s v="Sunday"/>
    <s v="On Demand"/>
    <x v="19"/>
  </r>
  <r>
    <s v="2021-06-13 00:07 (PST)"/>
    <d v="2021-06-13T00:00:00"/>
    <s v="00:07(PST)"/>
    <s v="Sunday"/>
    <s v="On Demand"/>
    <x v="17"/>
  </r>
  <r>
    <s v="2021-06-13 17:23 (-07)"/>
    <d v="2021-06-13T00:00:00"/>
    <s v="17:23(-07)"/>
    <s v="Sunday"/>
    <s v="On Demand"/>
    <x v="6"/>
  </r>
  <r>
    <s v="2021-06-13 17:54 (-07)"/>
    <d v="2021-06-13T00:00:00"/>
    <s v="17:54(-07)"/>
    <s v="Sunday"/>
    <s v="On Demand"/>
    <x v="12"/>
  </r>
  <r>
    <s v="2021-06-13 18:05 (-07)"/>
    <d v="2021-06-13T00:00:00"/>
    <s v="18:05(-07)"/>
    <s v="Sunday"/>
    <s v="On Demand"/>
    <x v="53"/>
  </r>
  <r>
    <s v="2021-06-13 18:20 (PST)"/>
    <d v="2021-06-13T00:00:00"/>
    <s v="18:20(PST)"/>
    <s v="Sunday"/>
    <s v="On Demand"/>
    <x v="16"/>
  </r>
  <r>
    <s v="2021-06-13 21:50 (PST)"/>
    <d v="2021-06-13T00:00:00"/>
    <s v="21:50(PST)"/>
    <s v="Sunday"/>
    <s v="On Demand"/>
    <x v="19"/>
  </r>
  <r>
    <s v="2021-06-20 22:16 (PST)"/>
    <d v="2021-06-20T00:00:00"/>
    <s v="22:16(PST)"/>
    <s v="Sunday"/>
    <s v="On Demand"/>
    <x v="25"/>
  </r>
  <r>
    <s v="2021-06-27 07:40 (-07)"/>
    <d v="2021-06-27T00:00:00"/>
    <s v="07:40(-07)"/>
    <s v="Sunday"/>
    <s v="On Demand"/>
    <x v="6"/>
  </r>
  <r>
    <s v="2021-06-27 08:26 (-07)"/>
    <d v="2021-06-27T00:00:00"/>
    <s v="08:26(-07)"/>
    <s v="Sunday"/>
    <s v="On Demand"/>
    <x v="6"/>
  </r>
  <r>
    <s v="2021-06-27 08:42 (-07)"/>
    <d v="2021-06-27T00:00:00"/>
    <s v="08:42(-07)"/>
    <s v="Sunday"/>
    <s v="On Demand"/>
    <x v="6"/>
  </r>
  <r>
    <s v="2021-06-27 22:36 (PST)"/>
    <d v="2021-06-27T00:00:00"/>
    <s v="22:36(PST)"/>
    <s v="Sunday"/>
    <s v="On Demand"/>
    <x v="13"/>
  </r>
  <r>
    <s v="2021-07-11 00:54 (PST)"/>
    <d v="2021-07-11T00:00:00"/>
    <s v="00:54(PST)"/>
    <s v="Sunday"/>
    <s v="On Demand"/>
    <x v="13"/>
  </r>
  <r>
    <s v="2021-07-11 01:06 (PST)"/>
    <d v="2021-07-11T00:00:00"/>
    <s v="01:06(PST)"/>
    <s v="Sunday"/>
    <s v="On Demand"/>
    <x v="16"/>
  </r>
  <r>
    <s v="2021-07-11 07:54 (-07)"/>
    <d v="2021-07-11T00:00:00"/>
    <s v="07:54(-07)"/>
    <s v="Sunday"/>
    <s v="On Demand"/>
    <x v="7"/>
  </r>
  <r>
    <s v="2021-07-11 08:27 (-07)"/>
    <d v="2021-07-11T00:00:00"/>
    <s v="08:27(-07)"/>
    <s v="Sunday"/>
    <s v="On Demand"/>
    <x v="37"/>
  </r>
  <r>
    <s v="2021-07-11 08:48 (-07)"/>
    <d v="2021-07-11T00:00:00"/>
    <s v="08:48(-07)"/>
    <s v="Sunday"/>
    <s v="On Demand"/>
    <x v="37"/>
  </r>
  <r>
    <s v="2021-07-11 09:00 (-07)"/>
    <d v="2021-07-11T00:00:00"/>
    <s v="09:00(-07)"/>
    <s v="Sunday"/>
    <s v="On Demand"/>
    <x v="4"/>
  </r>
  <r>
    <s v="2021-07-11 21:44 (PST)"/>
    <d v="2021-07-11T00:00:00"/>
    <s v="21:44(PST)"/>
    <s v="Sunday"/>
    <s v="On Demand"/>
    <x v="25"/>
  </r>
  <r>
    <s v="2021-07-25 16:56 (-07)"/>
    <d v="2021-07-25T00:00:00"/>
    <s v="16:56(-07)"/>
    <s v="Sunday"/>
    <s v="On Demand"/>
    <x v="6"/>
  </r>
  <r>
    <s v="2021-07-25 17:31 (-07)"/>
    <d v="2021-07-25T00:00:00"/>
    <s v="17:31(-07)"/>
    <s v="Sunday"/>
    <s v="On Demand"/>
    <x v="7"/>
  </r>
  <r>
    <s v="2021-07-25 18:03 (-07)"/>
    <d v="2021-07-25T00:00:00"/>
    <s v="18:03(-07)"/>
    <s v="Sunday"/>
    <s v="On Demand"/>
    <x v="22"/>
  </r>
  <r>
    <s v="2021-07-25 18:14 (-07)"/>
    <d v="2021-07-25T00:00:00"/>
    <s v="18:14(-07)"/>
    <s v="Sunday"/>
    <s v="On Demand"/>
    <x v="45"/>
  </r>
  <r>
    <s v="2021-07-25 21:52 (PST)"/>
    <d v="2021-07-25T00:00:00"/>
    <s v="21:52(PST)"/>
    <s v="Sunday"/>
    <s v="On Demand"/>
    <x v="13"/>
  </r>
  <r>
    <s v="2021-08-01 19:50 (-07)"/>
    <d v="2021-08-01T00:00:00"/>
    <s v="19:50(-07)"/>
    <s v="Sunday"/>
    <s v="On Demand"/>
    <x v="15"/>
  </r>
  <r>
    <s v="2021-08-01 20:53 (PST)"/>
    <d v="2021-08-01T00:00:00"/>
    <s v="20:53(PST)"/>
    <s v="Sunday"/>
    <s v="On Demand"/>
    <x v="16"/>
  </r>
  <r>
    <s v="2021-08-01 21:55 (PST)"/>
    <d v="2021-08-01T00:00:00"/>
    <s v="21:55(PST)"/>
    <s v="Sunday"/>
    <s v="On Demand"/>
    <x v="23"/>
  </r>
  <r>
    <s v="2021-08-01 22:34 (PST)"/>
    <d v="2021-08-01T00:00:00"/>
    <s v="22:34(PST)"/>
    <s v="Sunday"/>
    <s v="On Demand"/>
    <x v="23"/>
  </r>
  <r>
    <s v="2021-08-08 10:15 (PST)"/>
    <d v="2021-08-08T00:00:00"/>
    <s v="10:15(PST)"/>
    <s v="Sunday"/>
    <s v="On Demand"/>
    <x v="16"/>
  </r>
  <r>
    <s v="2021-08-08 21:44 (PST)"/>
    <d v="2021-08-08T00:00:00"/>
    <s v="21:44(PST)"/>
    <s v="Sunday"/>
    <s v="On Demand"/>
    <x v="25"/>
  </r>
  <r>
    <s v="2021-08-15 09:36 (-07)"/>
    <d v="2021-08-15T00:00:00"/>
    <s v="09:36(-07)"/>
    <s v="Sunday"/>
    <s v="On Demand"/>
    <x v="6"/>
  </r>
  <r>
    <s v="2021-08-15 10:22 (-07)"/>
    <d v="2021-08-15T00:00:00"/>
    <s v="10:22(-07)"/>
    <s v="Sunday"/>
    <s v="On Demand"/>
    <x v="6"/>
  </r>
  <r>
    <s v="2021-08-15 10:41 (-07)"/>
    <d v="2021-08-15T00:00:00"/>
    <s v="10:41(-07)"/>
    <s v="Sunday"/>
    <s v="On Demand"/>
    <x v="37"/>
  </r>
  <r>
    <s v="2021-08-15 22:15 (PST)"/>
    <d v="2021-08-15T00:00:00"/>
    <s v="22:15(PST)"/>
    <s v="Sunday"/>
    <s v="On Demand"/>
    <x v="16"/>
  </r>
  <r>
    <s v="2021-08-22 14:52 (PST)"/>
    <d v="2021-08-22T00:00:00"/>
    <s v="14:52(PST)"/>
    <s v="Sunday"/>
    <s v="On Demand"/>
    <x v="19"/>
  </r>
  <r>
    <s v="2021-08-22 21:46 (PST)"/>
    <d v="2021-08-22T00:00:00"/>
    <s v="21:46(PST)"/>
    <s v="Sunday"/>
    <s v="On Demand"/>
    <x v="16"/>
  </r>
  <r>
    <s v="2021-08-29 05:22 (PST)"/>
    <d v="2021-08-29T00:00:00"/>
    <s v="05:22(PST)"/>
    <s v="Sunday"/>
    <s v="On Demand"/>
    <x v="13"/>
  </r>
  <r>
    <s v="2021-08-29 17:29 (-07)"/>
    <d v="2021-08-29T00:00:00"/>
    <s v="17:29(-07)"/>
    <s v="Sunday"/>
    <s v="On Demand"/>
    <x v="6"/>
  </r>
  <r>
    <s v="2021-08-29 18:08 (PST)"/>
    <d v="2021-08-29T00:00:00"/>
    <s v="18:08(PST)"/>
    <s v="Sunday"/>
    <s v="On Demand"/>
    <x v="23"/>
  </r>
  <r>
    <s v="2021-08-29 18:20 (PST)"/>
    <d v="2021-08-29T00:00:00"/>
    <s v="18:20(PST)"/>
    <s v="Sunday"/>
    <s v="On Demand"/>
    <x v="23"/>
  </r>
  <r>
    <s v="2021-08-29 21:58 (PST)"/>
    <d v="2021-08-29T00:00:00"/>
    <s v="21:58(PST)"/>
    <s v="Sunday"/>
    <s v="On Demand"/>
    <x v="19"/>
  </r>
  <r>
    <s v="2021-09-05 09:31 (-07)"/>
    <d v="2021-09-05T00:00:00"/>
    <s v="09:31(-07)"/>
    <s v="Sunday"/>
    <s v="On Demand"/>
    <x v="4"/>
  </r>
  <r>
    <s v="2021-09-05 10:16 (-07)"/>
    <d v="2021-09-05T00:00:00"/>
    <s v="10:16(-07)"/>
    <s v="Sunday"/>
    <s v="On Demand"/>
    <x v="4"/>
  </r>
  <r>
    <s v="2021-09-05 10:29 (-07)"/>
    <d v="2021-09-05T00:00:00"/>
    <s v="10:29(-07)"/>
    <s v="Sunday"/>
    <s v="On Demand"/>
    <x v="1"/>
  </r>
  <r>
    <s v="2021-09-05 10:49 (-07)"/>
    <d v="2021-09-05T00:00:00"/>
    <s v="10:49(-07)"/>
    <s v="Sunday"/>
    <s v="On Demand"/>
    <x v="37"/>
  </r>
  <r>
    <s v="2021-09-05 11:01 (-07)"/>
    <d v="2021-09-05T00:00:00"/>
    <s v="11:01(-07)"/>
    <s v="Sunday"/>
    <s v="On Demand"/>
    <x v="7"/>
  </r>
  <r>
    <s v="2021-09-05 22:00 (PST)"/>
    <d v="2021-09-05T00:00:00"/>
    <s v="22:00(PST)"/>
    <s v="Sunday"/>
    <s v="On Demand"/>
    <x v="13"/>
  </r>
  <r>
    <s v="2021-09-12 21:59 (PST)"/>
    <d v="2021-09-12T00:00:00"/>
    <s v="21:59(PST)"/>
    <s v="Sunday"/>
    <s v="On Demand"/>
    <x v="16"/>
  </r>
  <r>
    <s v="2021-09-19 14:59 (-07)"/>
    <d v="2021-09-19T00:00:00"/>
    <s v="14:59(-07)"/>
    <s v="Sunday"/>
    <s v="On Demand"/>
    <x v="15"/>
  </r>
  <r>
    <s v="2021-09-19 16:40 (PST)"/>
    <d v="2021-09-19T00:00:00"/>
    <s v="16:40(PST)"/>
    <s v="Sunday"/>
    <s v="On Demand"/>
    <x v="7"/>
  </r>
  <r>
    <s v="2021-09-19 22:13 (PST)"/>
    <d v="2021-09-19T00:00:00"/>
    <s v="22:13(PST)"/>
    <s v="Sunday"/>
    <s v="On Demand"/>
    <x v="19"/>
  </r>
  <r>
    <s v="2021-09-26 22:16 (PST)"/>
    <d v="2021-09-26T00:00:00"/>
    <s v="22:16(PST)"/>
    <s v="Sunday"/>
    <s v="On Demand"/>
    <x v="19"/>
  </r>
  <r>
    <s v="2021-10-03 21:27 (PST)"/>
    <d v="2021-10-03T00:00:00"/>
    <s v="21:27(PST)"/>
    <s v="Sunday"/>
    <s v="On Demand"/>
    <x v="25"/>
  </r>
  <r>
    <s v="2021-10-10 11:04 (PST)"/>
    <d v="2021-10-10T00:00:00"/>
    <s v="11:04(PST)"/>
    <s v="Sunday"/>
    <s v="On Demand"/>
    <x v="16"/>
  </r>
  <r>
    <s v="2021-10-10 11:53 (PST)"/>
    <d v="2021-10-10T00:00:00"/>
    <s v="11:53(PST)"/>
    <s v="Sunday"/>
    <s v="On Demand"/>
    <x v="8"/>
  </r>
  <r>
    <s v="2021-10-10 12:04 (PST)"/>
    <d v="2021-10-10T00:00:00"/>
    <s v="12:04(PST)"/>
    <s v="Sunday"/>
    <s v="On Demand"/>
    <x v="8"/>
  </r>
  <r>
    <s v="2021-10-10 12:16 (PST)"/>
    <d v="2021-10-10T00:00:00"/>
    <s v="12:16(PST)"/>
    <s v="Sunday"/>
    <s v="On Demand"/>
    <x v="8"/>
  </r>
  <r>
    <s v="2021-10-10 22:00 (PST)"/>
    <d v="2021-10-10T00:00:00"/>
    <s v="22:00(PST)"/>
    <s v="Sunday"/>
    <s v="On Demand"/>
    <x v="25"/>
  </r>
  <r>
    <s v="2021-10-17 09:46 (PST)"/>
    <d v="2021-10-17T00:00:00"/>
    <s v="09:46(PST)"/>
    <s v="Sunday"/>
    <s v="On Demand"/>
    <x v="7"/>
  </r>
  <r>
    <s v="2021-10-17 13:55 (-07)"/>
    <d v="2021-10-17T00:00:00"/>
    <s v="13:55(-07)"/>
    <s v="Sunday"/>
    <s v="On Demand"/>
    <x v="6"/>
  </r>
  <r>
    <s v="2021-10-17 15:17 (-07)"/>
    <d v="2021-10-17T00:00:00"/>
    <s v="15:17(-07)"/>
    <s v="Sunday"/>
    <s v="On Demand"/>
    <x v="6"/>
  </r>
  <r>
    <s v="2021-10-17 22:48 (PST)"/>
    <d v="2021-10-17T00:00:00"/>
    <s v="22:48(PST)"/>
    <s v="Sunday"/>
    <s v="On Demand"/>
    <x v="25"/>
  </r>
  <r>
    <s v="2021-10-24 00:38 (MST)"/>
    <d v="2021-10-24T00:00:00"/>
    <s v="00:38(MST)"/>
    <s v="Sunday"/>
    <s v="On Demand"/>
    <x v="7"/>
  </r>
  <r>
    <s v="2021-10-24 21:53 (PST)"/>
    <d v="2021-10-24T00:00:00"/>
    <s v="21:53(PST)"/>
    <s v="Sunday"/>
    <s v="On Demand"/>
    <x v="13"/>
  </r>
  <r>
    <s v="2021-10-31 10:58 (-07)"/>
    <d v="2021-10-31T00:00:00"/>
    <s v="10:58(-07)"/>
    <s v="Sunday"/>
    <s v="On Demand"/>
    <x v="12"/>
  </r>
  <r>
    <s v="2021-10-31 11:09 (-07)"/>
    <d v="2021-10-31T00:00:00"/>
    <s v="11:09(-07)"/>
    <s v="Sunday"/>
    <s v="On Demand"/>
    <x v="24"/>
  </r>
  <r>
    <s v="2021-10-31 22:24 (PST)"/>
    <d v="2021-10-31T00:00:00"/>
    <s v="22:24(PST)"/>
    <s v="Sunday"/>
    <s v="On Demand"/>
    <x v="13"/>
  </r>
  <r>
    <s v="2021-11-07 09:30 (PST)"/>
    <d v="2021-11-07T00:00:00"/>
    <s v="09:30(PST)"/>
    <s v="Sunday"/>
    <s v="On Demand"/>
    <x v="7"/>
  </r>
  <r>
    <s v="2021-11-07 10:08 (PST)"/>
    <d v="2021-11-07T00:00:00"/>
    <s v="10:08(PST)"/>
    <s v="Sunday"/>
    <s v="On Demand"/>
    <x v="24"/>
  </r>
  <r>
    <s v="2021-11-07 21:28 (PST)"/>
    <d v="2021-11-07T00:00:00"/>
    <s v="21:28(PST)"/>
    <s v="Sunday"/>
    <s v="On Demand"/>
    <x v="16"/>
  </r>
  <r>
    <s v="2021-11-14 08:03 (PST)"/>
    <d v="2021-11-14T00:00:00"/>
    <s v="08:03(PST)"/>
    <s v="Sunday"/>
    <s v="On Demand"/>
    <x v="16"/>
  </r>
  <r>
    <s v="2021-11-14 22:14 (PST)"/>
    <d v="2021-11-14T00:00:00"/>
    <s v="22:14(PST)"/>
    <s v="Sunday"/>
    <s v="On Demand"/>
    <x v="16"/>
  </r>
  <r>
    <s v="2021-11-21 02:09 (PST)"/>
    <d v="2021-11-21T00:00:00"/>
    <s v="02:09(PST)"/>
    <s v="Sunday"/>
    <s v="On Demand"/>
    <x v="16"/>
  </r>
  <r>
    <s v="2021-11-21 20:04 (-08)"/>
    <d v="2021-11-21T00:00:00"/>
    <s v="20:04(-08)"/>
    <s v="Sunday"/>
    <s v="On Demand"/>
    <x v="6"/>
  </r>
  <r>
    <s v="2021-11-21 20:37 (-08)"/>
    <d v="2021-11-21T00:00:00"/>
    <s v="20:37(-08)"/>
    <s v="Sunday"/>
    <s v="On Demand"/>
    <x v="6"/>
  </r>
  <r>
    <s v="2021-11-21 20:43 (-08)"/>
    <d v="2021-11-21T00:00:00"/>
    <s v="20:43(-08)"/>
    <s v="Sunday"/>
    <s v="On Demand"/>
    <x v="1"/>
  </r>
  <r>
    <s v="2021-11-21 21:06 (PST)"/>
    <d v="2021-11-21T00:00:00"/>
    <s v="21:06(PST)"/>
    <s v="Sunday"/>
    <s v="On Demand"/>
    <x v="23"/>
  </r>
  <r>
    <s v="2021-11-21 22:06 (PST)"/>
    <d v="2021-11-21T00:00:00"/>
    <s v="22:06(PST)"/>
    <s v="Sunday"/>
    <s v="On Demand"/>
    <x v="28"/>
  </r>
  <r>
    <s v="2021-12-05 12:26 (-08)"/>
    <d v="2021-12-05T00:00:00"/>
    <s v="12:26(-08)"/>
    <s v="Sunday"/>
    <s v="On Demand"/>
    <x v="53"/>
  </r>
  <r>
    <s v="2021-12-05 12:34 (-08)"/>
    <d v="2021-12-05T00:00:00"/>
    <s v="12:34(-08)"/>
    <s v="Sunday"/>
    <s v="On Demand"/>
    <x v="22"/>
  </r>
  <r>
    <s v="2021-12-05 12:47 (-08)"/>
    <d v="2021-12-05T00:00:00"/>
    <s v="12:47(-08)"/>
    <s v="Sunday"/>
    <s v="On Demand"/>
    <x v="9"/>
  </r>
  <r>
    <s v="2021-12-05 13:49 (-08)"/>
    <d v="2021-12-05T00:00:00"/>
    <s v="13:49(-08)"/>
    <s v="Sunday"/>
    <s v="On Demand"/>
    <x v="9"/>
  </r>
  <r>
    <s v="2021-12-05 14:02 (-08)"/>
    <d v="2021-12-05T00:00:00"/>
    <s v="14:02(-08)"/>
    <s v="Sunday"/>
    <s v="On Demand"/>
    <x v="1"/>
  </r>
  <r>
    <s v="2021-12-05 14:27 (PST)"/>
    <d v="2021-12-05T00:00:00"/>
    <s v="14:27(PST)"/>
    <s v="Sunday"/>
    <s v="On Demand"/>
    <x v="25"/>
  </r>
  <r>
    <s v="2021-12-05 21:49 (PST)"/>
    <d v="2021-12-05T00:00:00"/>
    <s v="21:49(PST)"/>
    <s v="Sunday"/>
    <s v="On Demand"/>
    <x v="13"/>
  </r>
  <r>
    <s v="2021-12-12 09:23 (PST)"/>
    <d v="2021-12-12T00:00:00"/>
    <s v="09:23(PST)"/>
    <s v="Sunday"/>
    <s v="On Demand"/>
    <x v="23"/>
  </r>
  <r>
    <s v="2021-12-12 09:46 (PST)"/>
    <d v="2021-12-12T00:00:00"/>
    <s v="09:46(PST)"/>
    <s v="Sunday"/>
    <s v="On Demand"/>
    <x v="1"/>
  </r>
  <r>
    <s v="2021-12-12 10:20 (-08)"/>
    <d v="2021-12-12T00:00:00"/>
    <s v="10:20(-08)"/>
    <s v="Sunday"/>
    <s v="On Demand"/>
    <x v="0"/>
  </r>
  <r>
    <s v="2021-12-12 10:26 (-08)"/>
    <d v="2021-12-12T00:00:00"/>
    <s v="10:26(-08)"/>
    <s v="Sunday"/>
    <s v="On Demand"/>
    <x v="6"/>
  </r>
  <r>
    <s v="2021-12-12 11:26 (-08)"/>
    <d v="2021-12-12T00:00:00"/>
    <s v="11:26(-08)"/>
    <s v="Sunday"/>
    <s v="On Demand"/>
    <x v="6"/>
  </r>
  <r>
    <s v="2021-12-12 11:31 (-08)"/>
    <d v="2021-12-12T00:00:00"/>
    <s v="11:31(-08)"/>
    <s v="Sunday"/>
    <s v="On Demand"/>
    <x v="6"/>
  </r>
  <r>
    <s v="2021-12-12 22:00 (PST)"/>
    <d v="2021-12-12T00:00:00"/>
    <s v="22:00(PST)"/>
    <s v="Sunday"/>
    <s v="On Demand"/>
    <x v="19"/>
  </r>
  <r>
    <s v="2021-12-19 09:58 (-08)"/>
    <d v="2021-12-19T00:00:00"/>
    <s v="09:58(-08)"/>
    <s v="Sunday"/>
    <s v="On Demand"/>
    <x v="6"/>
  </r>
  <r>
    <s v="2021-12-19 10:59 (-08)"/>
    <d v="2021-12-19T00:00:00"/>
    <s v="10:59(-08)"/>
    <s v="Sunday"/>
    <s v="On Demand"/>
    <x v="6"/>
  </r>
  <r>
    <s v="2021-12-19 11:06 (-08)"/>
    <d v="2021-12-19T00:00:00"/>
    <s v="11:06(-08)"/>
    <s v="Sunday"/>
    <s v="On Demand"/>
    <x v="37"/>
  </r>
  <r>
    <s v="2021-12-19 11:12 (-08)"/>
    <d v="2021-12-19T00:00:00"/>
    <s v="11:12(-08)"/>
    <s v="Sunday"/>
    <s v="On Demand"/>
    <x v="10"/>
  </r>
  <r>
    <s v="2021-12-19 22:16 (PST)"/>
    <d v="2021-12-19T00:00:00"/>
    <s v="22:16(PST)"/>
    <s v="Sunday"/>
    <s v="On Demand"/>
    <x v="25"/>
  </r>
  <r>
    <s v="2021-12-26 09:42 (-08)"/>
    <d v="2021-12-26T00:00:00"/>
    <s v="09:42(-08)"/>
    <s v="Sunday"/>
    <s v="On Demand"/>
    <x v="7"/>
  </r>
  <r>
    <s v="2021-12-26 10:28 (-08)"/>
    <d v="2021-12-26T00:00:00"/>
    <s v="10:28(-08)"/>
    <s v="Sunday"/>
    <s v="On Demand"/>
    <x v="6"/>
  </r>
  <r>
    <s v="2021-12-26 10:49 (-08)"/>
    <d v="2021-12-26T00:00:00"/>
    <s v="10:49(-08)"/>
    <s v="Sunday"/>
    <s v="On Demand"/>
    <x v="6"/>
  </r>
  <r>
    <s v="2021-12-26 21:29 (PST)"/>
    <d v="2021-12-26T00:00:00"/>
    <s v="21:29(PST)"/>
    <s v="Sunday"/>
    <s v="On Demand"/>
    <x v="16"/>
  </r>
  <r>
    <s v="2022-01-02 09:53 (PST)"/>
    <d v="2022-01-02T00:00:00"/>
    <s v="09:53(PST)"/>
    <s v="Sunday"/>
    <s v="On Demand"/>
    <x v="23"/>
  </r>
  <r>
    <s v="2022-01-02 10:09 (-08)"/>
    <d v="2022-01-02T00:00:00"/>
    <s v="10:09(-08)"/>
    <s v="Sunday"/>
    <s v="On Demand"/>
    <x v="6"/>
  </r>
  <r>
    <s v="2022-01-02 10:28 (-08)"/>
    <d v="2022-01-02T00:00:00"/>
    <s v="10:28(-08)"/>
    <s v="Sunday"/>
    <s v="On Demand"/>
    <x v="6"/>
  </r>
  <r>
    <s v="2022-01-02 10:58 (-08)"/>
    <d v="2022-01-02T00:00:00"/>
    <s v="10:58(-08)"/>
    <s v="Sunday"/>
    <s v="On Demand"/>
    <x v="4"/>
  </r>
  <r>
    <s v="2022-01-02 11:23 (PST)"/>
    <d v="2022-01-02T00:00:00"/>
    <s v="11:23(PST)"/>
    <s v="Sunday"/>
    <s v="On Demand"/>
    <x v="13"/>
  </r>
  <r>
    <s v="2022-01-02 11:34 (PST)"/>
    <d v="2022-01-02T00:00:00"/>
    <s v="11:34(PST)"/>
    <s v="Sunday"/>
    <s v="On Demand"/>
    <x v="19"/>
  </r>
  <r>
    <s v="2022-01-02 22:08 (PST)"/>
    <d v="2022-01-02T00:00:00"/>
    <s v="22:08(PST)"/>
    <s v="Sunday"/>
    <s v="On Demand"/>
    <x v="25"/>
  </r>
  <r>
    <s v="2022-01-09 18:42 (PST)"/>
    <d v="2022-01-09T00:00:00"/>
    <s v="18:42(PST)"/>
    <s v="Sunday"/>
    <s v="On Demand"/>
    <x v="23"/>
  </r>
  <r>
    <s v="2022-01-09 19:03 (PST)"/>
    <d v="2022-01-09T00:00:00"/>
    <s v="19:03(PST)"/>
    <s v="Sunday"/>
    <s v="On Demand"/>
    <x v="28"/>
  </r>
  <r>
    <s v="2022-01-09 19:19 (PST)"/>
    <d v="2022-01-09T00:00:00"/>
    <s v="19:19(PST)"/>
    <s v="Sunday"/>
    <s v="On Demand"/>
    <x v="23"/>
  </r>
  <r>
    <s v="2022-01-09 19:31 (PST)"/>
    <d v="2022-01-09T00:00:00"/>
    <s v="19:31(PST)"/>
    <s v="Sunday"/>
    <s v="On Demand"/>
    <x v="16"/>
  </r>
  <r>
    <s v="2022-01-09 19:43 (PST)"/>
    <d v="2022-01-09T00:00:00"/>
    <s v="19:43(PST)"/>
    <s v="Sunday"/>
    <s v="On Demand"/>
    <x v="7"/>
  </r>
  <r>
    <s v="2022-01-09 21:39 (PST)"/>
    <d v="2022-01-09T00:00:00"/>
    <s v="21:39(PST)"/>
    <s v="Sunday"/>
    <s v="On Demand"/>
    <x v="25"/>
  </r>
  <r>
    <s v="2022-01-16 10:25 (PST)"/>
    <d v="2022-01-16T00:00:00"/>
    <s v="10:25(PST)"/>
    <s v="Sunday"/>
    <s v="On Demand"/>
    <x v="16"/>
  </r>
  <r>
    <s v="2022-01-16 20:14 (PST)"/>
    <d v="2022-01-16T00:00:00"/>
    <s v="20:14(PST)"/>
    <s v="Sunday"/>
    <s v="On Demand"/>
    <x v="13"/>
  </r>
  <r>
    <s v="2022-01-16 20:36 (PST)"/>
    <d v="2022-01-16T00:00:00"/>
    <s v="20:36(PST)"/>
    <s v="Sunday"/>
    <s v="On Demand"/>
    <x v="8"/>
  </r>
  <r>
    <s v="2022-01-16 20:48 (PST)"/>
    <d v="2022-01-16T00:00:00"/>
    <s v="20:48(PST)"/>
    <s v="Sunday"/>
    <s v="On Demand"/>
    <x v="8"/>
  </r>
  <r>
    <s v="2022-01-16 22:21 (PST)"/>
    <d v="2022-01-16T00:00:00"/>
    <s v="22:21(PST)"/>
    <s v="Sunday"/>
    <s v="On Demand"/>
    <x v="16"/>
  </r>
  <r>
    <s v="2022-01-23 14:47 (PST)"/>
    <d v="2022-01-23T00:00:00"/>
    <s v="14:47(PST)"/>
    <s v="Sunday"/>
    <s v="On Demand"/>
    <x v="16"/>
  </r>
  <r>
    <s v="2022-01-23 19:32 (PST)"/>
    <d v="2022-01-23T00:00:00"/>
    <s v="19:32(PST)"/>
    <s v="Sunday"/>
    <s v="On Demand"/>
    <x v="7"/>
  </r>
  <r>
    <s v="2022-01-23 21:33 (PST)"/>
    <d v="2022-01-23T00:00:00"/>
    <s v="21:33(PST)"/>
    <s v="Sunday"/>
    <s v="On Demand"/>
    <x v="13"/>
  </r>
  <r>
    <s v="2022-01-30 16:21 (-08)"/>
    <d v="2022-01-30T00:00:00"/>
    <s v="16:21(-08)"/>
    <s v="Sunday"/>
    <s v="On Demand"/>
    <x v="1"/>
  </r>
  <r>
    <s v="2022-01-30 16:28 (-08)"/>
    <d v="2022-01-30T00:00:00"/>
    <s v="16:28(-08)"/>
    <s v="Sunday"/>
    <s v="On Demand"/>
    <x v="20"/>
  </r>
  <r>
    <s v="2022-01-30 17:00 (-08)"/>
    <d v="2022-01-30T00:00:00"/>
    <s v="17:00(-08)"/>
    <s v="Sunday"/>
    <s v="On Demand"/>
    <x v="29"/>
  </r>
  <r>
    <s v="2022-01-30 17:22 (PST)"/>
    <d v="2022-01-30T00:00:00"/>
    <s v="17:22(PST)"/>
    <s v="Sunday"/>
    <s v="On Demand"/>
    <x v="16"/>
  </r>
  <r>
    <s v="2022-01-30 18:10 (PST)"/>
    <d v="2022-01-30T00:00:00"/>
    <s v="18:10(PST)"/>
    <s v="Sunday"/>
    <s v="On Demand"/>
    <x v="8"/>
  </r>
  <r>
    <s v="2022-01-30 22:33 (PST)"/>
    <d v="2022-01-30T00:00:00"/>
    <s v="22:33(PST)"/>
    <s v="Sunday"/>
    <s v="On Demand"/>
    <x v="23"/>
  </r>
  <r>
    <s v="2022-02-06 04:30 (PST)"/>
    <d v="2022-02-06T00:00:00"/>
    <s v="04:30(PST)"/>
    <s v="Sunday"/>
    <s v="On Demand"/>
    <x v="25"/>
  </r>
  <r>
    <s v="2022-02-06 18:00 (PST)"/>
    <d v="2022-02-06T00:00:00"/>
    <s v="18:00(PST)"/>
    <s v="Sunday"/>
    <s v="On Demand"/>
    <x v="16"/>
  </r>
  <r>
    <s v="2022-02-06 22:13 (PST)"/>
    <d v="2022-02-06T00:00:00"/>
    <s v="22:13(PST)"/>
    <s v="Sunday"/>
    <s v="On Demand"/>
    <x v="13"/>
  </r>
  <r>
    <s v="2022-02-13 09:45 (PST)"/>
    <d v="2022-02-13T00:00:00"/>
    <s v="09:45(PST)"/>
    <s v="Sunday"/>
    <s v="On Demand"/>
    <x v="1"/>
  </r>
  <r>
    <s v="2022-02-13 09:56 (PST)"/>
    <d v="2022-02-13T00:00:00"/>
    <s v="09:56(PST)"/>
    <s v="Sunday"/>
    <s v="On Demand"/>
    <x v="13"/>
  </r>
  <r>
    <s v="2022-02-13 10:08 (PST)"/>
    <d v="2022-02-13T00:00:00"/>
    <s v="10:08(PST)"/>
    <s v="Sunday"/>
    <s v="On Demand"/>
    <x v="16"/>
  </r>
  <r>
    <s v="2022-02-13 17:38 (PST)"/>
    <d v="2022-02-13T00:00:00"/>
    <s v="17:38(PST)"/>
    <s v="Sunday"/>
    <s v="On Demand"/>
    <x v="4"/>
  </r>
  <r>
    <s v="2022-02-13 17:46 (PST)"/>
    <d v="2022-02-13T00:00:00"/>
    <s v="17:46(PST)"/>
    <s v="Sunday"/>
    <s v="On Demand"/>
    <x v="8"/>
  </r>
  <r>
    <s v="2022-02-13 17:58 (PST)"/>
    <d v="2022-02-13T00:00:00"/>
    <s v="17:58(PST)"/>
    <s v="Sunday"/>
    <s v="On Demand"/>
    <x v="8"/>
  </r>
  <r>
    <s v="2022-02-13 18:10 (PST)"/>
    <d v="2022-02-13T00:00:00"/>
    <s v="18:10(PST)"/>
    <s v="Sunday"/>
    <s v="On Demand"/>
    <x v="8"/>
  </r>
  <r>
    <s v="2022-02-13 18:25 (PST)"/>
    <d v="2022-02-13T00:00:00"/>
    <s v="18:25(PST)"/>
    <s v="Sunday"/>
    <s v="On Demand"/>
    <x v="8"/>
  </r>
  <r>
    <s v="2022-02-13 21:59 (PST)"/>
    <d v="2022-02-13T00:00:00"/>
    <s v="21:59(PST)"/>
    <s v="Sunday"/>
    <s v="On Demand"/>
    <x v="23"/>
  </r>
  <r>
    <s v="2022-02-13 22:29 (PST)"/>
    <d v="2022-02-13T00:00:00"/>
    <s v="22:29(PST)"/>
    <s v="Sunday"/>
    <s v="On Demand"/>
    <x v="23"/>
  </r>
  <r>
    <s v="2022-02-13 23:19 (PST)"/>
    <d v="2022-02-13T00:00:00"/>
    <s v="23:19(PST)"/>
    <s v="Sunday"/>
    <s v="On Demand"/>
    <x v="13"/>
  </r>
  <r>
    <s v="2022-02-20 17:10 (PST)"/>
    <d v="2022-02-20T00:00:00"/>
    <s v="17:10(PST)"/>
    <s v="Sunday"/>
    <s v="On Demand"/>
    <x v="13"/>
  </r>
  <r>
    <s v="2022-02-20 17:43 (PST)"/>
    <d v="2022-02-20T00:00:00"/>
    <s v="17:43(PST)"/>
    <s v="Sunday"/>
    <s v="On Demand"/>
    <x v="4"/>
  </r>
  <r>
    <s v="2022-02-20 18:13 (-08)"/>
    <d v="2022-02-20T00:00:00"/>
    <s v="18:13(-08)"/>
    <s v="Sunday"/>
    <s v="On Demand"/>
    <x v="6"/>
  </r>
  <r>
    <s v="2022-02-20 19:19 (-08)"/>
    <d v="2022-02-20T00:00:00"/>
    <s v="19:19(-08)"/>
    <s v="Sunday"/>
    <s v="On Demand"/>
    <x v="23"/>
  </r>
  <r>
    <s v="2022-02-20 22:15 (PST)"/>
    <d v="2022-02-20T00:00:00"/>
    <s v="22:15(PST)"/>
    <s v="Sunday"/>
    <s v="On Demand"/>
    <x v="13"/>
  </r>
  <r>
    <s v="2022-02-20 23:10 (PST)"/>
    <d v="2022-02-20T00:00:00"/>
    <s v="23:10(PST)"/>
    <s v="Sunday"/>
    <s v="On Demand"/>
    <x v="23"/>
  </r>
  <r>
    <s v="2022-02-27 14:49 (-08)"/>
    <d v="2022-02-27T00:00:00"/>
    <s v="14:49(-08)"/>
    <s v="Sunday"/>
    <s v="On Demand"/>
    <x v="6"/>
  </r>
  <r>
    <s v="2022-02-27 15:50 (-08)"/>
    <d v="2022-02-27T00:00:00"/>
    <s v="15:50(-08)"/>
    <s v="Sunday"/>
    <s v="On Demand"/>
    <x v="18"/>
  </r>
  <r>
    <s v="2022-02-27 15:56 (-08)"/>
    <d v="2022-02-27T00:00:00"/>
    <s v="15:56(-08)"/>
    <s v="Sunday"/>
    <s v="On Demand"/>
    <x v="20"/>
  </r>
  <r>
    <s v="2022-02-27 16:03 (-08)"/>
    <d v="2022-02-27T00:00:00"/>
    <s v="16:03(-08)"/>
    <s v="Sunday"/>
    <s v="On Demand"/>
    <x v="29"/>
  </r>
  <r>
    <s v="2022-02-27 22:16 (PST)"/>
    <d v="2022-02-27T00:00:00"/>
    <s v="22:16(PST)"/>
    <s v="Sunday"/>
    <s v="On Demand"/>
    <x v="23"/>
  </r>
  <r>
    <s v="2022-03-06 09:15 (PST)"/>
    <d v="2022-03-06T00:00:00"/>
    <s v="09:15(PST)"/>
    <s v="Sunday"/>
    <s v="On Demand"/>
    <x v="7"/>
  </r>
  <r>
    <s v="2022-03-06 10:09 (PST)"/>
    <d v="2022-03-06T00:00:00"/>
    <s v="10:09(PST)"/>
    <s v="Sunday"/>
    <s v="On Demand"/>
    <x v="13"/>
  </r>
  <r>
    <s v="2022-03-06 16:17 (PST)"/>
    <d v="2022-03-06T00:00:00"/>
    <s v="16:17(PST)"/>
    <s v="Sunday"/>
    <s v="On Demand"/>
    <x v="19"/>
  </r>
  <r>
    <s v="2022-03-06 18:01 (-08)"/>
    <d v="2022-03-06T00:00:00"/>
    <s v="18:01(-08)"/>
    <s v="Sunday"/>
    <s v="On Demand"/>
    <x v="6"/>
  </r>
  <r>
    <s v="2022-03-06 19:38 (-08)"/>
    <d v="2022-03-06T00:00:00"/>
    <s v="19:38(-08)"/>
    <s v="Sunday"/>
    <s v="On Demand"/>
    <x v="4"/>
  </r>
  <r>
    <s v="2022-03-13 11:29 (PST)"/>
    <d v="2022-03-13T00:00:00"/>
    <s v="11:29(PST)"/>
    <s v="Sunday"/>
    <s v="On Demand"/>
    <x v="13"/>
  </r>
  <r>
    <s v="2022-03-13 16:33 (-07)"/>
    <d v="2022-03-13T00:00:00"/>
    <s v="16:33(-07)"/>
    <s v="Sunday"/>
    <s v="On Demand"/>
    <x v="24"/>
  </r>
  <r>
    <s v="2022-03-13 16:40 (-07)"/>
    <d v="2022-03-13T00:00:00"/>
    <s v="16:40(-07)"/>
    <s v="Sunday"/>
    <s v="On Demand"/>
    <x v="6"/>
  </r>
  <r>
    <s v="2022-03-13 17:41 (-07)"/>
    <d v="2022-03-13T00:00:00"/>
    <s v="17:41(-07)"/>
    <s v="Sunday"/>
    <s v="On Demand"/>
    <x v="4"/>
  </r>
  <r>
    <s v="2022-03-13 17:53 (-07)"/>
    <d v="2022-03-13T00:00:00"/>
    <s v="17:53(-07)"/>
    <s v="Sunday"/>
    <s v="On Demand"/>
    <x v="4"/>
  </r>
  <r>
    <s v="2022-03-13 22:03 (PST)"/>
    <d v="2022-03-13T00:00:00"/>
    <s v="22:03(PST)"/>
    <s v="Sunday"/>
    <s v="On Demand"/>
    <x v="16"/>
  </r>
  <r>
    <s v="2022-03-13 22:30 (PST)"/>
    <d v="2022-03-13T00:00:00"/>
    <s v="22:30(PST)"/>
    <s v="Sunday"/>
    <s v="On Demand"/>
    <x v="13"/>
  </r>
  <r>
    <s v="2022-03-20 03:17 (PST)"/>
    <d v="2022-03-20T00:00:00"/>
    <s v="03:17(PST)"/>
    <s v="Sunday"/>
    <s v="On Demand"/>
    <x v="19"/>
  </r>
  <r>
    <s v="2022-03-20 04:00 (PST)"/>
    <d v="2022-03-20T00:00:00"/>
    <s v="04:00(PST)"/>
    <s v="Sunday"/>
    <s v="On Demand"/>
    <x v="16"/>
  </r>
  <r>
    <s v="2022-03-20 19:10 (PST)"/>
    <d v="2022-03-20T00:00:00"/>
    <s v="19:10(PST)"/>
    <s v="Sunday"/>
    <s v="On Demand"/>
    <x v="8"/>
  </r>
  <r>
    <s v="2022-03-20 19:27 (PST)"/>
    <d v="2022-03-20T00:00:00"/>
    <s v="19:27(PST)"/>
    <s v="Sunday"/>
    <s v="On Demand"/>
    <x v="7"/>
  </r>
  <r>
    <s v="2022-03-20 20:20 (PST)"/>
    <d v="2022-03-20T00:00:00"/>
    <s v="20:20(PST)"/>
    <s v="Sunday"/>
    <s v="On Demand"/>
    <x v="28"/>
  </r>
  <r>
    <s v="2022-03-20 22:20 (PST)"/>
    <d v="2022-03-20T00:00:00"/>
    <s v="22:20(PST)"/>
    <s v="Sunday"/>
    <s v="On Demand"/>
    <x v="19"/>
  </r>
  <r>
    <s v="2022-03-27 19:53 (PST)"/>
    <d v="2022-03-27T00:00:00"/>
    <s v="19:53(PST)"/>
    <s v="Sunday"/>
    <s v="On Demand"/>
    <x v="7"/>
  </r>
  <r>
    <s v="2022-03-27 22:32 (PST)"/>
    <d v="2022-03-27T00:00:00"/>
    <s v="22:32(PST)"/>
    <s v="Sunday"/>
    <s v="On Demand"/>
    <x v="28"/>
  </r>
  <r>
    <s v="2022-04-03 13:04 (PST)"/>
    <d v="2022-04-03T00:00:00"/>
    <s v="13:04(PST)"/>
    <s v="Sunday"/>
    <s v="On Demand"/>
    <x v="13"/>
  </r>
  <r>
    <s v="2022-04-10 04:50 (PST)"/>
    <d v="2022-04-10T00:00:00"/>
    <s v="04:50(PST)"/>
    <s v="Sunday"/>
    <s v="On Demand"/>
    <x v="19"/>
  </r>
  <r>
    <s v="2022-04-10 11:32 (PST)"/>
    <d v="2022-04-10T00:00:00"/>
    <s v="11:32(PST)"/>
    <s v="Sunday"/>
    <s v="On Demand"/>
    <x v="13"/>
  </r>
  <r>
    <s v="2022-04-10 12:47 (-07)"/>
    <d v="2022-04-10T00:00:00"/>
    <s v="12:47(-07)"/>
    <s v="Sunday"/>
    <s v="On Demand"/>
    <x v="6"/>
  </r>
  <r>
    <s v="2022-04-10 13:50 (-07)"/>
    <d v="2022-04-10T00:00:00"/>
    <s v="13:50(-07)"/>
    <s v="Sunday"/>
    <s v="On Demand"/>
    <x v="1"/>
  </r>
  <r>
    <s v="2022-04-10 14:01 (-07)"/>
    <d v="2022-04-10T00:00:00"/>
    <s v="14:01(-07)"/>
    <s v="Sunday"/>
    <s v="On Demand"/>
    <x v="20"/>
  </r>
  <r>
    <s v="2022-04-10 14:12 (-07)"/>
    <d v="2022-04-10T00:00:00"/>
    <s v="14:12(-07)"/>
    <s v="Sunday"/>
    <s v="On Demand"/>
    <x v="37"/>
  </r>
  <r>
    <s v="2022-04-10 23:24 (PST)"/>
    <d v="2022-04-10T00:00:00"/>
    <s v="23:24(PST)"/>
    <s v="Sunday"/>
    <s v="On Demand"/>
    <x v="23"/>
  </r>
  <r>
    <s v="2022-04-17 06:09 (PST)"/>
    <d v="2022-04-17T00:00:00"/>
    <s v="06:09(PST)"/>
    <s v="Sunday"/>
    <s v="On Demand"/>
    <x v="19"/>
  </r>
  <r>
    <s v="2022-04-17 15:04 (PST)"/>
    <d v="2022-04-17T00:00:00"/>
    <s v="15:04(PST)"/>
    <s v="Sunday"/>
    <s v="On Demand"/>
    <x v="32"/>
  </r>
  <r>
    <s v="2022-04-17 15:37 (PST)"/>
    <d v="2022-04-17T00:00:00"/>
    <s v="15:37(PST)"/>
    <s v="Sunday"/>
    <s v="On Demand"/>
    <x v="8"/>
  </r>
  <r>
    <s v="2022-04-17 21:25 (PST)"/>
    <d v="2022-04-17T00:00:00"/>
    <s v="21:25(PST)"/>
    <s v="Sunday"/>
    <s v="On Demand"/>
    <x v="25"/>
  </r>
  <r>
    <s v="2022-04-24 22:19 (PST)"/>
    <d v="2022-04-24T00:00:00"/>
    <s v="22:19(PST)"/>
    <s v="Sunday"/>
    <s v="On Demand"/>
    <x v="25"/>
  </r>
  <r>
    <s v="2022-05-01 22:21 (PST)"/>
    <d v="2022-05-01T00:00:00"/>
    <s v="22:21(PST)"/>
    <s v="Sunday"/>
    <s v="On Demand"/>
    <x v="23"/>
  </r>
  <r>
    <s v="2022-05-08 19:26 (-07)"/>
    <d v="2022-05-08T00:00:00"/>
    <s v="19:26(-07)"/>
    <s v="Sunday"/>
    <s v="On Demand"/>
    <x v="6"/>
  </r>
  <r>
    <s v="2022-05-08 20:16 (-07)"/>
    <d v="2022-05-08T00:00:00"/>
    <s v="20:16(-07)"/>
    <s v="Sunday"/>
    <s v="On Demand"/>
    <x v="29"/>
  </r>
  <r>
    <s v="2022-05-08 20:39 (PST)"/>
    <d v="2022-05-08T00:00:00"/>
    <s v="20:39(PST)"/>
    <s v="Sunday"/>
    <s v="On Demand"/>
    <x v="23"/>
  </r>
  <r>
    <s v="2022-05-08 22:40 (PST)"/>
    <d v="2022-05-08T00:00:00"/>
    <s v="22:40(PST)"/>
    <s v="Sunday"/>
    <s v="On Demand"/>
    <x v="19"/>
  </r>
  <r>
    <s v="2022-05-15 10:15 (PST)"/>
    <d v="2022-05-15T00:00:00"/>
    <s v="10:15(PST)"/>
    <s v="Sunday"/>
    <s v="On Demand"/>
    <x v="7"/>
  </r>
  <r>
    <s v="2022-05-15 10:47 (PST)"/>
    <d v="2022-05-15T00:00:00"/>
    <s v="10:47(PST)"/>
    <s v="Sunday"/>
    <s v="On Demand"/>
    <x v="16"/>
  </r>
  <r>
    <s v="2022-05-22 03:46 (PST)"/>
    <d v="2022-05-22T00:00:00"/>
    <s v="03:46(PST)"/>
    <s v="Sunday"/>
    <s v="On Demand"/>
    <x v="19"/>
  </r>
  <r>
    <s v="2022-05-22 04:03 (PST)"/>
    <d v="2022-05-22T00:00:00"/>
    <s v="04:03(PST)"/>
    <s v="Sunday"/>
    <s v="On Demand"/>
    <x v="19"/>
  </r>
  <r>
    <s v="2022-05-22 22:16 (PST)"/>
    <d v="2022-05-22T00:00:00"/>
    <s v="22:16(PST)"/>
    <s v="Sunday"/>
    <s v="On Demand"/>
    <x v="13"/>
  </r>
  <r>
    <s v="2022-05-29 16:22 (PST)"/>
    <d v="2022-05-29T00:00:00"/>
    <s v="16:22(PST)"/>
    <s v="Sunday"/>
    <s v="On Demand"/>
    <x v="26"/>
  </r>
  <r>
    <s v="2022-05-29 23:32 (PST)"/>
    <d v="2022-05-29T00:00:00"/>
    <s v="23:32(PST)"/>
    <s v="Sunday"/>
    <s v="On Demand"/>
    <x v="23"/>
  </r>
  <r>
    <s v="2022-06-05 22:15 (PST)"/>
    <d v="2022-06-05T00:00:00"/>
    <s v="22:15(PST)"/>
    <s v="Sunday"/>
    <s v="On Demand"/>
    <x v="13"/>
  </r>
  <r>
    <s v="2022-06-12 09:52 (PST)"/>
    <d v="2022-06-12T00:00:00"/>
    <s v="09:52(PST)"/>
    <s v="Sunday"/>
    <s v="On Demand"/>
    <x v="7"/>
  </r>
  <r>
    <s v="2022-06-12 10:27 (PST)"/>
    <d v="2022-06-12T00:00:00"/>
    <s v="10:27(PST)"/>
    <s v="Sunday"/>
    <s v="On Demand"/>
    <x v="13"/>
  </r>
  <r>
    <s v="2022-06-12 15:53 (-07)"/>
    <d v="2022-06-12T00:00:00"/>
    <s v="15:53(-07)"/>
    <s v="Sunday"/>
    <s v="On Demand"/>
    <x v="1"/>
  </r>
  <r>
    <s v="2022-06-12 16:06 (-07)"/>
    <d v="2022-06-12T00:00:00"/>
    <s v="16:06(-07)"/>
    <s v="Sunday"/>
    <s v="On Demand"/>
    <x v="6"/>
  </r>
  <r>
    <s v="2022-06-12 17:07 (-07)"/>
    <d v="2022-06-12T00:00:00"/>
    <s v="17:07(-07)"/>
    <s v="Sunday"/>
    <s v="On Demand"/>
    <x v="45"/>
  </r>
  <r>
    <s v="2022-06-12 22:12 (PST)"/>
    <d v="2022-06-12T00:00:00"/>
    <s v="22:12(PST)"/>
    <s v="Sunday"/>
    <s v="On Demand"/>
    <x v="25"/>
  </r>
  <r>
    <s v="2022-06-19 01:37 (PST)"/>
    <d v="2022-06-19T00:00:00"/>
    <s v="01:37(PST)"/>
    <s v="Sunday"/>
    <s v="On Demand"/>
    <x v="23"/>
  </r>
  <r>
    <s v="2022-06-19 09:40 (-07)"/>
    <d v="2022-06-19T00:00:00"/>
    <s v="09:40(-07)"/>
    <s v="Sunday"/>
    <s v="On Demand"/>
    <x v="21"/>
  </r>
  <r>
    <s v="2022-06-19 09:53 (-07)"/>
    <d v="2022-06-19T00:00:00"/>
    <s v="09:53(-07)"/>
    <s v="Sunday"/>
    <s v="On Demand"/>
    <x v="6"/>
  </r>
  <r>
    <s v="2022-06-19 11:00 (-07)"/>
    <d v="2022-06-19T00:00:00"/>
    <s v="11:00(-07)"/>
    <s v="Sunday"/>
    <s v="On Demand"/>
    <x v="13"/>
  </r>
  <r>
    <s v="2022-06-19 22:28 (PST)"/>
    <d v="2022-06-19T00:00:00"/>
    <s v="22:28(PST)"/>
    <s v="Sunday"/>
    <s v="On Demand"/>
    <x v="13"/>
  </r>
  <r>
    <s v="2022-06-26 22:59 (PST)"/>
    <d v="2022-06-26T00:00:00"/>
    <s v="22:59(PST)"/>
    <s v="Sunday"/>
    <s v="On Demand"/>
    <x v="19"/>
  </r>
  <r>
    <s v="2022-07-03 19:18 (PST)"/>
    <d v="2022-07-03T00:00:00"/>
    <s v="19:18(PST)"/>
    <s v="Sunday"/>
    <s v="On Demand"/>
    <x v="5"/>
  </r>
  <r>
    <s v="2022-07-03 19:37 (PST)"/>
    <d v="2022-07-03T00:00:00"/>
    <s v="19:37(PST)"/>
    <s v="Sunday"/>
    <s v="On Demand"/>
    <x v="21"/>
  </r>
  <r>
    <s v="2022-07-10 21:14 (PST)"/>
    <d v="2022-07-10T00:00:00"/>
    <s v="21:14(PST)"/>
    <s v="Sunday"/>
    <s v="On Demand"/>
    <x v="7"/>
  </r>
  <r>
    <s v="2022-07-10 22:10 (PST)"/>
    <d v="2022-07-10T00:00:00"/>
    <s v="22:10(PST)"/>
    <s v="Sunday"/>
    <s v="On Demand"/>
    <x v="25"/>
  </r>
  <r>
    <s v="2022-07-17 10:07 (PST)"/>
    <d v="2022-07-17T00:00:00"/>
    <s v="10:07(PST)"/>
    <s v="Sunday"/>
    <s v="On Demand"/>
    <x v="13"/>
  </r>
  <r>
    <s v="2022-07-17 22:15 (PST)"/>
    <d v="2022-07-17T00:00:00"/>
    <s v="22:15(PST)"/>
    <s v="Sunday"/>
    <s v="On Demand"/>
    <x v="16"/>
  </r>
  <r>
    <s v="2022-07-24 07:57 (PST)"/>
    <d v="2022-07-24T00:00:00"/>
    <s v="07:57(PST)"/>
    <s v="Sunday"/>
    <s v="On Demand"/>
    <x v="13"/>
  </r>
  <r>
    <s v="2022-07-24 22:18 (PST)"/>
    <d v="2022-07-24T00:00:00"/>
    <s v="22:18(PST)"/>
    <s v="Sunday"/>
    <s v="On Demand"/>
    <x v="28"/>
  </r>
  <r>
    <s v="2022-07-31 07:27 (PST)"/>
    <d v="2022-07-31T00:00:00"/>
    <s v="07:27(PST)"/>
    <s v="Sunday"/>
    <s v="On Demand"/>
    <x v="16"/>
  </r>
  <r>
    <s v="2022-07-31 22:44 (PST)"/>
    <d v="2022-07-31T00:00:00"/>
    <s v="22:44(PST)"/>
    <s v="Sunday"/>
    <s v="On Demand"/>
    <x v="19"/>
  </r>
  <r>
    <s v="2022-08-07 20:22 (PST)"/>
    <d v="2022-08-07T00:00:00"/>
    <s v="20:22(PST)"/>
    <s v="Sunday"/>
    <s v="On Demand"/>
    <x v="7"/>
  </r>
  <r>
    <s v="2022-08-07 22:54 (PST)"/>
    <d v="2022-08-07T00:00:00"/>
    <s v="22:54(PST)"/>
    <s v="Sunday"/>
    <s v="On Demand"/>
    <x v="13"/>
  </r>
  <r>
    <s v="2022-08-14 18:34 (-07)"/>
    <d v="2022-08-14T00:00:00"/>
    <s v="18:34(-07)"/>
    <s v="Sunday"/>
    <s v="On Demand"/>
    <x v="6"/>
  </r>
  <r>
    <s v="2022-08-14 19:35 (-07)"/>
    <d v="2022-08-14T00:00:00"/>
    <s v="19:35(-07)"/>
    <s v="Sunday"/>
    <s v="On Demand"/>
    <x v="6"/>
  </r>
  <r>
    <s v="2022-08-14 19:42 (-07)"/>
    <d v="2022-08-14T00:00:00"/>
    <s v="19:42(-07)"/>
    <s v="Sunday"/>
    <s v="On Demand"/>
    <x v="37"/>
  </r>
  <r>
    <s v="2022-08-14 20:09 (PST)"/>
    <d v="2022-08-14T00:00:00"/>
    <s v="20:09(PST)"/>
    <s v="Sunday"/>
    <s v="On Demand"/>
    <x v="7"/>
  </r>
  <r>
    <s v="2022-08-14 23:00 (PST)"/>
    <d v="2022-08-14T00:00:00"/>
    <s v="23:00(PST)"/>
    <s v="Sunday"/>
    <s v="On Demand"/>
    <x v="25"/>
  </r>
  <r>
    <s v="2022-08-21 10:17 (PST)"/>
    <d v="2022-08-21T00:00:00"/>
    <s v="10:17(PST)"/>
    <s v="Sunday"/>
    <s v="On Demand"/>
    <x v="31"/>
  </r>
  <r>
    <s v="2022-08-21 11:29 (PST)"/>
    <d v="2022-08-21T00:00:00"/>
    <s v="11:29(PST)"/>
    <s v="Sunday"/>
    <s v="On Demand"/>
    <x v="16"/>
  </r>
  <r>
    <s v="2022-08-21 12:08 (PST)"/>
    <d v="2022-08-21T00:00:00"/>
    <s v="12:08(PST)"/>
    <s v="Sunday"/>
    <s v="On Demand"/>
    <x v="1"/>
  </r>
  <r>
    <s v="2022-08-21 21:39 (PST)"/>
    <d v="2022-08-21T00:00:00"/>
    <s v="21:39(PST)"/>
    <s v="Sunday"/>
    <s v="On Demand"/>
    <x v="25"/>
  </r>
  <r>
    <s v="2022-08-28 21:43 (PST)"/>
    <d v="2022-08-28T00:00:00"/>
    <s v="21:43(PST)"/>
    <s v="Sunday"/>
    <s v="On Demand"/>
    <x v="25"/>
  </r>
  <r>
    <s v="2022-09-04 17:54 (PST)"/>
    <d v="2022-09-04T00:00:00"/>
    <s v="17:54(PST)"/>
    <s v="Sunday"/>
    <s v="On Demand"/>
    <x v="8"/>
  </r>
  <r>
    <s v="2022-09-04 18:08 (PST)"/>
    <d v="2022-09-04T00:00:00"/>
    <s v="18:08(PST)"/>
    <s v="Sunday"/>
    <s v="On Demand"/>
    <x v="16"/>
  </r>
  <r>
    <s v="2022-09-11 16:08 (-07)"/>
    <d v="2022-09-11T00:00:00"/>
    <s v="16:08(-07)"/>
    <s v="Sunday"/>
    <s v="On Demand"/>
    <x v="6"/>
  </r>
  <r>
    <s v="2022-09-11 16:43 (-07)"/>
    <d v="2022-09-11T00:00:00"/>
    <s v="16:43(-07)"/>
    <s v="Sunday"/>
    <s v="On Demand"/>
    <x v="11"/>
  </r>
  <r>
    <s v="2022-09-11 17:47 (PST)"/>
    <d v="2022-09-11T00:00:00"/>
    <s v="17:47(PST)"/>
    <s v="Sunday"/>
    <s v="On Demand"/>
    <x v="7"/>
  </r>
  <r>
    <s v="2022-09-11 22:10 (PST)"/>
    <d v="2022-09-11T00:00:00"/>
    <s v="22:10(PST)"/>
    <s v="Sunday"/>
    <s v="On Demand"/>
    <x v="16"/>
  </r>
  <r>
    <s v="2022-09-18 22:03 (PST)"/>
    <d v="2022-09-18T00:00:00"/>
    <s v="22:03(PST)"/>
    <s v="Sunday"/>
    <s v="On Demand"/>
    <x v="19"/>
  </r>
  <r>
    <s v="2022-09-25 21:59 (PST)"/>
    <d v="2022-09-25T00:00:00"/>
    <s v="21:59(PST)"/>
    <s v="Sunday"/>
    <s v="On Demand"/>
    <x v="25"/>
  </r>
  <r>
    <s v="2022-10-02 08:44 (-07)"/>
    <d v="2022-10-02T00:00:00"/>
    <s v="08:44(-07)"/>
    <s v="Sunday"/>
    <s v="On Demand"/>
    <x v="6"/>
  </r>
  <r>
    <s v="2022-10-02 09:29 (-07)"/>
    <d v="2022-10-02T00:00:00"/>
    <s v="09:29(-07)"/>
    <s v="Sunday"/>
    <s v="On Demand"/>
    <x v="22"/>
  </r>
  <r>
    <s v="2022-10-02 09:41 (-07)"/>
    <d v="2022-10-02T00:00:00"/>
    <s v="09:41(-07)"/>
    <s v="Sunday"/>
    <s v="On Demand"/>
    <x v="17"/>
  </r>
  <r>
    <s v="2022-10-02 09:56 (-07)"/>
    <d v="2022-10-02T00:00:00"/>
    <s v="09:56(-07)"/>
    <s v="Sunday"/>
    <s v="On Demand"/>
    <x v="1"/>
  </r>
  <r>
    <s v="2022-10-02 10:20 (-07)"/>
    <d v="2022-10-02T00:00:00"/>
    <s v="10:20(-07)"/>
    <s v="Sunday"/>
    <s v="On Demand"/>
    <x v="8"/>
  </r>
  <r>
    <s v="2022-10-02 22:45 (PST)"/>
    <d v="2022-10-02T00:00:00"/>
    <s v="22:45(PST)"/>
    <s v="Sunday"/>
    <s v="On Demand"/>
    <x v="19"/>
  </r>
  <r>
    <s v="2022-10-09 02:43 (PST)"/>
    <d v="2022-10-09T00:00:00"/>
    <s v="02:43(PST)"/>
    <s v="Sunday"/>
    <s v="On Demand"/>
    <x v="13"/>
  </r>
  <r>
    <s v="2022-10-09 22:33 (PST)"/>
    <d v="2022-10-09T00:00:00"/>
    <s v="22:33(PST)"/>
    <s v="Sunday"/>
    <s v="On Demand"/>
    <x v="19"/>
  </r>
  <r>
    <s v="2022-10-16 09:45 (PST)"/>
    <d v="2022-10-16T00:00:00"/>
    <s v="09:45(PST)"/>
    <s v="Sunday"/>
    <s v="On Demand"/>
    <x v="15"/>
  </r>
  <r>
    <s v="2022-10-16 10:31 (PST)"/>
    <d v="2022-10-16T00:00:00"/>
    <s v="10:31(PST)"/>
    <s v="Sunday"/>
    <m/>
    <x v="34"/>
  </r>
  <r>
    <s v="2022-10-16 20:27 (PST)"/>
    <d v="2022-10-16T00:00:00"/>
    <s v="20:27(PST)"/>
    <s v="Sunday"/>
    <s v="On Demand"/>
    <x v="13"/>
  </r>
  <r>
    <s v="2022-10-16 22:10 (PST)"/>
    <d v="2022-10-16T00:00:00"/>
    <s v="22:10(PST)"/>
    <s v="Sunday"/>
    <s v="On Demand"/>
    <x v="19"/>
  </r>
  <r>
    <s v="2022-10-23 22:27 (PST)"/>
    <d v="2022-10-23T00:00:00"/>
    <s v="22:27(PST)"/>
    <s v="Sunday"/>
    <s v="On Demand"/>
    <x v="19"/>
  </r>
  <r>
    <s v="2022-10-30 09:49 (GMT)"/>
    <d v="2022-10-30T00:00:00"/>
    <s v="09:49(GMT)"/>
    <s v="Sunday"/>
    <s v="On Demand"/>
    <x v="7"/>
  </r>
  <r>
    <s v="2022-10-30 22:29 (GMT)"/>
    <d v="2022-10-30T00:00:00"/>
    <s v="22:29(GMT)"/>
    <s v="Sunday"/>
    <s v="On Demand"/>
    <x v="25"/>
  </r>
  <r>
    <s v="2022-11-06 00:04 (GMT)"/>
    <d v="2022-11-06T00:00:00"/>
    <s v="00:04(GMT)"/>
    <s v="Sunday"/>
    <s v="On Demand"/>
    <x v="13"/>
  </r>
  <r>
    <s v="2022-11-06 11:49 (GMT)"/>
    <d v="2022-11-06T00:00:00"/>
    <s v="11:49(GMT)"/>
    <s v="Sunday"/>
    <s v="On Demand"/>
    <x v="54"/>
  </r>
  <r>
    <s v="2022-11-06 16:38 (GMT)"/>
    <d v="2022-11-06T00:00:00"/>
    <s v="16:38(GMT)"/>
    <s v="Sunday"/>
    <s v="On Demand"/>
    <x v="20"/>
  </r>
  <r>
    <s v="2022-11-06 16:51 (GMT)"/>
    <d v="2022-11-06T00:00:00"/>
    <s v="16:51(GMT)"/>
    <s v="Sunday"/>
    <s v="On Demand"/>
    <x v="7"/>
  </r>
  <r>
    <s v="2022-11-20 17:55 (PST)"/>
    <d v="2022-11-20T00:00:00"/>
    <s v="17:55(PST)"/>
    <s v="Sunday"/>
    <s v="On Demand"/>
    <x v="20"/>
  </r>
  <r>
    <s v="2022-11-20 18:08 (PST)"/>
    <d v="2022-11-20T00:00:00"/>
    <s v="18:08(PST)"/>
    <s v="Sunday"/>
    <s v="On Demand"/>
    <x v="7"/>
  </r>
  <r>
    <s v="2022-11-20 21:08 (PST)"/>
    <d v="2022-11-20T00:00:00"/>
    <s v="21:08(PST)"/>
    <s v="Sunday"/>
    <s v="On Demand"/>
    <x v="25"/>
  </r>
  <r>
    <s v="2022-12-04 10:50 (PST)"/>
    <d v="2022-12-04T00:00:00"/>
    <s v="10:50(PST)"/>
    <s v="Sunday"/>
    <s v="On Demand"/>
    <x v="20"/>
  </r>
  <r>
    <s v="2022-12-04 11:10 (PST)"/>
    <d v="2022-12-04T00:00:00"/>
    <s v="11:10(PST)"/>
    <s v="Sunday"/>
    <s v="On Demand"/>
    <x v="15"/>
  </r>
  <r>
    <s v="2022-12-04 23:11 (PST)"/>
    <d v="2022-12-04T00:00:00"/>
    <s v="23:11(PST)"/>
    <s v="Sunday"/>
    <s v="On Demand"/>
    <x v="19"/>
  </r>
  <r>
    <s v="2022-12-11 16:25 (-05)"/>
    <d v="2022-12-11T00:00:00"/>
    <s v="16:25(-05)"/>
    <s v="Sunday"/>
    <s v="On Demand"/>
    <x v="6"/>
  </r>
  <r>
    <s v="2022-12-11 16:57 (-05)"/>
    <d v="2022-12-11T00:00:00"/>
    <s v="16:57(-05)"/>
    <s v="Sunday"/>
    <s v="On Demand"/>
    <x v="7"/>
  </r>
  <r>
    <s v="2022-12-11 17:14 (-05)"/>
    <d v="2022-12-11T00:00:00"/>
    <s v="17:14(-05)"/>
    <s v="Sunday"/>
    <s v="On Demand"/>
    <x v="29"/>
  </r>
  <r>
    <s v="2022-12-11 17:29 (EST)"/>
    <d v="2022-12-11T00:00:00"/>
    <s v="17:29(EST)"/>
    <s v="Sunday"/>
    <s v="On Demand"/>
    <x v="1"/>
  </r>
  <r>
    <s v="2022-12-11 22:46 (EST)"/>
    <d v="2022-12-11T00:00:00"/>
    <s v="22:46(EST)"/>
    <s v="Sunday"/>
    <s v="On Demand"/>
    <x v="16"/>
  </r>
  <r>
    <s v="2022-12-18 05:04 (EST)"/>
    <d v="2022-12-18T00:00:00"/>
    <s v="05:04(EST)"/>
    <s v="Sunday"/>
    <s v="On Demand"/>
    <x v="16"/>
  </r>
  <r>
    <s v="2022-12-18 05:17 (EST)"/>
    <d v="2022-12-18T00:00:00"/>
    <s v="05:17(EST)"/>
    <s v="Sunday"/>
    <s v="On Demand"/>
    <x v="23"/>
  </r>
  <r>
    <s v="2022-12-18 09:17 (EST)"/>
    <d v="2022-12-18T00:00:00"/>
    <s v="09:17(EST)"/>
    <s v="Sunday"/>
    <s v="On Demand"/>
    <x v="16"/>
  </r>
  <r>
    <s v="2022-12-18 22:34 (EST)"/>
    <d v="2022-12-18T00:00:00"/>
    <s v="22:34(EST)"/>
    <s v="Sunday"/>
    <s v="On Demand"/>
    <x v="23"/>
  </r>
  <r>
    <s v="2022-12-25 22:34 (PST)"/>
    <d v="2022-12-25T00:00:00"/>
    <s v="22:34(PST)"/>
    <s v="Sunday"/>
    <s v="On Demand"/>
    <x v="16"/>
  </r>
  <r>
    <s v="2023-01-01 01:01 (PST)"/>
    <d v="2023-01-01T00:00:00"/>
    <s v="01:01(PST)"/>
    <s v="Sunday"/>
    <s v="On Demand"/>
    <x v="19"/>
  </r>
  <r>
    <s v="2023-01-01 22:05 (PST)"/>
    <d v="2023-01-01T00:00:00"/>
    <s v="22:05(PST)"/>
    <s v="Sunday"/>
    <s v="On Demand"/>
    <x v="19"/>
  </r>
  <r>
    <s v="2023-01-08 11:04 (-08)"/>
    <d v="2023-01-08T00:00:00"/>
    <s v="11:04(-08)"/>
    <s v="Sunday"/>
    <s v="On Demand"/>
    <x v="6"/>
  </r>
  <r>
    <s v="2023-01-08 11:38 (-08)"/>
    <d v="2023-01-08T00:00:00"/>
    <s v="11:38(-08)"/>
    <s v="Sunday"/>
    <s v="On Demand"/>
    <x v="1"/>
  </r>
  <r>
    <s v="2023-01-08 11:58 (-08)"/>
    <d v="2023-01-08T00:00:00"/>
    <s v="11:58(-08)"/>
    <s v="Sunday"/>
    <s v="On Demand"/>
    <x v="20"/>
  </r>
  <r>
    <s v="2023-01-08 22:45 (PST)"/>
    <d v="2023-01-08T00:00:00"/>
    <s v="22:45(PST)"/>
    <s v="Sunday"/>
    <s v="On Demand"/>
    <x v="16"/>
  </r>
  <r>
    <s v="2023-01-15 00:27 (PST)"/>
    <d v="2023-01-15T00:00:00"/>
    <s v="00:27(PST)"/>
    <s v="Sunday"/>
    <s v="On Demand"/>
    <x v="32"/>
  </r>
  <r>
    <s v="2023-01-15 21:49 (PST)"/>
    <d v="2023-01-15T00:00:00"/>
    <s v="21:49(PST)"/>
    <s v="Sunday"/>
    <s v="On Demand"/>
    <x v="28"/>
  </r>
  <r>
    <s v="2023-01-22 21:26 (PST)"/>
    <d v="2023-01-22T00:00:00"/>
    <s v="21:26(PST)"/>
    <s v="Sunday"/>
    <s v="On Demand"/>
    <x v="13"/>
  </r>
  <r>
    <s v="2023-01-29 03:43 (EST)"/>
    <d v="2023-01-29T00:00:00"/>
    <s v="03:43(EST)"/>
    <s v="Sunday"/>
    <s v="On Demand"/>
    <x v="19"/>
  </r>
  <r>
    <s v="2023-01-29 12:57 (-05)"/>
    <d v="2023-01-29T00:00:00"/>
    <s v="12:57(-05)"/>
    <s v="Sunday"/>
    <s v="On Demand"/>
    <x v="6"/>
  </r>
  <r>
    <s v="2023-01-29 13:57 (-05)"/>
    <d v="2023-01-29T00:00:00"/>
    <s v="13:57(-05)"/>
    <s v="Sunday"/>
    <s v="On Demand"/>
    <x v="6"/>
  </r>
  <r>
    <s v="2023-02-05 13:20 (-05)"/>
    <d v="2023-02-05T00:00:00"/>
    <s v="13:20(-05)"/>
    <s v="Sunday"/>
    <s v="On Demand"/>
    <x v="6"/>
  </r>
  <r>
    <s v="2023-02-05 14:36 (-05)"/>
    <d v="2023-02-05T00:00:00"/>
    <s v="14:36(-05)"/>
    <s v="Sunday"/>
    <s v="On Demand"/>
    <x v="6"/>
  </r>
  <r>
    <s v="2023-02-12 09:46 (PST)"/>
    <d v="2023-02-12T00:00:00"/>
    <s v="09:46(PST)"/>
    <s v="Sunday"/>
    <s v="On Demand"/>
    <x v="13"/>
  </r>
  <r>
    <s v="2023-02-12 12:06 (-08)"/>
    <d v="2023-02-12T00:00:00"/>
    <s v="12:06(-08)"/>
    <s v="Sunday"/>
    <s v="On Demand"/>
    <x v="6"/>
  </r>
  <r>
    <s v="2023-02-12 13:11 (-08)"/>
    <d v="2023-02-12T00:00:00"/>
    <s v="13:11(-08)"/>
    <s v="Sunday"/>
    <s v="On Demand"/>
    <x v="18"/>
  </r>
  <r>
    <s v="2023-02-12 17:00 (PST)"/>
    <d v="2023-02-12T00:00:00"/>
    <s v="17:00(PST)"/>
    <s v="Sunday"/>
    <m/>
    <x v="34"/>
  </r>
  <r>
    <s v="2023-02-12 22:04 (PST)"/>
    <d v="2023-02-12T00:00:00"/>
    <s v="22:04(PST)"/>
    <s v="Sunday"/>
    <s v="On Demand"/>
    <x v="23"/>
  </r>
  <r>
    <s v="2023-02-19 11:05 (PST)"/>
    <d v="2023-02-19T00:00:00"/>
    <s v="11:05(PST)"/>
    <s v="Sunday"/>
    <m/>
    <x v="34"/>
  </r>
  <r>
    <s v="2023-02-19 14:08 (-08)"/>
    <d v="2023-02-19T00:00:00"/>
    <s v="14:08(-08)"/>
    <s v="Sunday"/>
    <s v="On Demand"/>
    <x v="7"/>
  </r>
  <r>
    <s v="2023-02-19 14:42 (-08)"/>
    <d v="2023-02-19T00:00:00"/>
    <s v="14:42(-08)"/>
    <s v="Sunday"/>
    <s v="On Demand"/>
    <x v="17"/>
  </r>
  <r>
    <s v="2023-02-19 15:19 (PST)"/>
    <d v="2023-02-19T00:00:00"/>
    <s v="15:19(PST)"/>
    <s v="Sunday"/>
    <s v="On Demand"/>
    <x v="7"/>
  </r>
  <r>
    <s v="2023-02-19 21:51 (PST)"/>
    <d v="2023-02-19T00:00:00"/>
    <s v="21:51(PST)"/>
    <s v="Sunday"/>
    <s v="On Demand"/>
    <x v="28"/>
  </r>
  <r>
    <s v="2023-02-26 18:48 (-08)"/>
    <d v="2023-02-26T00:00:00"/>
    <s v="18:48(-08)"/>
    <s v="Sunday"/>
    <s v="On Demand"/>
    <x v="7"/>
  </r>
  <r>
    <s v="2023-02-26 19:38 (-08)"/>
    <d v="2023-02-26T00:00:00"/>
    <s v="19:38(-08)"/>
    <s v="Sunday"/>
    <s v="On Demand"/>
    <x v="18"/>
  </r>
  <r>
    <s v="2023-02-26 22:19 (PST)"/>
    <d v="2023-02-26T00:00:00"/>
    <s v="22:19(PST)"/>
    <s v="Sunday"/>
    <s v="On Demand"/>
    <x v="23"/>
  </r>
  <r>
    <s v="2023-03-05 22:31 (PST)"/>
    <d v="2023-03-05T00:00:00"/>
    <s v="22:31(PST)"/>
    <s v="Sunday"/>
    <s v="On Demand"/>
    <x v="19"/>
  </r>
  <r>
    <s v="2023-03-12 22:51 (PST)"/>
    <d v="2023-03-12T00:00:00"/>
    <s v="22:51(PST)"/>
    <s v="Sunday"/>
    <s v="On Demand"/>
    <x v="19"/>
  </r>
  <r>
    <s v="2023-03-19 14:53 (-07)"/>
    <d v="2023-03-19T00:00:00"/>
    <s v="14:53(-07)"/>
    <s v="Sunday"/>
    <s v="On Demand"/>
    <x v="31"/>
  </r>
  <r>
    <s v="2023-03-19 15:06 (-07)"/>
    <d v="2023-03-19T00:00:00"/>
    <s v="15:06(-07)"/>
    <s v="Sunday"/>
    <s v="On Demand"/>
    <x v="20"/>
  </r>
  <r>
    <s v="2023-03-19 15:34 (-07)"/>
    <d v="2023-03-19T00:00:00"/>
    <s v="15:34(-07)"/>
    <s v="Sunday"/>
    <s v="On Demand"/>
    <x v="4"/>
  </r>
  <r>
    <s v="2023-03-19 16:05 (-07)"/>
    <d v="2023-03-19T00:00:00"/>
    <s v="16:05(-07)"/>
    <s v="Sunday"/>
    <s v="On Demand"/>
    <x v="36"/>
  </r>
  <r>
    <s v="2023-03-19 16:11 (-07)"/>
    <d v="2023-03-19T00:00:00"/>
    <s v="16:11(-07)"/>
    <s v="Sunday"/>
    <s v="On Demand"/>
    <x v="36"/>
  </r>
  <r>
    <s v="2023-03-19 22:06 (PST)"/>
    <d v="2023-03-19T00:00:00"/>
    <s v="22:06(PST)"/>
    <s v="Sunday"/>
    <s v="On Demand"/>
    <x v="19"/>
  </r>
  <r>
    <s v="2023-04-02 21:18 (PST)"/>
    <d v="2023-04-02T00:00:00"/>
    <s v="21:18(PST)"/>
    <s v="Sunday"/>
    <s v="On Demand"/>
    <x v="19"/>
  </r>
  <r>
    <s v="2023-04-09 10:37 (-07)"/>
    <d v="2023-04-09T00:00:00"/>
    <s v="10:37(-07)"/>
    <s v="Sunday"/>
    <s v="On Demand"/>
    <x v="37"/>
  </r>
  <r>
    <s v="2023-04-09 11:24 (-07)"/>
    <d v="2023-04-09T00:00:00"/>
    <s v="11:24(-07)"/>
    <s v="Sunday"/>
    <s v="On Demand"/>
    <x v="37"/>
  </r>
  <r>
    <s v="2023-04-09 11:35 (-07)"/>
    <d v="2023-04-09T00:00:00"/>
    <s v="11:35(-07)"/>
    <s v="Sunday"/>
    <s v="On Demand"/>
    <x v="31"/>
  </r>
  <r>
    <s v="2023-04-09 22:29 (PST)"/>
    <d v="2023-04-09T00:00:00"/>
    <s v="22:29(PST)"/>
    <s v="Sunday"/>
    <s v="On Demand"/>
    <x v="16"/>
  </r>
  <r>
    <s v="2023-04-16 00:04 (PST)"/>
    <d v="2023-04-16T00:00:00"/>
    <s v="00:04(PST)"/>
    <s v="Sunday"/>
    <s v="On Demand"/>
    <x v="16"/>
  </r>
  <r>
    <s v="2023-04-16 16:17 (-07)"/>
    <d v="2023-04-16T00:00:00"/>
    <s v="16:17(-07)"/>
    <s v="Sunday"/>
    <s v="On Demand"/>
    <x v="6"/>
  </r>
  <r>
    <s v="2023-04-16 17:18 (-07)"/>
    <d v="2023-04-16T00:00:00"/>
    <s v="17:18(-07)"/>
    <s v="Sunday"/>
    <s v="On Demand"/>
    <x v="6"/>
  </r>
  <r>
    <s v="2023-04-16 22:38 (PST)"/>
    <d v="2023-04-16T00:00:00"/>
    <s v="22:38(PST)"/>
    <s v="Sunday"/>
    <s v="On Demand"/>
    <x v="19"/>
  </r>
  <r>
    <s v="2023-04-23 10:16 (PST)"/>
    <d v="2023-04-23T00:00:00"/>
    <s v="10:16(PST)"/>
    <s v="Sunday"/>
    <s v="On Demand"/>
    <x v="7"/>
  </r>
  <r>
    <s v="2023-04-23 14:35 (-07)"/>
    <d v="2023-04-23T00:00:00"/>
    <s v="14:35(-07)"/>
    <s v="Sunday"/>
    <s v="On Demand"/>
    <x v="6"/>
  </r>
  <r>
    <s v="2023-04-23 15:39 (-07)"/>
    <d v="2023-04-23T00:00:00"/>
    <s v="15:39(-07)"/>
    <s v="Sunday"/>
    <s v="On Demand"/>
    <x v="6"/>
  </r>
  <r>
    <s v="2023-04-23 22:37 (PST)"/>
    <d v="2023-04-23T00:00:00"/>
    <s v="22:37(PST)"/>
    <s v="Sunday"/>
    <s v="On Demand"/>
    <x v="13"/>
  </r>
  <r>
    <s v="2023-04-30 15:59 (-07)"/>
    <d v="2023-04-30T00:00:00"/>
    <s v="15:59(-07)"/>
    <s v="Sunday"/>
    <s v="On Demand"/>
    <x v="4"/>
  </r>
  <r>
    <s v="2023-04-30 16:45 (-07)"/>
    <d v="2023-04-30T00:00:00"/>
    <s v="16:45(-07)"/>
    <s v="Sunday"/>
    <s v="On Demand"/>
    <x v="6"/>
  </r>
  <r>
    <s v="2023-04-30 17:19 (-07)"/>
    <d v="2023-04-30T00:00:00"/>
    <s v="17:19(-07)"/>
    <s v="Sunday"/>
    <s v="On Demand"/>
    <x v="4"/>
  </r>
  <r>
    <s v="2023-04-30 17:30 (-07)"/>
    <d v="2023-04-30T00:00:00"/>
    <s v="17:30(-07)"/>
    <s v="Sunday"/>
    <s v="On Demand"/>
    <x v="26"/>
  </r>
  <r>
    <s v="2023-04-30 17:42 (-07)"/>
    <d v="2023-04-30T00:00:00"/>
    <s v="17:42(-07)"/>
    <s v="Sunday"/>
    <s v="On Demand"/>
    <x v="32"/>
  </r>
  <r>
    <s v="2023-05-07 22:17 (PST)"/>
    <d v="2023-05-07T00:00:00"/>
    <s v="22:17(PST)"/>
    <s v="Sunday"/>
    <s v="On Demand"/>
    <x v="32"/>
  </r>
  <r>
    <s v="2023-05-14 21:32 (PST)"/>
    <d v="2023-05-14T00:00:00"/>
    <s v="21:32(PST)"/>
    <s v="Sunday"/>
    <s v="On Demand"/>
    <x v="19"/>
  </r>
  <r>
    <s v="2023-06-04 21:23 (PST)"/>
    <d v="2023-06-04T00:00:00"/>
    <s v="21:23(PST)"/>
    <s v="Sunday"/>
    <s v="On Demand"/>
    <x v="16"/>
  </r>
  <r>
    <s v="2023-06-11 22:22 (MST)"/>
    <d v="2023-06-11T00:00:00"/>
    <s v="22:22(MST)"/>
    <s v="Sunday"/>
    <s v="On Demand"/>
    <x v="19"/>
  </r>
  <r>
    <s v="2023-06-18 23:36 (PST)"/>
    <d v="2023-06-18T00:00:00"/>
    <s v="23:36(PST)"/>
    <s v="Sunday"/>
    <s v="On Demand"/>
    <x v="19"/>
  </r>
  <r>
    <s v="2023-06-25 21:27 (PST)"/>
    <d v="2023-06-25T00:00:00"/>
    <s v="21:27(PST)"/>
    <s v="Sunday"/>
    <s v="On Demand"/>
    <x v="19"/>
  </r>
  <r>
    <s v="2023-07-09 22:11 (PST)"/>
    <d v="2023-07-09T00:00:00"/>
    <s v="22:11(PST)"/>
    <s v="Sunday"/>
    <s v="On Demand"/>
    <x v="25"/>
  </r>
  <r>
    <s v="2023-07-16 09:05 (PST)"/>
    <d v="2023-07-16T00:00:00"/>
    <s v="09:05(PST)"/>
    <s v="Sunday"/>
    <s v="On Demand"/>
    <x v="13"/>
  </r>
  <r>
    <s v="2023-07-16 21:39 (PST)"/>
    <d v="2023-07-16T00:00:00"/>
    <s v="21:39(PST)"/>
    <s v="Sunday"/>
    <s v="On Demand"/>
    <x v="13"/>
  </r>
  <r>
    <s v="2023-07-23 09:49 (-07)"/>
    <d v="2023-07-23T00:00:00"/>
    <s v="09:49(-07)"/>
    <s v="Sunday"/>
    <s v="On Demand"/>
    <x v="7"/>
  </r>
  <r>
    <s v="2023-07-23 10:35 (-07)"/>
    <d v="2023-07-23T00:00:00"/>
    <s v="10:35(-07)"/>
    <s v="Sunday"/>
    <s v="On Demand"/>
    <x v="20"/>
  </r>
  <r>
    <s v="2023-07-23 10:45 (-07)"/>
    <d v="2023-07-23T00:00:00"/>
    <s v="10:45(-07)"/>
    <s v="Sunday"/>
    <s v="On Demand"/>
    <x v="7"/>
  </r>
  <r>
    <s v="2023-07-30 09:19 (PST)"/>
    <d v="2023-07-30T00:00:00"/>
    <s v="09:19(PST)"/>
    <s v="Sunday"/>
    <m/>
    <x v="34"/>
  </r>
  <r>
    <s v="2023-07-30 12:11 (-07)"/>
    <d v="2023-07-30T00:00:00"/>
    <s v="12:11(-07)"/>
    <s v="Sunday"/>
    <s v="On Demand"/>
    <x v="6"/>
  </r>
  <r>
    <s v="2023-07-30 12:57 (-07)"/>
    <d v="2023-07-30T00:00:00"/>
    <s v="12:57(-07)"/>
    <s v="Sunday"/>
    <s v="On Demand"/>
    <x v="12"/>
  </r>
  <r>
    <s v="2023-07-30 13:02 (-07)"/>
    <d v="2023-07-30T00:00:00"/>
    <s v="13:02(-07)"/>
    <s v="Sunday"/>
    <s v="On Demand"/>
    <x v="18"/>
  </r>
  <r>
    <s v="2023-08-06 11:48 (-07)"/>
    <d v="2023-08-06T00:00:00"/>
    <s v="11:48(-07)"/>
    <s v="Sunday"/>
    <s v="On Demand"/>
    <x v="6"/>
  </r>
  <r>
    <s v="2023-08-06 13:21 (-07)"/>
    <d v="2023-08-06T00:00:00"/>
    <s v="13:21(-07)"/>
    <s v="Sunday"/>
    <s v="On Demand"/>
    <x v="39"/>
  </r>
  <r>
    <s v="2023-08-06 22:25 (PST)"/>
    <d v="2023-08-06T00:00:00"/>
    <s v="22:25(PST)"/>
    <s v="Sunday"/>
    <s v="On Demand"/>
    <x v="19"/>
  </r>
  <r>
    <s v="2023-08-13 00:35 (EST)"/>
    <d v="2023-08-13T00:00:00"/>
    <s v="00:35(EST)"/>
    <s v="Sunday"/>
    <s v="On Demand"/>
    <x v="19"/>
  </r>
  <r>
    <s v="2023-08-13 20:07 (EST)"/>
    <d v="2023-08-13T00:00:00"/>
    <s v="20:07(EST)"/>
    <s v="Sunday"/>
    <s v="On Demand"/>
    <x v="19"/>
  </r>
  <r>
    <s v="2023-08-13 22:04 (EST)"/>
    <d v="2023-08-13T00:00:00"/>
    <s v="22:04(EST)"/>
    <s v="Sunday"/>
    <s v="On Demand"/>
    <x v="25"/>
  </r>
  <r>
    <s v="2023-08-20 11:29 (-07)"/>
    <d v="2023-08-20T00:00:00"/>
    <s v="11:29(-07)"/>
    <s v="Sunday"/>
    <s v="On Demand"/>
    <x v="26"/>
  </r>
  <r>
    <s v="2023-08-20 12:09 (-07)"/>
    <d v="2023-08-20T00:00:00"/>
    <s v="12:09(-07)"/>
    <s v="Sunday"/>
    <s v="On Demand"/>
    <x v="49"/>
  </r>
  <r>
    <s v="2023-08-20 12:42 (-07)"/>
    <d v="2023-08-20T00:00:00"/>
    <s v="12:42(-07)"/>
    <s v="Sunday"/>
    <s v="On Demand"/>
    <x v="6"/>
  </r>
  <r>
    <s v="2023-08-20 12:48 (-07)"/>
    <d v="2023-08-20T00:00:00"/>
    <s v="12:48(-07)"/>
    <s v="Sunday"/>
    <s v="On Demand"/>
    <x v="24"/>
  </r>
  <r>
    <s v="2023-08-20 13:49 (PST)"/>
    <d v="2023-08-20T00:00:00"/>
    <s v="13:49(PST)"/>
    <s v="Sunday"/>
    <s v="On Demand"/>
    <x v="7"/>
  </r>
  <r>
    <s v="2023-08-20 21:25 (PST)"/>
    <d v="2023-08-20T00:00:00"/>
    <s v="21:25(PST)"/>
    <s v="Sunday"/>
    <s v="On Demand"/>
    <x v="25"/>
  </r>
  <r>
    <s v="2023-08-27 10:07 (-07)"/>
    <d v="2023-08-27T00:00:00"/>
    <s v="10:07(-07)"/>
    <s v="Sunday"/>
    <s v="On Demand"/>
    <x v="6"/>
  </r>
  <r>
    <s v="2023-08-27 10:54 (-07)"/>
    <d v="2023-08-27T00:00:00"/>
    <s v="10:54(-07)"/>
    <s v="Sunday"/>
    <s v="On Demand"/>
    <x v="36"/>
  </r>
  <r>
    <s v="2023-08-27 11:05 (-07)"/>
    <d v="2023-08-27T00:00:00"/>
    <s v="11:05(-07)"/>
    <s v="Sunday"/>
    <s v="On Demand"/>
    <x v="4"/>
  </r>
  <r>
    <s v="2023-08-27 11:31 (PST)"/>
    <d v="2023-08-27T00:00:00"/>
    <s v="11:31(PST)"/>
    <s v="Sunday"/>
    <s v="On Demand"/>
    <x v="7"/>
  </r>
  <r>
    <s v="2023-08-27 21:44 (PST)"/>
    <d v="2023-08-27T00:00:00"/>
    <s v="21:44(PST)"/>
    <s v="Sunday"/>
    <s v="On Demand"/>
    <x v="19"/>
  </r>
  <r>
    <s v="2023-09-10 10:55 (PST)"/>
    <d v="2023-09-10T00:00:00"/>
    <s v="10:55(PST)"/>
    <s v="Sunday"/>
    <s v="On Demand"/>
    <x v="15"/>
  </r>
  <r>
    <s v="2023-09-10 11:59 (-07)"/>
    <d v="2023-09-10T00:00:00"/>
    <s v="11:59(-07)"/>
    <s v="Sunday"/>
    <s v="On Demand"/>
    <x v="26"/>
  </r>
  <r>
    <s v="2023-09-10 12:34 (-07)"/>
    <d v="2023-09-10T00:00:00"/>
    <s v="12:34(-07)"/>
    <s v="Sunday"/>
    <s v="On Demand"/>
    <x v="1"/>
  </r>
  <r>
    <s v="2023-09-10 12:53 (-07)"/>
    <d v="2023-09-10T00:00:00"/>
    <s v="12:53(-07)"/>
    <s v="Sunday"/>
    <m/>
    <x v="34"/>
  </r>
  <r>
    <s v="2023-09-10 13:00 (-07)"/>
    <d v="2023-09-10T00:00:00"/>
    <s v="13:00(-07)"/>
    <s v="Sunday"/>
    <s v="On Demand"/>
    <x v="6"/>
  </r>
  <r>
    <s v="2023-09-10 13:31 (-07)"/>
    <d v="2023-09-10T00:00:00"/>
    <s v="13:31(-07)"/>
    <s v="Sunday"/>
    <s v="On Demand"/>
    <x v="20"/>
  </r>
  <r>
    <s v="2023-09-17 22:27 (MST)"/>
    <d v="2023-09-17T00:00:00"/>
    <s v="22:27(MST)"/>
    <s v="Sunday"/>
    <s v="On Demand"/>
    <x v="19"/>
  </r>
  <r>
    <s v="2023-09-24 14:14 (-07)"/>
    <d v="2023-09-24T00:00:00"/>
    <s v="14:14(-07)"/>
    <s v="Sunday"/>
    <s v="On Demand"/>
    <x v="1"/>
  </r>
  <r>
    <s v="2023-09-24 14:32 (-07)"/>
    <d v="2023-09-24T00:00:00"/>
    <s v="14:32(-07)"/>
    <s v="Sunday"/>
    <s v="On Demand"/>
    <x v="24"/>
  </r>
  <r>
    <s v="2023-09-24 14:55 (-07)"/>
    <d v="2023-09-24T00:00:00"/>
    <s v="14:55(-07)"/>
    <s v="Sunday"/>
    <s v="On Demand"/>
    <x v="9"/>
  </r>
  <r>
    <s v="2023-09-24 15:56 (-07)"/>
    <d v="2023-09-24T00:00:00"/>
    <s v="15:56(-07)"/>
    <s v="Sunday"/>
    <s v="On Demand"/>
    <x v="1"/>
  </r>
  <r>
    <s v="2023-10-01 16:37 (-07)"/>
    <d v="2023-10-01T00:00:00"/>
    <s v="16:37(-07)"/>
    <s v="Sunday"/>
    <s v="On Demand"/>
    <x v="6"/>
  </r>
  <r>
    <s v="2023-10-01 17:53 (-07)"/>
    <d v="2023-10-01T00:00:00"/>
    <s v="17:53(-07)"/>
    <s v="Sunday"/>
    <s v="On Demand"/>
    <x v="7"/>
  </r>
  <r>
    <s v="2023-10-01 18:02 (-07)"/>
    <d v="2023-10-01T00:00:00"/>
    <s v="18:02(-07)"/>
    <s v="Sunday"/>
    <s v="On Demand"/>
    <x v="37"/>
  </r>
  <r>
    <s v="2023-10-01 22:35 (PST)"/>
    <d v="2023-10-01T00:00:00"/>
    <s v="22:35(PST)"/>
    <s v="Sunday"/>
    <s v="On Demand"/>
    <x v="23"/>
  </r>
  <r>
    <s v="2023-10-08 22:46 (PST)"/>
    <d v="2023-10-08T00:00:00"/>
    <s v="22:46(PST)"/>
    <s v="Sunday"/>
    <s v="On Demand"/>
    <x v="19"/>
  </r>
  <r>
    <s v="2023-10-15 15:08 (-07)"/>
    <d v="2023-10-15T00:00:00"/>
    <s v="15:08(-07)"/>
    <s v="Sunday"/>
    <s v="On Demand"/>
    <x v="9"/>
  </r>
  <r>
    <s v="2023-10-15 15:55 (-07)"/>
    <d v="2023-10-15T00:00:00"/>
    <s v="15:55(-07)"/>
    <s v="Sunday"/>
    <s v="On Demand"/>
    <x v="18"/>
  </r>
  <r>
    <s v="2023-10-15 16:05 (-07)"/>
    <d v="2023-10-15T00:00:00"/>
    <s v="16:05(-07)"/>
    <s v="Sunday"/>
    <s v="On Demand"/>
    <x v="8"/>
  </r>
  <r>
    <s v="2023-10-15 20:39 (PST)"/>
    <d v="2023-10-15T00:00:00"/>
    <s v="20:39(PST)"/>
    <s v="Sunday"/>
    <s v="On Demand"/>
    <x v="13"/>
  </r>
  <r>
    <s v="2023-10-15 20:49 (PST)"/>
    <d v="2023-10-15T00:00:00"/>
    <s v="20:49(PST)"/>
    <s v="Sunday"/>
    <s v="On Demand"/>
    <x v="13"/>
  </r>
  <r>
    <s v="2023-10-15 23:53 (PST)"/>
    <d v="2023-10-15T00:00:00"/>
    <s v="23:53(PST)"/>
    <s v="Sunday"/>
    <s v="On Demand"/>
    <x v="28"/>
  </r>
  <r>
    <s v="2023-10-22 17:18 (-07)"/>
    <d v="2023-10-22T00:00:00"/>
    <s v="17:18(-07)"/>
    <s v="Sunday"/>
    <s v="On Demand"/>
    <x v="26"/>
  </r>
  <r>
    <s v="2023-10-22 17:40 (-07)"/>
    <d v="2023-10-22T00:00:00"/>
    <s v="17:40(-07)"/>
    <s v="Sunday"/>
    <s v="On Demand"/>
    <x v="4"/>
  </r>
  <r>
    <s v="2023-10-22 17:53 (-07)"/>
    <d v="2023-10-22T00:00:00"/>
    <s v="17:53(-07)"/>
    <s v="Sunday"/>
    <s v="On Demand"/>
    <x v="6"/>
  </r>
  <r>
    <s v="2023-10-22 18:14 (-07)"/>
    <d v="2023-10-22T00:00:00"/>
    <s v="18:14(-07)"/>
    <s v="Sunday"/>
    <s v="On Demand"/>
    <x v="38"/>
  </r>
  <r>
    <s v="2023-10-22 18:20 (-07)"/>
    <d v="2023-10-22T00:00:00"/>
    <s v="18:20(-07)"/>
    <s v="Sunday"/>
    <s v="On Demand"/>
    <x v="38"/>
  </r>
  <r>
    <s v="2023-10-22 22:15 (PST)"/>
    <d v="2023-10-22T00:00:00"/>
    <s v="22:15(PST)"/>
    <s v="Sunday"/>
    <s v="On Demand"/>
    <x v="16"/>
  </r>
  <r>
    <s v="2023-10-29 22:32 (PST)"/>
    <d v="2023-10-29T00:00:00"/>
    <s v="22:32(PST)"/>
    <s v="Sunday"/>
    <s v="On Demand"/>
    <x v="19"/>
  </r>
  <r>
    <s v="2023-11-05 22:25 (PST)"/>
    <d v="2023-11-05T00:00:00"/>
    <s v="22:25(PST)"/>
    <s v="Sunday"/>
    <s v="On Demand"/>
    <x v="25"/>
  </r>
  <r>
    <s v="2023-11-12 13:32 (-08)"/>
    <d v="2023-11-12T00:00:00"/>
    <s v="13:32(-08)"/>
    <s v="Sunday"/>
    <s v="On Demand"/>
    <x v="6"/>
  </r>
  <r>
    <s v="2023-11-12 14:34 (-08)"/>
    <d v="2023-11-12T00:00:00"/>
    <s v="14:34(-08)"/>
    <s v="Sunday"/>
    <s v="On Demand"/>
    <x v="4"/>
  </r>
  <r>
    <s v="2023-11-12 23:26 (PST)"/>
    <d v="2023-11-12T00:00:00"/>
    <s v="23:26(PST)"/>
    <s v="Sunday"/>
    <s v="On Demand"/>
    <x v="26"/>
  </r>
  <r>
    <s v="2023-11-19 15:39 (-08)"/>
    <d v="2023-11-19T00:00:00"/>
    <s v="15:39(-08)"/>
    <s v="Sunday"/>
    <s v="On Demand"/>
    <x v="9"/>
  </r>
  <r>
    <s v="2023-11-19 16:26 (-08)"/>
    <d v="2023-11-19T00:00:00"/>
    <s v="16:26(-08)"/>
    <s v="Sunday"/>
    <s v="On Demand"/>
    <x v="29"/>
  </r>
  <r>
    <s v="2023-11-19 16:37 (-08)"/>
    <d v="2023-11-19T00:00:00"/>
    <s v="16:37(-08)"/>
    <s v="Sunday"/>
    <s v="On Demand"/>
    <x v="12"/>
  </r>
  <r>
    <s v="2023-11-19 16:49 (-08)"/>
    <d v="2023-11-19T00:00:00"/>
    <s v="16:49(-08)"/>
    <s v="Sunday"/>
    <s v="On Demand"/>
    <x v="1"/>
  </r>
  <r>
    <s v="2023-11-19 17:01 (PST)"/>
    <d v="2023-11-19T00:00:00"/>
    <s v="17:01(PST)"/>
    <s v="Sunday"/>
    <s v="On Demand"/>
    <x v="13"/>
  </r>
  <r>
    <s v="2023-11-19 22:22 (PST)"/>
    <d v="2023-11-19T00:00:00"/>
    <s v="22:22(PST)"/>
    <s v="Sunday"/>
    <s v="On Demand"/>
    <x v="28"/>
  </r>
  <r>
    <s v="2023-11-26 13:03 (-08)"/>
    <d v="2023-11-26T00:00:00"/>
    <s v="13:03(-08)"/>
    <s v="Sunday"/>
    <s v="On Demand"/>
    <x v="4"/>
  </r>
  <r>
    <s v="2023-11-26 13:51 (-08)"/>
    <d v="2023-11-26T00:00:00"/>
    <s v="13:51(-08)"/>
    <s v="Sunday"/>
    <s v="On Demand"/>
    <x v="1"/>
  </r>
  <r>
    <s v="2023-11-26 13:57 (-08)"/>
    <d v="2023-11-26T00:00:00"/>
    <s v="13:57(-08)"/>
    <s v="Sunday"/>
    <s v="On Demand"/>
    <x v="7"/>
  </r>
  <r>
    <s v="2023-11-26 21:25 (PST)"/>
    <d v="2023-11-26T00:00:00"/>
    <s v="21:25(PST)"/>
    <s v="Sunday"/>
    <s v="On Demand"/>
    <x v="28"/>
  </r>
  <r>
    <s v="2023-12-03 20:01 (PST)"/>
    <d v="2023-12-03T00:00:00"/>
    <s v="20:01(PST)"/>
    <s v="Sunday"/>
    <s v="On Demand"/>
    <x v="16"/>
  </r>
  <r>
    <s v="2023-12-03 20:12 (PST)"/>
    <d v="2023-12-03T00:00:00"/>
    <s v="20:12(PST)"/>
    <s v="Sunday"/>
    <s v="On Demand"/>
    <x v="19"/>
  </r>
  <r>
    <s v="2023-12-10 22:31 (PST)"/>
    <d v="2023-12-10T00:00:00"/>
    <s v="22:31(PST)"/>
    <s v="Sunday"/>
    <s v="On Demand"/>
    <x v="19"/>
  </r>
  <r>
    <s v="2023-12-17 13:07 (-08)"/>
    <d v="2023-12-17T00:00:00"/>
    <s v="13:07(-08)"/>
    <s v="Sunday"/>
    <s v="On Demand"/>
    <x v="24"/>
  </r>
  <r>
    <s v="2023-12-17 13:26 (-08)"/>
    <d v="2023-12-17T00:00:00"/>
    <s v="13:26(-08)"/>
    <s v="Sunday"/>
    <s v="On Demand"/>
    <x v="9"/>
  </r>
  <r>
    <s v="2023-12-17 23:34 (PST)"/>
    <d v="2023-12-17T00:00:00"/>
    <s v="23:34(PST)"/>
    <s v="Sunday"/>
    <s v="On Demand"/>
    <x v="13"/>
  </r>
  <r>
    <s v="2023-12-24 22:09 (PST)"/>
    <d v="2023-12-24T00:00:00"/>
    <s v="22:09(PST)"/>
    <s v="Sunday"/>
    <s v="On Demand"/>
    <x v="16"/>
  </r>
  <r>
    <s v="2024-01-07 13:59 (-08)"/>
    <d v="2024-01-07T00:00:00"/>
    <s v="13:59(-08)"/>
    <s v="Sunday"/>
    <s v="On Demand"/>
    <x v="1"/>
  </r>
  <r>
    <s v="2024-01-07 14:18 (-08)"/>
    <d v="2024-01-07T00:00:00"/>
    <s v="14:18(-08)"/>
    <s v="Sunday"/>
    <s v="On Demand"/>
    <x v="12"/>
  </r>
  <r>
    <s v="2024-01-07 15:09 (-08)"/>
    <d v="2024-01-07T00:00:00"/>
    <s v="15:09(-08)"/>
    <s v="Sunday"/>
    <s v="On Demand"/>
    <x v="15"/>
  </r>
  <r>
    <s v="2024-01-07 15:20 (-08)"/>
    <d v="2024-01-07T00:00:00"/>
    <s v="15:20(-08)"/>
    <s v="Sunday"/>
    <s v="On Demand"/>
    <x v="1"/>
  </r>
  <r>
    <s v="2024-01-07 22:23 (PST)"/>
    <d v="2024-01-07T00:00:00"/>
    <s v="22:23(PST)"/>
    <s v="Sunday"/>
    <s v="On Demand"/>
    <x v="19"/>
  </r>
  <r>
    <s v="2024-01-14 22:44 (PST)"/>
    <d v="2024-01-14T00:00:00"/>
    <s v="22:44(PST)"/>
    <s v="Sunday"/>
    <s v="On Demand"/>
    <x v="23"/>
  </r>
  <r>
    <s v="2018-08-23 14:03 (PST)"/>
    <d v="2018-08-23T00:00:00"/>
    <s v="14:03(PST)"/>
    <s v="Thursday"/>
    <s v="On Demand"/>
    <x v="9"/>
  </r>
  <r>
    <s v="2018-08-30 16:57 (PST)"/>
    <d v="2018-08-30T00:00:00"/>
    <s v="16:57(PST)"/>
    <s v="Thursday"/>
    <s v="On Demand"/>
    <x v="0"/>
  </r>
  <r>
    <s v="2018-09-06 16:09 (PST)"/>
    <d v="2018-09-06T00:00:00"/>
    <s v="16:09(PST)"/>
    <s v="Thursday"/>
    <s v="On Demand"/>
    <x v="0"/>
  </r>
  <r>
    <s v="2018-09-06 16:11 (PST)"/>
    <d v="2018-09-06T00:00:00"/>
    <s v="16:11(PST)"/>
    <s v="Thursday"/>
    <s v="On Demand"/>
    <x v="0"/>
  </r>
  <r>
    <s v="2018-09-06 16:42 (PST)"/>
    <d v="2018-09-06T00:00:00"/>
    <s v="16:42(PST)"/>
    <s v="Thursday"/>
    <s v="On Demand"/>
    <x v="0"/>
  </r>
  <r>
    <s v="2018-09-13 16:28 (PST)"/>
    <d v="2018-09-13T00:00:00"/>
    <s v="16:28(PST)"/>
    <s v="Thursday"/>
    <s v="On Demand"/>
    <x v="0"/>
  </r>
  <r>
    <s v="2018-09-20 16:33 (PST)"/>
    <d v="2018-09-20T00:00:00"/>
    <s v="16:33(PST)"/>
    <s v="Thursday"/>
    <s v="On Demand"/>
    <x v="0"/>
  </r>
  <r>
    <s v="2018-10-04 16:26 (PST)"/>
    <d v="2018-10-04T00:00:00"/>
    <s v="16:26(PST)"/>
    <s v="Thursday"/>
    <s v="On Demand"/>
    <x v="0"/>
  </r>
  <r>
    <s v="2018-10-11 12:14 (PST)"/>
    <d v="2018-10-11T00:00:00"/>
    <s v="12:14(PST)"/>
    <s v="Thursday"/>
    <s v="On Demand"/>
    <x v="0"/>
  </r>
  <r>
    <s v="2018-11-29 14:29 (PST)"/>
    <d v="2018-11-29T00:00:00"/>
    <s v="14:29(PST)"/>
    <s v="Thursday"/>
    <s v="On Demand"/>
    <x v="0"/>
  </r>
  <r>
    <s v="2018-12-13 15:30 (PST)"/>
    <d v="2018-12-13T00:00:00"/>
    <s v="15:30(PST)"/>
    <s v="Thursday"/>
    <s v="On Demand"/>
    <x v="0"/>
  </r>
  <r>
    <s v="2019-01-24 12:18 (PST)"/>
    <d v="2019-01-24T00:00:00"/>
    <s v="12:18(PST)"/>
    <s v="Thursday"/>
    <s v="On Demand"/>
    <x v="0"/>
  </r>
  <r>
    <s v="2019-06-06 11:33 (PST)"/>
    <d v="2019-06-06T00:00:00"/>
    <s v="11:33(PST)"/>
    <s v="Thursday"/>
    <s v="On Demand"/>
    <x v="0"/>
  </r>
  <r>
    <s v="2019-06-13 12:17 (PST)"/>
    <d v="2019-06-13T00:00:00"/>
    <s v="12:17(PST)"/>
    <s v="Thursday"/>
    <s v="On Demand"/>
    <x v="0"/>
  </r>
  <r>
    <s v="2019-06-20 12:14 (PST)"/>
    <d v="2019-06-20T00:00:00"/>
    <s v="12:14(PST)"/>
    <s v="Thursday"/>
    <s v="On Demand"/>
    <x v="0"/>
  </r>
  <r>
    <s v="2019-06-27 11:19 (PST)"/>
    <d v="2019-06-27T00:00:00"/>
    <s v="11:19(PST)"/>
    <s v="Thursday"/>
    <s v="On Demand"/>
    <x v="0"/>
  </r>
  <r>
    <s v="2019-07-11 12:02 (PST)"/>
    <d v="2019-07-11T00:00:00"/>
    <s v="12:02(PST)"/>
    <s v="Thursday"/>
    <s v="On Demand"/>
    <x v="0"/>
  </r>
  <r>
    <s v="2019-07-18 12:19 (PST)"/>
    <d v="2019-07-18T00:00:00"/>
    <s v="12:19(PST)"/>
    <s v="Thursday"/>
    <s v="On Demand"/>
    <x v="0"/>
  </r>
  <r>
    <s v="2019-09-05 12:15 (PST)"/>
    <d v="2019-09-05T00:00:00"/>
    <s v="12:15(PST)"/>
    <s v="Thursday"/>
    <s v="On Demand"/>
    <x v="0"/>
  </r>
  <r>
    <s v="2020-01-02 20:07 (PST)"/>
    <d v="2020-01-02T00:00:00"/>
    <s v="20:07(PST)"/>
    <s v="Thursday"/>
    <s v="On Demand"/>
    <x v="1"/>
  </r>
  <r>
    <s v="2020-01-02 20:14 (PST)"/>
    <d v="2020-01-02T00:00:00"/>
    <s v="20:14(PST)"/>
    <s v="Thursday"/>
    <s v="On Demand"/>
    <x v="13"/>
  </r>
  <r>
    <s v="2020-01-16 20:40 (PST)"/>
    <d v="2020-01-16T00:00:00"/>
    <s v="20:40(PST)"/>
    <s v="Thursday"/>
    <s v="On Demand"/>
    <x v="16"/>
  </r>
  <r>
    <s v="2020-10-15 19:03 (PST)"/>
    <d v="2020-10-15T00:00:00"/>
    <s v="19:03(PST)"/>
    <s v="Thursday"/>
    <s v="On Demand"/>
    <x v="1"/>
  </r>
  <r>
    <s v="2020-10-15 19:15 (PST)"/>
    <d v="2020-10-15T00:00:00"/>
    <s v="19:15(PST)"/>
    <s v="Thursday"/>
    <s v="On Demand"/>
    <x v="26"/>
  </r>
  <r>
    <s v="2020-11-05 07:03 (PST)"/>
    <d v="2020-11-05T00:00:00"/>
    <s v="07:03(PST)"/>
    <s v="Thursday"/>
    <s v="On Demand"/>
    <x v="7"/>
  </r>
  <r>
    <s v="2020-11-05 07:15 (PST)"/>
    <d v="2020-11-05T00:00:00"/>
    <s v="07:15(PST)"/>
    <s v="Thursday"/>
    <s v="On Demand"/>
    <x v="7"/>
  </r>
  <r>
    <s v="2020-11-05 07:39 (PST)"/>
    <d v="2020-11-05T00:00:00"/>
    <s v="07:39(PST)"/>
    <s v="Thursday"/>
    <s v="On Demand"/>
    <x v="7"/>
  </r>
  <r>
    <s v="2020-11-05 07:52 (PST)"/>
    <d v="2020-11-05T00:00:00"/>
    <s v="07:52(PST)"/>
    <s v="Thursday"/>
    <s v="On Demand"/>
    <x v="7"/>
  </r>
  <r>
    <s v="2020-11-12 06:34 (PST)"/>
    <d v="2020-11-12T00:00:00"/>
    <s v="06:34(PST)"/>
    <s v="Thursday"/>
    <s v="On Demand"/>
    <x v="5"/>
  </r>
  <r>
    <s v="2020-11-19 06:46 (PST)"/>
    <d v="2020-11-19T00:00:00"/>
    <s v="06:46(PST)"/>
    <s v="Thursday"/>
    <s v="On Demand"/>
    <x v="9"/>
  </r>
  <r>
    <s v="2020-11-19 19:55 (PST)"/>
    <d v="2020-11-19T00:00:00"/>
    <s v="19:55(PST)"/>
    <s v="Thursday"/>
    <s v="On Demand"/>
    <x v="3"/>
  </r>
  <r>
    <s v="2020-11-26 09:52 (PST)"/>
    <d v="2020-11-26T00:00:00"/>
    <s v="09:52(PST)"/>
    <s v="Thursday"/>
    <s v="On Demand"/>
    <x v="9"/>
  </r>
  <r>
    <s v="2020-11-26 10:38 (PST)"/>
    <d v="2020-11-26T00:00:00"/>
    <s v="10:38(PST)"/>
    <s v="Thursday"/>
    <s v="On Demand"/>
    <x v="9"/>
  </r>
  <r>
    <s v="2020-11-26 10:51 (PST)"/>
    <d v="2020-11-26T00:00:00"/>
    <s v="10:51(PST)"/>
    <s v="Thursday"/>
    <s v="On Demand"/>
    <x v="16"/>
  </r>
  <r>
    <s v="2020-12-03 07:02 (PST)"/>
    <d v="2020-12-03T00:00:00"/>
    <s v="07:02(PST)"/>
    <s v="Thursday"/>
    <s v="On Demand"/>
    <x v="7"/>
  </r>
  <r>
    <s v="2020-12-10 07:16 (PST)"/>
    <d v="2020-12-10T00:00:00"/>
    <s v="07:16(PST)"/>
    <s v="Thursday"/>
    <s v="On Demand"/>
    <x v="7"/>
  </r>
  <r>
    <s v="2020-12-17 18:57 (PST)"/>
    <d v="2020-12-17T00:00:00"/>
    <s v="18:57(PST)"/>
    <s v="Thursday"/>
    <s v="On Demand"/>
    <x v="6"/>
  </r>
  <r>
    <s v="2020-12-24 18:29 (PST)"/>
    <d v="2020-12-24T00:00:00"/>
    <s v="18:29(PST)"/>
    <s v="Thursday"/>
    <s v="On Demand"/>
    <x v="6"/>
  </r>
  <r>
    <s v="2020-12-24 18:46 (PST)"/>
    <d v="2020-12-24T00:00:00"/>
    <s v="18:46(PST)"/>
    <s v="Thursday"/>
    <s v="On Demand"/>
    <x v="6"/>
  </r>
  <r>
    <s v="2020-12-24 19:08 (PST)"/>
    <d v="2020-12-24T00:00:00"/>
    <s v="19:08(PST)"/>
    <s v="Thursday"/>
    <s v="On Demand"/>
    <x v="6"/>
  </r>
  <r>
    <s v="2020-12-24 19:19 (PST)"/>
    <d v="2020-12-24T00:00:00"/>
    <s v="19:19(PST)"/>
    <s v="Thursday"/>
    <s v="On Demand"/>
    <x v="7"/>
  </r>
  <r>
    <s v="2020-12-31 15:43 (PST)"/>
    <d v="2020-12-31T00:00:00"/>
    <s v="15:43(PST)"/>
    <s v="Thursday"/>
    <s v="On Demand"/>
    <x v="12"/>
  </r>
  <r>
    <s v="2020-12-31 16:15 (PST)"/>
    <d v="2020-12-31T00:00:00"/>
    <s v="16:15(PST)"/>
    <s v="Thursday"/>
    <s v="On Demand"/>
    <x v="15"/>
  </r>
  <r>
    <s v="2020-12-31 16:26 (PST)"/>
    <d v="2020-12-31T00:00:00"/>
    <s v="16:26(PST)"/>
    <s v="Thursday"/>
    <s v="On Demand"/>
    <x v="19"/>
  </r>
  <r>
    <s v="2021-01-07 17:45 (PST)"/>
    <d v="2021-01-07T00:00:00"/>
    <s v="17:45(PST)"/>
    <s v="Thursday"/>
    <s v="On Demand"/>
    <x v="12"/>
  </r>
  <r>
    <s v="2021-01-07 18:33 (PST)"/>
    <d v="2021-01-07T00:00:00"/>
    <s v="18:33(PST)"/>
    <s v="Thursday"/>
    <s v="On Demand"/>
    <x v="1"/>
  </r>
  <r>
    <s v="2021-01-14 19:59 (PST)"/>
    <d v="2021-01-14T00:00:00"/>
    <s v="19:59(PST)"/>
    <s v="Thursday"/>
    <s v="On Demand"/>
    <x v="7"/>
  </r>
  <r>
    <s v="2021-01-14 20:46 (PST)"/>
    <d v="2021-01-14T00:00:00"/>
    <s v="20:46(PST)"/>
    <s v="Thursday"/>
    <s v="On Demand"/>
    <x v="39"/>
  </r>
  <r>
    <s v="2021-01-14 20:59 (PST)"/>
    <d v="2021-01-14T00:00:00"/>
    <s v="20:59(PST)"/>
    <s v="Thursday"/>
    <s v="On Demand"/>
    <x v="1"/>
  </r>
  <r>
    <s v="2021-01-21 06:25 (-08)"/>
    <d v="2021-01-21T00:00:00"/>
    <s v="06:25(-08)"/>
    <s v="Thursday"/>
    <s v="On Demand"/>
    <x v="7"/>
  </r>
  <r>
    <s v="2021-01-21 07:11 (-08)"/>
    <d v="2021-01-21T00:00:00"/>
    <s v="07:11(-08)"/>
    <s v="Thursday"/>
    <s v="On Demand"/>
    <x v="7"/>
  </r>
  <r>
    <s v="2021-01-21 20:07 (PST)"/>
    <d v="2021-01-21T00:00:00"/>
    <s v="20:07(PST)"/>
    <s v="Thursday"/>
    <s v="On Demand"/>
    <x v="16"/>
  </r>
  <r>
    <s v="2021-01-28 07:12 (PST)"/>
    <d v="2021-01-28T00:00:00"/>
    <s v="07:12(PST)"/>
    <s v="Thursday"/>
    <s v="On Demand"/>
    <x v="7"/>
  </r>
  <r>
    <s v="2021-01-28 20:34 (-08)"/>
    <d v="2021-01-28T00:00:00"/>
    <s v="20:34(-08)"/>
    <s v="Thursday"/>
    <s v="On Demand"/>
    <x v="6"/>
  </r>
  <r>
    <s v="2021-01-28 21:05 (-08)"/>
    <d v="2021-01-28T00:00:00"/>
    <s v="21:05(-08)"/>
    <s v="Thursday"/>
    <s v="On Demand"/>
    <x v="6"/>
  </r>
  <r>
    <s v="2021-02-04 07:05 (-08)"/>
    <d v="2021-02-04T00:00:00"/>
    <s v="07:05(-08)"/>
    <s v="Thursday"/>
    <s v="On Demand"/>
    <x v="6"/>
  </r>
  <r>
    <s v="2021-02-04 07:11 (-08)"/>
    <d v="2021-02-04T00:00:00"/>
    <s v="07:11(-08)"/>
    <s v="Thursday"/>
    <s v="On Demand"/>
    <x v="6"/>
  </r>
  <r>
    <s v="2021-02-04 07:41 (-08)"/>
    <d v="2021-02-04T00:00:00"/>
    <s v="07:41(-08)"/>
    <s v="Thursday"/>
    <s v="On Demand"/>
    <x v="6"/>
  </r>
  <r>
    <s v="2021-02-04 07:46 (-08)"/>
    <d v="2021-02-04T00:00:00"/>
    <s v="07:46(-08)"/>
    <s v="Thursday"/>
    <s v="On Demand"/>
    <x v="6"/>
  </r>
  <r>
    <s v="2021-02-04 07:56 (PST)"/>
    <d v="2021-02-04T00:00:00"/>
    <s v="07:56(PST)"/>
    <s v="Thursday"/>
    <s v="On Demand"/>
    <x v="17"/>
  </r>
  <r>
    <s v="2021-02-11 06:00 (PST)"/>
    <d v="2021-02-11T00:00:00"/>
    <s v="06:00(PST)"/>
    <s v="Thursday"/>
    <s v="On Demand"/>
    <x v="6"/>
  </r>
  <r>
    <s v="2021-02-11 07:02 (PST)"/>
    <d v="2021-02-11T00:00:00"/>
    <s v="07:02(PST)"/>
    <s v="Thursday"/>
    <s v="On Demand"/>
    <x v="6"/>
  </r>
  <r>
    <s v="2021-02-18 07:00 (PST)"/>
    <d v="2021-02-18T00:00:00"/>
    <s v="07:00(PST)"/>
    <s v="Thursday"/>
    <s v="On Demand"/>
    <x v="7"/>
  </r>
  <r>
    <s v="2021-02-18 19:53 (PST)"/>
    <d v="2021-02-18T00:00:00"/>
    <s v="19:53(PST)"/>
    <s v="Thursday"/>
    <s v="On Demand"/>
    <x v="5"/>
  </r>
  <r>
    <s v="2021-02-18 20:40 (PST)"/>
    <d v="2021-02-18T00:00:00"/>
    <s v="20:40(PST)"/>
    <s v="Thursday"/>
    <s v="On Demand"/>
    <x v="5"/>
  </r>
  <r>
    <s v="2021-02-25 20:17 (PST)"/>
    <d v="2021-02-25T00:00:00"/>
    <s v="20:17(PST)"/>
    <s v="Thursday"/>
    <s v="On Demand"/>
    <x v="7"/>
  </r>
  <r>
    <s v="2021-02-25 21:06 (PST)"/>
    <d v="2021-02-25T00:00:00"/>
    <s v="21:06(PST)"/>
    <s v="Thursday"/>
    <s v="On Demand"/>
    <x v="23"/>
  </r>
  <r>
    <s v="2021-03-11 07:16 (-08)"/>
    <d v="2021-03-11T00:00:00"/>
    <s v="07:16(-08)"/>
    <s v="Thursday"/>
    <s v="On Demand"/>
    <x v="7"/>
  </r>
  <r>
    <s v="2021-03-11 07:27 (-08)"/>
    <d v="2021-03-11T00:00:00"/>
    <s v="07:27(-08)"/>
    <s v="Thursday"/>
    <s v="On Demand"/>
    <x v="6"/>
  </r>
  <r>
    <s v="2021-03-11 07:49 (-08)"/>
    <d v="2021-03-11T00:00:00"/>
    <s v="07:49(-08)"/>
    <s v="Thursday"/>
    <s v="On Demand"/>
    <x v="6"/>
  </r>
  <r>
    <s v="2021-03-11 07:54 (-08)"/>
    <d v="2021-03-11T00:00:00"/>
    <s v="07:54(-08)"/>
    <s v="Thursday"/>
    <s v="On Demand"/>
    <x v="6"/>
  </r>
  <r>
    <s v="2021-03-11 21:29 (PST)"/>
    <d v="2021-03-11T00:00:00"/>
    <s v="21:29(PST)"/>
    <s v="Thursday"/>
    <s v="On Demand"/>
    <x v="16"/>
  </r>
  <r>
    <s v="2021-03-18 07:13 (-07)"/>
    <d v="2021-03-18T00:00:00"/>
    <s v="07:13(-07)"/>
    <s v="Thursday"/>
    <s v="On Demand"/>
    <x v="11"/>
  </r>
  <r>
    <s v="2021-03-18 07:32 (-07)"/>
    <d v="2021-03-18T00:00:00"/>
    <s v="07:32(-07)"/>
    <s v="Thursday"/>
    <s v="On Demand"/>
    <x v="7"/>
  </r>
  <r>
    <s v="2021-03-18 08:03 (-07)"/>
    <d v="2021-03-18T00:00:00"/>
    <s v="08:03(-07)"/>
    <s v="Thursday"/>
    <s v="On Demand"/>
    <x v="7"/>
  </r>
  <r>
    <s v="2021-03-18 22:28 (PST)"/>
    <d v="2021-03-18T00:00:00"/>
    <s v="22:28(PST)"/>
    <s v="Thursday"/>
    <s v="On Demand"/>
    <x v="19"/>
  </r>
  <r>
    <s v="2021-03-25 07:26 (PST)"/>
    <d v="2021-03-25T00:00:00"/>
    <s v="07:26(PST)"/>
    <s v="Thursday"/>
    <s v="On Demand"/>
    <x v="7"/>
  </r>
  <r>
    <s v="2021-03-25 22:07 (PST)"/>
    <d v="2021-03-25T00:00:00"/>
    <s v="22:07(PST)"/>
    <s v="Thursday"/>
    <s v="On Demand"/>
    <x v="13"/>
  </r>
  <r>
    <s v="2021-04-01 06:49 (-07)"/>
    <d v="2021-04-01T00:00:00"/>
    <s v="06:49(-07)"/>
    <s v="Thursday"/>
    <s v="On Demand"/>
    <x v="6"/>
  </r>
  <r>
    <s v="2021-04-01 07:35 (-07)"/>
    <d v="2021-04-01T00:00:00"/>
    <s v="07:35(-07)"/>
    <s v="Thursday"/>
    <s v="On Demand"/>
    <x v="4"/>
  </r>
  <r>
    <s v="2021-04-01 23:04 (PST)"/>
    <d v="2021-04-01T00:00:00"/>
    <s v="23:04(PST)"/>
    <s v="Thursday"/>
    <s v="On Demand"/>
    <x v="16"/>
  </r>
  <r>
    <s v="2021-04-08 07:24 (-07)"/>
    <d v="2021-04-08T00:00:00"/>
    <s v="07:24(-07)"/>
    <s v="Thursday"/>
    <s v="On Demand"/>
    <x v="11"/>
  </r>
  <r>
    <s v="2021-04-08 07:58 (-07)"/>
    <d v="2021-04-08T00:00:00"/>
    <s v="07:58(-07)"/>
    <s v="Thursday"/>
    <s v="On Demand"/>
    <x v="7"/>
  </r>
  <r>
    <s v="2021-04-08 08:29 (-07)"/>
    <d v="2021-04-08T00:00:00"/>
    <s v="08:29(-07)"/>
    <s v="Thursday"/>
    <s v="On Demand"/>
    <x v="7"/>
  </r>
  <r>
    <s v="2021-04-08 22:45 (PST)"/>
    <d v="2021-04-08T00:00:00"/>
    <s v="22:45(PST)"/>
    <s v="Thursday"/>
    <s v="On Demand"/>
    <x v="16"/>
  </r>
  <r>
    <s v="2021-04-15 06:49 (-07)"/>
    <d v="2021-04-15T00:00:00"/>
    <s v="06:49(-07)"/>
    <s v="Thursday"/>
    <s v="On Demand"/>
    <x v="6"/>
  </r>
  <r>
    <s v="2021-04-15 07:51 (-07)"/>
    <d v="2021-04-15T00:00:00"/>
    <s v="07:51(-07)"/>
    <s v="Thursday"/>
    <s v="On Demand"/>
    <x v="6"/>
  </r>
  <r>
    <s v="2021-04-15 07:57 (-07)"/>
    <d v="2021-04-15T00:00:00"/>
    <s v="07:57(-07)"/>
    <s v="Thursday"/>
    <s v="On Demand"/>
    <x v="6"/>
  </r>
  <r>
    <s v="2021-04-15 08:05 (-07)"/>
    <d v="2021-04-15T00:00:00"/>
    <s v="08:05(-07)"/>
    <s v="Thursday"/>
    <s v="On Demand"/>
    <x v="7"/>
  </r>
  <r>
    <s v="2021-04-15 22:22 (PST)"/>
    <d v="2021-04-15T00:00:00"/>
    <s v="22:22(PST)"/>
    <s v="Thursday"/>
    <s v="On Demand"/>
    <x v="23"/>
  </r>
  <r>
    <s v="2021-04-22 20:05 (-07)"/>
    <d v="2021-04-22T00:00:00"/>
    <s v="20:05(-07)"/>
    <s v="Thursday"/>
    <s v="On Demand"/>
    <x v="5"/>
  </r>
  <r>
    <s v="2021-04-22 20:37 (-07)"/>
    <d v="2021-04-22T00:00:00"/>
    <s v="20:37(-07)"/>
    <s v="Thursday"/>
    <s v="On Demand"/>
    <x v="4"/>
  </r>
  <r>
    <s v="2021-04-22 20:49 (-07)"/>
    <d v="2021-04-22T00:00:00"/>
    <s v="20:49(-07)"/>
    <s v="Thursday"/>
    <s v="On Demand"/>
    <x v="11"/>
  </r>
  <r>
    <s v="2021-04-22 21:06 (-07)"/>
    <d v="2021-04-22T00:00:00"/>
    <s v="21:06(-07)"/>
    <s v="Thursday"/>
    <s v="On Demand"/>
    <x v="5"/>
  </r>
  <r>
    <s v="2021-04-22 21:17 (PST)"/>
    <d v="2021-04-22T00:00:00"/>
    <s v="21:17(PST)"/>
    <s v="Thursday"/>
    <s v="On Demand"/>
    <x v="7"/>
  </r>
  <r>
    <s v="2021-04-22 22:51 (PST)"/>
    <d v="2021-04-22T00:00:00"/>
    <s v="22:51(PST)"/>
    <s v="Thursday"/>
    <s v="On Demand"/>
    <x v="16"/>
  </r>
  <r>
    <s v="2021-04-29 07:05 (-07)"/>
    <d v="2021-04-29T00:00:00"/>
    <s v="07:05(-07)"/>
    <s v="Thursday"/>
    <s v="On Demand"/>
    <x v="7"/>
  </r>
  <r>
    <s v="2021-04-29 07:37 (-07)"/>
    <d v="2021-04-29T00:00:00"/>
    <s v="07:37(-07)"/>
    <s v="Thursday"/>
    <s v="On Demand"/>
    <x v="5"/>
  </r>
  <r>
    <s v="2021-04-29 07:48 (-07)"/>
    <d v="2021-04-29T00:00:00"/>
    <s v="07:48(-07)"/>
    <s v="Thursday"/>
    <s v="On Demand"/>
    <x v="5"/>
  </r>
  <r>
    <s v="2021-04-29 08:00 (-07)"/>
    <d v="2021-04-29T00:00:00"/>
    <s v="08:00(-07)"/>
    <s v="Thursday"/>
    <s v="On Demand"/>
    <x v="7"/>
  </r>
  <r>
    <s v="2021-04-29 19:20 (PST)"/>
    <d v="2021-04-29T00:00:00"/>
    <s v="19:20(PST)"/>
    <s v="Thursday"/>
    <s v="On Demand"/>
    <x v="7"/>
  </r>
  <r>
    <s v="2021-04-29 22:32 (PST)"/>
    <d v="2021-04-29T00:00:00"/>
    <s v="22:32(PST)"/>
    <s v="Thursday"/>
    <s v="On Demand"/>
    <x v="19"/>
  </r>
  <r>
    <s v="2021-05-06 19:19 (-07)"/>
    <d v="2021-05-06T00:00:00"/>
    <s v="19:19(-07)"/>
    <s v="Thursday"/>
    <s v="On Demand"/>
    <x v="7"/>
  </r>
  <r>
    <s v="2021-05-06 20:04 (-07)"/>
    <d v="2021-05-06T00:00:00"/>
    <s v="20:04(-07)"/>
    <s v="Thursday"/>
    <s v="On Demand"/>
    <x v="7"/>
  </r>
  <r>
    <s v="2021-05-06 20:16 (-07)"/>
    <d v="2021-05-06T00:00:00"/>
    <s v="20:16(-07)"/>
    <s v="Thursday"/>
    <s v="On Demand"/>
    <x v="12"/>
  </r>
  <r>
    <s v="2021-05-06 20:27 (-07)"/>
    <d v="2021-05-06T00:00:00"/>
    <s v="20:27(-07)"/>
    <s v="Thursday"/>
    <s v="On Demand"/>
    <x v="5"/>
  </r>
  <r>
    <s v="2021-05-06 20:38 (-07)"/>
    <d v="2021-05-06T00:00:00"/>
    <s v="20:38(-07)"/>
    <s v="Thursday"/>
    <s v="On Demand"/>
    <x v="7"/>
  </r>
  <r>
    <s v="2021-05-06 22:41 (PST)"/>
    <d v="2021-05-06T00:00:00"/>
    <s v="22:41(PST)"/>
    <s v="Thursday"/>
    <s v="On Demand"/>
    <x v="19"/>
  </r>
  <r>
    <s v="2021-05-13 07:27 (PST)"/>
    <d v="2021-05-13T00:00:00"/>
    <s v="07:27(PST)"/>
    <s v="Thursday"/>
    <s v="On Demand"/>
    <x v="13"/>
  </r>
  <r>
    <s v="2021-05-13 19:08 (-07)"/>
    <d v="2021-05-13T00:00:00"/>
    <s v="19:08(-07)"/>
    <s v="Thursday"/>
    <s v="On Demand"/>
    <x v="7"/>
  </r>
  <r>
    <s v="2021-05-13 19:53 (-07)"/>
    <d v="2021-05-13T00:00:00"/>
    <s v="19:53(-07)"/>
    <s v="Thursday"/>
    <s v="On Demand"/>
    <x v="7"/>
  </r>
  <r>
    <s v="2021-05-13 19:59 (-07)"/>
    <d v="2021-05-13T00:00:00"/>
    <s v="19:59(-07)"/>
    <s v="Thursday"/>
    <s v="On Demand"/>
    <x v="5"/>
  </r>
  <r>
    <s v="2021-05-13 22:21 (PST)"/>
    <d v="2021-05-13T00:00:00"/>
    <s v="22:21(PST)"/>
    <s v="Thursday"/>
    <s v="On Demand"/>
    <x v="23"/>
  </r>
  <r>
    <s v="2021-05-20 07:13 (-07)"/>
    <d v="2021-05-20T00:00:00"/>
    <s v="07:13(-07)"/>
    <s v="Thursday"/>
    <s v="On Demand"/>
    <x v="6"/>
  </r>
  <r>
    <s v="2021-05-20 08:14 (-07)"/>
    <d v="2021-05-20T00:00:00"/>
    <s v="08:14(-07)"/>
    <s v="Thursday"/>
    <s v="On Demand"/>
    <x v="6"/>
  </r>
  <r>
    <s v="2021-05-20 22:49 (PST)"/>
    <d v="2021-05-20T00:00:00"/>
    <s v="22:49(PST)"/>
    <s v="Thursday"/>
    <s v="On Demand"/>
    <x v="19"/>
  </r>
  <r>
    <s v="2021-05-27 20:18 (-07)"/>
    <d v="2021-05-27T00:00:00"/>
    <s v="20:18(-07)"/>
    <s v="Thursday"/>
    <s v="On Demand"/>
    <x v="6"/>
  </r>
  <r>
    <s v="2021-05-27 21:20 (-07)"/>
    <d v="2021-05-27T00:00:00"/>
    <s v="21:20(-07)"/>
    <s v="Thursday"/>
    <s v="On Demand"/>
    <x v="6"/>
  </r>
  <r>
    <s v="2021-05-27 21:26 (-07)"/>
    <d v="2021-05-27T00:00:00"/>
    <s v="21:26(-07)"/>
    <s v="Thursday"/>
    <s v="On Demand"/>
    <x v="3"/>
  </r>
  <r>
    <s v="2021-05-27 23:23 (PST)"/>
    <d v="2021-05-27T00:00:00"/>
    <s v="23:23(PST)"/>
    <s v="Thursday"/>
    <s v="On Demand"/>
    <x v="16"/>
  </r>
  <r>
    <s v="2021-06-03 07:09 (-07)"/>
    <d v="2021-06-03T00:00:00"/>
    <s v="07:09(-07)"/>
    <s v="Thursday"/>
    <s v="On Demand"/>
    <x v="6"/>
  </r>
  <r>
    <s v="2021-06-03 08:09 (-07)"/>
    <d v="2021-06-03T00:00:00"/>
    <s v="08:09(-07)"/>
    <s v="Thursday"/>
    <s v="On Demand"/>
    <x v="6"/>
  </r>
  <r>
    <s v="2021-06-10 06:59 (PST)"/>
    <d v="2021-06-10T00:00:00"/>
    <s v="06:59(PST)"/>
    <s v="Thursday"/>
    <s v="On Demand"/>
    <x v="16"/>
  </r>
  <r>
    <s v="2021-06-10 18:47 (-07)"/>
    <d v="2021-06-10T00:00:00"/>
    <s v="18:47(-07)"/>
    <s v="Thursday"/>
    <s v="On Demand"/>
    <x v="6"/>
  </r>
  <r>
    <s v="2021-06-10 19:03 (-07)"/>
    <d v="2021-06-10T00:00:00"/>
    <s v="19:03(-07)"/>
    <s v="Thursday"/>
    <s v="On Demand"/>
    <x v="6"/>
  </r>
  <r>
    <s v="2021-06-10 19:25 (-07)"/>
    <d v="2021-06-10T00:00:00"/>
    <s v="19:25(-07)"/>
    <s v="Thursday"/>
    <s v="On Demand"/>
    <x v="18"/>
  </r>
  <r>
    <s v="2021-06-10 19:35 (-07)"/>
    <d v="2021-06-10T00:00:00"/>
    <s v="19:35(-07)"/>
    <s v="Thursday"/>
    <s v="On Demand"/>
    <x v="18"/>
  </r>
  <r>
    <s v="2021-06-10 22:00 (PST)"/>
    <d v="2021-06-10T00:00:00"/>
    <s v="22:00(PST)"/>
    <s v="Thursday"/>
    <s v="On Demand"/>
    <x v="13"/>
  </r>
  <r>
    <s v="2021-06-17 07:02 (-07)"/>
    <d v="2021-06-17T00:00:00"/>
    <s v="07:02(-07)"/>
    <s v="Thursday"/>
    <s v="On Demand"/>
    <x v="7"/>
  </r>
  <r>
    <s v="2021-06-17 07:48 (-07)"/>
    <d v="2021-06-17T00:00:00"/>
    <s v="07:48(-07)"/>
    <s v="Thursday"/>
    <s v="On Demand"/>
    <x v="7"/>
  </r>
  <r>
    <s v="2021-06-24 07:00 (-07)"/>
    <d v="2021-06-24T00:00:00"/>
    <s v="07:00(-07)"/>
    <s v="Thursday"/>
    <s v="On Demand"/>
    <x v="7"/>
  </r>
  <r>
    <s v="2021-06-24 07:46 (-07)"/>
    <d v="2021-06-24T00:00:00"/>
    <s v="07:46(-07)"/>
    <s v="Thursday"/>
    <s v="On Demand"/>
    <x v="7"/>
  </r>
  <r>
    <s v="2021-06-24 07:53 (-07)"/>
    <d v="2021-06-24T00:00:00"/>
    <s v="07:53(-07)"/>
    <s v="Thursday"/>
    <s v="On Demand"/>
    <x v="5"/>
  </r>
  <r>
    <s v="2021-06-24 22:26 (PST)"/>
    <d v="2021-06-24T00:00:00"/>
    <s v="22:26(PST)"/>
    <s v="Thursday"/>
    <s v="On Demand"/>
    <x v="25"/>
  </r>
  <r>
    <s v="2021-07-01 10:16 (-07)"/>
    <d v="2021-07-01T00:00:00"/>
    <s v="10:16(-07)"/>
    <s v="Thursday"/>
    <s v="On Demand"/>
    <x v="6"/>
  </r>
  <r>
    <s v="2021-07-01 10:50 (-07)"/>
    <d v="2021-07-01T00:00:00"/>
    <s v="10:50(-07)"/>
    <s v="Thursday"/>
    <s v="On Demand"/>
    <x v="21"/>
  </r>
  <r>
    <s v="2021-07-01 11:12 (-07)"/>
    <d v="2021-07-01T00:00:00"/>
    <s v="11:12(-07)"/>
    <s v="Thursday"/>
    <s v="On Demand"/>
    <x v="16"/>
  </r>
  <r>
    <s v="2021-07-01 23:02 (PST)"/>
    <d v="2021-07-01T00:00:00"/>
    <s v="23:02(PST)"/>
    <s v="Thursday"/>
    <s v="On Demand"/>
    <x v="13"/>
  </r>
  <r>
    <s v="2021-07-08 02:11 (PST)"/>
    <d v="2021-07-08T00:00:00"/>
    <s v="02:11(PST)"/>
    <s v="Thursday"/>
    <s v="On Demand"/>
    <x v="16"/>
  </r>
  <r>
    <s v="2021-07-08 23:18 (PST)"/>
    <d v="2021-07-08T00:00:00"/>
    <s v="23:18(PST)"/>
    <s v="Thursday"/>
    <s v="On Demand"/>
    <x v="13"/>
  </r>
  <r>
    <s v="2021-07-15 07:25 (PST)"/>
    <d v="2021-07-15T00:00:00"/>
    <s v="07:25(PST)"/>
    <s v="Thursday"/>
    <s v="On Demand"/>
    <x v="7"/>
  </r>
  <r>
    <s v="2021-07-15 13:50 (PST)"/>
    <d v="2021-07-15T00:00:00"/>
    <s v="13:50(PST)"/>
    <s v="Thursday"/>
    <s v="On Demand"/>
    <x v="16"/>
  </r>
  <r>
    <s v="2021-07-15 14:00 (PST)"/>
    <d v="2021-07-15T00:00:00"/>
    <s v="14:00(PST)"/>
    <s v="Thursday"/>
    <s v="On Demand"/>
    <x v="21"/>
  </r>
  <r>
    <s v="2021-07-15 22:47 (PST)"/>
    <d v="2021-07-15T00:00:00"/>
    <s v="22:47(PST)"/>
    <s v="Thursday"/>
    <s v="On Demand"/>
    <x v="19"/>
  </r>
  <r>
    <s v="2021-07-22 07:04 (PST)"/>
    <d v="2021-07-22T00:00:00"/>
    <s v="07:04(PST)"/>
    <s v="Thursday"/>
    <s v="On Demand"/>
    <x v="16"/>
  </r>
  <r>
    <s v="2021-07-22 21:43 (PST)"/>
    <d v="2021-07-22T00:00:00"/>
    <s v="21:43(PST)"/>
    <s v="Thursday"/>
    <s v="On Demand"/>
    <x v="19"/>
  </r>
  <r>
    <s v="2021-07-29 07:19 (-07)"/>
    <d v="2021-07-29T00:00:00"/>
    <s v="07:19(-07)"/>
    <s v="Thursday"/>
    <s v="On Demand"/>
    <x v="7"/>
  </r>
  <r>
    <s v="2021-07-29 07:50 (-07)"/>
    <d v="2021-07-29T00:00:00"/>
    <s v="07:50(-07)"/>
    <s v="Thursday"/>
    <s v="On Demand"/>
    <x v="7"/>
  </r>
  <r>
    <s v="2021-07-29 22:29 (PST)"/>
    <d v="2021-07-29T00:00:00"/>
    <s v="22:29(PST)"/>
    <s v="Thursday"/>
    <s v="On Demand"/>
    <x v="13"/>
  </r>
  <r>
    <s v="2021-08-05 07:10 (-07)"/>
    <d v="2021-08-05T00:00:00"/>
    <s v="07:10(-07)"/>
    <s v="Thursday"/>
    <s v="On Demand"/>
    <x v="6"/>
  </r>
  <r>
    <s v="2021-08-05 07:41 (-07)"/>
    <d v="2021-08-05T00:00:00"/>
    <s v="07:41(-07)"/>
    <s v="Thursday"/>
    <s v="On Demand"/>
    <x v="6"/>
  </r>
  <r>
    <s v="2021-08-05 08:02 (-07)"/>
    <d v="2021-08-05T00:00:00"/>
    <s v="08:02(-07)"/>
    <s v="Thursday"/>
    <s v="On Demand"/>
    <x v="53"/>
  </r>
  <r>
    <s v="2021-08-05 22:39 (PST)"/>
    <d v="2021-08-05T00:00:00"/>
    <s v="22:39(PST)"/>
    <s v="Thursday"/>
    <s v="On Demand"/>
    <x v="25"/>
  </r>
  <r>
    <s v="2021-08-12 07:02 (-07)"/>
    <d v="2021-08-12T00:00:00"/>
    <s v="07:02(-07)"/>
    <s v="Thursday"/>
    <s v="On Demand"/>
    <x v="4"/>
  </r>
  <r>
    <s v="2021-08-12 07:48 (-07)"/>
    <d v="2021-08-12T00:00:00"/>
    <s v="07:48(-07)"/>
    <s v="Thursday"/>
    <s v="On Demand"/>
    <x v="4"/>
  </r>
  <r>
    <s v="2021-08-12 07:54 (-07)"/>
    <d v="2021-08-12T00:00:00"/>
    <s v="07:54(-07)"/>
    <s v="Thursday"/>
    <s v="On Demand"/>
    <x v="1"/>
  </r>
  <r>
    <s v="2021-08-12 14:48 (PST)"/>
    <d v="2021-08-12T00:00:00"/>
    <s v="14:48(PST)"/>
    <s v="Thursday"/>
    <s v="On Demand"/>
    <x v="16"/>
  </r>
  <r>
    <s v="2021-08-12 22:10 (PST)"/>
    <d v="2021-08-12T00:00:00"/>
    <s v="22:10(PST)"/>
    <s v="Thursday"/>
    <s v="On Demand"/>
    <x v="23"/>
  </r>
  <r>
    <s v="2021-08-19 11:34 (-07)"/>
    <d v="2021-08-19T00:00:00"/>
    <s v="11:34(-07)"/>
    <s v="Thursday"/>
    <s v="On Demand"/>
    <x v="6"/>
  </r>
  <r>
    <s v="2021-08-19 22:22 (PST)"/>
    <d v="2021-08-19T00:00:00"/>
    <s v="22:22(PST)"/>
    <s v="Thursday"/>
    <s v="On Demand"/>
    <x v="19"/>
  </r>
  <r>
    <s v="2021-08-26 11:03 (-07)"/>
    <d v="2021-08-26T00:00:00"/>
    <s v="11:03(-07)"/>
    <s v="Thursday"/>
    <s v="On Demand"/>
    <x v="6"/>
  </r>
  <r>
    <s v="2021-08-26 11:50 (-07)"/>
    <d v="2021-08-26T00:00:00"/>
    <s v="11:50(-07)"/>
    <s v="Thursday"/>
    <s v="On Demand"/>
    <x v="1"/>
  </r>
  <r>
    <s v="2021-08-26 12:06 (-07)"/>
    <d v="2021-08-26T00:00:00"/>
    <s v="12:06(-07)"/>
    <s v="Thursday"/>
    <s v="On Demand"/>
    <x v="42"/>
  </r>
  <r>
    <s v="2021-08-26 23:45 (PST)"/>
    <d v="2021-08-26T00:00:00"/>
    <s v="23:45(PST)"/>
    <s v="Thursday"/>
    <s v="On Demand"/>
    <x v="25"/>
  </r>
  <r>
    <s v="2021-09-02 07:18 (PST)"/>
    <d v="2021-09-02T00:00:00"/>
    <s v="07:18(PST)"/>
    <s v="Thursday"/>
    <s v="On Demand"/>
    <x v="7"/>
  </r>
  <r>
    <s v="2021-09-02 08:07 (PST)"/>
    <d v="2021-09-02T00:00:00"/>
    <s v="08:07(PST)"/>
    <s v="Thursday"/>
    <s v="On Demand"/>
    <x v="1"/>
  </r>
  <r>
    <s v="2021-09-02 21:52 (PST)"/>
    <d v="2021-09-02T00:00:00"/>
    <s v="21:52(PST)"/>
    <s v="Thursday"/>
    <s v="On Demand"/>
    <x v="23"/>
  </r>
  <r>
    <s v="2021-09-09 12:21 (PST)"/>
    <d v="2021-09-09T00:00:00"/>
    <s v="12:21(PST)"/>
    <s v="Thursday"/>
    <s v="On Demand"/>
    <x v="7"/>
  </r>
  <r>
    <s v="2021-09-09 16:18 (-07)"/>
    <d v="2021-09-09T00:00:00"/>
    <s v="16:18(-07)"/>
    <s v="Thursday"/>
    <s v="On Demand"/>
    <x v="4"/>
  </r>
  <r>
    <s v="2021-09-09 17:04 (-07)"/>
    <d v="2021-09-09T00:00:00"/>
    <s v="17:04(-07)"/>
    <s v="Thursday"/>
    <s v="On Demand"/>
    <x v="15"/>
  </r>
  <r>
    <s v="2021-09-09 17:11 (-07)"/>
    <d v="2021-09-09T00:00:00"/>
    <s v="17:11(-07)"/>
    <s v="Thursday"/>
    <s v="On Demand"/>
    <x v="4"/>
  </r>
  <r>
    <s v="2021-09-09 17:22 (-07)"/>
    <d v="2021-09-09T00:00:00"/>
    <s v="17:22(-07)"/>
    <s v="Thursday"/>
    <s v="On Demand"/>
    <x v="39"/>
  </r>
  <r>
    <s v="2021-09-09 22:43 (PST)"/>
    <d v="2021-09-09T00:00:00"/>
    <s v="22:43(PST)"/>
    <s v="Thursday"/>
    <s v="On Demand"/>
    <x v="19"/>
  </r>
  <r>
    <s v="2021-09-16 11:00 (-07)"/>
    <d v="2021-09-16T00:00:00"/>
    <s v="11:00(-07)"/>
    <s v="Thursday"/>
    <s v="On Demand"/>
    <x v="5"/>
  </r>
  <r>
    <s v="2021-09-16 11:46 (-07)"/>
    <d v="2021-09-16T00:00:00"/>
    <s v="11:46(-07)"/>
    <s v="Thursday"/>
    <s v="On Demand"/>
    <x v="5"/>
  </r>
  <r>
    <s v="2021-09-16 14:24 (PST)"/>
    <d v="2021-09-16T00:00:00"/>
    <s v="14:24(PST)"/>
    <s v="Thursday"/>
    <s v="On Demand"/>
    <x v="6"/>
  </r>
  <r>
    <s v="2021-09-16 22:28 (PST)"/>
    <d v="2021-09-16T00:00:00"/>
    <s v="22:28(PST)"/>
    <s v="Thursday"/>
    <s v="On Demand"/>
    <x v="16"/>
  </r>
  <r>
    <s v="2021-09-23 07:32 (PST)"/>
    <d v="2021-09-23T00:00:00"/>
    <s v="07:32(PST)"/>
    <s v="Thursday"/>
    <s v="On Demand"/>
    <x v="7"/>
  </r>
  <r>
    <s v="2021-09-23 11:54 (-07)"/>
    <d v="2021-09-23T00:00:00"/>
    <s v="11:54(-07)"/>
    <s v="Thursday"/>
    <s v="On Demand"/>
    <x v="6"/>
  </r>
  <r>
    <s v="2021-09-23 12:00 (-07)"/>
    <d v="2021-09-23T00:00:00"/>
    <s v="12:00(-07)"/>
    <s v="Thursday"/>
    <s v="On Demand"/>
    <x v="9"/>
  </r>
  <r>
    <s v="2021-09-23 22:48 (PST)"/>
    <d v="2021-09-23T00:00:00"/>
    <s v="22:48(PST)"/>
    <s v="Thursday"/>
    <s v="On Demand"/>
    <x v="23"/>
  </r>
  <r>
    <s v="2021-09-30 06:58 (-07)"/>
    <d v="2021-09-30T00:00:00"/>
    <s v="06:58(-07)"/>
    <s v="Thursday"/>
    <s v="On Demand"/>
    <x v="6"/>
  </r>
  <r>
    <s v="2021-09-30 07:28 (-07)"/>
    <d v="2021-09-30T00:00:00"/>
    <s v="07:28(-07)"/>
    <s v="Thursday"/>
    <s v="On Demand"/>
    <x v="18"/>
  </r>
  <r>
    <s v="2021-09-30 07:49 (-07)"/>
    <d v="2021-09-30T00:00:00"/>
    <s v="07:49(-07)"/>
    <s v="Thursday"/>
    <s v="On Demand"/>
    <x v="18"/>
  </r>
  <r>
    <s v="2021-09-30 17:28 (-07)"/>
    <d v="2021-09-30T00:00:00"/>
    <s v="17:28(-07)"/>
    <s v="Thursday"/>
    <s v="On Demand"/>
    <x v="11"/>
  </r>
  <r>
    <s v="2021-09-30 17:49 (-07)"/>
    <d v="2021-09-30T00:00:00"/>
    <s v="17:49(-07)"/>
    <s v="Thursday"/>
    <s v="On Demand"/>
    <x v="24"/>
  </r>
  <r>
    <s v="2021-09-30 22:31 (PST)"/>
    <d v="2021-09-30T00:00:00"/>
    <s v="22:31(PST)"/>
    <s v="Thursday"/>
    <s v="On Demand"/>
    <x v="23"/>
  </r>
  <r>
    <s v="2021-10-07 07:07 (PST)"/>
    <d v="2021-10-07T00:00:00"/>
    <s v="07:07(PST)"/>
    <s v="Thursday"/>
    <s v="On Demand"/>
    <x v="28"/>
  </r>
  <r>
    <s v="2021-10-07 18:49 (-07)"/>
    <d v="2021-10-07T00:00:00"/>
    <s v="18:49(-07)"/>
    <s v="Thursday"/>
    <s v="On Demand"/>
    <x v="4"/>
  </r>
  <r>
    <s v="2021-10-07 19:35 (-07)"/>
    <d v="2021-10-07T00:00:00"/>
    <s v="19:35(-07)"/>
    <s v="Thursday"/>
    <s v="On Demand"/>
    <x v="4"/>
  </r>
  <r>
    <s v="2021-10-07 19:41 (-07)"/>
    <d v="2021-10-07T00:00:00"/>
    <s v="19:41(-07)"/>
    <s v="Thursday"/>
    <s v="On Demand"/>
    <x v="29"/>
  </r>
  <r>
    <s v="2021-10-07 21:51 (PST)"/>
    <d v="2021-10-07T00:00:00"/>
    <s v="21:51(PST)"/>
    <s v="Thursday"/>
    <s v="On Demand"/>
    <x v="16"/>
  </r>
  <r>
    <s v="2021-10-14 07:22 (PST)"/>
    <d v="2021-10-14T00:00:00"/>
    <s v="07:22(PST)"/>
    <s v="Thursday"/>
    <s v="On Demand"/>
    <x v="7"/>
  </r>
  <r>
    <s v="2021-10-14 07:38 (PST)"/>
    <d v="2021-10-14T00:00:00"/>
    <s v="07:38(PST)"/>
    <s v="Thursday"/>
    <s v="On Demand"/>
    <x v="24"/>
  </r>
  <r>
    <s v="2021-10-14 19:10 (-07)"/>
    <d v="2021-10-14T00:00:00"/>
    <s v="19:10(-07)"/>
    <s v="Thursday"/>
    <s v="On Demand"/>
    <x v="6"/>
  </r>
  <r>
    <s v="2021-10-14 19:15 (-07)"/>
    <d v="2021-10-14T00:00:00"/>
    <s v="19:15(-07)"/>
    <s v="Thursday"/>
    <s v="On Demand"/>
    <x v="6"/>
  </r>
  <r>
    <s v="2021-10-14 20:02 (-07)"/>
    <d v="2021-10-14T00:00:00"/>
    <s v="20:02(-07)"/>
    <s v="Thursday"/>
    <s v="On Demand"/>
    <x v="29"/>
  </r>
  <r>
    <s v="2021-10-14 20:07 (-07)"/>
    <d v="2021-10-14T00:00:00"/>
    <s v="20:07(-07)"/>
    <s v="Thursday"/>
    <s v="On Demand"/>
    <x v="15"/>
  </r>
  <r>
    <s v="2021-10-14 21:55 (PST)"/>
    <d v="2021-10-14T00:00:00"/>
    <s v="21:55(PST)"/>
    <s v="Thursday"/>
    <s v="On Demand"/>
    <x v="13"/>
  </r>
  <r>
    <s v="2021-10-21 07:18 (PST)"/>
    <d v="2021-10-21T00:00:00"/>
    <s v="07:18(PST)"/>
    <s v="Thursday"/>
    <s v="On Demand"/>
    <x v="23"/>
  </r>
  <r>
    <s v="2021-10-21 12:07 (-07)"/>
    <d v="2021-10-21T00:00:00"/>
    <s v="12:07(-07)"/>
    <s v="Thursday"/>
    <s v="On Demand"/>
    <x v="6"/>
  </r>
  <r>
    <s v="2021-10-21 12:38 (-07)"/>
    <d v="2021-10-21T00:00:00"/>
    <s v="12:38(-07)"/>
    <s v="Thursday"/>
    <s v="On Demand"/>
    <x v="6"/>
  </r>
  <r>
    <s v="2021-10-28 07:00 (PST)"/>
    <d v="2021-10-28T00:00:00"/>
    <s v="07:00(PST)"/>
    <s v="Thursday"/>
    <s v="On Demand"/>
    <x v="16"/>
  </r>
  <r>
    <s v="2021-10-28 12:05 (-07)"/>
    <d v="2021-10-28T00:00:00"/>
    <s v="12:05(-07)"/>
    <s v="Thursday"/>
    <s v="On Demand"/>
    <x v="6"/>
  </r>
  <r>
    <s v="2021-10-28 12:50 (-07)"/>
    <d v="2021-10-28T00:00:00"/>
    <s v="12:50(-07)"/>
    <s v="Thursday"/>
    <s v="On Demand"/>
    <x v="6"/>
  </r>
  <r>
    <s v="2021-10-28 21:42 (PST)"/>
    <d v="2021-10-28T00:00:00"/>
    <s v="21:42(PST)"/>
    <s v="Thursday"/>
    <s v="On Demand"/>
    <x v="16"/>
  </r>
  <r>
    <s v="2021-11-04 01:21 (PST)"/>
    <d v="2021-11-04T00:00:00"/>
    <s v="01:21(PST)"/>
    <s v="Thursday"/>
    <s v="On Demand"/>
    <x v="19"/>
  </r>
  <r>
    <s v="2021-11-04 21:46 (PST)"/>
    <d v="2021-11-04T00:00:00"/>
    <s v="21:46(PST)"/>
    <s v="Thursday"/>
    <s v="On Demand"/>
    <x v="25"/>
  </r>
  <r>
    <s v="2021-11-11 07:14 (PST)"/>
    <d v="2021-11-11T00:00:00"/>
    <s v="07:14(PST)"/>
    <s v="Thursday"/>
    <s v="On Demand"/>
    <x v="16"/>
  </r>
  <r>
    <s v="2021-11-11 07:46 (PST)"/>
    <d v="2021-11-11T00:00:00"/>
    <s v="07:46(PST)"/>
    <s v="Thursday"/>
    <s v="On Demand"/>
    <x v="26"/>
  </r>
  <r>
    <s v="2021-11-11 12:16 (-08)"/>
    <d v="2021-11-11T00:00:00"/>
    <s v="12:16(-08)"/>
    <s v="Thursday"/>
    <s v="On Demand"/>
    <x v="6"/>
  </r>
  <r>
    <s v="2021-11-11 13:03 (-08)"/>
    <d v="2021-11-11T00:00:00"/>
    <s v="13:03(-08)"/>
    <s v="Thursday"/>
    <s v="On Demand"/>
    <x v="11"/>
  </r>
  <r>
    <s v="2021-11-11 13:19 (-08)"/>
    <d v="2021-11-11T00:00:00"/>
    <s v="13:19(-08)"/>
    <s v="Thursday"/>
    <s v="On Demand"/>
    <x v="20"/>
  </r>
  <r>
    <s v="2021-11-11 16:56 (PST)"/>
    <d v="2021-11-11T00:00:00"/>
    <s v="16:56(PST)"/>
    <s v="Thursday"/>
    <s v="On Demand"/>
    <x v="23"/>
  </r>
  <r>
    <s v="2021-11-11 22:28 (PST)"/>
    <d v="2021-11-11T00:00:00"/>
    <s v="22:28(PST)"/>
    <s v="Thursday"/>
    <s v="On Demand"/>
    <x v="25"/>
  </r>
  <r>
    <s v="2021-11-18 07:32 (PST)"/>
    <d v="2021-11-18T00:00:00"/>
    <s v="07:32(PST)"/>
    <s v="Thursday"/>
    <s v="On Demand"/>
    <x v="16"/>
  </r>
  <r>
    <s v="2021-11-18 08:06 (PST)"/>
    <d v="2021-11-18T00:00:00"/>
    <s v="08:06(PST)"/>
    <s v="Thursday"/>
    <s v="On Demand"/>
    <x v="1"/>
  </r>
  <r>
    <s v="2021-11-18 15:12 (PST)"/>
    <d v="2021-11-18T00:00:00"/>
    <s v="15:12(PST)"/>
    <s v="Thursday"/>
    <s v="On Demand"/>
    <x v="23"/>
  </r>
  <r>
    <s v="2021-11-18 16:50 (-08)"/>
    <d v="2021-11-18T00:00:00"/>
    <s v="16:50(-08)"/>
    <s v="Thursday"/>
    <s v="On Demand"/>
    <x v="18"/>
  </r>
  <r>
    <s v="2021-11-18 17:00 (-08)"/>
    <d v="2021-11-18T00:00:00"/>
    <s v="17:00(-08)"/>
    <s v="Thursday"/>
    <s v="On Demand"/>
    <x v="7"/>
  </r>
  <r>
    <s v="2021-11-18 17:45 (-08)"/>
    <d v="2021-11-18T00:00:00"/>
    <s v="17:45(-08)"/>
    <s v="Thursday"/>
    <s v="On Demand"/>
    <x v="7"/>
  </r>
  <r>
    <s v="2021-11-18 17:52 (-08)"/>
    <d v="2021-11-18T00:00:00"/>
    <s v="17:52(-08)"/>
    <s v="Thursday"/>
    <s v="On Demand"/>
    <x v="0"/>
  </r>
  <r>
    <s v="2021-11-18 22:32 (PST)"/>
    <d v="2021-11-18T00:00:00"/>
    <s v="22:32(PST)"/>
    <s v="Thursday"/>
    <s v="On Demand"/>
    <x v="13"/>
  </r>
  <r>
    <s v="2021-11-25 09:18 (-08)"/>
    <d v="2021-11-25T00:00:00"/>
    <s v="09:18(-08)"/>
    <s v="Thursday"/>
    <s v="On Demand"/>
    <x v="6"/>
  </r>
  <r>
    <s v="2021-11-25 10:49 (-08)"/>
    <d v="2021-11-25T00:00:00"/>
    <s v="10:49(-08)"/>
    <s v="Thursday"/>
    <s v="On Demand"/>
    <x v="6"/>
  </r>
  <r>
    <s v="2021-11-25 11:00 (PST)"/>
    <d v="2021-11-25T00:00:00"/>
    <s v="11:00(PST)"/>
    <s v="Thursday"/>
    <s v="On Demand"/>
    <x v="13"/>
  </r>
  <r>
    <s v="2021-12-02 09:32 (PST)"/>
    <d v="2021-12-02T00:00:00"/>
    <s v="09:32(PST)"/>
    <s v="Thursday"/>
    <s v="On Demand"/>
    <x v="16"/>
  </r>
  <r>
    <s v="2021-12-02 12:56 (PST)"/>
    <d v="2021-12-02T00:00:00"/>
    <s v="12:56(PST)"/>
    <s v="Thursday"/>
    <s v="On Demand"/>
    <x v="1"/>
  </r>
  <r>
    <s v="2021-12-02 17:17 (-08)"/>
    <d v="2021-12-02T00:00:00"/>
    <s v="17:17(-08)"/>
    <s v="Thursday"/>
    <s v="On Demand"/>
    <x v="4"/>
  </r>
  <r>
    <s v="2021-12-02 17:48 (-08)"/>
    <d v="2021-12-02T00:00:00"/>
    <s v="17:48(-08)"/>
    <s v="Thursday"/>
    <s v="On Demand"/>
    <x v="20"/>
  </r>
  <r>
    <s v="2021-12-02 17:54 (-08)"/>
    <d v="2021-12-02T00:00:00"/>
    <s v="17:54(-08)"/>
    <s v="Thursday"/>
    <s v="On Demand"/>
    <x v="20"/>
  </r>
  <r>
    <s v="2021-12-02 22:29 (PST)"/>
    <d v="2021-12-02T00:00:00"/>
    <s v="22:29(PST)"/>
    <s v="Thursday"/>
    <s v="On Demand"/>
    <x v="19"/>
  </r>
  <r>
    <s v="2021-12-09 08:10 (PST)"/>
    <d v="2021-12-09T00:00:00"/>
    <s v="08:10(PST)"/>
    <s v="Thursday"/>
    <s v="On Demand"/>
    <x v="7"/>
  </r>
  <r>
    <s v="2021-12-09 14:18 (PST)"/>
    <d v="2021-12-09T00:00:00"/>
    <s v="14:18(PST)"/>
    <s v="Thursday"/>
    <s v="On Demand"/>
    <x v="40"/>
  </r>
  <r>
    <s v="2021-12-09 17:24 (-08)"/>
    <d v="2021-12-09T00:00:00"/>
    <s v="17:24(-08)"/>
    <s v="Thursday"/>
    <s v="On Demand"/>
    <x v="6"/>
  </r>
  <r>
    <s v="2021-12-09 18:10 (-08)"/>
    <d v="2021-12-09T00:00:00"/>
    <s v="18:10(-08)"/>
    <s v="Thursday"/>
    <s v="On Demand"/>
    <x v="6"/>
  </r>
  <r>
    <s v="2021-12-09 18:15 (-08)"/>
    <d v="2021-12-09T00:00:00"/>
    <s v="18:15(-08)"/>
    <s v="Thursday"/>
    <s v="On Demand"/>
    <x v="6"/>
  </r>
  <r>
    <s v="2021-12-09 22:31 (PST)"/>
    <d v="2021-12-09T00:00:00"/>
    <s v="22:31(PST)"/>
    <s v="Thursday"/>
    <s v="On Demand"/>
    <x v="23"/>
  </r>
  <r>
    <s v="2021-12-16 07:08 (PST)"/>
    <d v="2021-12-16T00:00:00"/>
    <s v="07:08(PST)"/>
    <s v="Thursday"/>
    <s v="On Demand"/>
    <x v="7"/>
  </r>
  <r>
    <s v="2021-12-16 16:55 (-08)"/>
    <d v="2021-12-16T00:00:00"/>
    <s v="16:55(-08)"/>
    <s v="Thursday"/>
    <s v="On Demand"/>
    <x v="20"/>
  </r>
  <r>
    <s v="2021-12-16 17:00 (-08)"/>
    <d v="2021-12-16T00:00:00"/>
    <s v="17:00(-08)"/>
    <s v="Thursday"/>
    <s v="On Demand"/>
    <x v="7"/>
  </r>
  <r>
    <s v="2021-12-16 17:46 (-08)"/>
    <d v="2021-12-16T00:00:00"/>
    <s v="17:46(-08)"/>
    <s v="Thursday"/>
    <s v="On Demand"/>
    <x v="22"/>
  </r>
  <r>
    <s v="2021-12-16 17:58 (-08)"/>
    <d v="2021-12-16T00:00:00"/>
    <s v="17:58(-08)"/>
    <s v="Thursday"/>
    <s v="On Demand"/>
    <x v="1"/>
  </r>
  <r>
    <s v="2021-12-16 22:07 (PST)"/>
    <d v="2021-12-16T00:00:00"/>
    <s v="22:07(PST)"/>
    <s v="Thursday"/>
    <s v="On Demand"/>
    <x v="23"/>
  </r>
  <r>
    <s v="2021-12-23 07:58 (PST)"/>
    <d v="2021-12-23T00:00:00"/>
    <s v="07:58(PST)"/>
    <s v="Thursday"/>
    <s v="On Demand"/>
    <x v="16"/>
  </r>
  <r>
    <s v="2021-12-23 22:03 (PST)"/>
    <d v="2021-12-23T00:00:00"/>
    <s v="22:03(PST)"/>
    <s v="Thursday"/>
    <s v="On Demand"/>
    <x v="13"/>
  </r>
  <r>
    <s v="2021-12-30 07:02 (PST)"/>
    <d v="2021-12-30T00:00:00"/>
    <s v="07:02(PST)"/>
    <s v="Thursday"/>
    <s v="On Demand"/>
    <x v="23"/>
  </r>
  <r>
    <s v="2021-12-30 07:35 (PST)"/>
    <d v="2021-12-30T00:00:00"/>
    <s v="07:35(PST)"/>
    <s v="Thursday"/>
    <s v="On Demand"/>
    <x v="1"/>
  </r>
  <r>
    <s v="2021-12-30 11:45 (-08)"/>
    <d v="2021-12-30T00:00:00"/>
    <s v="11:45(-08)"/>
    <s v="Thursday"/>
    <s v="On Demand"/>
    <x v="6"/>
  </r>
  <r>
    <s v="2021-12-30 11:58 (-08)"/>
    <d v="2021-12-30T00:00:00"/>
    <s v="11:58(-08)"/>
    <s v="Thursday"/>
    <s v="On Demand"/>
    <x v="6"/>
  </r>
  <r>
    <s v="2021-12-30 12:24 (-08)"/>
    <d v="2021-12-30T00:00:00"/>
    <s v="12:24(-08)"/>
    <s v="Thursday"/>
    <s v="On Demand"/>
    <x v="18"/>
  </r>
  <r>
    <s v="2021-12-30 12:46 (PST)"/>
    <d v="2021-12-30T00:00:00"/>
    <s v="12:46(PST)"/>
    <s v="Thursday"/>
    <s v="On Demand"/>
    <x v="23"/>
  </r>
  <r>
    <s v="2021-12-30 22:51 (PST)"/>
    <d v="2021-12-30T00:00:00"/>
    <s v="22:51(PST)"/>
    <s v="Thursday"/>
    <s v="On Demand"/>
    <x v="23"/>
  </r>
  <r>
    <s v="2022-01-06 07:11 (PST)"/>
    <d v="2022-01-06T00:00:00"/>
    <s v="07:11(PST)"/>
    <s v="Thursday"/>
    <s v="On Demand"/>
    <x v="13"/>
  </r>
  <r>
    <s v="2022-01-06 17:40 (-08)"/>
    <d v="2022-01-06T00:00:00"/>
    <s v="17:40(-08)"/>
    <s v="Thursday"/>
    <s v="On Demand"/>
    <x v="6"/>
  </r>
  <r>
    <s v="2022-01-06 18:42 (-08)"/>
    <d v="2022-01-06T00:00:00"/>
    <s v="18:42(-08)"/>
    <s v="Thursday"/>
    <s v="On Demand"/>
    <x v="5"/>
  </r>
  <r>
    <s v="2022-01-06 18:48 (-08)"/>
    <d v="2022-01-06T00:00:00"/>
    <s v="18:48(-08)"/>
    <s v="Thursday"/>
    <s v="On Demand"/>
    <x v="6"/>
  </r>
  <r>
    <s v="2022-01-06 21:37 (PST)"/>
    <d v="2022-01-06T00:00:00"/>
    <s v="21:37(PST)"/>
    <s v="Thursday"/>
    <s v="On Demand"/>
    <x v="16"/>
  </r>
  <r>
    <s v="2022-01-13 07:34 (PST)"/>
    <d v="2022-01-13T00:00:00"/>
    <s v="07:34(PST)"/>
    <s v="Thursday"/>
    <s v="On Demand"/>
    <x v="16"/>
  </r>
  <r>
    <s v="2022-01-13 12:55 (PST)"/>
    <d v="2022-01-13T00:00:00"/>
    <s v="12:55(PST)"/>
    <s v="Thursday"/>
    <s v="On Demand"/>
    <x v="11"/>
  </r>
  <r>
    <s v="2022-01-13 16:51 (-08)"/>
    <d v="2022-01-13T00:00:00"/>
    <s v="16:51(-08)"/>
    <s v="Thursday"/>
    <s v="On Demand"/>
    <x v="1"/>
  </r>
  <r>
    <s v="2022-01-13 16:57 (-08)"/>
    <d v="2022-01-13T00:00:00"/>
    <s v="16:57(-08)"/>
    <s v="Thursday"/>
    <s v="On Demand"/>
    <x v="4"/>
  </r>
  <r>
    <s v="2022-01-13 17:42 (-08)"/>
    <d v="2022-01-13T00:00:00"/>
    <s v="17:42(-08)"/>
    <s v="Thursday"/>
    <s v="On Demand"/>
    <x v="39"/>
  </r>
  <r>
    <s v="2022-01-13 17:48 (-08)"/>
    <d v="2022-01-13T00:00:00"/>
    <s v="17:48(-08)"/>
    <s v="Thursday"/>
    <s v="On Demand"/>
    <x v="6"/>
  </r>
  <r>
    <s v="2022-01-13 22:07 (PST)"/>
    <d v="2022-01-13T00:00:00"/>
    <s v="22:07(PST)"/>
    <s v="Thursday"/>
    <s v="On Demand"/>
    <x v="23"/>
  </r>
  <r>
    <s v="2022-01-20 07:21 (PST)"/>
    <d v="2022-01-20T00:00:00"/>
    <s v="07:21(PST)"/>
    <s v="Thursday"/>
    <s v="On Demand"/>
    <x v="7"/>
  </r>
  <r>
    <s v="2022-01-20 15:57 (PST)"/>
    <d v="2022-01-20T00:00:00"/>
    <s v="15:57(PST)"/>
    <s v="Thursday"/>
    <s v="On Demand"/>
    <x v="5"/>
  </r>
  <r>
    <s v="2022-01-20 16:49 (-08)"/>
    <d v="2022-01-20T00:00:00"/>
    <s v="16:49(-08)"/>
    <s v="Thursday"/>
    <s v="On Demand"/>
    <x v="5"/>
  </r>
  <r>
    <s v="2022-01-20 17:22 (-08)"/>
    <d v="2022-01-20T00:00:00"/>
    <s v="17:22(-08)"/>
    <s v="Thursday"/>
    <s v="On Demand"/>
    <x v="0"/>
  </r>
  <r>
    <s v="2022-01-20 22:27 (PST)"/>
    <d v="2022-01-20T00:00:00"/>
    <s v="22:27(PST)"/>
    <s v="Thursday"/>
    <s v="On Demand"/>
    <x v="13"/>
  </r>
  <r>
    <s v="2022-01-27 07:29 (PST)"/>
    <d v="2022-01-27T00:00:00"/>
    <s v="07:29(PST)"/>
    <s v="Thursday"/>
    <s v="On Demand"/>
    <x v="23"/>
  </r>
  <r>
    <s v="2022-01-27 08:02 (PST)"/>
    <d v="2022-01-27T00:00:00"/>
    <s v="08:02(PST)"/>
    <s v="Thursday"/>
    <s v="On Demand"/>
    <x v="8"/>
  </r>
  <r>
    <s v="2022-01-27 15:16 (PST)"/>
    <d v="2022-01-27T00:00:00"/>
    <s v="15:16(PST)"/>
    <s v="Thursday"/>
    <s v="On Demand"/>
    <x v="21"/>
  </r>
  <r>
    <s v="2022-01-27 17:21 (-08)"/>
    <d v="2022-01-27T00:00:00"/>
    <s v="17:21(-08)"/>
    <s v="Thursday"/>
    <s v="On Demand"/>
    <x v="1"/>
  </r>
  <r>
    <s v="2022-01-27 22:16 (PST)"/>
    <d v="2022-01-27T00:00:00"/>
    <s v="22:16(PST)"/>
    <s v="Thursday"/>
    <s v="On Demand"/>
    <x v="19"/>
  </r>
  <r>
    <s v="2022-02-03 04:18 (PST)"/>
    <d v="2022-02-03T00:00:00"/>
    <s v="04:18(PST)"/>
    <s v="Thursday"/>
    <s v="On Demand"/>
    <x v="25"/>
  </r>
  <r>
    <s v="2022-02-03 07:59 (PST)"/>
    <d v="2022-02-03T00:00:00"/>
    <s v="07:59(PST)"/>
    <s v="Thursday"/>
    <s v="On Demand"/>
    <x v="16"/>
  </r>
  <r>
    <s v="2022-02-03 12:04 (PST)"/>
    <d v="2022-02-03T00:00:00"/>
    <s v="12:04(PST)"/>
    <s v="Thursday"/>
    <s v="On Demand"/>
    <x v="53"/>
  </r>
  <r>
    <s v="2022-02-03 22:23 (PST)"/>
    <d v="2022-02-03T00:00:00"/>
    <s v="22:23(PST)"/>
    <s v="Thursday"/>
    <s v="On Demand"/>
    <x v="19"/>
  </r>
  <r>
    <s v="2022-02-10 07:43 (PST)"/>
    <d v="2022-02-10T00:00:00"/>
    <s v="07:43(PST)"/>
    <s v="Thursday"/>
    <s v="On Demand"/>
    <x v="7"/>
  </r>
  <r>
    <s v="2022-02-10 16:53 (-08)"/>
    <d v="2022-02-10T00:00:00"/>
    <s v="16:53(-08)"/>
    <s v="Thursday"/>
    <s v="On Demand"/>
    <x v="1"/>
  </r>
  <r>
    <s v="2022-02-10 17:07 (-08)"/>
    <d v="2022-02-10T00:00:00"/>
    <s v="17:07(-08)"/>
    <s v="Thursday"/>
    <s v="On Demand"/>
    <x v="8"/>
  </r>
  <r>
    <s v="2022-02-10 22:40 (PST)"/>
    <d v="2022-02-10T00:00:00"/>
    <s v="22:40(PST)"/>
    <s v="Thursday"/>
    <s v="On Demand"/>
    <x v="19"/>
  </r>
  <r>
    <s v="2022-02-17 16:37 (-08)"/>
    <d v="2022-02-17T00:00:00"/>
    <s v="16:37(-08)"/>
    <s v="Thursday"/>
    <m/>
    <x v="34"/>
  </r>
  <r>
    <s v="2022-02-17 16:50 (-08)"/>
    <d v="2022-02-17T00:00:00"/>
    <s v="16:50(-08)"/>
    <s v="Thursday"/>
    <s v="On Demand"/>
    <x v="6"/>
  </r>
  <r>
    <s v="2022-02-17 22:43 (PST)"/>
    <d v="2022-02-17T00:00:00"/>
    <s v="22:43(PST)"/>
    <s v="Thursday"/>
    <s v="On Demand"/>
    <x v="16"/>
  </r>
  <r>
    <s v="2022-02-24 16:49 (-08)"/>
    <d v="2022-02-24T00:00:00"/>
    <s v="16:49(-08)"/>
    <s v="Thursday"/>
    <s v="On Demand"/>
    <x v="6"/>
  </r>
  <r>
    <s v="2022-02-24 17:36 (-08)"/>
    <d v="2022-02-24T00:00:00"/>
    <s v="17:36(-08)"/>
    <s v="Thursday"/>
    <s v="On Demand"/>
    <x v="6"/>
  </r>
  <r>
    <s v="2022-02-24 22:46 (PST)"/>
    <d v="2022-02-24T00:00:00"/>
    <s v="22:46(PST)"/>
    <s v="Thursday"/>
    <s v="On Demand"/>
    <x v="16"/>
  </r>
  <r>
    <s v="2022-03-03 07:28 (PST)"/>
    <d v="2022-03-03T00:00:00"/>
    <s v="07:28(PST)"/>
    <s v="Thursday"/>
    <s v="On Demand"/>
    <x v="16"/>
  </r>
  <r>
    <s v="2022-03-03 08:00 (PST)"/>
    <d v="2022-03-03T00:00:00"/>
    <s v="08:00(PST)"/>
    <s v="Thursday"/>
    <s v="On Demand"/>
    <x v="19"/>
  </r>
  <r>
    <s v="2022-03-03 17:02 (-08)"/>
    <d v="2022-03-03T00:00:00"/>
    <s v="17:02(-08)"/>
    <s v="Thursday"/>
    <s v="On Demand"/>
    <x v="5"/>
  </r>
  <r>
    <s v="2022-03-03 17:33 (-08)"/>
    <d v="2022-03-03T00:00:00"/>
    <s v="17:33(-08)"/>
    <s v="Thursday"/>
    <s v="On Demand"/>
    <x v="18"/>
  </r>
  <r>
    <s v="2022-03-03 17:40 (-08)"/>
    <d v="2022-03-03T00:00:00"/>
    <s v="17:40(-08)"/>
    <s v="Thursday"/>
    <s v="On Demand"/>
    <x v="15"/>
  </r>
  <r>
    <s v="2022-03-03 22:34 (PST)"/>
    <d v="2022-03-03T00:00:00"/>
    <s v="22:34(PST)"/>
    <s v="Thursday"/>
    <s v="On Demand"/>
    <x v="23"/>
  </r>
  <r>
    <s v="2022-03-10 12:05 (PST)"/>
    <d v="2022-03-10T00:00:00"/>
    <s v="12:05(PST)"/>
    <s v="Thursday"/>
    <s v="On Demand"/>
    <x v="53"/>
  </r>
  <r>
    <s v="2022-03-10 23:21 (PST)"/>
    <d v="2022-03-10T00:00:00"/>
    <s v="23:21(PST)"/>
    <s v="Thursday"/>
    <s v="On Demand"/>
    <x v="16"/>
  </r>
  <r>
    <s v="2022-03-17 07:47 (PST)"/>
    <d v="2022-03-17T00:00:00"/>
    <s v="07:47(PST)"/>
    <s v="Thursday"/>
    <s v="On Demand"/>
    <x v="23"/>
  </r>
  <r>
    <s v="2022-03-17 07:57 (PST)"/>
    <d v="2022-03-17T00:00:00"/>
    <s v="07:57(PST)"/>
    <s v="Thursday"/>
    <s v="On Demand"/>
    <x v="7"/>
  </r>
  <r>
    <s v="2022-03-17 22:36 (PST)"/>
    <d v="2022-03-17T00:00:00"/>
    <s v="22:36(PST)"/>
    <s v="Thursday"/>
    <s v="On Demand"/>
    <x v="16"/>
  </r>
  <r>
    <s v="2022-03-24 07:21 (PST)"/>
    <d v="2022-03-24T00:00:00"/>
    <s v="07:21(PST)"/>
    <s v="Thursday"/>
    <s v="On Demand"/>
    <x v="55"/>
  </r>
  <r>
    <s v="2022-03-24 07:54 (PST)"/>
    <d v="2022-03-24T00:00:00"/>
    <s v="07:54(PST)"/>
    <s v="Thursday"/>
    <s v="On Demand"/>
    <x v="37"/>
  </r>
  <r>
    <s v="2022-03-24 12:42 (PST)"/>
    <d v="2022-03-24T00:00:00"/>
    <s v="12:42(PST)"/>
    <s v="Thursday"/>
    <s v="On Demand"/>
    <x v="37"/>
  </r>
  <r>
    <s v="2022-03-24 22:48 (PST)"/>
    <d v="2022-03-24T00:00:00"/>
    <s v="22:48(PST)"/>
    <s v="Thursday"/>
    <s v="On Demand"/>
    <x v="16"/>
  </r>
  <r>
    <s v="2022-03-31 07:25 (PST)"/>
    <d v="2022-03-31T00:00:00"/>
    <s v="07:25(PST)"/>
    <s v="Thursday"/>
    <s v="On Demand"/>
    <x v="16"/>
  </r>
  <r>
    <s v="2022-03-31 13:17 (PST)"/>
    <d v="2022-03-31T00:00:00"/>
    <s v="13:17(PST)"/>
    <s v="Thursday"/>
    <s v="On Demand"/>
    <x v="21"/>
  </r>
  <r>
    <s v="2022-03-31 22:06 (PST)"/>
    <d v="2022-03-31T00:00:00"/>
    <s v="22:06(PST)"/>
    <s v="Thursday"/>
    <s v="On Demand"/>
    <x v="25"/>
  </r>
  <r>
    <s v="2022-04-07 02:06 (PST)"/>
    <d v="2022-04-07T00:00:00"/>
    <s v="02:06(PST)"/>
    <s v="Thursday"/>
    <s v="On Demand"/>
    <x v="25"/>
  </r>
  <r>
    <s v="2022-04-07 02:17 (PST)"/>
    <d v="2022-04-07T00:00:00"/>
    <s v="02:17(PST)"/>
    <s v="Thursday"/>
    <s v="On Demand"/>
    <x v="25"/>
  </r>
  <r>
    <s v="2022-04-07 16:40 (-07)"/>
    <d v="2022-04-07T00:00:00"/>
    <s v="16:40(-07)"/>
    <s v="Thursday"/>
    <s v="On Demand"/>
    <x v="11"/>
  </r>
  <r>
    <s v="2022-04-07 16:52 (-07)"/>
    <d v="2022-04-07T00:00:00"/>
    <s v="16:52(-07)"/>
    <s v="Thursday"/>
    <s v="On Demand"/>
    <x v="42"/>
  </r>
  <r>
    <s v="2022-04-07 18:08 (-07)"/>
    <d v="2022-04-07T00:00:00"/>
    <s v="18:08(-07)"/>
    <s v="Thursday"/>
    <s v="On Demand"/>
    <x v="7"/>
  </r>
  <r>
    <s v="2022-04-07 18:54 (-07)"/>
    <d v="2022-04-07T00:00:00"/>
    <s v="18:54(-07)"/>
    <s v="Thursday"/>
    <s v="On Demand"/>
    <x v="10"/>
  </r>
  <r>
    <s v="2022-04-07 19:07 (-07)"/>
    <d v="2022-04-07T00:00:00"/>
    <s v="19:07(-07)"/>
    <s v="Thursday"/>
    <s v="On Demand"/>
    <x v="42"/>
  </r>
  <r>
    <s v="2022-04-07 21:29 (PST)"/>
    <d v="2022-04-07T00:00:00"/>
    <s v="21:29(PST)"/>
    <s v="Thursday"/>
    <s v="On Demand"/>
    <x v="25"/>
  </r>
  <r>
    <s v="2022-04-14 03:11 (PST)"/>
    <d v="2022-04-14T00:00:00"/>
    <s v="03:11(PST)"/>
    <s v="Thursday"/>
    <s v="On Demand"/>
    <x v="25"/>
  </r>
  <r>
    <s v="2022-04-14 16:35 (-07)"/>
    <d v="2022-04-14T00:00:00"/>
    <s v="16:35(-07)"/>
    <s v="Thursday"/>
    <s v="On Demand"/>
    <x v="37"/>
  </r>
  <r>
    <s v="2022-04-14 16:46 (-07)"/>
    <d v="2022-04-14T00:00:00"/>
    <s v="16:46(-07)"/>
    <s v="Thursday"/>
    <s v="On Demand"/>
    <x v="29"/>
  </r>
  <r>
    <s v="2022-04-14 16:57 (-07)"/>
    <d v="2022-04-14T00:00:00"/>
    <s v="16:57(-07)"/>
    <s v="Thursday"/>
    <s v="On Demand"/>
    <x v="7"/>
  </r>
  <r>
    <s v="2022-04-14 17:43 (-07)"/>
    <d v="2022-04-14T00:00:00"/>
    <s v="17:43(-07)"/>
    <s v="Thursday"/>
    <s v="On Demand"/>
    <x v="29"/>
  </r>
  <r>
    <s v="2022-04-14 17:55 (-07)"/>
    <d v="2022-04-14T00:00:00"/>
    <s v="17:55(-07)"/>
    <s v="Thursday"/>
    <s v="On Demand"/>
    <x v="3"/>
  </r>
  <r>
    <s v="2022-04-14 22:39 (PST)"/>
    <d v="2022-04-14T00:00:00"/>
    <s v="22:39(PST)"/>
    <s v="Thursday"/>
    <s v="On Demand"/>
    <x v="13"/>
  </r>
  <r>
    <s v="2022-04-21 07:23 (PST)"/>
    <d v="2022-04-21T00:00:00"/>
    <s v="07:23(PST)"/>
    <s v="Thursday"/>
    <s v="On Demand"/>
    <x v="19"/>
  </r>
  <r>
    <s v="2022-04-21 12:08 (PST)"/>
    <d v="2022-04-21T00:00:00"/>
    <s v="12:08(PST)"/>
    <s v="Thursday"/>
    <s v="On Demand"/>
    <x v="26"/>
  </r>
  <r>
    <s v="2022-04-21 18:18 (-07)"/>
    <d v="2022-04-21T00:00:00"/>
    <s v="18:18(-07)"/>
    <s v="Thursday"/>
    <s v="On Demand"/>
    <x v="31"/>
  </r>
  <r>
    <s v="2022-04-21 18:34 (-07)"/>
    <d v="2022-04-21T00:00:00"/>
    <s v="18:34(-07)"/>
    <s v="Thursday"/>
    <s v="On Demand"/>
    <x v="0"/>
  </r>
  <r>
    <s v="2022-04-21 22:08 (PST)"/>
    <d v="2022-04-21T00:00:00"/>
    <s v="22:08(PST)"/>
    <s v="Thursday"/>
    <s v="On Demand"/>
    <x v="13"/>
  </r>
  <r>
    <s v="2022-04-28 07:38 (PST)"/>
    <d v="2022-04-28T00:00:00"/>
    <s v="07:38(PST)"/>
    <s v="Thursday"/>
    <s v="On Demand"/>
    <x v="13"/>
  </r>
  <r>
    <s v="2022-04-28 12:02 (PST)"/>
    <d v="2022-04-28T00:00:00"/>
    <s v="12:02(PST)"/>
    <s v="Thursday"/>
    <s v="On Demand"/>
    <x v="56"/>
  </r>
  <r>
    <s v="2022-04-28 16:20 (PST)"/>
    <d v="2022-04-28T00:00:00"/>
    <s v="16:20(PST)"/>
    <s v="Thursday"/>
    <s v="On Demand"/>
    <x v="24"/>
  </r>
  <r>
    <s v="2022-04-28 16:32 (PST)"/>
    <d v="2022-04-28T00:00:00"/>
    <s v="16:32(PST)"/>
    <s v="Thursday"/>
    <s v="On Demand"/>
    <x v="8"/>
  </r>
  <r>
    <s v="2022-04-28 16:58 (-07)"/>
    <d v="2022-04-28T00:00:00"/>
    <s v="16:58(-07)"/>
    <s v="Thursday"/>
    <s v="On Demand"/>
    <x v="31"/>
  </r>
  <r>
    <s v="2022-04-28 23:31 (PST)"/>
    <d v="2022-04-28T00:00:00"/>
    <s v="23:31(PST)"/>
    <s v="Thursday"/>
    <s v="On Demand"/>
    <x v="16"/>
  </r>
  <r>
    <s v="2022-05-05 07:15 (PST)"/>
    <d v="2022-05-05T00:00:00"/>
    <s v="07:15(PST)"/>
    <s v="Thursday"/>
    <s v="On Demand"/>
    <x v="21"/>
  </r>
  <r>
    <s v="2022-05-05 07:26 (PST)"/>
    <d v="2022-05-05T00:00:00"/>
    <s v="07:26(PST)"/>
    <s v="Thursday"/>
    <s v="On Demand"/>
    <x v="0"/>
  </r>
  <r>
    <s v="2022-05-05 07:37 (PST)"/>
    <d v="2022-05-05T00:00:00"/>
    <s v="07:37(PST)"/>
    <s v="Thursday"/>
    <s v="On Demand"/>
    <x v="16"/>
  </r>
  <r>
    <s v="2022-05-05 22:24 (PST)"/>
    <d v="2022-05-05T00:00:00"/>
    <s v="22:24(PST)"/>
    <s v="Thursday"/>
    <s v="On Demand"/>
    <x v="13"/>
  </r>
  <r>
    <s v="2022-05-12 16:50 (PST)"/>
    <d v="2022-05-12T00:00:00"/>
    <s v="16:50(PST)"/>
    <s v="Thursday"/>
    <s v="On Demand"/>
    <x v="13"/>
  </r>
  <r>
    <s v="2022-05-12 22:54 (PST)"/>
    <d v="2022-05-12T00:00:00"/>
    <s v="22:54(PST)"/>
    <s v="Thursday"/>
    <s v="On Demand"/>
    <x v="13"/>
  </r>
  <r>
    <s v="2022-05-19 04:39 (PST)"/>
    <d v="2022-05-19T00:00:00"/>
    <s v="04:39(PST)"/>
    <s v="Thursday"/>
    <s v="On Demand"/>
    <x v="25"/>
  </r>
  <r>
    <s v="2022-05-19 16:32 (-07)"/>
    <d v="2022-05-19T00:00:00"/>
    <s v="16:32(-07)"/>
    <s v="Thursday"/>
    <s v="On Demand"/>
    <x v="31"/>
  </r>
  <r>
    <s v="2022-05-19 16:44 (-07)"/>
    <d v="2022-05-19T00:00:00"/>
    <s v="16:44(-07)"/>
    <s v="Thursday"/>
    <s v="On Demand"/>
    <x v="17"/>
  </r>
  <r>
    <s v="2022-05-19 16:55 (-07)"/>
    <d v="2022-05-19T00:00:00"/>
    <s v="16:55(-07)"/>
    <s v="Thursday"/>
    <s v="On Demand"/>
    <x v="12"/>
  </r>
  <r>
    <s v="2022-05-19 17:17 (-07)"/>
    <d v="2022-05-19T00:00:00"/>
    <s v="17:17(-07)"/>
    <s v="Thursday"/>
    <s v="On Demand"/>
    <x v="16"/>
  </r>
  <r>
    <s v="2022-05-19 22:15 (PST)"/>
    <d v="2022-05-19T00:00:00"/>
    <s v="22:15(PST)"/>
    <s v="Thursday"/>
    <s v="On Demand"/>
    <x v="13"/>
  </r>
  <r>
    <s v="2022-05-26 07:37 (PST)"/>
    <d v="2022-05-26T00:00:00"/>
    <s v="07:37(PST)"/>
    <s v="Thursday"/>
    <s v="On Demand"/>
    <x v="19"/>
  </r>
  <r>
    <s v="2022-05-26 16:19 (PST)"/>
    <d v="2022-05-26T00:00:00"/>
    <s v="16:19(PST)"/>
    <s v="Thursday"/>
    <s v="On Demand"/>
    <x v="5"/>
  </r>
  <r>
    <s v="2022-05-26 16:39 (PST)"/>
    <d v="2022-05-26T00:00:00"/>
    <s v="16:39(PST)"/>
    <s v="Thursday"/>
    <s v="On Demand"/>
    <x v="31"/>
  </r>
  <r>
    <s v="2022-05-26 17:20 (-07)"/>
    <d v="2022-05-26T00:00:00"/>
    <s v="17:20(-07)"/>
    <s v="Thursday"/>
    <s v="On Demand"/>
    <x v="3"/>
  </r>
  <r>
    <s v="2022-05-26 17:30 (-07)"/>
    <d v="2022-05-26T00:00:00"/>
    <s v="17:30(-07)"/>
    <s v="Thursday"/>
    <s v="On Demand"/>
    <x v="8"/>
  </r>
  <r>
    <s v="2022-05-26 17:42 (-07)"/>
    <d v="2022-05-26T00:00:00"/>
    <s v="17:42(-07)"/>
    <s v="Thursday"/>
    <s v="On Demand"/>
    <x v="24"/>
  </r>
  <r>
    <s v="2022-05-26 22:44 (PST)"/>
    <d v="2022-05-26T00:00:00"/>
    <s v="22:44(PST)"/>
    <s v="Thursday"/>
    <s v="On Demand"/>
    <x v="28"/>
  </r>
  <r>
    <s v="2022-06-02 07:26 (PST)"/>
    <d v="2022-06-02T00:00:00"/>
    <s v="07:26(PST)"/>
    <s v="Thursday"/>
    <s v="On Demand"/>
    <x v="25"/>
  </r>
  <r>
    <s v="2022-06-02 12:20 (PST)"/>
    <d v="2022-06-02T00:00:00"/>
    <s v="12:20(PST)"/>
    <s v="Thursday"/>
    <m/>
    <x v="34"/>
  </r>
  <r>
    <s v="2022-06-02 16:53 (-07)"/>
    <d v="2022-06-02T00:00:00"/>
    <s v="16:53(-07)"/>
    <s v="Thursday"/>
    <s v="On Demand"/>
    <x v="6"/>
  </r>
  <r>
    <s v="2022-06-02 17:25 (-07)"/>
    <d v="2022-06-02T00:00:00"/>
    <s v="17:25(-07)"/>
    <s v="Thursday"/>
    <s v="On Demand"/>
    <x v="17"/>
  </r>
  <r>
    <s v="2022-06-02 17:38 (-07)"/>
    <d v="2022-06-02T00:00:00"/>
    <s v="17:38(-07)"/>
    <s v="Thursday"/>
    <s v="On Demand"/>
    <x v="35"/>
  </r>
  <r>
    <s v="2022-06-02 22:34 (PST)"/>
    <d v="2022-06-02T00:00:00"/>
    <s v="22:34(PST)"/>
    <s v="Thursday"/>
    <s v="On Demand"/>
    <x v="28"/>
  </r>
  <r>
    <s v="2022-06-09 06:46 (PST)"/>
    <d v="2022-06-09T00:00:00"/>
    <s v="06:46(PST)"/>
    <s v="Thursday"/>
    <s v="On Demand"/>
    <x v="26"/>
  </r>
  <r>
    <s v="2022-06-09 06:58 (PST)"/>
    <d v="2022-06-09T00:00:00"/>
    <s v="06:58(PST)"/>
    <s v="Thursday"/>
    <s v="On Demand"/>
    <x v="16"/>
  </r>
  <r>
    <s v="2022-06-09 15:48 (-07)"/>
    <d v="2022-06-09T00:00:00"/>
    <s v="15:48(-07)"/>
    <s v="Thursday"/>
    <s v="On Demand"/>
    <x v="6"/>
  </r>
  <r>
    <s v="2022-06-09 16:34 (-07)"/>
    <d v="2022-06-09T00:00:00"/>
    <s v="16:34(-07)"/>
    <s v="Thursday"/>
    <s v="On Demand"/>
    <x v="1"/>
  </r>
  <r>
    <s v="2022-06-09 16:40 (-07)"/>
    <d v="2022-06-09T00:00:00"/>
    <s v="16:40(-07)"/>
    <s v="Thursday"/>
    <s v="On Demand"/>
    <x v="12"/>
  </r>
  <r>
    <s v="2022-06-09 22:28 (PST)"/>
    <d v="2022-06-09T00:00:00"/>
    <s v="22:28(PST)"/>
    <s v="Thursday"/>
    <s v="On Demand"/>
    <x v="23"/>
  </r>
  <r>
    <s v="2022-06-16 07:33 (PST)"/>
    <d v="2022-06-16T00:00:00"/>
    <s v="07:33(PST)"/>
    <s v="Thursday"/>
    <s v="On Demand"/>
    <x v="16"/>
  </r>
  <r>
    <s v="2022-06-16 23:55 (PST)"/>
    <d v="2022-06-16T00:00:00"/>
    <s v="23:55(PST)"/>
    <s v="Thursday"/>
    <s v="On Demand"/>
    <x v="13"/>
  </r>
  <r>
    <s v="2022-06-23 22:38 (PST)"/>
    <d v="2022-06-23T00:00:00"/>
    <s v="22:38(PST)"/>
    <s v="Thursday"/>
    <s v="On Demand"/>
    <x v="13"/>
  </r>
  <r>
    <s v="2022-06-30 12:17 (PST)"/>
    <d v="2022-06-30T00:00:00"/>
    <s v="12:17(PST)"/>
    <s v="Thursday"/>
    <s v="On Demand"/>
    <x v="21"/>
  </r>
  <r>
    <s v="2022-06-30 12:38 (PST)"/>
    <d v="2022-06-30T00:00:00"/>
    <s v="12:38(PST)"/>
    <s v="Thursday"/>
    <s v="On Demand"/>
    <x v="54"/>
  </r>
  <r>
    <s v="2022-06-30 16:51 (-07)"/>
    <d v="2022-06-30T00:00:00"/>
    <s v="16:51(-07)"/>
    <s v="Thursday"/>
    <s v="On Demand"/>
    <x v="8"/>
  </r>
  <r>
    <s v="2022-06-30 17:02 (-07)"/>
    <d v="2022-06-30T00:00:00"/>
    <s v="17:02(-07)"/>
    <s v="Thursday"/>
    <s v="On Demand"/>
    <x v="24"/>
  </r>
  <r>
    <s v="2022-06-30 17:09 (-07)"/>
    <d v="2022-06-30T00:00:00"/>
    <s v="17:09(-07)"/>
    <s v="Thursday"/>
    <s v="On Demand"/>
    <x v="11"/>
  </r>
  <r>
    <s v="2022-06-30 18:14 (PST)"/>
    <d v="2022-06-30T00:00:00"/>
    <s v="18:14(PST)"/>
    <s v="Thursday"/>
    <s v="On Demand"/>
    <x v="28"/>
  </r>
  <r>
    <s v="2022-06-30 22:00 (PST)"/>
    <d v="2022-06-30T00:00:00"/>
    <s v="22:00(PST)"/>
    <s v="Thursday"/>
    <s v="On Demand"/>
    <x v="19"/>
  </r>
  <r>
    <s v="2022-07-07 07:26 (PST)"/>
    <d v="2022-07-07T00:00:00"/>
    <s v="07:26(PST)"/>
    <s v="Thursday"/>
    <s v="On Demand"/>
    <x v="7"/>
  </r>
  <r>
    <s v="2022-07-07 16:23 (-07)"/>
    <d v="2022-07-07T00:00:00"/>
    <s v="16:23(-07)"/>
    <s v="Thursday"/>
    <s v="On Demand"/>
    <x v="6"/>
  </r>
  <r>
    <s v="2022-07-07 17:08 (-07)"/>
    <d v="2022-07-07T00:00:00"/>
    <s v="17:08(-07)"/>
    <s v="Thursday"/>
    <s v="On Demand"/>
    <x v="12"/>
  </r>
  <r>
    <s v="2022-07-07 17:15 (-07)"/>
    <d v="2022-07-07T00:00:00"/>
    <s v="17:15(-07)"/>
    <s v="Thursday"/>
    <s v="On Demand"/>
    <x v="12"/>
  </r>
  <r>
    <s v="2022-07-07 17:28 (-07)"/>
    <d v="2022-07-07T00:00:00"/>
    <s v="17:28(-07)"/>
    <s v="Thursday"/>
    <s v="On Demand"/>
    <x v="1"/>
  </r>
  <r>
    <s v="2022-07-07 17:33 (-07)"/>
    <d v="2022-07-07T00:00:00"/>
    <s v="17:33(-07)"/>
    <s v="Thursday"/>
    <s v="On Demand"/>
    <x v="21"/>
  </r>
  <r>
    <s v="2022-07-07 22:42 (PST)"/>
    <d v="2022-07-07T00:00:00"/>
    <s v="22:42(PST)"/>
    <s v="Thursday"/>
    <s v="On Demand"/>
    <x v="19"/>
  </r>
  <r>
    <s v="2022-07-14 12:17 (PST)"/>
    <d v="2022-07-14T00:00:00"/>
    <s v="12:17(PST)"/>
    <s v="Thursday"/>
    <s v="On Demand"/>
    <x v="16"/>
  </r>
  <r>
    <s v="2022-07-14 13:01 (PST)"/>
    <d v="2022-07-14T00:00:00"/>
    <s v="13:01(PST)"/>
    <s v="Thursday"/>
    <s v="On Demand"/>
    <x v="31"/>
  </r>
  <r>
    <s v="2022-07-14 13:22 (PST)"/>
    <d v="2022-07-14T00:00:00"/>
    <s v="13:22(PST)"/>
    <s v="Thursday"/>
    <s v="On Demand"/>
    <x v="54"/>
  </r>
  <r>
    <s v="2022-07-14 17:03 (-07)"/>
    <d v="2022-07-14T00:00:00"/>
    <s v="17:03(-07)"/>
    <s v="Thursday"/>
    <s v="On Demand"/>
    <x v="7"/>
  </r>
  <r>
    <s v="2022-07-14 17:50 (-07)"/>
    <d v="2022-07-14T00:00:00"/>
    <s v="17:50(-07)"/>
    <s v="Thursday"/>
    <s v="On Demand"/>
    <x v="34"/>
  </r>
  <r>
    <s v="2022-07-14 17:57 (-07)"/>
    <d v="2022-07-14T00:00:00"/>
    <s v="17:57(-07)"/>
    <s v="Thursday"/>
    <s v="On Demand"/>
    <x v="12"/>
  </r>
  <r>
    <s v="2022-07-14 18:04 (-07)"/>
    <d v="2022-07-14T00:00:00"/>
    <s v="18:04(-07)"/>
    <s v="Thursday"/>
    <s v="On Demand"/>
    <x v="12"/>
  </r>
  <r>
    <s v="2022-07-14 18:16 (-07)"/>
    <d v="2022-07-14T00:00:00"/>
    <s v="18:16(-07)"/>
    <s v="Thursday"/>
    <s v="On Demand"/>
    <x v="7"/>
  </r>
  <r>
    <s v="2022-07-14 22:58 (PST)"/>
    <d v="2022-07-14T00:00:00"/>
    <s v="22:58(PST)"/>
    <s v="Thursday"/>
    <s v="On Demand"/>
    <x v="19"/>
  </r>
  <r>
    <s v="2022-07-21 16:39 (PST)"/>
    <d v="2022-07-21T00:00:00"/>
    <s v="16:39(PST)"/>
    <s v="Thursday"/>
    <s v="On Demand"/>
    <x v="0"/>
  </r>
  <r>
    <s v="2022-07-21 16:50 (PST)"/>
    <d v="2022-07-21T00:00:00"/>
    <s v="16:50(PST)"/>
    <s v="Thursday"/>
    <s v="On Demand"/>
    <x v="24"/>
  </r>
  <r>
    <s v="2022-07-21 17:12 (PST)"/>
    <d v="2022-07-21T00:00:00"/>
    <s v="17:12(PST)"/>
    <s v="Thursday"/>
    <s v="On Demand"/>
    <x v="24"/>
  </r>
  <r>
    <s v="2022-07-21 17:43 (PST)"/>
    <d v="2022-07-21T00:00:00"/>
    <s v="17:43(PST)"/>
    <s v="Thursday"/>
    <s v="On Demand"/>
    <x v="21"/>
  </r>
  <r>
    <s v="2022-07-21 23:03 (PST)"/>
    <d v="2022-07-21T00:00:00"/>
    <s v="23:03(PST)"/>
    <s v="Thursday"/>
    <s v="On Demand"/>
    <x v="19"/>
  </r>
  <r>
    <s v="2022-07-28 17:01 (-07)"/>
    <d v="2022-07-28T00:00:00"/>
    <s v="17:01(-07)"/>
    <s v="Thursday"/>
    <s v="On Demand"/>
    <x v="24"/>
  </r>
  <r>
    <s v="2022-07-28 17:14 (-07)"/>
    <d v="2022-07-28T00:00:00"/>
    <s v="17:14(-07)"/>
    <s v="Thursday"/>
    <s v="On Demand"/>
    <x v="8"/>
  </r>
  <r>
    <s v="2022-07-28 17:41 (PST)"/>
    <d v="2022-07-28T00:00:00"/>
    <s v="17:41(PST)"/>
    <s v="Thursday"/>
    <s v="On Demand"/>
    <x v="16"/>
  </r>
  <r>
    <s v="2022-07-28 22:42 (PST)"/>
    <d v="2022-07-28T00:00:00"/>
    <s v="22:42(PST)"/>
    <s v="Thursday"/>
    <s v="On Demand"/>
    <x v="28"/>
  </r>
  <r>
    <s v="2022-08-04 16:02 (-07)"/>
    <d v="2022-08-04T00:00:00"/>
    <s v="16:02(-07)"/>
    <s v="Thursday"/>
    <s v="On Demand"/>
    <x v="6"/>
  </r>
  <r>
    <s v="2022-08-04 16:48 (-07)"/>
    <d v="2022-08-04T00:00:00"/>
    <s v="16:48(-07)"/>
    <s v="Thursday"/>
    <s v="On Demand"/>
    <x v="6"/>
  </r>
  <r>
    <s v="2022-08-04 16:55 (-07)"/>
    <d v="2022-08-04T00:00:00"/>
    <s v="16:55(-07)"/>
    <s v="Thursday"/>
    <s v="On Demand"/>
    <x v="12"/>
  </r>
  <r>
    <s v="2022-08-04 17:02 (-07)"/>
    <d v="2022-08-04T00:00:00"/>
    <s v="17:02(-07)"/>
    <s v="Thursday"/>
    <s v="On Demand"/>
    <x v="12"/>
  </r>
  <r>
    <s v="2022-08-04 17:13 (-07)"/>
    <d v="2022-08-04T00:00:00"/>
    <s v="17:13(-07)"/>
    <s v="Thursday"/>
    <s v="On Demand"/>
    <x v="31"/>
  </r>
  <r>
    <s v="2022-08-04 17:25 (-07)"/>
    <d v="2022-08-04T00:00:00"/>
    <s v="17:25(-07)"/>
    <s v="Thursday"/>
    <s v="On Demand"/>
    <x v="32"/>
  </r>
  <r>
    <s v="2022-08-04 21:57 (PST)"/>
    <d v="2022-08-04T00:00:00"/>
    <s v="21:57(PST)"/>
    <s v="Thursday"/>
    <s v="On Demand"/>
    <x v="23"/>
  </r>
  <r>
    <s v="2022-08-11 11:35 (PST)"/>
    <d v="2022-08-11T00:00:00"/>
    <s v="11:35(PST)"/>
    <s v="Thursday"/>
    <m/>
    <x v="34"/>
  </r>
  <r>
    <s v="2022-08-11 15:56 (-07)"/>
    <d v="2022-08-11T00:00:00"/>
    <s v="15:56(-07)"/>
    <s v="Thursday"/>
    <s v="On Demand"/>
    <x v="6"/>
  </r>
  <r>
    <s v="2022-08-11 17:05 (-07)"/>
    <d v="2022-08-11T00:00:00"/>
    <s v="17:05(-07)"/>
    <s v="Thursday"/>
    <s v="On Demand"/>
    <x v="12"/>
  </r>
  <r>
    <s v="2022-08-11 17:28 (-07)"/>
    <d v="2022-08-11T00:00:00"/>
    <s v="17:28(-07)"/>
    <s v="Thursday"/>
    <s v="On Demand"/>
    <x v="35"/>
  </r>
  <r>
    <s v="2022-08-11 17:42 (-07)"/>
    <d v="2022-08-11T00:00:00"/>
    <s v="17:42(-07)"/>
    <s v="Thursday"/>
    <s v="On Demand"/>
    <x v="23"/>
  </r>
  <r>
    <s v="2022-08-11 22:22 (PST)"/>
    <d v="2022-08-11T00:00:00"/>
    <s v="22:22(PST)"/>
    <s v="Thursday"/>
    <s v="On Demand"/>
    <x v="28"/>
  </r>
  <r>
    <s v="2022-08-18 07:50 (PST)"/>
    <d v="2022-08-18T00:00:00"/>
    <s v="07:50(PST)"/>
    <s v="Thursday"/>
    <s v="On Demand"/>
    <x v="16"/>
  </r>
  <r>
    <s v="2022-08-18 15:49 (-07)"/>
    <d v="2022-08-18T00:00:00"/>
    <s v="15:49(-07)"/>
    <s v="Thursday"/>
    <s v="On Demand"/>
    <x v="24"/>
  </r>
  <r>
    <s v="2022-08-18 16:01 (-07)"/>
    <d v="2022-08-18T00:00:00"/>
    <s v="16:01(-07)"/>
    <s v="Thursday"/>
    <s v="On Demand"/>
    <x v="6"/>
  </r>
  <r>
    <s v="2022-08-18 17:04 (-07)"/>
    <d v="2022-08-18T00:00:00"/>
    <s v="17:04(-07)"/>
    <s v="Thursday"/>
    <s v="On Demand"/>
    <x v="22"/>
  </r>
  <r>
    <s v="2022-08-18 23:25 (PST)"/>
    <d v="2022-08-18T00:00:00"/>
    <s v="23:25(PST)"/>
    <s v="Thursday"/>
    <s v="On Demand"/>
    <x v="25"/>
  </r>
  <r>
    <s v="2022-08-25 07:30 (PST)"/>
    <d v="2022-08-25T00:00:00"/>
    <s v="07:30(PST)"/>
    <s v="Thursday"/>
    <s v="On Demand"/>
    <x v="16"/>
  </r>
  <r>
    <s v="2022-08-25 11:03 (PST)"/>
    <d v="2022-08-25T00:00:00"/>
    <s v="11:03(PST)"/>
    <s v="Thursday"/>
    <s v="On Demand"/>
    <x v="54"/>
  </r>
  <r>
    <s v="2022-08-25 22:11 (PST)"/>
    <d v="2022-08-25T00:00:00"/>
    <s v="22:11(PST)"/>
    <s v="Thursday"/>
    <s v="On Demand"/>
    <x v="19"/>
  </r>
  <r>
    <s v="2022-09-01 07:32 (PST)"/>
    <d v="2022-09-01T00:00:00"/>
    <s v="07:32(PST)"/>
    <s v="Thursday"/>
    <s v="On Demand"/>
    <x v="7"/>
  </r>
  <r>
    <s v="2022-09-01 17:11 (-07)"/>
    <d v="2022-09-01T00:00:00"/>
    <s v="17:11(-07)"/>
    <s v="Thursday"/>
    <s v="On Demand"/>
    <x v="31"/>
  </r>
  <r>
    <s v="2022-09-01 17:23 (-07)"/>
    <d v="2022-09-01T00:00:00"/>
    <s v="17:23(-07)"/>
    <s v="Thursday"/>
    <s v="On Demand"/>
    <x v="11"/>
  </r>
  <r>
    <s v="2022-09-01 17:56 (-07)"/>
    <d v="2022-09-01T00:00:00"/>
    <s v="17:56(-07)"/>
    <s v="Thursday"/>
    <s v="On Demand"/>
    <x v="7"/>
  </r>
  <r>
    <s v="2022-09-01 18:27 (-07)"/>
    <d v="2022-09-01T00:00:00"/>
    <s v="18:27(-07)"/>
    <s v="Thursday"/>
    <s v="On Demand"/>
    <x v="7"/>
  </r>
  <r>
    <s v="2022-09-01 22:39 (PST)"/>
    <d v="2022-09-01T00:00:00"/>
    <s v="22:39(PST)"/>
    <s v="Thursday"/>
    <s v="On Demand"/>
    <x v="13"/>
  </r>
  <r>
    <s v="2022-09-08 12:04 (PST)"/>
    <d v="2022-09-08T00:00:00"/>
    <s v="12:04(PST)"/>
    <s v="Thursday"/>
    <s v="On Demand"/>
    <x v="26"/>
  </r>
  <r>
    <s v="2022-09-08 16:26 (-07)"/>
    <d v="2022-09-08T00:00:00"/>
    <s v="16:26(-07)"/>
    <s v="Thursday"/>
    <s v="On Demand"/>
    <x v="6"/>
  </r>
  <r>
    <s v="2022-09-08 17:28 (-07)"/>
    <d v="2022-09-08T00:00:00"/>
    <s v="17:28(-07)"/>
    <s v="Thursday"/>
    <s v="On Demand"/>
    <x v="20"/>
  </r>
  <r>
    <s v="2022-09-08 22:38 (PST)"/>
    <d v="2022-09-08T00:00:00"/>
    <s v="22:38(PST)"/>
    <s v="Thursday"/>
    <s v="On Demand"/>
    <x v="16"/>
  </r>
  <r>
    <s v="2022-09-15 13:09 (PST)"/>
    <d v="2022-09-15T00:00:00"/>
    <s v="13:09(PST)"/>
    <s v="Thursday"/>
    <s v="On Demand"/>
    <x v="21"/>
  </r>
  <r>
    <s v="2022-09-15 13:29 (PST)"/>
    <d v="2022-09-15T00:00:00"/>
    <s v="13:29(PST)"/>
    <s v="Thursday"/>
    <s v="On Demand"/>
    <x v="43"/>
  </r>
  <r>
    <s v="2022-09-15 16:53 (-07)"/>
    <d v="2022-09-15T00:00:00"/>
    <s v="16:53(-07)"/>
    <s v="Thursday"/>
    <s v="On Demand"/>
    <x v="11"/>
  </r>
  <r>
    <s v="2022-09-15 17:31 (-07)"/>
    <d v="2022-09-15T00:00:00"/>
    <s v="17:31(-07)"/>
    <s v="Thursday"/>
    <s v="On Demand"/>
    <x v="7"/>
  </r>
  <r>
    <s v="2022-09-15 18:02 (-07)"/>
    <d v="2022-09-15T00:00:00"/>
    <s v="18:02(-07)"/>
    <s v="Thursday"/>
    <s v="On Demand"/>
    <x v="34"/>
  </r>
  <r>
    <s v="2022-09-15 22:10 (PST)"/>
    <d v="2022-09-15T00:00:00"/>
    <s v="22:10(PST)"/>
    <s v="Thursday"/>
    <s v="On Demand"/>
    <x v="19"/>
  </r>
  <r>
    <s v="2022-09-22 13:04 (PST)"/>
    <d v="2022-09-22T00:00:00"/>
    <s v="13:04(PST)"/>
    <s v="Thursday"/>
    <m/>
    <x v="34"/>
  </r>
  <r>
    <s v="2022-09-22 15:52 (-07)"/>
    <d v="2022-09-22T00:00:00"/>
    <s v="15:52(-07)"/>
    <s v="Thursday"/>
    <s v="On Demand"/>
    <x v="4"/>
  </r>
  <r>
    <s v="2022-09-22 16:38 (-07)"/>
    <d v="2022-09-22T00:00:00"/>
    <s v="16:38(-07)"/>
    <s v="Thursday"/>
    <s v="On Demand"/>
    <x v="4"/>
  </r>
  <r>
    <s v="2022-09-22 16:47 (-07)"/>
    <d v="2022-09-22T00:00:00"/>
    <s v="16:47(-07)"/>
    <s v="Thursday"/>
    <s v="On Demand"/>
    <x v="11"/>
  </r>
  <r>
    <s v="2022-09-22 17:18 (-07)"/>
    <d v="2022-09-22T00:00:00"/>
    <s v="17:18(-07)"/>
    <s v="Thursday"/>
    <s v="On Demand"/>
    <x v="4"/>
  </r>
  <r>
    <s v="2022-09-22 22:44 (PST)"/>
    <d v="2022-09-22T00:00:00"/>
    <s v="22:44(PST)"/>
    <s v="Thursday"/>
    <s v="On Demand"/>
    <x v="23"/>
  </r>
  <r>
    <s v="2022-09-29 15:25 (-07)"/>
    <d v="2022-09-29T00:00:00"/>
    <s v="15:25(-07)"/>
    <s v="Thursday"/>
    <s v="On Demand"/>
    <x v="6"/>
  </r>
  <r>
    <s v="2022-09-29 15:57 (-07)"/>
    <d v="2022-09-29T00:00:00"/>
    <s v="15:57(-07)"/>
    <s v="Thursday"/>
    <s v="On Demand"/>
    <x v="35"/>
  </r>
  <r>
    <s v="2022-09-29 16:12 (-07)"/>
    <d v="2022-09-29T00:00:00"/>
    <s v="16:12(-07)"/>
    <s v="Thursday"/>
    <s v="On Demand"/>
    <x v="12"/>
  </r>
  <r>
    <s v="2022-09-29 16:41 (-07)"/>
    <d v="2022-09-29T00:00:00"/>
    <s v="16:41(-07)"/>
    <s v="Thursday"/>
    <s v="On Demand"/>
    <x v="23"/>
  </r>
  <r>
    <s v="2022-09-29 22:31 (PST)"/>
    <d v="2022-09-29T00:00:00"/>
    <s v="22:31(PST)"/>
    <s v="Thursday"/>
    <s v="On Demand"/>
    <x v="25"/>
  </r>
  <r>
    <s v="2022-10-06 15:15 (-07)"/>
    <d v="2022-10-06T00:00:00"/>
    <s v="15:15(-07)"/>
    <s v="Thursday"/>
    <s v="On Demand"/>
    <x v="6"/>
  </r>
  <r>
    <s v="2022-10-06 16:00 (-07)"/>
    <d v="2022-10-06T00:00:00"/>
    <s v="16:00(-07)"/>
    <s v="Thursday"/>
    <s v="On Demand"/>
    <x v="39"/>
  </r>
  <r>
    <s v="2022-10-06 16:08 (-07)"/>
    <d v="2022-10-06T00:00:00"/>
    <s v="16:08(-07)"/>
    <s v="Thursday"/>
    <s v="On Demand"/>
    <x v="12"/>
  </r>
  <r>
    <s v="2022-10-06 16:29 (PST)"/>
    <d v="2022-10-06T00:00:00"/>
    <s v="16:29(PST)"/>
    <s v="Thursday"/>
    <s v="On Demand"/>
    <x v="1"/>
  </r>
  <r>
    <s v="2022-10-06 16:47 (PST)"/>
    <d v="2022-10-06T00:00:00"/>
    <s v="16:47(PST)"/>
    <s v="Thursday"/>
    <s v="On Demand"/>
    <x v="7"/>
  </r>
  <r>
    <s v="2022-10-06 22:23 (PST)"/>
    <d v="2022-10-06T00:00:00"/>
    <s v="22:23(PST)"/>
    <s v="Thursday"/>
    <s v="On Demand"/>
    <x v="28"/>
  </r>
  <r>
    <s v="2022-10-13 07:42 (PST)"/>
    <d v="2022-10-13T00:00:00"/>
    <s v="07:42(PST)"/>
    <s v="Thursday"/>
    <s v="On Demand"/>
    <x v="16"/>
  </r>
  <r>
    <s v="2022-10-13 11:54 (-07)"/>
    <d v="2022-10-13T00:00:00"/>
    <s v="11:54(-07)"/>
    <s v="Thursday"/>
    <s v="On Demand"/>
    <x v="6"/>
  </r>
  <r>
    <s v="2022-10-13 12:56 (-07)"/>
    <d v="2022-10-13T00:00:00"/>
    <s v="12:56(-07)"/>
    <s v="Thursday"/>
    <s v="On Demand"/>
    <x v="12"/>
  </r>
  <r>
    <s v="2022-10-13 13:07 (-07)"/>
    <d v="2022-10-13T00:00:00"/>
    <s v="13:07(-07)"/>
    <s v="Thursday"/>
    <s v="On Demand"/>
    <x v="29"/>
  </r>
  <r>
    <s v="2022-10-20 11:31 (PST)"/>
    <d v="2022-10-20T00:00:00"/>
    <s v="11:31(PST)"/>
    <s v="Thursday"/>
    <s v="On Demand"/>
    <x v="16"/>
  </r>
  <r>
    <s v="2022-10-20 15:08 (-07)"/>
    <d v="2022-10-20T00:00:00"/>
    <s v="15:08(-07)"/>
    <s v="Thursday"/>
    <s v="On Demand"/>
    <x v="24"/>
  </r>
  <r>
    <s v="2022-10-20 15:58 (-07)"/>
    <d v="2022-10-20T00:00:00"/>
    <s v="15:58(-07)"/>
    <s v="Thursday"/>
    <s v="On Demand"/>
    <x v="1"/>
  </r>
  <r>
    <s v="2022-10-20 16:32 (-07)"/>
    <d v="2022-10-20T00:00:00"/>
    <s v="16:32(-07)"/>
    <s v="Thursday"/>
    <s v="On Demand"/>
    <x v="35"/>
  </r>
  <r>
    <s v="2022-10-20 22:31 (PST)"/>
    <d v="2022-10-20T00:00:00"/>
    <s v="22:31(PST)"/>
    <s v="Thursday"/>
    <s v="On Demand"/>
    <x v="16"/>
  </r>
  <r>
    <s v="2022-10-27 12:15 (PST)"/>
    <d v="2022-10-27T00:00:00"/>
    <s v="12:15(PST)"/>
    <s v="Thursday"/>
    <s v="On Demand"/>
    <x v="43"/>
  </r>
  <r>
    <s v="2022-10-27 12:35 (PST)"/>
    <d v="2022-10-27T00:00:00"/>
    <s v="12:35(PST)"/>
    <s v="Thursday"/>
    <s v="On Demand"/>
    <x v="37"/>
  </r>
  <r>
    <s v="2022-10-27 12:46 (PST)"/>
    <d v="2022-10-27T00:00:00"/>
    <s v="12:46(PST)"/>
    <s v="Thursday"/>
    <m/>
    <x v="34"/>
  </r>
  <r>
    <s v="2022-11-03 10:51 (GMT)"/>
    <d v="2022-11-03T00:00:00"/>
    <s v="10:51(GMT)"/>
    <s v="Thursday"/>
    <s v="On Demand"/>
    <x v="26"/>
  </r>
  <r>
    <s v="2022-11-03 11:13 (GMT)"/>
    <d v="2022-11-03T00:00:00"/>
    <s v="11:13(GMT)"/>
    <s v="Thursday"/>
    <s v="On Demand"/>
    <x v="4"/>
  </r>
  <r>
    <s v="2022-11-03 11:26 (GMT)"/>
    <d v="2022-11-03T00:00:00"/>
    <s v="11:26(GMT)"/>
    <s v="Thursday"/>
    <s v="On Demand"/>
    <x v="16"/>
  </r>
  <r>
    <s v="2022-11-10 07:15 (-05)"/>
    <d v="2022-11-10T00:00:00"/>
    <s v="07:15(-05)"/>
    <s v="Thursday"/>
    <s v="On Demand"/>
    <x v="7"/>
  </r>
  <r>
    <s v="2022-11-10 07:26 (-05)"/>
    <d v="2022-11-10T00:00:00"/>
    <s v="07:26(-05)"/>
    <s v="Thursday"/>
    <s v="On Demand"/>
    <x v="4"/>
  </r>
  <r>
    <s v="2022-11-10 07:57 (-05)"/>
    <d v="2022-11-10T00:00:00"/>
    <s v="07:57(-05)"/>
    <s v="Thursday"/>
    <s v="On Demand"/>
    <x v="4"/>
  </r>
  <r>
    <s v="2022-11-10 08:14 (EST)"/>
    <d v="2022-11-10T00:00:00"/>
    <s v="08:14(EST)"/>
    <s v="Thursday"/>
    <s v="On Demand"/>
    <x v="24"/>
  </r>
  <r>
    <s v="2022-11-10 08:25 (EST)"/>
    <d v="2022-11-10T00:00:00"/>
    <s v="08:25(EST)"/>
    <s v="Thursday"/>
    <s v="On Demand"/>
    <x v="25"/>
  </r>
  <r>
    <s v="2022-11-17 09:16 (EST)"/>
    <d v="2022-11-17T00:00:00"/>
    <s v="09:16(EST)"/>
    <s v="Thursday"/>
    <s v="On Demand"/>
    <x v="43"/>
  </r>
  <r>
    <s v="2022-11-17 09:47 (EST)"/>
    <d v="2022-11-17T00:00:00"/>
    <s v="09:47(EST)"/>
    <s v="Thursday"/>
    <s v="On Demand"/>
    <x v="37"/>
  </r>
  <r>
    <s v="2022-11-24 03:56 (PST)"/>
    <d v="2022-11-24T00:00:00"/>
    <s v="03:56(PST)"/>
    <s v="Thursday"/>
    <s v="On Demand"/>
    <x v="23"/>
  </r>
  <r>
    <s v="2022-11-24 10:11 (-08)"/>
    <d v="2022-11-24T00:00:00"/>
    <s v="10:11(-08)"/>
    <s v="Thursday"/>
    <s v="On Demand"/>
    <x v="6"/>
  </r>
  <r>
    <s v="2022-11-24 10:58 (-08)"/>
    <d v="2022-11-24T00:00:00"/>
    <s v="10:58(-08)"/>
    <s v="Thursday"/>
    <s v="On Demand"/>
    <x v="34"/>
  </r>
  <r>
    <s v="2022-11-24 11:06 (-08)"/>
    <d v="2022-11-24T00:00:00"/>
    <s v="11:06(-08)"/>
    <s v="Thursday"/>
    <s v="On Demand"/>
    <x v="35"/>
  </r>
  <r>
    <s v="2022-12-01 07:38 (PST)"/>
    <d v="2022-12-01T00:00:00"/>
    <s v="07:38(PST)"/>
    <s v="Thursday"/>
    <s v="On Demand"/>
    <x v="16"/>
  </r>
  <r>
    <s v="2022-12-01 17:08 (-08)"/>
    <d v="2022-12-01T00:00:00"/>
    <s v="17:08(-08)"/>
    <s v="Thursday"/>
    <s v="On Demand"/>
    <x v="24"/>
  </r>
  <r>
    <s v="2022-12-01 17:21 (-08)"/>
    <d v="2022-12-01T00:00:00"/>
    <s v="17:21(-08)"/>
    <s v="Thursday"/>
    <s v="On Demand"/>
    <x v="6"/>
  </r>
  <r>
    <s v="2022-12-01 18:21 (-08)"/>
    <d v="2022-12-01T00:00:00"/>
    <s v="18:21(-08)"/>
    <s v="Thursday"/>
    <s v="On Demand"/>
    <x v="6"/>
  </r>
  <r>
    <s v="2022-12-01 23:45 (PST)"/>
    <d v="2022-12-01T00:00:00"/>
    <s v="23:45(PST)"/>
    <s v="Thursday"/>
    <s v="On Demand"/>
    <x v="19"/>
  </r>
  <r>
    <s v="2022-12-08 03:21 (PST)"/>
    <d v="2022-12-08T00:00:00"/>
    <s v="03:21(PST)"/>
    <s v="Thursday"/>
    <s v="On Demand"/>
    <x v="23"/>
  </r>
  <r>
    <s v="2022-12-08 20:03 (-08)"/>
    <d v="2022-12-08T00:00:00"/>
    <s v="20:03(-08)"/>
    <s v="Thursday"/>
    <s v="On Demand"/>
    <x v="6"/>
  </r>
  <r>
    <s v="2022-12-08 20:25 (-08)"/>
    <d v="2022-12-08T00:00:00"/>
    <s v="20:25(-08)"/>
    <s v="Thursday"/>
    <s v="On Demand"/>
    <x v="6"/>
  </r>
  <r>
    <s v="2022-12-08 22:36 (PST)"/>
    <d v="2022-12-08T00:00:00"/>
    <s v="22:36(PST)"/>
    <s v="Thursday"/>
    <s v="On Demand"/>
    <x v="16"/>
  </r>
  <r>
    <s v="2022-12-15 22:20 (EST)"/>
    <d v="2022-12-15T00:00:00"/>
    <s v="22:20(EST)"/>
    <s v="Thursday"/>
    <s v="On Demand"/>
    <x v="16"/>
  </r>
  <r>
    <s v="2022-12-15 22:47 (EST)"/>
    <d v="2022-12-15T00:00:00"/>
    <s v="22:47(EST)"/>
    <s v="Thursday"/>
    <s v="On Demand"/>
    <x v="23"/>
  </r>
  <r>
    <s v="2022-12-22 05:46 (EST)"/>
    <d v="2022-12-22T00:00:00"/>
    <s v="05:46(EST)"/>
    <s v="Thursday"/>
    <s v="On Demand"/>
    <x v="28"/>
  </r>
  <r>
    <s v="2022-12-22 12:23 (PST)"/>
    <d v="2022-12-22T00:00:00"/>
    <s v="12:23(PST)"/>
    <s v="Thursday"/>
    <s v="On Demand"/>
    <x v="16"/>
  </r>
  <r>
    <s v="2022-12-22 21:03 (PST)"/>
    <d v="2022-12-22T00:00:00"/>
    <s v="21:03(PST)"/>
    <s v="Thursday"/>
    <s v="On Demand"/>
    <x v="28"/>
  </r>
  <r>
    <s v="2022-12-29 08:40 (PST)"/>
    <d v="2022-12-29T00:00:00"/>
    <s v="08:40(PST)"/>
    <s v="Thursday"/>
    <s v="On Demand"/>
    <x v="8"/>
  </r>
  <r>
    <s v="2022-12-29 08:58 (PST)"/>
    <d v="2022-12-29T00:00:00"/>
    <s v="08:58(PST)"/>
    <s v="Thursday"/>
    <s v="On Demand"/>
    <x v="16"/>
  </r>
  <r>
    <s v="2022-12-29 10:45 (PST)"/>
    <d v="2022-12-29T00:00:00"/>
    <s v="10:45(PST)"/>
    <s v="Thursday"/>
    <s v="On Demand"/>
    <x v="44"/>
  </r>
  <r>
    <s v="2022-12-29 11:15 (PST)"/>
    <d v="2022-12-29T00:00:00"/>
    <s v="11:15(PST)"/>
    <s v="Thursday"/>
    <m/>
    <x v="34"/>
  </r>
  <r>
    <s v="2022-12-29 23:33 (PST)"/>
    <d v="2022-12-29T00:00:00"/>
    <s v="23:33(PST)"/>
    <s v="Thursday"/>
    <s v="On Demand"/>
    <x v="28"/>
  </r>
  <r>
    <s v="2023-01-05 07:38 (PST)"/>
    <d v="2023-01-05T00:00:00"/>
    <s v="07:38(PST)"/>
    <s v="Thursday"/>
    <s v="On Demand"/>
    <x v="7"/>
  </r>
  <r>
    <s v="2023-01-05 16:22 (-08)"/>
    <d v="2023-01-05T00:00:00"/>
    <s v="16:22(-08)"/>
    <s v="Thursday"/>
    <s v="On Demand"/>
    <x v="11"/>
  </r>
  <r>
    <s v="2023-01-05 17:00 (-08)"/>
    <d v="2023-01-05T00:00:00"/>
    <s v="17:00(-08)"/>
    <s v="Thursday"/>
    <s v="On Demand"/>
    <x v="1"/>
  </r>
  <r>
    <s v="2023-01-05 22:29 (PST)"/>
    <d v="2023-01-05T00:00:00"/>
    <s v="22:29(PST)"/>
    <s v="Thursday"/>
    <s v="On Demand"/>
    <x v="28"/>
  </r>
  <r>
    <s v="2023-01-12 03:42 (PST)"/>
    <d v="2023-01-12T00:00:00"/>
    <s v="03:42(PST)"/>
    <s v="Thursday"/>
    <s v="On Demand"/>
    <x v="25"/>
  </r>
  <r>
    <s v="2023-01-12 11:09 (PST)"/>
    <d v="2023-01-12T00:00:00"/>
    <s v="11:09(PST)"/>
    <s v="Thursday"/>
    <s v="On Demand"/>
    <x v="13"/>
  </r>
  <r>
    <s v="2023-01-12 14:05 (PST)"/>
    <d v="2023-01-12T00:00:00"/>
    <s v="14:05(PST)"/>
    <s v="Thursday"/>
    <m/>
    <x v="34"/>
  </r>
  <r>
    <s v="2023-01-19 22:20 (PST)"/>
    <d v="2023-01-19T00:00:00"/>
    <s v="22:20(PST)"/>
    <s v="Thursday"/>
    <s v="On Demand"/>
    <x v="23"/>
  </r>
  <r>
    <s v="2023-01-26 07:29 (PST)"/>
    <d v="2023-01-26T00:00:00"/>
    <s v="07:29(PST)"/>
    <s v="Thursday"/>
    <s v="On Demand"/>
    <x v="16"/>
  </r>
  <r>
    <s v="2023-01-26 15:34 (-08)"/>
    <d v="2023-01-26T00:00:00"/>
    <s v="15:34(-08)"/>
    <s v="Thursday"/>
    <s v="On Demand"/>
    <x v="7"/>
  </r>
  <r>
    <s v="2023-01-26 16:21 (-08)"/>
    <d v="2023-01-26T00:00:00"/>
    <s v="16:21(-08)"/>
    <s v="Thursday"/>
    <s v="On Demand"/>
    <x v="9"/>
  </r>
  <r>
    <s v="2023-01-26 16:31 (-08)"/>
    <d v="2023-01-26T00:00:00"/>
    <s v="16:31(-08)"/>
    <s v="Thursday"/>
    <s v="On Demand"/>
    <x v="18"/>
  </r>
  <r>
    <s v="2023-01-26 16:40 (-08)"/>
    <d v="2023-01-26T00:00:00"/>
    <s v="16:40(-08)"/>
    <s v="Thursday"/>
    <s v="On Demand"/>
    <x v="20"/>
  </r>
  <r>
    <s v="2023-01-26 16:51 (-08)"/>
    <d v="2023-01-26T00:00:00"/>
    <s v="16:51(-08)"/>
    <s v="Thursday"/>
    <s v="On Demand"/>
    <x v="20"/>
  </r>
  <r>
    <s v="2023-02-02 14:08 (-05)"/>
    <d v="2023-02-02T00:00:00"/>
    <s v="14:08(-05)"/>
    <s v="Thursday"/>
    <s v="On Demand"/>
    <x v="4"/>
  </r>
  <r>
    <s v="2023-02-02 14:54 (-05)"/>
    <d v="2023-02-02T00:00:00"/>
    <s v="14:54(-05)"/>
    <s v="Thursday"/>
    <s v="On Demand"/>
    <x v="22"/>
  </r>
  <r>
    <s v="2023-02-02 15:03 (-05)"/>
    <d v="2023-02-02T00:00:00"/>
    <s v="15:03(-05)"/>
    <s v="Thursday"/>
    <s v="On Demand"/>
    <x v="20"/>
  </r>
  <r>
    <s v="2023-02-02 15:14 (-05)"/>
    <d v="2023-02-02T00:00:00"/>
    <s v="15:14(-05)"/>
    <s v="Thursday"/>
    <s v="On Demand"/>
    <x v="0"/>
  </r>
  <r>
    <s v="2023-02-02 15:26 (-05)"/>
    <d v="2023-02-02T00:00:00"/>
    <s v="15:26(-05)"/>
    <s v="Thursday"/>
    <s v="On Demand"/>
    <x v="16"/>
  </r>
  <r>
    <s v="2023-02-02 23:12 (EST)"/>
    <d v="2023-02-02T00:00:00"/>
    <s v="23:12(EST)"/>
    <s v="Thursday"/>
    <s v="On Demand"/>
    <x v="13"/>
  </r>
  <r>
    <s v="2023-02-09 22:19 (PST)"/>
    <d v="2023-02-09T00:00:00"/>
    <s v="22:19(PST)"/>
    <s v="Thursday"/>
    <s v="On Demand"/>
    <x v="13"/>
  </r>
  <r>
    <s v="2023-02-16 10:37 (PST)"/>
    <d v="2023-02-16T00:00:00"/>
    <s v="10:37(PST)"/>
    <s v="Thursday"/>
    <s v="On Demand"/>
    <x v="23"/>
  </r>
  <r>
    <s v="2023-02-16 17:18 (PST)"/>
    <d v="2023-02-16T00:00:00"/>
    <s v="17:18(PST)"/>
    <s v="Thursday"/>
    <m/>
    <x v="34"/>
  </r>
  <r>
    <s v="2023-02-23 22:32 (PST)"/>
    <d v="2023-02-23T00:00:00"/>
    <s v="22:32(PST)"/>
    <s v="Thursday"/>
    <s v="On Demand"/>
    <x v="19"/>
  </r>
  <r>
    <s v="2023-03-02 09:10 (PST)"/>
    <d v="2023-03-02T00:00:00"/>
    <s v="09:10(PST)"/>
    <s v="Thursday"/>
    <s v="On Demand"/>
    <x v="23"/>
  </r>
  <r>
    <s v="2023-03-02 09:45 (PST)"/>
    <d v="2023-03-02T00:00:00"/>
    <s v="09:45(PST)"/>
    <s v="Thursday"/>
    <s v="On Demand"/>
    <x v="31"/>
  </r>
  <r>
    <s v="2023-03-02 15:34 (-08)"/>
    <d v="2023-03-02T00:00:00"/>
    <s v="15:34(-08)"/>
    <s v="Thursday"/>
    <s v="On Demand"/>
    <x v="6"/>
  </r>
  <r>
    <s v="2023-03-02 16:52 (-08)"/>
    <d v="2023-03-02T00:00:00"/>
    <s v="16:52(-08)"/>
    <s v="Thursday"/>
    <s v="On Demand"/>
    <x v="11"/>
  </r>
  <r>
    <s v="2023-03-02 23:16 (PST)"/>
    <d v="2023-03-02T00:00:00"/>
    <s v="23:16(PST)"/>
    <s v="Thursday"/>
    <s v="On Demand"/>
    <x v="19"/>
  </r>
  <r>
    <s v="2023-03-09 11:33 (PST)"/>
    <d v="2023-03-09T00:00:00"/>
    <s v="11:33(PST)"/>
    <s v="Thursday"/>
    <s v="On Demand"/>
    <x v="13"/>
  </r>
  <r>
    <s v="2023-03-09 16:36 (-08)"/>
    <d v="2023-03-09T00:00:00"/>
    <s v="16:36(-08)"/>
    <s v="Thursday"/>
    <s v="On Demand"/>
    <x v="31"/>
  </r>
  <r>
    <s v="2023-03-09 16:49 (-08)"/>
    <d v="2023-03-09T00:00:00"/>
    <s v="16:49(-08)"/>
    <s v="Thursday"/>
    <s v="On Demand"/>
    <x v="9"/>
  </r>
  <r>
    <s v="2023-03-09 17:38 (-08)"/>
    <d v="2023-03-09T00:00:00"/>
    <s v="17:38(-08)"/>
    <s v="Thursday"/>
    <s v="On Demand"/>
    <x v="20"/>
  </r>
  <r>
    <s v="2023-03-09 17:48 (-08)"/>
    <d v="2023-03-09T00:00:00"/>
    <s v="17:48(-08)"/>
    <s v="Thursday"/>
    <s v="On Demand"/>
    <x v="6"/>
  </r>
  <r>
    <s v="2023-03-16 07:55 (PST)"/>
    <d v="2023-03-16T00:00:00"/>
    <s v="07:55(PST)"/>
    <s v="Thursday"/>
    <s v="On Demand"/>
    <x v="13"/>
  </r>
  <r>
    <s v="2023-03-16 12:03 (PST)"/>
    <d v="2023-03-16T00:00:00"/>
    <s v="12:03(PST)"/>
    <s v="Thursday"/>
    <m/>
    <x v="34"/>
  </r>
  <r>
    <s v="2023-03-16 14:03 (-07)"/>
    <d v="2023-03-16T00:00:00"/>
    <s v="14:03(-07)"/>
    <s v="Thursday"/>
    <s v="On Demand"/>
    <x v="4"/>
  </r>
  <r>
    <s v="2023-03-16 14:15 (-07)"/>
    <d v="2023-03-16T00:00:00"/>
    <s v="14:15(-07)"/>
    <s v="Thursday"/>
    <s v="On Demand"/>
    <x v="4"/>
  </r>
  <r>
    <s v="2023-03-16 14:36 (-07)"/>
    <d v="2023-03-16T00:00:00"/>
    <s v="14:36(-07)"/>
    <s v="Thursday"/>
    <s v="On Demand"/>
    <x v="34"/>
  </r>
  <r>
    <s v="2023-03-16 14:48 (-07)"/>
    <d v="2023-03-16T00:00:00"/>
    <s v="14:48(-07)"/>
    <s v="Thursday"/>
    <s v="On Demand"/>
    <x v="31"/>
  </r>
  <r>
    <s v="2023-03-16 15:04 (-07)"/>
    <d v="2023-03-16T00:00:00"/>
    <s v="15:04(-07)"/>
    <s v="Thursday"/>
    <s v="On Demand"/>
    <x v="18"/>
  </r>
  <r>
    <s v="2023-03-16 22:00 (PST)"/>
    <d v="2023-03-16T00:00:00"/>
    <s v="22:00(PST)"/>
    <s v="Thursday"/>
    <s v="On Demand"/>
    <x v="28"/>
  </r>
  <r>
    <s v="2023-03-23 16:42 (-04)"/>
    <d v="2023-03-23T00:00:00"/>
    <s v="16:42(-04)"/>
    <s v="Thursday"/>
    <s v="On Demand"/>
    <x v="7"/>
  </r>
  <r>
    <s v="2023-03-23 17:36 (-04)"/>
    <d v="2023-03-23T00:00:00"/>
    <s v="17:36(-04)"/>
    <s v="Thursday"/>
    <s v="On Demand"/>
    <x v="31"/>
  </r>
  <r>
    <s v="2023-03-23 17:54 (-04)"/>
    <d v="2023-03-23T00:00:00"/>
    <s v="17:54(-04)"/>
    <s v="Thursday"/>
    <s v="On Demand"/>
    <x v="17"/>
  </r>
  <r>
    <s v="2023-03-23 23:47 (EST)"/>
    <d v="2023-03-23T00:00:00"/>
    <s v="23:47(EST)"/>
    <s v="Thursday"/>
    <s v="On Demand"/>
    <x v="19"/>
  </r>
  <r>
    <s v="2023-03-30 04:07 (PST)"/>
    <d v="2023-03-30T00:00:00"/>
    <s v="04:07(PST)"/>
    <s v="Thursday"/>
    <s v="On Demand"/>
    <x v="28"/>
  </r>
  <r>
    <s v="2023-03-30 07:48 (PST)"/>
    <d v="2023-03-30T00:00:00"/>
    <s v="07:48(PST)"/>
    <s v="Thursday"/>
    <s v="On Demand"/>
    <x v="16"/>
  </r>
  <r>
    <s v="2023-03-30 13:34 (PST)"/>
    <d v="2023-03-30T00:00:00"/>
    <s v="13:34(PST)"/>
    <s v="Thursday"/>
    <m/>
    <x v="34"/>
  </r>
  <r>
    <s v="2023-03-30 22:01 (PST)"/>
    <d v="2023-03-30T00:00:00"/>
    <s v="22:01(PST)"/>
    <s v="Thursday"/>
    <s v="On Demand"/>
    <x v="25"/>
  </r>
  <r>
    <s v="2023-04-06 12:56 (-07)"/>
    <d v="2023-04-06T00:00:00"/>
    <s v="12:56(-07)"/>
    <s v="Thursday"/>
    <s v="On Demand"/>
    <x v="1"/>
  </r>
  <r>
    <s v="2023-04-06 13:08 (-07)"/>
    <d v="2023-04-06T00:00:00"/>
    <s v="13:08(-07)"/>
    <s v="Thursday"/>
    <s v="On Demand"/>
    <x v="6"/>
  </r>
  <r>
    <s v="2023-04-06 13:54 (-07)"/>
    <d v="2023-04-06T00:00:00"/>
    <s v="13:54(-07)"/>
    <s v="Thursday"/>
    <s v="On Demand"/>
    <x v="15"/>
  </r>
  <r>
    <s v="2023-04-06 14:15 (-07)"/>
    <d v="2023-04-06T00:00:00"/>
    <s v="14:15(-07)"/>
    <s v="Thursday"/>
    <s v="On Demand"/>
    <x v="12"/>
  </r>
  <r>
    <s v="2023-04-06 22:45 (PST)"/>
    <d v="2023-04-06T00:00:00"/>
    <s v="22:45(PST)"/>
    <s v="Thursday"/>
    <s v="On Demand"/>
    <x v="19"/>
  </r>
  <r>
    <s v="2023-04-13 12:43 (PST)"/>
    <d v="2023-04-13T00:00:00"/>
    <s v="12:43(PST)"/>
    <s v="Thursday"/>
    <m/>
    <x v="34"/>
  </r>
  <r>
    <s v="2023-04-13 22:47 (PST)"/>
    <d v="2023-04-13T00:00:00"/>
    <s v="22:47(PST)"/>
    <s v="Thursday"/>
    <s v="On Demand"/>
    <x v="23"/>
  </r>
  <r>
    <s v="2023-04-20 21:02 (PST)"/>
    <d v="2023-04-20T00:00:00"/>
    <s v="21:02(PST)"/>
    <s v="Thursday"/>
    <s v="On Demand"/>
    <x v="19"/>
  </r>
  <r>
    <s v="2023-04-27 15:58 (-07)"/>
    <d v="2023-04-27T00:00:00"/>
    <s v="15:58(-07)"/>
    <s v="Thursday"/>
    <s v="On Demand"/>
    <x v="9"/>
  </r>
  <r>
    <s v="2023-04-27 16:44 (-07)"/>
    <d v="2023-04-27T00:00:00"/>
    <s v="16:44(-07)"/>
    <s v="Thursday"/>
    <s v="On Demand"/>
    <x v="6"/>
  </r>
  <r>
    <s v="2023-04-27 16:56 (-07)"/>
    <d v="2023-04-27T00:00:00"/>
    <s v="16:56(-07)"/>
    <s v="Thursday"/>
    <s v="On Demand"/>
    <x v="1"/>
  </r>
  <r>
    <s v="2023-04-27 17:02 (-07)"/>
    <d v="2023-04-27T00:00:00"/>
    <s v="17:02(-07)"/>
    <s v="Thursday"/>
    <s v="On Demand"/>
    <x v="4"/>
  </r>
  <r>
    <s v="2023-05-04 15:36 (-07)"/>
    <d v="2023-05-04T00:00:00"/>
    <s v="15:36(-07)"/>
    <s v="Thursday"/>
    <s v="On Demand"/>
    <x v="21"/>
  </r>
  <r>
    <s v="2023-05-04 15:50 (-07)"/>
    <d v="2023-05-04T00:00:00"/>
    <s v="15:50(-07)"/>
    <s v="Thursday"/>
    <s v="On Demand"/>
    <x v="6"/>
  </r>
  <r>
    <s v="2023-05-04 16:36 (-07)"/>
    <d v="2023-05-04T00:00:00"/>
    <s v="16:36(-07)"/>
    <s v="Thursday"/>
    <s v="On Demand"/>
    <x v="15"/>
  </r>
  <r>
    <s v="2023-05-04 16:44 (-07)"/>
    <d v="2023-05-04T00:00:00"/>
    <s v="16:44(-07)"/>
    <s v="Thursday"/>
    <s v="On Demand"/>
    <x v="4"/>
  </r>
  <r>
    <s v="2023-05-04 22:48 (PST)"/>
    <d v="2023-05-04T00:00:00"/>
    <s v="22:48(PST)"/>
    <s v="Thursday"/>
    <s v="On Demand"/>
    <x v="16"/>
  </r>
  <r>
    <s v="2023-05-11 06:27 (PST)"/>
    <d v="2023-05-11T00:00:00"/>
    <s v="06:27(PST)"/>
    <s v="Thursday"/>
    <s v="On Demand"/>
    <x v="16"/>
  </r>
  <r>
    <s v="2023-05-11 15:38 (PST)"/>
    <d v="2023-05-11T00:00:00"/>
    <s v="15:38(PST)"/>
    <s v="Thursday"/>
    <m/>
    <x v="34"/>
  </r>
  <r>
    <s v="2023-05-11 16:40 (-07)"/>
    <d v="2023-05-11T00:00:00"/>
    <s v="16:40(-07)"/>
    <s v="Thursday"/>
    <s v="On Demand"/>
    <x v="6"/>
  </r>
  <r>
    <s v="2023-05-11 17:26 (-07)"/>
    <d v="2023-05-11T00:00:00"/>
    <s v="17:26(-07)"/>
    <s v="Thursday"/>
    <s v="On Demand"/>
    <x v="7"/>
  </r>
  <r>
    <s v="2023-05-11 17:34 (-07)"/>
    <d v="2023-05-11T00:00:00"/>
    <s v="17:34(-07)"/>
    <s v="Thursday"/>
    <s v="On Demand"/>
    <x v="1"/>
  </r>
  <r>
    <s v="2023-05-11 22:09 (PST)"/>
    <d v="2023-05-11T00:00:00"/>
    <s v="22:09(PST)"/>
    <s v="Thursday"/>
    <s v="On Demand"/>
    <x v="13"/>
  </r>
  <r>
    <s v="2023-05-18 11:22 (PST)"/>
    <d v="2023-05-18T00:00:00"/>
    <s v="11:22(PST)"/>
    <s v="Thursday"/>
    <m/>
    <x v="34"/>
  </r>
  <r>
    <s v="2023-05-18 15:51 (-07)"/>
    <d v="2023-05-18T00:00:00"/>
    <s v="15:51(-07)"/>
    <s v="Thursday"/>
    <s v="On Demand"/>
    <x v="1"/>
  </r>
  <r>
    <s v="2023-05-18 16:18 (-07)"/>
    <d v="2023-05-18T00:00:00"/>
    <s v="16:18(-07)"/>
    <s v="Thursday"/>
    <s v="On Demand"/>
    <x v="9"/>
  </r>
  <r>
    <s v="2023-05-25 06:46 (PST)"/>
    <d v="2023-05-25T00:00:00"/>
    <s v="06:46(PST)"/>
    <s v="Thursday"/>
    <s v="On Demand"/>
    <x v="13"/>
  </r>
  <r>
    <s v="2023-05-25 22:27 (PST)"/>
    <d v="2023-05-25T00:00:00"/>
    <s v="22:27(PST)"/>
    <s v="Thursday"/>
    <s v="On Demand"/>
    <x v="16"/>
  </r>
  <r>
    <s v="2023-06-01 10:45 (PST)"/>
    <d v="2023-06-01T00:00:00"/>
    <s v="10:45(PST)"/>
    <s v="Thursday"/>
    <m/>
    <x v="34"/>
  </r>
  <r>
    <s v="2023-06-01 22:39 (PST)"/>
    <d v="2023-06-01T00:00:00"/>
    <s v="22:39(PST)"/>
    <s v="Thursday"/>
    <s v="On Demand"/>
    <x v="28"/>
  </r>
  <r>
    <s v="2023-06-08 12:53 (PST)"/>
    <d v="2023-06-08T00:00:00"/>
    <s v="12:53(PST)"/>
    <s v="Thursday"/>
    <s v="On Demand"/>
    <x v="16"/>
  </r>
  <r>
    <s v="2023-06-08 15:45 (-07)"/>
    <d v="2023-06-08T00:00:00"/>
    <s v="15:45(-07)"/>
    <s v="Thursday"/>
    <s v="On Demand"/>
    <x v="37"/>
  </r>
  <r>
    <s v="2023-06-08 15:57 (-07)"/>
    <d v="2023-06-08T00:00:00"/>
    <s v="15:57(-07)"/>
    <s v="Thursday"/>
    <s v="On Demand"/>
    <x v="12"/>
  </r>
  <r>
    <s v="2023-06-08 16:11 (-07)"/>
    <d v="2023-06-08T00:00:00"/>
    <s v="16:11(-07)"/>
    <s v="Thursday"/>
    <s v="On Demand"/>
    <x v="6"/>
  </r>
  <r>
    <s v="2023-06-08 17:02 (-07)"/>
    <d v="2023-06-08T00:00:00"/>
    <s v="17:02(-07)"/>
    <s v="Thursday"/>
    <s v="On Demand"/>
    <x v="10"/>
  </r>
  <r>
    <s v="2023-06-15 05:50 (PST)"/>
    <d v="2023-06-15T00:00:00"/>
    <s v="05:50(PST)"/>
    <s v="Thursday"/>
    <s v="On Demand"/>
    <x v="23"/>
  </r>
  <r>
    <s v="2023-06-15 06:25 (PST)"/>
    <d v="2023-06-15T00:00:00"/>
    <s v="06:25(PST)"/>
    <s v="Thursday"/>
    <s v="On Demand"/>
    <x v="28"/>
  </r>
  <r>
    <s v="2023-06-15 22:02 (PST)"/>
    <d v="2023-06-15T00:00:00"/>
    <s v="22:02(PST)"/>
    <s v="Thursday"/>
    <s v="On Demand"/>
    <x v="16"/>
  </r>
  <r>
    <s v="2023-06-22 10:01 (PST)"/>
    <d v="2023-06-22T00:00:00"/>
    <s v="10:01(PST)"/>
    <s v="Thursday"/>
    <m/>
    <x v="34"/>
  </r>
  <r>
    <s v="2023-06-22 16:41 (-07)"/>
    <d v="2023-06-22T00:00:00"/>
    <s v="16:41(-07)"/>
    <s v="Thursday"/>
    <s v="On Demand"/>
    <x v="11"/>
  </r>
  <r>
    <s v="2023-06-22 17:26 (-07)"/>
    <d v="2023-06-22T00:00:00"/>
    <s v="17:26(-07)"/>
    <s v="Thursday"/>
    <s v="On Demand"/>
    <x v="20"/>
  </r>
  <r>
    <s v="2023-06-29 09:48 (PST)"/>
    <d v="2023-06-29T00:00:00"/>
    <s v="09:48(PST)"/>
    <s v="Thursday"/>
    <s v="On Demand"/>
    <x v="16"/>
  </r>
  <r>
    <s v="2023-06-29 16:04 (-07)"/>
    <d v="2023-06-29T00:00:00"/>
    <s v="16:04(-07)"/>
    <s v="Thursday"/>
    <s v="On Demand"/>
    <x v="24"/>
  </r>
  <r>
    <s v="2023-06-29 16:26 (-07)"/>
    <d v="2023-06-29T00:00:00"/>
    <s v="16:26(-07)"/>
    <s v="Thursday"/>
    <s v="On Demand"/>
    <x v="24"/>
  </r>
  <r>
    <s v="2023-06-29 22:10 (PST)"/>
    <d v="2023-06-29T00:00:00"/>
    <s v="22:10(PST)"/>
    <s v="Thursday"/>
    <s v="On Demand"/>
    <x v="19"/>
  </r>
  <r>
    <s v="2023-07-06 12:18 (PST)"/>
    <d v="2023-07-06T00:00:00"/>
    <s v="12:18(PST)"/>
    <s v="Thursday"/>
    <s v="On Demand"/>
    <x v="23"/>
  </r>
  <r>
    <s v="2023-07-06 15:33 (-07)"/>
    <d v="2023-07-06T00:00:00"/>
    <s v="15:33(-07)"/>
    <s v="Thursday"/>
    <s v="On Demand"/>
    <x v="12"/>
  </r>
  <r>
    <s v="2023-07-06 15:48 (-07)"/>
    <d v="2023-07-06T00:00:00"/>
    <s v="15:48(-07)"/>
    <s v="Thursday"/>
    <s v="On Demand"/>
    <x v="24"/>
  </r>
  <r>
    <s v="2023-07-06 16:28 (-07)"/>
    <d v="2023-07-06T00:00:00"/>
    <s v="16:28(-07)"/>
    <s v="Thursday"/>
    <s v="On Demand"/>
    <x v="6"/>
  </r>
  <r>
    <s v="2023-07-06 22:29 (PST)"/>
    <d v="2023-07-06T00:00:00"/>
    <s v="22:29(PST)"/>
    <s v="Thursday"/>
    <s v="On Demand"/>
    <x v="19"/>
  </r>
  <r>
    <s v="2023-07-13 10:41 (PST)"/>
    <d v="2023-07-13T00:00:00"/>
    <s v="10:41(PST)"/>
    <s v="Thursday"/>
    <m/>
    <x v="34"/>
  </r>
  <r>
    <s v="2023-07-13 22:16 (PST)"/>
    <d v="2023-07-13T00:00:00"/>
    <s v="22:16(PST)"/>
    <s v="Thursday"/>
    <s v="On Demand"/>
    <x v="16"/>
  </r>
  <r>
    <s v="2023-07-20 15:48 (-07)"/>
    <d v="2023-07-20T00:00:00"/>
    <s v="15:48(-07)"/>
    <s v="Thursday"/>
    <s v="On Demand"/>
    <x v="49"/>
  </r>
  <r>
    <s v="2023-07-20 16:22 (-07)"/>
    <d v="2023-07-20T00:00:00"/>
    <s v="16:22(-07)"/>
    <s v="Thursday"/>
    <s v="On Demand"/>
    <x v="24"/>
  </r>
  <r>
    <s v="2023-07-20 16:35 (-07)"/>
    <d v="2023-07-20T00:00:00"/>
    <s v="16:35(-07)"/>
    <s v="Thursday"/>
    <s v="On Demand"/>
    <x v="4"/>
  </r>
  <r>
    <s v="2023-07-20 16:52 (-07)"/>
    <d v="2023-07-20T00:00:00"/>
    <s v="16:52(-07)"/>
    <s v="Thursday"/>
    <s v="On Demand"/>
    <x v="0"/>
  </r>
  <r>
    <s v="2023-08-03 08:02 (PST)"/>
    <d v="2023-08-03T00:00:00"/>
    <s v="08:02(PST)"/>
    <s v="Thursday"/>
    <s v="On Demand"/>
    <x v="23"/>
  </r>
  <r>
    <s v="2023-08-03 12:11 (-07)"/>
    <d v="2023-08-03T00:00:00"/>
    <s v="12:11(-07)"/>
    <s v="Thursday"/>
    <s v="On Demand"/>
    <x v="6"/>
  </r>
  <r>
    <s v="2023-08-03 12:57 (-07)"/>
    <d v="2023-08-03T00:00:00"/>
    <s v="12:57(-07)"/>
    <s v="Thursday"/>
    <s v="On Demand"/>
    <x v="29"/>
  </r>
  <r>
    <s v="2023-08-03 21:31 (PST)"/>
    <d v="2023-08-03T00:00:00"/>
    <s v="21:31(PST)"/>
    <s v="Thursday"/>
    <s v="On Demand"/>
    <x v="13"/>
  </r>
  <r>
    <s v="2023-08-10 21:20 (PST)"/>
    <d v="2023-08-10T00:00:00"/>
    <s v="21:20(PST)"/>
    <s v="Thursday"/>
    <s v="On Demand"/>
    <x v="19"/>
  </r>
  <r>
    <s v="2023-08-17 17:31 (-07)"/>
    <d v="2023-08-17T00:00:00"/>
    <s v="17:31(-07)"/>
    <s v="Thursday"/>
    <s v="On Demand"/>
    <x v="24"/>
  </r>
  <r>
    <s v="2023-08-17 18:03 (-07)"/>
    <d v="2023-08-17T00:00:00"/>
    <s v="18:03(-07)"/>
    <s v="Thursday"/>
    <s v="On Demand"/>
    <x v="49"/>
  </r>
  <r>
    <s v="2023-08-24 15:48 (-07)"/>
    <d v="2023-08-24T00:00:00"/>
    <s v="15:48(-07)"/>
    <s v="Thursday"/>
    <s v="On Demand"/>
    <x v="26"/>
  </r>
  <r>
    <s v="2023-08-24 16:21 (-07)"/>
    <d v="2023-08-24T00:00:00"/>
    <s v="16:21(-07)"/>
    <s v="Thursday"/>
    <s v="On Demand"/>
    <x v="31"/>
  </r>
  <r>
    <s v="2023-08-24 16:40 (-07)"/>
    <d v="2023-08-24T00:00:00"/>
    <s v="16:40(-07)"/>
    <s v="Thursday"/>
    <s v="On Demand"/>
    <x v="46"/>
  </r>
  <r>
    <s v="2023-08-31 07:12 (PST)"/>
    <d v="2023-08-31T00:00:00"/>
    <s v="07:12(PST)"/>
    <s v="Thursday"/>
    <s v="On Demand"/>
    <x v="28"/>
  </r>
  <r>
    <s v="2023-08-31 15:43 (-07)"/>
    <d v="2023-08-31T00:00:00"/>
    <s v="15:43(-07)"/>
    <s v="Thursday"/>
    <s v="On Demand"/>
    <x v="9"/>
  </r>
  <r>
    <s v="2023-08-31 16:46 (-07)"/>
    <d v="2023-08-31T00:00:00"/>
    <s v="16:46(-07)"/>
    <s v="Thursday"/>
    <s v="On Demand"/>
    <x v="9"/>
  </r>
  <r>
    <s v="2023-08-31 16:57 (-07)"/>
    <d v="2023-08-31T00:00:00"/>
    <s v="16:57(-07)"/>
    <s v="Thursday"/>
    <s v="On Demand"/>
    <x v="36"/>
  </r>
  <r>
    <s v="2023-08-31 21:32 (PST)"/>
    <d v="2023-08-31T00:00:00"/>
    <s v="21:32(PST)"/>
    <s v="Thursday"/>
    <s v="On Demand"/>
    <x v="16"/>
  </r>
  <r>
    <s v="2023-09-07 20:26 (PST)"/>
    <d v="2023-09-07T00:00:00"/>
    <s v="20:26(PST)"/>
    <s v="Thursday"/>
    <s v="On Demand"/>
    <x v="16"/>
  </r>
  <r>
    <s v="2023-09-14 14:24 (-07)"/>
    <d v="2023-09-14T00:00:00"/>
    <s v="14:24(-07)"/>
    <s v="Thursday"/>
    <s v="On Demand"/>
    <x v="6"/>
  </r>
  <r>
    <s v="2023-09-14 15:26 (-07)"/>
    <d v="2023-09-14T00:00:00"/>
    <s v="15:26(-07)"/>
    <s v="Thursday"/>
    <s v="On Demand"/>
    <x v="1"/>
  </r>
  <r>
    <s v="2023-09-14 15:34 (-07)"/>
    <d v="2023-09-14T00:00:00"/>
    <s v="15:34(-07)"/>
    <s v="Thursday"/>
    <s v="On Demand"/>
    <x v="42"/>
  </r>
  <r>
    <s v="2023-09-21 13:39 (-07)"/>
    <d v="2023-09-21T00:00:00"/>
    <s v="13:39(-07)"/>
    <s v="Thursday"/>
    <s v="On Demand"/>
    <x v="7"/>
  </r>
  <r>
    <s v="2023-09-21 14:29 (-07)"/>
    <d v="2023-09-21T00:00:00"/>
    <s v="14:29(-07)"/>
    <s v="Thursday"/>
    <s v="On Demand"/>
    <x v="9"/>
  </r>
  <r>
    <s v="2023-09-21 14:40 (-07)"/>
    <d v="2023-09-21T00:00:00"/>
    <s v="14:40(-07)"/>
    <s v="Thursday"/>
    <s v="On Demand"/>
    <x v="12"/>
  </r>
  <r>
    <s v="2023-09-21 14:48 (-07)"/>
    <d v="2023-09-21T00:00:00"/>
    <s v="14:48(-07)"/>
    <s v="Thursday"/>
    <s v="On Demand"/>
    <x v="37"/>
  </r>
  <r>
    <s v="2023-09-21 16:24 (PST)"/>
    <d v="2023-09-21T00:00:00"/>
    <s v="16:24(PST)"/>
    <s v="Thursday"/>
    <s v="On Demand"/>
    <x v="13"/>
  </r>
  <r>
    <s v="2023-09-21 22:34 (PST)"/>
    <d v="2023-09-21T00:00:00"/>
    <s v="22:34(PST)"/>
    <s v="Thursday"/>
    <s v="On Demand"/>
    <x v="16"/>
  </r>
  <r>
    <s v="2023-09-28 07:55 (PST)"/>
    <d v="2023-09-28T00:00:00"/>
    <s v="07:55(PST)"/>
    <s v="Thursday"/>
    <s v="On Demand"/>
    <x v="23"/>
  </r>
  <r>
    <s v="2023-09-28 15:03 (-07)"/>
    <d v="2023-09-28T00:00:00"/>
    <s v="15:03(-07)"/>
    <s v="Thursday"/>
    <s v="On Demand"/>
    <x v="4"/>
  </r>
  <r>
    <s v="2023-09-28 15:50 (-07)"/>
    <d v="2023-09-28T00:00:00"/>
    <s v="15:50(-07)"/>
    <s v="Thursday"/>
    <s v="On Demand"/>
    <x v="6"/>
  </r>
  <r>
    <s v="2023-09-28 16:01 (-07)"/>
    <d v="2023-09-28T00:00:00"/>
    <s v="16:01(-07)"/>
    <s v="Thursday"/>
    <s v="On Demand"/>
    <x v="4"/>
  </r>
  <r>
    <s v="2023-09-28 16:15 (-07)"/>
    <d v="2023-09-28T00:00:00"/>
    <s v="16:15(-07)"/>
    <s v="Thursday"/>
    <s v="On Demand"/>
    <x v="35"/>
  </r>
  <r>
    <s v="2023-09-28 16:26 (-07)"/>
    <d v="2023-09-28T00:00:00"/>
    <s v="16:26(-07)"/>
    <s v="Thursday"/>
    <s v="On Demand"/>
    <x v="35"/>
  </r>
  <r>
    <s v="2023-09-28 22:34 (PST)"/>
    <d v="2023-09-28T00:00:00"/>
    <s v="22:34(PST)"/>
    <s v="Thursday"/>
    <s v="On Demand"/>
    <x v="19"/>
  </r>
  <r>
    <s v="2023-10-05 22:52 (PST)"/>
    <d v="2023-10-05T00:00:00"/>
    <s v="22:52(PST)"/>
    <s v="Thursday"/>
    <s v="On Demand"/>
    <x v="28"/>
  </r>
  <r>
    <s v="2023-10-12 16:11 (-07)"/>
    <d v="2023-10-12T00:00:00"/>
    <s v="16:11(-07)"/>
    <s v="Thursday"/>
    <s v="On Demand"/>
    <x v="12"/>
  </r>
  <r>
    <s v="2023-10-12 16:32 (-07)"/>
    <d v="2023-10-12T00:00:00"/>
    <s v="16:32(-07)"/>
    <s v="Thursday"/>
    <s v="On Demand"/>
    <x v="24"/>
  </r>
  <r>
    <s v="2023-10-12 16:47 (-07)"/>
    <d v="2023-10-12T00:00:00"/>
    <s v="16:47(-07)"/>
    <s v="Thursday"/>
    <s v="On Demand"/>
    <x v="24"/>
  </r>
  <r>
    <s v="2023-10-12 16:59 (-07)"/>
    <d v="2023-10-12T00:00:00"/>
    <s v="16:59(-07)"/>
    <s v="Thursday"/>
    <s v="On Demand"/>
    <x v="38"/>
  </r>
  <r>
    <s v="2023-10-12 17:21 (-07)"/>
    <d v="2023-10-12T00:00:00"/>
    <s v="17:21(-07)"/>
    <s v="Thursday"/>
    <s v="On Demand"/>
    <x v="37"/>
  </r>
  <r>
    <s v="2023-10-12 22:49 (PST)"/>
    <d v="2023-10-12T00:00:00"/>
    <s v="22:49(PST)"/>
    <s v="Thursday"/>
    <s v="On Demand"/>
    <x v="13"/>
  </r>
  <r>
    <s v="2023-10-19 21:13 (PST)"/>
    <d v="2023-10-19T00:00:00"/>
    <s v="21:13(PST)"/>
    <s v="Thursday"/>
    <s v="On Demand"/>
    <x v="19"/>
  </r>
  <r>
    <s v="2023-10-19 21:30 (PST)"/>
    <d v="2023-10-19T00:00:00"/>
    <s v="21:30(PST)"/>
    <s v="Thursday"/>
    <s v="On Demand"/>
    <x v="7"/>
  </r>
  <r>
    <s v="2023-10-26 22:36 (PST)"/>
    <d v="2023-10-26T00:00:00"/>
    <s v="22:36(PST)"/>
    <s v="Thursday"/>
    <s v="On Demand"/>
    <x v="25"/>
  </r>
  <r>
    <s v="2023-11-02 22:30 (PST)"/>
    <d v="2023-11-02T00:00:00"/>
    <s v="22:30(PST)"/>
    <s v="Thursday"/>
    <s v="On Demand"/>
    <x v="16"/>
  </r>
  <r>
    <s v="2023-11-09 10:15 (-08)"/>
    <d v="2023-11-09T00:00:00"/>
    <s v="10:15(-08)"/>
    <s v="Thursday"/>
    <s v="On Demand"/>
    <x v="12"/>
  </r>
  <r>
    <s v="2023-11-09 10:58 (-08)"/>
    <d v="2023-11-09T00:00:00"/>
    <s v="10:58(-08)"/>
    <s v="Thursday"/>
    <s v="On Demand"/>
    <x v="7"/>
  </r>
  <r>
    <s v="2023-11-09 12:56 (PST)"/>
    <d v="2023-11-09T00:00:00"/>
    <s v="12:56(PST)"/>
    <s v="Thursday"/>
    <s v="On Demand"/>
    <x v="23"/>
  </r>
  <r>
    <s v="2023-11-16 22:51 (PST)"/>
    <d v="2023-11-16T00:00:00"/>
    <s v="22:51(PST)"/>
    <s v="Thursday"/>
    <s v="On Demand"/>
    <x v="19"/>
  </r>
  <r>
    <s v="2023-11-30 09:07 (PST)"/>
    <d v="2023-11-30T00:00:00"/>
    <s v="09:07(PST)"/>
    <s v="Thursday"/>
    <s v="On Demand"/>
    <x v="11"/>
  </r>
  <r>
    <s v="2023-11-30 09:37 (PST)"/>
    <d v="2023-11-30T00:00:00"/>
    <s v="09:37(PST)"/>
    <s v="Thursday"/>
    <s v="On Demand"/>
    <x v="7"/>
  </r>
  <r>
    <s v="2023-12-07 21:58 (PST)"/>
    <d v="2023-12-07T00:00:00"/>
    <s v="21:58(PST)"/>
    <s v="Thursday"/>
    <s v="On Demand"/>
    <x v="23"/>
  </r>
  <r>
    <s v="2023-12-14 14:47 (-08)"/>
    <d v="2023-12-14T00:00:00"/>
    <s v="14:47(-08)"/>
    <s v="Thursday"/>
    <s v="On Demand"/>
    <x v="6"/>
  </r>
  <r>
    <s v="2023-12-14 16:04 (-08)"/>
    <d v="2023-12-14T00:00:00"/>
    <s v="16:04(-08)"/>
    <s v="Thursday"/>
    <s v="On Demand"/>
    <x v="4"/>
  </r>
  <r>
    <s v="2023-12-14 16:19 (-08)"/>
    <d v="2023-12-14T00:00:00"/>
    <s v="16:19(-08)"/>
    <s v="Thursday"/>
    <s v="On Demand"/>
    <x v="4"/>
  </r>
  <r>
    <s v="2023-12-14 16:30 (-08)"/>
    <d v="2023-12-14T00:00:00"/>
    <s v="16:30(-08)"/>
    <s v="Thursday"/>
    <s v="On Demand"/>
    <x v="32"/>
  </r>
  <r>
    <s v="2023-12-21 09:32 (PST)"/>
    <d v="2023-12-21T00:00:00"/>
    <s v="09:32(PST)"/>
    <s v="Thursday"/>
    <s v="On Demand"/>
    <x v="12"/>
  </r>
  <r>
    <s v="2023-12-21 09:39 (PST)"/>
    <d v="2023-12-21T00:00:00"/>
    <s v="09:39(PST)"/>
    <s v="Thursday"/>
    <s v="On Demand"/>
    <x v="16"/>
  </r>
  <r>
    <s v="2023-12-21 15:23 (-08)"/>
    <d v="2023-12-21T00:00:00"/>
    <s v="15:23(-08)"/>
    <s v="Thursday"/>
    <s v="On Demand"/>
    <x v="7"/>
  </r>
  <r>
    <s v="2023-12-21 16:09 (-08)"/>
    <d v="2023-12-21T00:00:00"/>
    <s v="16:09(-08)"/>
    <s v="Thursday"/>
    <s v="On Demand"/>
    <x v="7"/>
  </r>
  <r>
    <s v="2023-12-21 16:21 (-08)"/>
    <d v="2023-12-21T00:00:00"/>
    <s v="16:21(-08)"/>
    <s v="Thursday"/>
    <s v="On Demand"/>
    <x v="37"/>
  </r>
  <r>
    <s v="2023-12-21 16:46 (-08)"/>
    <d v="2023-12-21T00:00:00"/>
    <s v="16:46(-08)"/>
    <s v="Thursday"/>
    <s v="On Demand"/>
    <x v="37"/>
  </r>
  <r>
    <s v="2023-12-21 22:53 (PST)"/>
    <d v="2023-12-21T00:00:00"/>
    <s v="22:53(PST)"/>
    <s v="Thursday"/>
    <s v="On Demand"/>
    <x v="16"/>
  </r>
  <r>
    <s v="2023-12-28 10:13 (-08)"/>
    <d v="2023-12-28T00:00:00"/>
    <s v="10:13(-08)"/>
    <s v="Thursday"/>
    <s v="On Demand"/>
    <x v="37"/>
  </r>
  <r>
    <s v="2023-12-28 10:54 (-08)"/>
    <d v="2023-12-28T00:00:00"/>
    <s v="10:54(-08)"/>
    <s v="Thursday"/>
    <s v="On Demand"/>
    <x v="38"/>
  </r>
  <r>
    <s v="2023-12-28 11:59 (-08)"/>
    <d v="2023-12-28T00:00:00"/>
    <s v="11:59(-08)"/>
    <s v="Thursday"/>
    <s v="On Demand"/>
    <x v="31"/>
  </r>
  <r>
    <s v="2023-12-28 22:31 (PST)"/>
    <d v="2023-12-28T00:00:00"/>
    <s v="22:31(PST)"/>
    <s v="Thursday"/>
    <s v="On Demand"/>
    <x v="13"/>
  </r>
  <r>
    <s v="2024-01-04 10:15 (PST)"/>
    <d v="2024-01-04T00:00:00"/>
    <s v="10:15(PST)"/>
    <s v="Thursday"/>
    <s v="On Demand"/>
    <x v="7"/>
  </r>
  <r>
    <s v="2024-01-04 11:54 (PST)"/>
    <d v="2024-01-04T00:00:00"/>
    <s v="11:54(PST)"/>
    <s v="Thursday"/>
    <m/>
    <x v="34"/>
  </r>
  <r>
    <s v="2024-01-04 15:24 (-08)"/>
    <d v="2024-01-04T00:00:00"/>
    <s v="15:24(-08)"/>
    <s v="Thursday"/>
    <s v="On Demand"/>
    <x v="31"/>
  </r>
  <r>
    <s v="2024-01-04 15:38 (-08)"/>
    <d v="2024-01-04T00:00:00"/>
    <s v="15:38(-08)"/>
    <s v="Thursday"/>
    <s v="On Demand"/>
    <x v="9"/>
  </r>
  <r>
    <s v="2024-01-04 16:10 (-08)"/>
    <d v="2024-01-04T00:00:00"/>
    <s v="16:10(-08)"/>
    <s v="Thursday"/>
    <s v="On Demand"/>
    <x v="18"/>
  </r>
  <r>
    <s v="2024-01-04 21:55 (PST)"/>
    <d v="2024-01-04T00:00:00"/>
    <s v="21:55(PST)"/>
    <s v="Thursday"/>
    <s v="On Demand"/>
    <x v="16"/>
  </r>
  <r>
    <s v="2024-01-11 23:07 (PST)"/>
    <d v="2024-01-11T00:00:00"/>
    <s v="23:07(PST)"/>
    <s v="Thursday"/>
    <s v="On Demand"/>
    <x v="19"/>
  </r>
  <r>
    <s v="2018-08-21 16:40 (PST)"/>
    <d v="2018-08-21T00:00:00"/>
    <s v="16:40(PST)"/>
    <s v="Tuesday"/>
    <s v="On Demand"/>
    <x v="0"/>
  </r>
  <r>
    <s v="2018-09-11 16:19 (PST)"/>
    <d v="2018-09-11T00:00:00"/>
    <s v="16:19(PST)"/>
    <s v="Tuesday"/>
    <s v="On Demand"/>
    <x v="0"/>
  </r>
  <r>
    <s v="2018-09-25 16:22 (PST)"/>
    <d v="2018-09-25T00:00:00"/>
    <s v="16:22(PST)"/>
    <s v="Tuesday"/>
    <s v="On Demand"/>
    <x v="0"/>
  </r>
  <r>
    <s v="2018-10-02 16:14 (PST)"/>
    <d v="2018-10-02T00:00:00"/>
    <s v="16:14(PST)"/>
    <s v="Tuesday"/>
    <s v="On Demand"/>
    <x v="0"/>
  </r>
  <r>
    <s v="2018-10-09 16:19 (PST)"/>
    <d v="2018-10-09T00:00:00"/>
    <s v="16:19(PST)"/>
    <s v="Tuesday"/>
    <s v="On Demand"/>
    <x v="0"/>
  </r>
  <r>
    <s v="2018-10-16 16:14 (PST)"/>
    <d v="2018-10-16T00:00:00"/>
    <s v="16:14(PST)"/>
    <s v="Tuesday"/>
    <s v="On Demand"/>
    <x v="0"/>
  </r>
  <r>
    <s v="2018-10-30 12:10 (PST)"/>
    <d v="2018-10-30T00:00:00"/>
    <s v="12:10(PST)"/>
    <s v="Tuesday"/>
    <s v="On Demand"/>
    <x v="0"/>
  </r>
  <r>
    <s v="2018-11-20 11:50 (PST)"/>
    <d v="2018-11-20T00:00:00"/>
    <s v="11:50(PST)"/>
    <s v="Tuesday"/>
    <s v="On Demand"/>
    <x v="0"/>
  </r>
  <r>
    <s v="2018-12-11 11:41 (PST)"/>
    <d v="2018-12-11T00:00:00"/>
    <s v="11:41(PST)"/>
    <s v="Tuesday"/>
    <s v="On Demand"/>
    <x v="0"/>
  </r>
  <r>
    <s v="2019-06-11 12:12 (PST)"/>
    <d v="2019-06-11T00:00:00"/>
    <s v="12:12(PST)"/>
    <s v="Tuesday"/>
    <s v="On Demand"/>
    <x v="0"/>
  </r>
  <r>
    <s v="2019-06-18 12:15 (PST)"/>
    <d v="2019-06-18T00:00:00"/>
    <s v="12:15(PST)"/>
    <s v="Tuesday"/>
    <s v="On Demand"/>
    <x v="0"/>
  </r>
  <r>
    <s v="2019-06-25 11:53 (PST)"/>
    <d v="2019-06-25T00:00:00"/>
    <s v="11:53(PST)"/>
    <s v="Tuesday"/>
    <s v="On Demand"/>
    <x v="0"/>
  </r>
  <r>
    <s v="2019-07-02 15:18 (PST)"/>
    <d v="2019-07-02T00:00:00"/>
    <s v="15:18(PST)"/>
    <s v="Tuesday"/>
    <s v="On Demand"/>
    <x v="0"/>
  </r>
  <r>
    <s v="2019-07-16 12:39 (PST)"/>
    <d v="2019-07-16T00:00:00"/>
    <s v="12:39(PST)"/>
    <s v="Tuesday"/>
    <s v="On Demand"/>
    <x v="20"/>
  </r>
  <r>
    <s v="2019-11-05 06:37 (PST)"/>
    <d v="2019-11-05T00:00:00"/>
    <s v="06:37(PST)"/>
    <s v="Tuesday"/>
    <s v="On Demand"/>
    <x v="1"/>
  </r>
  <r>
    <s v="2020-01-07 20:14 (PST)"/>
    <d v="2020-01-07T00:00:00"/>
    <s v="20:14(PST)"/>
    <s v="Tuesday"/>
    <s v="On Demand"/>
    <x v="1"/>
  </r>
  <r>
    <s v="2020-01-28 17:38 (PST)"/>
    <d v="2020-01-28T00:00:00"/>
    <s v="17:38(PST)"/>
    <s v="Tuesday"/>
    <s v="On Demand"/>
    <x v="1"/>
  </r>
  <r>
    <s v="2020-02-04 21:51 (PST)"/>
    <d v="2020-02-04T00:00:00"/>
    <s v="21:51(PST)"/>
    <s v="Tuesday"/>
    <s v="On Demand"/>
    <x v="16"/>
  </r>
  <r>
    <s v="2020-02-04 22:15 (PST)"/>
    <d v="2020-02-04T00:00:00"/>
    <s v="22:15(PST)"/>
    <s v="Tuesday"/>
    <s v="On Demand"/>
    <x v="1"/>
  </r>
  <r>
    <s v="2020-03-10 21:13 (PST)"/>
    <d v="2020-03-10T00:00:00"/>
    <s v="21:13(PST)"/>
    <s v="Tuesday"/>
    <s v="On Demand"/>
    <x v="7"/>
  </r>
  <r>
    <s v="2020-03-10 21:36 (PST)"/>
    <d v="2020-03-10T00:00:00"/>
    <s v="21:36(PST)"/>
    <s v="Tuesday"/>
    <s v="On Demand"/>
    <x v="1"/>
  </r>
  <r>
    <s v="2020-03-24 20:11 (PST)"/>
    <d v="2020-03-24T00:00:00"/>
    <s v="20:11(PST)"/>
    <s v="Tuesday"/>
    <s v="On Demand"/>
    <x v="19"/>
  </r>
  <r>
    <s v="2020-10-20 19:00 (PST)"/>
    <d v="2020-10-20T00:00:00"/>
    <s v="19:00(PST)"/>
    <s v="Tuesday"/>
    <s v="On Demand"/>
    <x v="6"/>
  </r>
  <r>
    <s v="2020-10-20 19:48 (PST)"/>
    <d v="2020-10-20T00:00:00"/>
    <s v="19:48(PST)"/>
    <s v="Tuesday"/>
    <s v="On Demand"/>
    <x v="5"/>
  </r>
  <r>
    <s v="2020-11-03 06:25 (PST)"/>
    <d v="2020-11-03T00:00:00"/>
    <s v="06:25(PST)"/>
    <s v="Tuesday"/>
    <s v="On Demand"/>
    <x v="6"/>
  </r>
  <r>
    <s v="2020-11-03 06:43 (PST)"/>
    <d v="2020-11-03T00:00:00"/>
    <s v="06:43(PST)"/>
    <s v="Tuesday"/>
    <s v="On Demand"/>
    <x v="6"/>
  </r>
  <r>
    <s v="2020-11-10 06:50 (PST)"/>
    <d v="2020-11-10T00:00:00"/>
    <s v="06:50(PST)"/>
    <s v="Tuesday"/>
    <s v="On Demand"/>
    <x v="6"/>
  </r>
  <r>
    <s v="2020-11-10 07:02 (PST)"/>
    <d v="2020-11-10T00:00:00"/>
    <s v="07:02(PST)"/>
    <s v="Tuesday"/>
    <s v="On Demand"/>
    <x v="9"/>
  </r>
  <r>
    <s v="2020-11-10 07:34 (PST)"/>
    <d v="2020-11-10T00:00:00"/>
    <s v="07:34(PST)"/>
    <s v="Tuesday"/>
    <s v="On Demand"/>
    <x v="9"/>
  </r>
  <r>
    <s v="2020-11-17 06:46 (PST)"/>
    <d v="2020-11-17T00:00:00"/>
    <s v="06:46(PST)"/>
    <s v="Tuesday"/>
    <s v="On Demand"/>
    <x v="7"/>
  </r>
  <r>
    <s v="2020-11-17 07:36 (PST)"/>
    <d v="2020-11-17T00:00:00"/>
    <s v="07:36(PST)"/>
    <s v="Tuesday"/>
    <s v="On Demand"/>
    <x v="7"/>
  </r>
  <r>
    <s v="2020-11-24 06:58 (PST)"/>
    <d v="2020-11-24T00:00:00"/>
    <s v="06:58(PST)"/>
    <s v="Tuesday"/>
    <s v="On Demand"/>
    <x v="5"/>
  </r>
  <r>
    <s v="2020-12-01 07:02 (PST)"/>
    <d v="2020-12-01T00:00:00"/>
    <s v="07:02(PST)"/>
    <s v="Tuesday"/>
    <s v="On Demand"/>
    <x v="7"/>
  </r>
  <r>
    <s v="2020-12-08 07:10 (PST)"/>
    <d v="2020-12-08T00:00:00"/>
    <s v="07:10(PST)"/>
    <s v="Tuesday"/>
    <s v="On Demand"/>
    <x v="12"/>
  </r>
  <r>
    <s v="2020-12-08 07:57 (PST)"/>
    <d v="2020-12-08T00:00:00"/>
    <s v="07:57(PST)"/>
    <s v="Tuesday"/>
    <s v="On Demand"/>
    <x v="4"/>
  </r>
  <r>
    <s v="2020-12-15 07:13 (PST)"/>
    <d v="2020-12-15T00:00:00"/>
    <s v="07:13(PST)"/>
    <s v="Tuesday"/>
    <s v="On Demand"/>
    <x v="7"/>
  </r>
  <r>
    <s v="2020-12-15 07:59 (PST)"/>
    <d v="2020-12-15T00:00:00"/>
    <s v="07:59(PST)"/>
    <s v="Tuesday"/>
    <s v="On Demand"/>
    <x v="22"/>
  </r>
  <r>
    <s v="2020-12-22 17:46 (PST)"/>
    <d v="2020-12-22T00:00:00"/>
    <s v="17:46(PST)"/>
    <s v="Tuesday"/>
    <s v="On Demand"/>
    <x v="9"/>
  </r>
  <r>
    <s v="2020-12-22 18:32 (PST)"/>
    <d v="2020-12-22T00:00:00"/>
    <s v="18:32(PST)"/>
    <s v="Tuesday"/>
    <s v="On Demand"/>
    <x v="9"/>
  </r>
  <r>
    <s v="2020-12-22 18:43 (PST)"/>
    <d v="2020-12-22T00:00:00"/>
    <s v="18:43(PST)"/>
    <s v="Tuesday"/>
    <s v="On Demand"/>
    <x v="10"/>
  </r>
  <r>
    <s v="2020-12-29 18:30 (PST)"/>
    <d v="2020-12-29T00:00:00"/>
    <s v="18:30(PST)"/>
    <s v="Tuesday"/>
    <s v="On Demand"/>
    <x v="7"/>
  </r>
  <r>
    <s v="2020-12-29 19:16 (PST)"/>
    <d v="2020-12-29T00:00:00"/>
    <s v="19:16(PST)"/>
    <s v="Tuesday"/>
    <s v="On Demand"/>
    <x v="17"/>
  </r>
  <r>
    <s v="2020-12-29 19:24 (PST)"/>
    <d v="2020-12-29T00:00:00"/>
    <s v="19:24(PST)"/>
    <s v="Tuesday"/>
    <s v="On Demand"/>
    <x v="1"/>
  </r>
  <r>
    <s v="2021-01-05 16:27 (PST)"/>
    <d v="2021-01-05T00:00:00"/>
    <s v="16:27(PST)"/>
    <s v="Tuesday"/>
    <s v="On Demand"/>
    <x v="6"/>
  </r>
  <r>
    <s v="2021-01-12 18:28 (PST)"/>
    <d v="2021-01-12T00:00:00"/>
    <s v="18:28(PST)"/>
    <s v="Tuesday"/>
    <s v="On Demand"/>
    <x v="11"/>
  </r>
  <r>
    <s v="2021-01-12 19:30 (PST)"/>
    <d v="2021-01-12T00:00:00"/>
    <s v="19:30(PST)"/>
    <s v="Tuesday"/>
    <s v="On Demand"/>
    <x v="53"/>
  </r>
  <r>
    <s v="2021-01-19 16:50 (-08)"/>
    <d v="2021-01-19T00:00:00"/>
    <s v="16:50(-08)"/>
    <s v="Tuesday"/>
    <s v="On Demand"/>
    <x v="6"/>
  </r>
  <r>
    <s v="2021-01-19 17:20 (-08)"/>
    <d v="2021-01-19T00:00:00"/>
    <s v="17:20(-08)"/>
    <s v="Tuesday"/>
    <s v="On Demand"/>
    <x v="6"/>
  </r>
  <r>
    <s v="2021-01-19 17:27 (-08)"/>
    <d v="2021-01-19T00:00:00"/>
    <s v="17:27(-08)"/>
    <s v="Tuesday"/>
    <s v="On Demand"/>
    <x v="0"/>
  </r>
  <r>
    <s v="2021-01-19 21:24 (PST)"/>
    <d v="2021-01-19T00:00:00"/>
    <s v="21:24(PST)"/>
    <s v="Tuesday"/>
    <s v="On Demand"/>
    <x v="7"/>
  </r>
  <r>
    <s v="2021-01-26 07:18 (-08)"/>
    <d v="2021-01-26T00:00:00"/>
    <s v="07:18(-08)"/>
    <s v="Tuesday"/>
    <s v="On Demand"/>
    <x v="9"/>
  </r>
  <r>
    <s v="2021-01-26 07:51 (-08)"/>
    <d v="2021-01-26T00:00:00"/>
    <s v="07:51(-08)"/>
    <s v="Tuesday"/>
    <s v="On Demand"/>
    <x v="11"/>
  </r>
  <r>
    <s v="2021-01-26 20:18 (PST)"/>
    <d v="2021-01-26T00:00:00"/>
    <s v="20:18(PST)"/>
    <s v="Tuesday"/>
    <s v="On Demand"/>
    <x v="7"/>
  </r>
  <r>
    <s v="2021-01-26 21:06 (PST)"/>
    <d v="2021-01-26T00:00:00"/>
    <s v="21:06(PST)"/>
    <s v="Tuesday"/>
    <s v="On Demand"/>
    <x v="16"/>
  </r>
  <r>
    <s v="2021-02-02 07:07 (-08)"/>
    <d v="2021-02-02T00:00:00"/>
    <s v="07:07(-08)"/>
    <s v="Tuesday"/>
    <s v="On Demand"/>
    <x v="5"/>
  </r>
  <r>
    <s v="2021-02-02 07:40 (-08)"/>
    <d v="2021-02-02T00:00:00"/>
    <s v="07:40(-08)"/>
    <s v="Tuesday"/>
    <s v="On Demand"/>
    <x v="11"/>
  </r>
  <r>
    <s v="2021-02-09 06:53 (PST)"/>
    <d v="2021-02-09T00:00:00"/>
    <s v="06:53(PST)"/>
    <s v="Tuesday"/>
    <s v="On Demand"/>
    <x v="7"/>
  </r>
  <r>
    <s v="2021-02-09 07:40 (PST)"/>
    <d v="2021-02-09T00:00:00"/>
    <s v="07:40(PST)"/>
    <s v="Tuesday"/>
    <s v="On Demand"/>
    <x v="7"/>
  </r>
  <r>
    <s v="2021-02-09 07:46 (PST)"/>
    <d v="2021-02-09T00:00:00"/>
    <s v="07:46(PST)"/>
    <s v="Tuesday"/>
    <s v="On Demand"/>
    <x v="4"/>
  </r>
  <r>
    <s v="2021-02-16 07:05 (PST)"/>
    <d v="2021-02-16T00:00:00"/>
    <s v="07:05(PST)"/>
    <s v="Tuesday"/>
    <s v="On Demand"/>
    <x v="7"/>
  </r>
  <r>
    <s v="2021-02-16 07:36 (PST)"/>
    <d v="2021-02-16T00:00:00"/>
    <s v="07:36(PST)"/>
    <s v="Tuesday"/>
    <s v="On Demand"/>
    <x v="7"/>
  </r>
  <r>
    <s v="2021-02-16 07:50 (PST)"/>
    <d v="2021-02-16T00:00:00"/>
    <s v="07:50(PST)"/>
    <s v="Tuesday"/>
    <s v="On Demand"/>
    <x v="7"/>
  </r>
  <r>
    <s v="2021-02-23 06:13 (PST)"/>
    <d v="2021-02-23T00:00:00"/>
    <s v="06:13(PST)"/>
    <s v="Tuesday"/>
    <s v="On Demand"/>
    <x v="6"/>
  </r>
  <r>
    <s v="2021-02-23 06:59 (PST)"/>
    <d v="2021-02-23T00:00:00"/>
    <s v="06:59(PST)"/>
    <s v="Tuesday"/>
    <s v="On Demand"/>
    <x v="6"/>
  </r>
  <r>
    <s v="2021-02-23 07:05 (PST)"/>
    <d v="2021-02-23T00:00:00"/>
    <s v="07:05(PST)"/>
    <s v="Tuesday"/>
    <s v="On Demand"/>
    <x v="6"/>
  </r>
  <r>
    <s v="2021-02-23 19:22 (PST)"/>
    <d v="2021-02-23T00:00:00"/>
    <s v="19:22(PST)"/>
    <s v="Tuesday"/>
    <s v="On Demand"/>
    <x v="5"/>
  </r>
  <r>
    <s v="2021-02-23 19:39 (PST)"/>
    <d v="2021-02-23T00:00:00"/>
    <s v="19:39(PST)"/>
    <s v="Tuesday"/>
    <s v="On Demand"/>
    <x v="23"/>
  </r>
  <r>
    <s v="2021-03-02 06:53 (-08)"/>
    <d v="2021-03-02T00:00:00"/>
    <s v="06:53(-08)"/>
    <s v="Tuesday"/>
    <s v="On Demand"/>
    <x v="6"/>
  </r>
  <r>
    <s v="2021-03-02 07:39 (-08)"/>
    <d v="2021-03-02T00:00:00"/>
    <s v="07:39(-08)"/>
    <s v="Tuesday"/>
    <s v="On Demand"/>
    <x v="7"/>
  </r>
  <r>
    <s v="2021-03-02 08:11 (-08)"/>
    <d v="2021-03-02T00:00:00"/>
    <s v="08:11(-08)"/>
    <s v="Tuesday"/>
    <s v="On Demand"/>
    <x v="7"/>
  </r>
  <r>
    <s v="2021-03-09 07:03 (-08)"/>
    <d v="2021-03-09T00:00:00"/>
    <s v="07:03(-08)"/>
    <s v="Tuesday"/>
    <s v="On Demand"/>
    <x v="6"/>
  </r>
  <r>
    <s v="2021-03-09 07:51 (-08)"/>
    <d v="2021-03-09T00:00:00"/>
    <s v="07:51(-08)"/>
    <s v="Tuesday"/>
    <s v="On Demand"/>
    <x v="11"/>
  </r>
  <r>
    <s v="2021-03-09 22:49 (PST)"/>
    <d v="2021-03-09T00:00:00"/>
    <s v="22:49(PST)"/>
    <s v="Tuesday"/>
    <s v="On Demand"/>
    <x v="16"/>
  </r>
  <r>
    <s v="2021-03-16 07:11 (-07)"/>
    <d v="2021-03-16T00:00:00"/>
    <s v="07:11(-07)"/>
    <s v="Tuesday"/>
    <s v="On Demand"/>
    <x v="7"/>
  </r>
  <r>
    <s v="2021-03-16 08:22 (PST)"/>
    <d v="2021-03-16T00:00:00"/>
    <s v="08:22(PST)"/>
    <s v="Tuesday"/>
    <s v="On Demand"/>
    <x v="7"/>
  </r>
  <r>
    <s v="2021-03-16 22:30 (PST)"/>
    <d v="2021-03-16T00:00:00"/>
    <s v="22:30(PST)"/>
    <s v="Tuesday"/>
    <s v="On Demand"/>
    <x v="16"/>
  </r>
  <r>
    <s v="2021-03-23 07:01 (PST)"/>
    <d v="2021-03-23T00:00:00"/>
    <s v="07:01(PST)"/>
    <s v="Tuesday"/>
    <s v="Live"/>
    <x v="23"/>
  </r>
  <r>
    <s v="2021-03-23 22:18 (PST)"/>
    <d v="2021-03-23T00:00:00"/>
    <s v="22:18(PST)"/>
    <s v="Tuesday"/>
    <s v="On Demand"/>
    <x v="19"/>
  </r>
  <r>
    <s v="2021-03-30 06:54 (-07)"/>
    <d v="2021-03-30T00:00:00"/>
    <s v="06:54(-07)"/>
    <s v="Tuesday"/>
    <s v="On Demand"/>
    <x v="18"/>
  </r>
  <r>
    <s v="2021-03-30 07:40 (-07)"/>
    <d v="2021-03-30T00:00:00"/>
    <s v="07:40(-07)"/>
    <s v="Tuesday"/>
    <s v="On Demand"/>
    <x v="7"/>
  </r>
  <r>
    <s v="2021-03-30 07:50 (-07)"/>
    <d v="2021-03-30T00:00:00"/>
    <s v="07:50(-07)"/>
    <s v="Tuesday"/>
    <s v="On Demand"/>
    <x v="7"/>
  </r>
  <r>
    <s v="2021-03-30 21:59 (PST)"/>
    <d v="2021-03-30T00:00:00"/>
    <s v="21:59(PST)"/>
    <s v="Tuesday"/>
    <s v="On Demand"/>
    <x v="16"/>
  </r>
  <r>
    <s v="2021-04-06 06:56 (-07)"/>
    <d v="2021-04-06T00:00:00"/>
    <s v="06:56(-07)"/>
    <s v="Tuesday"/>
    <s v="On Demand"/>
    <x v="6"/>
  </r>
  <r>
    <s v="2021-04-06 07:59 (-07)"/>
    <d v="2021-04-06T00:00:00"/>
    <s v="07:59(-07)"/>
    <s v="Tuesday"/>
    <s v="On Demand"/>
    <x v="12"/>
  </r>
  <r>
    <s v="2021-04-06 22:10 (PST)"/>
    <d v="2021-04-06T00:00:00"/>
    <s v="22:10(PST)"/>
    <s v="Tuesday"/>
    <s v="On Demand"/>
    <x v="13"/>
  </r>
  <r>
    <s v="2021-04-13 22:16 (PST)"/>
    <d v="2021-04-13T00:00:00"/>
    <s v="22:16(PST)"/>
    <s v="Tuesday"/>
    <s v="On Demand"/>
    <x v="16"/>
  </r>
  <r>
    <s v="2021-04-20 06:48 (-07)"/>
    <d v="2021-04-20T00:00:00"/>
    <s v="06:48(-07)"/>
    <s v="Tuesday"/>
    <s v="On Demand"/>
    <x v="7"/>
  </r>
  <r>
    <s v="2021-04-20 07:34 (-07)"/>
    <d v="2021-04-20T00:00:00"/>
    <s v="07:34(-07)"/>
    <s v="Tuesday"/>
    <s v="On Demand"/>
    <x v="7"/>
  </r>
  <r>
    <s v="2021-04-20 07:40 (-07)"/>
    <d v="2021-04-20T00:00:00"/>
    <s v="07:40(-07)"/>
    <s v="Tuesday"/>
    <s v="On Demand"/>
    <x v="15"/>
  </r>
  <r>
    <s v="2021-04-20 07:51 (-07)"/>
    <d v="2021-04-20T00:00:00"/>
    <s v="07:51(-07)"/>
    <s v="Tuesday"/>
    <s v="On Demand"/>
    <x v="5"/>
  </r>
  <r>
    <s v="2021-04-20 22:07 (PST)"/>
    <d v="2021-04-20T00:00:00"/>
    <s v="22:07(PST)"/>
    <s v="Tuesday"/>
    <s v="On Demand"/>
    <x v="19"/>
  </r>
  <r>
    <s v="2021-04-27 22:15 (PST)"/>
    <d v="2021-04-27T00:00:00"/>
    <s v="22:15(PST)"/>
    <s v="Tuesday"/>
    <s v="On Demand"/>
    <x v="16"/>
  </r>
  <r>
    <s v="2021-05-04 18:47 (-07)"/>
    <d v="2021-05-04T00:00:00"/>
    <s v="18:47(-07)"/>
    <s v="Tuesday"/>
    <s v="On Demand"/>
    <x v="6"/>
  </r>
  <r>
    <s v="2021-05-04 19:32 (-07)"/>
    <d v="2021-05-04T00:00:00"/>
    <s v="19:32(-07)"/>
    <s v="Tuesday"/>
    <s v="On Demand"/>
    <x v="6"/>
  </r>
  <r>
    <s v="2021-05-04 19:38 (-07)"/>
    <d v="2021-05-04T00:00:00"/>
    <s v="19:38(-07)"/>
    <s v="Tuesday"/>
    <s v="On Demand"/>
    <x v="6"/>
  </r>
  <r>
    <s v="2021-05-04 19:43 (-07)"/>
    <d v="2021-05-04T00:00:00"/>
    <s v="19:43(-07)"/>
    <s v="Tuesday"/>
    <s v="On Demand"/>
    <x v="4"/>
  </r>
  <r>
    <s v="2021-05-04 22:22 (PST)"/>
    <d v="2021-05-04T00:00:00"/>
    <s v="22:22(PST)"/>
    <s v="Tuesday"/>
    <s v="On Demand"/>
    <x v="16"/>
  </r>
  <r>
    <s v="2021-05-11 07:28 (PST)"/>
    <d v="2021-05-11T00:00:00"/>
    <s v="07:28(PST)"/>
    <s v="Tuesday"/>
    <s v="On Demand"/>
    <x v="7"/>
  </r>
  <r>
    <s v="2021-05-11 07:52 (PST)"/>
    <d v="2021-05-11T00:00:00"/>
    <s v="07:52(PST)"/>
    <s v="Tuesday"/>
    <s v="On Demand"/>
    <x v="7"/>
  </r>
  <r>
    <s v="2021-05-11 20:48 (-07)"/>
    <d v="2021-05-11T00:00:00"/>
    <s v="20:48(-07)"/>
    <s v="Tuesday"/>
    <s v="On Demand"/>
    <x v="5"/>
  </r>
  <r>
    <s v="2021-05-11 21:27 (-07)"/>
    <d v="2021-05-11T00:00:00"/>
    <s v="21:27(-07)"/>
    <s v="Tuesday"/>
    <s v="On Demand"/>
    <x v="12"/>
  </r>
  <r>
    <s v="2021-05-11 22:29 (PST)"/>
    <d v="2021-05-11T00:00:00"/>
    <s v="22:29(PST)"/>
    <s v="Tuesday"/>
    <s v="On Demand"/>
    <x v="23"/>
  </r>
  <r>
    <s v="2021-05-18 16:50 (-07)"/>
    <d v="2021-05-18T00:00:00"/>
    <s v="16:50(-07)"/>
    <s v="Tuesday"/>
    <s v="On Demand"/>
    <x v="7"/>
  </r>
  <r>
    <s v="2021-05-18 17:36 (-07)"/>
    <d v="2021-05-18T00:00:00"/>
    <s v="17:36(-07)"/>
    <s v="Tuesday"/>
    <s v="On Demand"/>
    <x v="7"/>
  </r>
  <r>
    <s v="2021-05-18 22:19 (PST)"/>
    <d v="2021-05-18T00:00:00"/>
    <s v="22:19(PST)"/>
    <s v="Tuesday"/>
    <s v="On Demand"/>
    <x v="7"/>
  </r>
  <r>
    <s v="2021-05-25 07:02 (-07)"/>
    <d v="2021-05-25T00:00:00"/>
    <s v="07:02(-07)"/>
    <s v="Tuesday"/>
    <s v="On Demand"/>
    <x v="7"/>
  </r>
  <r>
    <s v="2021-05-25 07:32 (-07)"/>
    <d v="2021-05-25T00:00:00"/>
    <s v="07:32(-07)"/>
    <s v="Tuesday"/>
    <s v="On Demand"/>
    <x v="7"/>
  </r>
  <r>
    <s v="2021-05-25 07:39 (-07)"/>
    <d v="2021-05-25T00:00:00"/>
    <s v="07:39(-07)"/>
    <s v="Tuesday"/>
    <s v="On Demand"/>
    <x v="26"/>
  </r>
  <r>
    <s v="2021-05-25 07:51 (-07)"/>
    <d v="2021-05-25T00:00:00"/>
    <s v="07:51(-07)"/>
    <s v="Tuesday"/>
    <s v="On Demand"/>
    <x v="20"/>
  </r>
  <r>
    <s v="2021-05-25 22:23 (PST)"/>
    <d v="2021-05-25T00:00:00"/>
    <s v="22:23(PST)"/>
    <s v="Tuesday"/>
    <s v="On Demand"/>
    <x v="25"/>
  </r>
  <r>
    <s v="2021-06-01 06:55 (PST)"/>
    <d v="2021-06-01T00:00:00"/>
    <s v="06:55(PST)"/>
    <s v="Tuesday"/>
    <s v="On Demand"/>
    <x v="7"/>
  </r>
  <r>
    <s v="2021-06-01 22:29 (PST)"/>
    <d v="2021-06-01T00:00:00"/>
    <s v="22:29(PST)"/>
    <s v="Tuesday"/>
    <s v="On Demand"/>
    <x v="19"/>
  </r>
  <r>
    <s v="2021-06-08 17:39 (-07)"/>
    <d v="2021-06-08T00:00:00"/>
    <s v="17:39(-07)"/>
    <s v="Tuesday"/>
    <s v="On Demand"/>
    <x v="4"/>
  </r>
  <r>
    <s v="2021-06-08 18:26 (-07)"/>
    <d v="2021-06-08T00:00:00"/>
    <s v="18:26(-07)"/>
    <s v="Tuesday"/>
    <s v="On Demand"/>
    <x v="15"/>
  </r>
  <r>
    <s v="2021-06-08 18:36 (-07)"/>
    <d v="2021-06-08T00:00:00"/>
    <s v="18:36(-07)"/>
    <s v="Tuesday"/>
    <s v="On Demand"/>
    <x v="4"/>
  </r>
  <r>
    <s v="2021-06-08 18:43 (-07)"/>
    <d v="2021-06-08T00:00:00"/>
    <s v="18:43(-07)"/>
    <s v="Tuesday"/>
    <s v="On Demand"/>
    <x v="5"/>
  </r>
  <r>
    <s v="2021-06-08 22:48 (PST)"/>
    <d v="2021-06-08T00:00:00"/>
    <s v="22:48(PST)"/>
    <s v="Tuesday"/>
    <s v="On Demand"/>
    <x v="19"/>
  </r>
  <r>
    <s v="2021-06-15 06:35 (-07)"/>
    <d v="2021-06-15T00:00:00"/>
    <s v="06:35(-07)"/>
    <s v="Tuesday"/>
    <s v="On Demand"/>
    <x v="18"/>
  </r>
  <r>
    <s v="2021-06-15 06:41 (-07)"/>
    <d v="2021-06-15T00:00:00"/>
    <s v="06:41(-07)"/>
    <s v="Tuesday"/>
    <s v="On Demand"/>
    <x v="4"/>
  </r>
  <r>
    <s v="2021-06-15 07:26 (-07)"/>
    <d v="2021-06-15T00:00:00"/>
    <s v="07:26(-07)"/>
    <s v="Tuesday"/>
    <s v="On Demand"/>
    <x v="22"/>
  </r>
  <r>
    <s v="2021-06-15 07:37 (-07)"/>
    <d v="2021-06-15T00:00:00"/>
    <s v="07:37(-07)"/>
    <s v="Tuesday"/>
    <s v="On Demand"/>
    <x v="22"/>
  </r>
  <r>
    <s v="2021-06-15 22:33 (PST)"/>
    <d v="2021-06-15T00:00:00"/>
    <s v="22:33(PST)"/>
    <s v="Tuesday"/>
    <s v="On Demand"/>
    <x v="19"/>
  </r>
  <r>
    <s v="2021-06-22 20:32 (-07)"/>
    <d v="2021-06-22T00:00:00"/>
    <s v="20:32(-07)"/>
    <s v="Tuesday"/>
    <s v="On Demand"/>
    <x v="6"/>
  </r>
  <r>
    <s v="2021-06-22 21:05 (-07)"/>
    <d v="2021-06-22T00:00:00"/>
    <s v="21:05(-07)"/>
    <s v="Tuesday"/>
    <s v="On Demand"/>
    <x v="6"/>
  </r>
  <r>
    <s v="2021-06-22 21:11 (-07)"/>
    <d v="2021-06-22T00:00:00"/>
    <s v="21:11(-07)"/>
    <s v="Tuesday"/>
    <s v="On Demand"/>
    <x v="17"/>
  </r>
  <r>
    <s v="2021-06-22 21:22 (-07)"/>
    <d v="2021-06-22T00:00:00"/>
    <s v="21:22(-07)"/>
    <s v="Tuesday"/>
    <s v="On Demand"/>
    <x v="1"/>
  </r>
  <r>
    <s v="2021-06-22 22:37 (PST)"/>
    <d v="2021-06-22T00:00:00"/>
    <s v="22:37(PST)"/>
    <s v="Tuesday"/>
    <s v="On Demand"/>
    <x v="16"/>
  </r>
  <r>
    <s v="2021-06-29 07:00 (PST)"/>
    <d v="2021-06-29T00:00:00"/>
    <s v="07:00(PST)"/>
    <s v="Tuesday"/>
    <s v="On Demand"/>
    <x v="16"/>
  </r>
  <r>
    <s v="2021-06-29 22:57 (PST)"/>
    <d v="2021-06-29T00:00:00"/>
    <s v="22:57(PST)"/>
    <s v="Tuesday"/>
    <s v="On Demand"/>
    <x v="25"/>
  </r>
  <r>
    <s v="2021-07-06 11:15 (-07)"/>
    <d v="2021-07-06T00:00:00"/>
    <s v="11:15(-07)"/>
    <s v="Tuesday"/>
    <s v="On Demand"/>
    <x v="7"/>
  </r>
  <r>
    <s v="2021-07-06 12:10 (-07)"/>
    <d v="2021-07-06T00:00:00"/>
    <s v="12:10(-07)"/>
    <s v="Tuesday"/>
    <s v="On Demand"/>
    <x v="6"/>
  </r>
  <r>
    <s v="2021-07-06 12:40 (-07)"/>
    <d v="2021-07-06T00:00:00"/>
    <s v="12:40(-07)"/>
    <s v="Tuesday"/>
    <s v="On Demand"/>
    <x v="6"/>
  </r>
  <r>
    <s v="2021-07-06 12:50 (-07)"/>
    <d v="2021-07-06T00:00:00"/>
    <s v="12:50(-07)"/>
    <s v="Tuesday"/>
    <s v="On Demand"/>
    <x v="5"/>
  </r>
  <r>
    <s v="2021-07-06 22:27 (PST)"/>
    <d v="2021-07-06T00:00:00"/>
    <s v="22:27(PST)"/>
    <s v="Tuesday"/>
    <s v="On Demand"/>
    <x v="25"/>
  </r>
  <r>
    <s v="2021-07-13 17:09 (-07)"/>
    <d v="2021-07-13T00:00:00"/>
    <s v="17:09(-07)"/>
    <s v="Tuesday"/>
    <s v="On Demand"/>
    <x v="4"/>
  </r>
  <r>
    <s v="2021-07-13 17:39 (-07)"/>
    <d v="2021-07-13T00:00:00"/>
    <s v="17:39(-07)"/>
    <s v="Tuesday"/>
    <s v="On Demand"/>
    <x v="4"/>
  </r>
  <r>
    <s v="2021-07-13 17:46 (-07)"/>
    <d v="2021-07-13T00:00:00"/>
    <s v="17:46(-07)"/>
    <s v="Tuesday"/>
    <s v="On Demand"/>
    <x v="1"/>
  </r>
  <r>
    <s v="2021-07-13 18:06 (-07)"/>
    <d v="2021-07-13T00:00:00"/>
    <s v="18:06(-07)"/>
    <s v="Tuesday"/>
    <s v="On Demand"/>
    <x v="4"/>
  </r>
  <r>
    <s v="2021-07-13 22:12 (PST)"/>
    <d v="2021-07-13T00:00:00"/>
    <s v="22:12(PST)"/>
    <s v="Tuesday"/>
    <s v="On Demand"/>
    <x v="25"/>
  </r>
  <r>
    <s v="2021-07-20 06:47 (-07)"/>
    <d v="2021-07-20T00:00:00"/>
    <s v="06:47(-07)"/>
    <s v="Tuesday"/>
    <s v="On Demand"/>
    <x v="6"/>
  </r>
  <r>
    <s v="2021-07-20 07:33 (-07)"/>
    <d v="2021-07-20T00:00:00"/>
    <s v="07:33(-07)"/>
    <s v="Tuesday"/>
    <s v="On Demand"/>
    <x v="1"/>
  </r>
  <r>
    <s v="2021-07-20 07:47 (-07)"/>
    <d v="2021-07-20T00:00:00"/>
    <s v="07:47(-07)"/>
    <s v="Tuesday"/>
    <s v="On Demand"/>
    <x v="6"/>
  </r>
  <r>
    <s v="2021-07-20 22:40 (PST)"/>
    <d v="2021-07-20T00:00:00"/>
    <s v="22:40(PST)"/>
    <s v="Tuesday"/>
    <s v="On Demand"/>
    <x v="23"/>
  </r>
  <r>
    <s v="2021-07-27 01:09 (PST)"/>
    <d v="2021-07-27T00:00:00"/>
    <s v="01:09(PST)"/>
    <s v="Tuesday"/>
    <s v="On Demand"/>
    <x v="16"/>
  </r>
  <r>
    <s v="2021-07-27 07:17 (-07)"/>
    <d v="2021-07-27T00:00:00"/>
    <s v="07:17(-07)"/>
    <s v="Tuesday"/>
    <s v="On Demand"/>
    <x v="4"/>
  </r>
  <r>
    <s v="2021-07-27 08:03 (-07)"/>
    <d v="2021-07-27T00:00:00"/>
    <s v="08:03(-07)"/>
    <s v="Tuesday"/>
    <s v="On Demand"/>
    <x v="4"/>
  </r>
  <r>
    <s v="2021-07-27 08:16 (-07)"/>
    <d v="2021-07-27T00:00:00"/>
    <s v="08:16(-07)"/>
    <s v="Tuesday"/>
    <s v="On Demand"/>
    <x v="4"/>
  </r>
  <r>
    <s v="2021-07-27 23:24 (PST)"/>
    <d v="2021-07-27T00:00:00"/>
    <s v="23:24(PST)"/>
    <s v="Tuesday"/>
    <s v="On Demand"/>
    <x v="19"/>
  </r>
  <r>
    <s v="2021-08-03 07:16 (-07)"/>
    <d v="2021-08-03T00:00:00"/>
    <s v="07:16(-07)"/>
    <s v="Tuesday"/>
    <s v="On Demand"/>
    <x v="6"/>
  </r>
  <r>
    <s v="2021-08-03 08:01 (-07)"/>
    <d v="2021-08-03T00:00:00"/>
    <s v="08:01(-07)"/>
    <s v="Tuesday"/>
    <s v="On Demand"/>
    <x v="6"/>
  </r>
  <r>
    <s v="2021-08-03 08:06 (-07)"/>
    <d v="2021-08-03T00:00:00"/>
    <s v="08:06(-07)"/>
    <s v="Tuesday"/>
    <s v="On Demand"/>
    <x v="6"/>
  </r>
  <r>
    <s v="2021-08-03 22:23 (PST)"/>
    <d v="2021-08-03T00:00:00"/>
    <s v="22:23(PST)"/>
    <s v="Tuesday"/>
    <s v="On Demand"/>
    <x v="13"/>
  </r>
  <r>
    <s v="2021-08-10 07:20 (PST)"/>
    <d v="2021-08-10T00:00:00"/>
    <s v="07:20(PST)"/>
    <s v="Tuesday"/>
    <s v="On Demand"/>
    <x v="7"/>
  </r>
  <r>
    <s v="2021-08-10 21:51 (PST)"/>
    <d v="2021-08-10T00:00:00"/>
    <s v="21:51(PST)"/>
    <s v="Tuesday"/>
    <s v="On Demand"/>
    <x v="25"/>
  </r>
  <r>
    <s v="2021-08-17 07:04 (-07)"/>
    <d v="2021-08-17T00:00:00"/>
    <s v="07:04(-07)"/>
    <s v="Tuesday"/>
    <s v="On Demand"/>
    <x v="4"/>
  </r>
  <r>
    <s v="2021-08-17 07:50 (-07)"/>
    <d v="2021-08-17T00:00:00"/>
    <s v="07:50(-07)"/>
    <s v="Tuesday"/>
    <s v="On Demand"/>
    <x v="37"/>
  </r>
  <r>
    <s v="2021-08-17 08:01 (-07)"/>
    <d v="2021-08-17T00:00:00"/>
    <s v="08:01(-07)"/>
    <s v="Tuesday"/>
    <s v="On Demand"/>
    <x v="4"/>
  </r>
  <r>
    <s v="2021-08-17 22:14 (PST)"/>
    <d v="2021-08-17T00:00:00"/>
    <s v="22:14(PST)"/>
    <s v="Tuesday"/>
    <s v="On Demand"/>
    <x v="19"/>
  </r>
  <r>
    <s v="2021-08-24 07:31 (PST)"/>
    <d v="2021-08-24T00:00:00"/>
    <s v="07:31(PST)"/>
    <s v="Tuesday"/>
    <s v="On Demand"/>
    <x v="28"/>
  </r>
  <r>
    <s v="2021-08-24 17:07 (-07)"/>
    <d v="2021-08-24T00:00:00"/>
    <s v="17:07(-07)"/>
    <s v="Tuesday"/>
    <s v="On Demand"/>
    <x v="7"/>
  </r>
  <r>
    <s v="2021-08-24 17:54 (-07)"/>
    <d v="2021-08-24T00:00:00"/>
    <s v="17:54(-07)"/>
    <s v="Tuesday"/>
    <s v="On Demand"/>
    <x v="5"/>
  </r>
  <r>
    <s v="2021-08-24 18:05 (-07)"/>
    <d v="2021-08-24T00:00:00"/>
    <s v="18:05(-07)"/>
    <s v="Tuesday"/>
    <s v="On Demand"/>
    <x v="24"/>
  </r>
  <r>
    <s v="2021-08-24 18:26 (-07)"/>
    <d v="2021-08-24T00:00:00"/>
    <s v="18:26(-07)"/>
    <s v="Tuesday"/>
    <s v="On Demand"/>
    <x v="5"/>
  </r>
  <r>
    <s v="2021-08-24 22:57 (PST)"/>
    <d v="2021-08-24T00:00:00"/>
    <s v="22:57(PST)"/>
    <s v="Tuesday"/>
    <s v="On Demand"/>
    <x v="25"/>
  </r>
  <r>
    <s v="2021-08-31 07:09 (PST)"/>
    <d v="2021-08-31T00:00:00"/>
    <s v="07:09(PST)"/>
    <s v="Tuesday"/>
    <s v="On Demand"/>
    <x v="7"/>
  </r>
  <r>
    <s v="2021-08-31 22:29 (PST)"/>
    <d v="2021-08-31T00:00:00"/>
    <s v="22:29(PST)"/>
    <s v="Tuesday"/>
    <s v="On Demand"/>
    <x v="16"/>
  </r>
  <r>
    <s v="2021-09-07 06:57 (PST)"/>
    <d v="2021-09-07T00:00:00"/>
    <s v="06:57(PST)"/>
    <s v="Tuesday"/>
    <s v="On Demand"/>
    <x v="7"/>
  </r>
  <r>
    <s v="2021-09-07 18:08 (-07)"/>
    <d v="2021-09-07T00:00:00"/>
    <s v="18:08(-07)"/>
    <s v="Tuesday"/>
    <s v="On Demand"/>
    <x v="5"/>
  </r>
  <r>
    <s v="2021-09-07 19:09 (-07)"/>
    <d v="2021-09-07T00:00:00"/>
    <s v="19:09(-07)"/>
    <s v="Tuesday"/>
    <s v="On Demand"/>
    <x v="5"/>
  </r>
  <r>
    <s v="2021-09-07 19:19 (-07)"/>
    <d v="2021-09-07T00:00:00"/>
    <s v="19:19(-07)"/>
    <s v="Tuesday"/>
    <s v="On Demand"/>
    <x v="5"/>
  </r>
  <r>
    <s v="2021-09-07 22:40 (PST)"/>
    <d v="2021-09-07T00:00:00"/>
    <s v="22:40(PST)"/>
    <s v="Tuesday"/>
    <s v="On Demand"/>
    <x v="25"/>
  </r>
  <r>
    <s v="2021-09-14 07:13 (PST)"/>
    <d v="2021-09-14T00:00:00"/>
    <s v="07:13(PST)"/>
    <s v="Tuesday"/>
    <s v="On Demand"/>
    <x v="23"/>
  </r>
  <r>
    <s v="2021-09-14 22:33 (PST)"/>
    <d v="2021-09-14T00:00:00"/>
    <s v="22:33(PST)"/>
    <s v="Tuesday"/>
    <s v="On Demand"/>
    <x v="19"/>
  </r>
  <r>
    <s v="2021-09-21 07:01 (-07)"/>
    <d v="2021-09-21T00:00:00"/>
    <s v="07:01(-07)"/>
    <s v="Tuesday"/>
    <s v="On Demand"/>
    <x v="4"/>
  </r>
  <r>
    <s v="2021-09-21 08:03 (-07)"/>
    <d v="2021-09-21T00:00:00"/>
    <s v="08:03(-07)"/>
    <s v="Tuesday"/>
    <s v="On Demand"/>
    <x v="4"/>
  </r>
  <r>
    <s v="2021-09-21 08:15 (-07)"/>
    <d v="2021-09-21T00:00:00"/>
    <s v="08:15(-07)"/>
    <s v="Tuesday"/>
    <s v="On Demand"/>
    <x v="6"/>
  </r>
  <r>
    <s v="2021-09-21 22:17 (PST)"/>
    <d v="2021-09-21T00:00:00"/>
    <s v="22:17(PST)"/>
    <s v="Tuesday"/>
    <s v="On Demand"/>
    <x v="13"/>
  </r>
  <r>
    <s v="2021-09-28 07:11 (PST)"/>
    <d v="2021-09-28T00:00:00"/>
    <s v="07:11(PST)"/>
    <s v="Tuesday"/>
    <s v="On Demand"/>
    <x v="23"/>
  </r>
  <r>
    <s v="2021-09-28 07:43 (PST)"/>
    <d v="2021-09-28T00:00:00"/>
    <s v="07:43(PST)"/>
    <s v="Tuesday"/>
    <s v="On Demand"/>
    <x v="31"/>
  </r>
  <r>
    <s v="2021-09-28 15:16 (PST)"/>
    <d v="2021-09-28T00:00:00"/>
    <s v="15:16(PST)"/>
    <s v="Tuesday"/>
    <s v="On Demand"/>
    <x v="7"/>
  </r>
  <r>
    <s v="2021-09-28 17:50 (-07)"/>
    <d v="2021-09-28T00:00:00"/>
    <s v="17:50(-07)"/>
    <s v="Tuesday"/>
    <s v="On Demand"/>
    <x v="22"/>
  </r>
  <r>
    <s v="2021-09-28 17:55 (-07)"/>
    <d v="2021-09-28T00:00:00"/>
    <s v="17:55(-07)"/>
    <s v="Tuesday"/>
    <s v="On Demand"/>
    <x v="6"/>
  </r>
  <r>
    <s v="2021-09-28 18:41 (-07)"/>
    <d v="2021-09-28T00:00:00"/>
    <s v="18:41(-07)"/>
    <s v="Tuesday"/>
    <s v="On Demand"/>
    <x v="6"/>
  </r>
  <r>
    <s v="2021-09-28 18:46 (-07)"/>
    <d v="2021-09-28T00:00:00"/>
    <s v="18:46(-07)"/>
    <s v="Tuesday"/>
    <s v="On Demand"/>
    <x v="6"/>
  </r>
  <r>
    <s v="2021-09-28 22:16 (PST)"/>
    <d v="2021-09-28T00:00:00"/>
    <s v="22:16(PST)"/>
    <s v="Tuesday"/>
    <s v="On Demand"/>
    <x v="13"/>
  </r>
  <r>
    <s v="2021-10-05 06:52 (-07)"/>
    <d v="2021-10-05T00:00:00"/>
    <s v="06:52(-07)"/>
    <s v="Tuesday"/>
    <s v="On Demand"/>
    <x v="6"/>
  </r>
  <r>
    <s v="2021-10-05 07:38 (-07)"/>
    <d v="2021-10-05T00:00:00"/>
    <s v="07:38(-07)"/>
    <s v="Tuesday"/>
    <s v="On Demand"/>
    <x v="6"/>
  </r>
  <r>
    <s v="2021-10-05 07:43 (-07)"/>
    <d v="2021-10-05T00:00:00"/>
    <s v="07:43(-07)"/>
    <s v="Tuesday"/>
    <s v="On Demand"/>
    <x v="6"/>
  </r>
  <r>
    <s v="2021-10-12 07:10 (PST)"/>
    <d v="2021-10-12T00:00:00"/>
    <s v="07:10(PST)"/>
    <s v="Tuesday"/>
    <s v="On Demand"/>
    <x v="16"/>
  </r>
  <r>
    <s v="2021-10-12 18:31 (-07)"/>
    <d v="2021-10-12T00:00:00"/>
    <s v="18:31(-07)"/>
    <s v="Tuesday"/>
    <s v="On Demand"/>
    <x v="6"/>
  </r>
  <r>
    <s v="2021-10-12 19:02 (-07)"/>
    <d v="2021-10-12T00:00:00"/>
    <s v="19:02(-07)"/>
    <s v="Tuesday"/>
    <s v="On Demand"/>
    <x v="26"/>
  </r>
  <r>
    <s v="2021-10-12 19:24 (-07)"/>
    <d v="2021-10-12T00:00:00"/>
    <s v="19:24(-07)"/>
    <s v="Tuesday"/>
    <s v="On Demand"/>
    <x v="21"/>
  </r>
  <r>
    <s v="2021-10-12 19:35 (-07)"/>
    <d v="2021-10-12T00:00:00"/>
    <s v="19:35(-07)"/>
    <s v="Tuesday"/>
    <s v="On Demand"/>
    <x v="1"/>
  </r>
  <r>
    <s v="2021-10-12 22:15 (PST)"/>
    <d v="2021-10-12T00:00:00"/>
    <s v="22:15(PST)"/>
    <s v="Tuesday"/>
    <s v="On Demand"/>
    <x v="13"/>
  </r>
  <r>
    <s v="2021-10-19 07:34 (PST)"/>
    <d v="2021-10-19T00:00:00"/>
    <s v="07:34(PST)"/>
    <s v="Tuesday"/>
    <s v="On Demand"/>
    <x v="7"/>
  </r>
  <r>
    <s v="2021-10-19 19:11 (-07)"/>
    <d v="2021-10-19T00:00:00"/>
    <s v="19:11(-07)"/>
    <s v="Tuesday"/>
    <s v="On Demand"/>
    <x v="6"/>
  </r>
  <r>
    <s v="2021-10-19 19:59 (-07)"/>
    <d v="2021-10-19T00:00:00"/>
    <s v="19:59(-07)"/>
    <s v="Tuesday"/>
    <s v="On Demand"/>
    <x v="45"/>
  </r>
  <r>
    <s v="2021-10-19 22:07 (PST)"/>
    <d v="2021-10-19T00:00:00"/>
    <s v="22:07(PST)"/>
    <s v="Tuesday"/>
    <s v="On Demand"/>
    <x v="25"/>
  </r>
  <r>
    <s v="2021-10-26 07:19 (PST)"/>
    <d v="2021-10-26T00:00:00"/>
    <s v="07:19(PST)"/>
    <s v="Tuesday"/>
    <s v="On Demand"/>
    <x v="7"/>
  </r>
  <r>
    <s v="2021-10-26 17:28 (-07)"/>
    <d v="2021-10-26T00:00:00"/>
    <s v="17:28(-07)"/>
    <s v="Tuesday"/>
    <s v="On Demand"/>
    <x v="4"/>
  </r>
  <r>
    <s v="2021-10-26 18:01 (-07)"/>
    <d v="2021-10-26T00:00:00"/>
    <s v="18:01(-07)"/>
    <s v="Tuesday"/>
    <s v="On Demand"/>
    <x v="11"/>
  </r>
  <r>
    <s v="2021-10-26 18:22 (-07)"/>
    <d v="2021-10-26T00:00:00"/>
    <s v="18:22(-07)"/>
    <s v="Tuesday"/>
    <s v="On Demand"/>
    <x v="24"/>
  </r>
  <r>
    <s v="2021-10-26 18:34 (-07)"/>
    <d v="2021-10-26T00:00:00"/>
    <s v="18:34(-07)"/>
    <s v="Tuesday"/>
    <s v="On Demand"/>
    <x v="4"/>
  </r>
  <r>
    <s v="2021-10-26 22:22 (PST)"/>
    <d v="2021-10-26T00:00:00"/>
    <s v="22:22(PST)"/>
    <s v="Tuesday"/>
    <s v="On Demand"/>
    <x v="13"/>
  </r>
  <r>
    <s v="2021-11-02 01:39 (PST)"/>
    <d v="2021-11-02T00:00:00"/>
    <s v="01:39(PST)"/>
    <s v="Tuesday"/>
    <s v="On Demand"/>
    <x v="19"/>
  </r>
  <r>
    <s v="2021-11-02 20:25 (PST)"/>
    <d v="2021-11-02T00:00:00"/>
    <s v="20:25(PST)"/>
    <s v="Tuesday"/>
    <s v="On Demand"/>
    <x v="25"/>
  </r>
  <r>
    <s v="2021-11-09 06:47 (PST)"/>
    <d v="2021-11-09T00:00:00"/>
    <s v="06:47(PST)"/>
    <s v="Tuesday"/>
    <s v="On Demand"/>
    <x v="16"/>
  </r>
  <r>
    <s v="2021-11-09 17:32 (-08)"/>
    <d v="2021-11-09T00:00:00"/>
    <s v="17:32(-08)"/>
    <s v="Tuesday"/>
    <s v="On Demand"/>
    <x v="4"/>
  </r>
  <r>
    <s v="2021-11-09 22:36 (PST)"/>
    <d v="2021-11-09T00:00:00"/>
    <s v="22:36(PST)"/>
    <s v="Tuesday"/>
    <s v="On Demand"/>
    <x v="23"/>
  </r>
  <r>
    <s v="2021-11-16 07:05 (PST)"/>
    <d v="2021-11-16T00:00:00"/>
    <s v="07:05(PST)"/>
    <s v="Tuesday"/>
    <s v="On Demand"/>
    <x v="7"/>
  </r>
  <r>
    <s v="2021-11-16 11:36 (-08)"/>
    <d v="2021-11-16T00:00:00"/>
    <s v="11:36(-08)"/>
    <s v="Tuesday"/>
    <s v="On Demand"/>
    <x v="5"/>
  </r>
  <r>
    <s v="2021-11-16 12:26 (-08)"/>
    <d v="2021-11-16T00:00:00"/>
    <s v="12:26(-08)"/>
    <s v="Tuesday"/>
    <s v="On Demand"/>
    <x v="5"/>
  </r>
  <r>
    <s v="2021-11-16 22:01 (PST)"/>
    <d v="2021-11-16T00:00:00"/>
    <s v="22:01(PST)"/>
    <s v="Tuesday"/>
    <s v="On Demand"/>
    <x v="13"/>
  </r>
  <r>
    <s v="2021-11-23 07:18 (PST)"/>
    <d v="2021-11-23T00:00:00"/>
    <s v="07:18(PST)"/>
    <s v="Tuesday"/>
    <s v="On Demand"/>
    <x v="7"/>
  </r>
  <r>
    <s v="2021-11-23 13:06 (PST)"/>
    <d v="2021-11-23T00:00:00"/>
    <s v="13:06(PST)"/>
    <s v="Tuesday"/>
    <s v="On Demand"/>
    <x v="11"/>
  </r>
  <r>
    <s v="2021-11-23 20:32 (-08)"/>
    <d v="2021-11-23T00:00:00"/>
    <s v="20:32(-08)"/>
    <s v="Tuesday"/>
    <s v="On Demand"/>
    <x v="11"/>
  </r>
  <r>
    <s v="2021-11-23 21:03 (-08)"/>
    <d v="2021-11-23T00:00:00"/>
    <s v="21:03(-08)"/>
    <s v="Tuesday"/>
    <s v="On Demand"/>
    <x v="20"/>
  </r>
  <r>
    <s v="2021-11-23 23:08 (PST)"/>
    <d v="2021-11-23T00:00:00"/>
    <s v="23:08(PST)"/>
    <s v="Tuesday"/>
    <s v="On Demand"/>
    <x v="13"/>
  </r>
  <r>
    <s v="2021-11-30 06:51 (PST)"/>
    <d v="2021-11-30T00:00:00"/>
    <s v="06:51(PST)"/>
    <s v="Tuesday"/>
    <s v="On Demand"/>
    <x v="28"/>
  </r>
  <r>
    <s v="2021-11-30 12:09 (PST)"/>
    <d v="2021-11-30T00:00:00"/>
    <s v="12:09(PST)"/>
    <s v="Tuesday"/>
    <s v="On Demand"/>
    <x v="31"/>
  </r>
  <r>
    <s v="2021-11-30 17:18 (-08)"/>
    <d v="2021-11-30T00:00:00"/>
    <s v="17:18(-08)"/>
    <s v="Tuesday"/>
    <s v="On Demand"/>
    <x v="11"/>
  </r>
  <r>
    <s v="2021-11-30 18:09 (-08)"/>
    <d v="2021-11-30T00:00:00"/>
    <s v="18:09(-08)"/>
    <s v="Tuesday"/>
    <s v="On Demand"/>
    <x v="1"/>
  </r>
  <r>
    <s v="2021-11-30 18:14 (-08)"/>
    <d v="2021-11-30T00:00:00"/>
    <s v="18:14(-08)"/>
    <s v="Tuesday"/>
    <s v="On Demand"/>
    <x v="1"/>
  </r>
  <r>
    <s v="2021-11-30 22:37 (PST)"/>
    <d v="2021-11-30T00:00:00"/>
    <s v="22:37(PST)"/>
    <s v="Tuesday"/>
    <s v="On Demand"/>
    <x v="19"/>
  </r>
  <r>
    <s v="2021-12-07 06:56 (PST)"/>
    <d v="2021-12-07T00:00:00"/>
    <s v="06:56(PST)"/>
    <s v="Tuesday"/>
    <s v="On Demand"/>
    <x v="16"/>
  </r>
  <r>
    <s v="2021-12-07 08:26 (PST)"/>
    <d v="2021-12-07T00:00:00"/>
    <s v="08:26(PST)"/>
    <s v="Tuesday"/>
    <s v="On Demand"/>
    <x v="13"/>
  </r>
  <r>
    <s v="2021-12-07 12:40 (PST)"/>
    <d v="2021-12-07T00:00:00"/>
    <s v="12:40(PST)"/>
    <s v="Tuesday"/>
    <s v="On Demand"/>
    <x v="2"/>
  </r>
  <r>
    <s v="2021-12-07 17:16 (-08)"/>
    <d v="2021-12-07T00:00:00"/>
    <s v="17:16(-08)"/>
    <s v="Tuesday"/>
    <s v="On Demand"/>
    <x v="6"/>
  </r>
  <r>
    <s v="2021-12-07 18:02 (-08)"/>
    <d v="2021-12-07T00:00:00"/>
    <s v="18:02(-08)"/>
    <s v="Tuesday"/>
    <s v="On Demand"/>
    <x v="29"/>
  </r>
  <r>
    <s v="2021-12-07 18:15 (-08)"/>
    <d v="2021-12-07T00:00:00"/>
    <s v="18:15(-08)"/>
    <s v="Tuesday"/>
    <s v="On Demand"/>
    <x v="1"/>
  </r>
  <r>
    <s v="2021-12-07 18:30 (-08)"/>
    <d v="2021-12-07T00:00:00"/>
    <s v="18:30(-08)"/>
    <s v="Tuesday"/>
    <s v="On Demand"/>
    <x v="1"/>
  </r>
  <r>
    <s v="2021-12-07 22:19 (PST)"/>
    <d v="2021-12-07T00:00:00"/>
    <s v="22:19(PST)"/>
    <s v="Tuesday"/>
    <s v="On Demand"/>
    <x v="23"/>
  </r>
  <r>
    <s v="2021-12-14 07:27 (PST)"/>
    <d v="2021-12-14T00:00:00"/>
    <s v="07:27(PST)"/>
    <s v="Tuesday"/>
    <s v="On Demand"/>
    <x v="16"/>
  </r>
  <r>
    <s v="2021-12-14 16:23 (-08)"/>
    <d v="2021-12-14T00:00:00"/>
    <s v="16:23(-08)"/>
    <s v="Tuesday"/>
    <s v="On Demand"/>
    <x v="22"/>
  </r>
  <r>
    <s v="2021-12-14 16:30 (-08)"/>
    <d v="2021-12-14T00:00:00"/>
    <s v="16:30(-08)"/>
    <s v="Tuesday"/>
    <s v="On Demand"/>
    <x v="6"/>
  </r>
  <r>
    <s v="2021-12-14 17:16 (-08)"/>
    <d v="2021-12-14T00:00:00"/>
    <s v="17:16(-08)"/>
    <s v="Tuesday"/>
    <s v="On Demand"/>
    <x v="12"/>
  </r>
  <r>
    <s v="2021-12-14 17:33 (PST)"/>
    <d v="2021-12-14T00:00:00"/>
    <s v="17:33(PST)"/>
    <s v="Tuesday"/>
    <s v="On Demand"/>
    <x v="22"/>
  </r>
  <r>
    <s v="2021-12-14 21:54 (PST)"/>
    <d v="2021-12-14T00:00:00"/>
    <s v="21:54(PST)"/>
    <s v="Tuesday"/>
    <s v="On Demand"/>
    <x v="13"/>
  </r>
  <r>
    <s v="2021-12-21 07:22 (PST)"/>
    <d v="2021-12-21T00:00:00"/>
    <s v="07:22(PST)"/>
    <s v="Tuesday"/>
    <s v="On Demand"/>
    <x v="13"/>
  </r>
  <r>
    <s v="2021-12-21 18:08 (-08)"/>
    <d v="2021-12-21T00:00:00"/>
    <s v="18:08(-08)"/>
    <s v="Tuesday"/>
    <s v="On Demand"/>
    <x v="10"/>
  </r>
  <r>
    <s v="2021-12-21 18:14 (-08)"/>
    <d v="2021-12-21T00:00:00"/>
    <s v="18:14(-08)"/>
    <s v="Tuesday"/>
    <s v="On Demand"/>
    <x v="6"/>
  </r>
  <r>
    <s v="2021-12-21 19:00 (-08)"/>
    <d v="2021-12-21T00:00:00"/>
    <s v="19:00(-08)"/>
    <s v="Tuesday"/>
    <s v="On Demand"/>
    <x v="6"/>
  </r>
  <r>
    <s v="2021-12-21 19:29 (PST)"/>
    <d v="2021-12-21T00:00:00"/>
    <s v="19:29(PST)"/>
    <s v="Tuesday"/>
    <s v="On Demand"/>
    <x v="16"/>
  </r>
  <r>
    <s v="2021-12-21 22:34 (PST)"/>
    <d v="2021-12-21T00:00:00"/>
    <s v="22:34(PST)"/>
    <s v="Tuesday"/>
    <s v="On Demand"/>
    <x v="25"/>
  </r>
  <r>
    <s v="2021-12-28 07:09 (PST)"/>
    <d v="2021-12-28T00:00:00"/>
    <s v="07:09(PST)"/>
    <s v="Tuesday"/>
    <s v="On Demand"/>
    <x v="28"/>
  </r>
  <r>
    <s v="2021-12-28 11:55 (PST)"/>
    <d v="2021-12-28T00:00:00"/>
    <s v="11:55(PST)"/>
    <s v="Tuesday"/>
    <s v="On Demand"/>
    <x v="23"/>
  </r>
  <r>
    <s v="2021-12-28 15:33 (-08)"/>
    <d v="2021-12-28T00:00:00"/>
    <s v="15:33(-08)"/>
    <s v="Tuesday"/>
    <s v="On Demand"/>
    <x v="4"/>
  </r>
  <r>
    <s v="2021-12-28 15:45 (-08)"/>
    <d v="2021-12-28T00:00:00"/>
    <s v="15:45(-08)"/>
    <s v="Tuesday"/>
    <s v="On Demand"/>
    <x v="7"/>
  </r>
  <r>
    <s v="2021-12-28 16:33 (-08)"/>
    <d v="2021-12-28T00:00:00"/>
    <s v="16:33(-08)"/>
    <s v="Tuesday"/>
    <s v="On Demand"/>
    <x v="4"/>
  </r>
  <r>
    <s v="2021-12-28 16:44 (-08)"/>
    <d v="2021-12-28T00:00:00"/>
    <s v="16:44(-08)"/>
    <s v="Tuesday"/>
    <s v="On Demand"/>
    <x v="4"/>
  </r>
  <r>
    <s v="2021-12-28 22:18 (PST)"/>
    <d v="2021-12-28T00:00:00"/>
    <s v="22:18(PST)"/>
    <s v="Tuesday"/>
    <s v="On Demand"/>
    <x v="19"/>
  </r>
  <r>
    <s v="2022-01-04 07:13 (PST)"/>
    <d v="2022-01-04T00:00:00"/>
    <s v="07:13(PST)"/>
    <s v="Tuesday"/>
    <s v="On Demand"/>
    <x v="16"/>
  </r>
  <r>
    <s v="2022-01-04 16:34 (-08)"/>
    <d v="2022-01-04T00:00:00"/>
    <s v="16:34(-08)"/>
    <s v="Tuesday"/>
    <s v="On Demand"/>
    <x v="21"/>
  </r>
  <r>
    <s v="2022-01-04 16:41 (-08)"/>
    <d v="2022-01-04T00:00:00"/>
    <s v="16:41(-08)"/>
    <s v="Tuesday"/>
    <s v="On Demand"/>
    <x v="6"/>
  </r>
  <r>
    <s v="2022-01-04 17:26 (-08)"/>
    <d v="2022-01-04T00:00:00"/>
    <s v="17:26(-08)"/>
    <s v="Tuesday"/>
    <s v="On Demand"/>
    <x v="6"/>
  </r>
  <r>
    <s v="2022-01-04 17:33 (-08)"/>
    <d v="2022-01-04T00:00:00"/>
    <s v="17:33(-08)"/>
    <s v="Tuesday"/>
    <s v="On Demand"/>
    <x v="1"/>
  </r>
  <r>
    <s v="2022-01-04 17:44 (-08)"/>
    <d v="2022-01-04T00:00:00"/>
    <s v="17:44(-08)"/>
    <s v="Tuesday"/>
    <s v="On Demand"/>
    <x v="6"/>
  </r>
  <r>
    <s v="2022-01-04 22:17 (PST)"/>
    <d v="2022-01-04T00:00:00"/>
    <s v="22:17(PST)"/>
    <s v="Tuesday"/>
    <s v="On Demand"/>
    <x v="16"/>
  </r>
  <r>
    <s v="2022-01-11 07:00 (PST)"/>
    <d v="2022-01-11T00:00:00"/>
    <s v="07:00(PST)"/>
    <s v="Tuesday"/>
    <s v="On Demand"/>
    <x v="7"/>
  </r>
  <r>
    <s v="2022-01-11 22:22 (PST)"/>
    <d v="2022-01-11T00:00:00"/>
    <s v="22:22(PST)"/>
    <s v="Tuesday"/>
    <s v="On Demand"/>
    <x v="25"/>
  </r>
  <r>
    <s v="2022-01-18 07:12 (PST)"/>
    <d v="2022-01-18T00:00:00"/>
    <s v="07:12(PST)"/>
    <s v="Tuesday"/>
    <s v="On Demand"/>
    <x v="25"/>
  </r>
  <r>
    <s v="2022-01-18 20:57 (-08)"/>
    <d v="2022-01-18T00:00:00"/>
    <s v="20:57(-08)"/>
    <s v="Tuesday"/>
    <s v="On Demand"/>
    <x v="20"/>
  </r>
  <r>
    <s v="2022-01-18 21:20 (-08)"/>
    <d v="2022-01-18T00:00:00"/>
    <s v="21:20(-08)"/>
    <s v="Tuesday"/>
    <s v="On Demand"/>
    <x v="1"/>
  </r>
  <r>
    <s v="2022-01-18 22:17 (PST)"/>
    <d v="2022-01-18T00:00:00"/>
    <s v="22:17(PST)"/>
    <s v="Tuesday"/>
    <s v="On Demand"/>
    <x v="16"/>
  </r>
  <r>
    <s v="2022-01-25 11:59 (PST)"/>
    <d v="2022-01-25T00:00:00"/>
    <s v="11:59(PST)"/>
    <s v="Tuesday"/>
    <s v="On Demand"/>
    <x v="25"/>
  </r>
  <r>
    <s v="2022-01-25 16:55 (-08)"/>
    <d v="2022-01-25T00:00:00"/>
    <s v="16:55(-08)"/>
    <s v="Tuesday"/>
    <s v="On Demand"/>
    <x v="9"/>
  </r>
  <r>
    <s v="2022-01-25 17:26 (-08)"/>
    <d v="2022-01-25T00:00:00"/>
    <s v="17:26(-08)"/>
    <s v="Tuesday"/>
    <s v="On Demand"/>
    <x v="34"/>
  </r>
  <r>
    <s v="2022-01-25 17:38 (-08)"/>
    <d v="2022-01-25T00:00:00"/>
    <s v="17:38(-08)"/>
    <s v="Tuesday"/>
    <s v="On Demand"/>
    <x v="1"/>
  </r>
  <r>
    <s v="2022-01-25 22:19 (PST)"/>
    <d v="2022-01-25T00:00:00"/>
    <s v="22:19(PST)"/>
    <s v="Tuesday"/>
    <s v="On Demand"/>
    <x v="23"/>
  </r>
  <r>
    <s v="2022-02-01 15:13 (PST)"/>
    <d v="2022-02-01T00:00:00"/>
    <s v="15:13(PST)"/>
    <s v="Tuesday"/>
    <s v="On Demand"/>
    <x v="11"/>
  </r>
  <r>
    <s v="2022-02-01 16:47 (-08)"/>
    <d v="2022-02-01T00:00:00"/>
    <s v="16:47(-08)"/>
    <s v="Tuesday"/>
    <s v="On Demand"/>
    <x v="1"/>
  </r>
  <r>
    <s v="2022-02-01 17:00 (-08)"/>
    <d v="2022-02-01T00:00:00"/>
    <s v="17:00(-08)"/>
    <s v="Tuesday"/>
    <s v="On Demand"/>
    <x v="6"/>
  </r>
  <r>
    <s v="2022-02-01 17:51 (-08)"/>
    <d v="2022-02-01T00:00:00"/>
    <s v="17:51(-08)"/>
    <s v="Tuesday"/>
    <s v="On Demand"/>
    <x v="6"/>
  </r>
  <r>
    <s v="2022-02-01 17:59 (-08)"/>
    <d v="2022-02-01T00:00:00"/>
    <s v="17:59(-08)"/>
    <s v="Tuesday"/>
    <s v="On Demand"/>
    <x v="12"/>
  </r>
  <r>
    <s v="2022-02-01 21:06 (PST)"/>
    <d v="2022-02-01T00:00:00"/>
    <s v="21:06(PST)"/>
    <s v="Tuesday"/>
    <s v="On Demand"/>
    <x v="13"/>
  </r>
  <r>
    <s v="2022-02-01 22:56 (PST)"/>
    <d v="2022-02-01T00:00:00"/>
    <s v="22:56(PST)"/>
    <s v="Tuesday"/>
    <s v="On Demand"/>
    <x v="25"/>
  </r>
  <r>
    <s v="2022-02-08 07:32 (PST)"/>
    <d v="2022-02-08T00:00:00"/>
    <s v="07:32(PST)"/>
    <s v="Tuesday"/>
    <s v="On Demand"/>
    <x v="7"/>
  </r>
  <r>
    <s v="2022-02-08 16:13 (PST)"/>
    <d v="2022-02-08T00:00:00"/>
    <s v="16:13(PST)"/>
    <s v="Tuesday"/>
    <s v="On Demand"/>
    <x v="37"/>
  </r>
  <r>
    <s v="2022-02-08 16:50 (-08)"/>
    <d v="2022-02-08T00:00:00"/>
    <s v="16:50(-08)"/>
    <s v="Tuesday"/>
    <s v="On Demand"/>
    <x v="4"/>
  </r>
  <r>
    <s v="2022-02-08 23:15 (PST)"/>
    <d v="2022-02-08T00:00:00"/>
    <s v="23:15(PST)"/>
    <s v="Tuesday"/>
    <s v="On Demand"/>
    <x v="25"/>
  </r>
  <r>
    <s v="2022-02-15 15:30 (PST)"/>
    <d v="2022-02-15T00:00:00"/>
    <s v="15:30(PST)"/>
    <s v="Tuesday"/>
    <s v="On Demand"/>
    <x v="3"/>
  </r>
  <r>
    <s v="2022-02-15 19:18 (-08)"/>
    <d v="2022-02-15T00:00:00"/>
    <s v="19:18(-08)"/>
    <s v="Tuesday"/>
    <s v="On Demand"/>
    <x v="7"/>
  </r>
  <r>
    <s v="2022-02-15 19:24 (-08)"/>
    <d v="2022-02-15T00:00:00"/>
    <s v="19:24(-08)"/>
    <s v="Tuesday"/>
    <s v="On Demand"/>
    <x v="7"/>
  </r>
  <r>
    <s v="2022-02-15 19:55 (-08)"/>
    <d v="2022-02-15T00:00:00"/>
    <s v="19:55(-08)"/>
    <s v="Tuesday"/>
    <s v="On Demand"/>
    <x v="9"/>
  </r>
  <r>
    <s v="2022-02-15 22:32 (PST)"/>
    <d v="2022-02-15T00:00:00"/>
    <s v="22:32(PST)"/>
    <s v="Tuesday"/>
    <s v="On Demand"/>
    <x v="13"/>
  </r>
  <r>
    <s v="2022-02-22 07:16 (PST)"/>
    <d v="2022-02-22T00:00:00"/>
    <s v="07:16(PST)"/>
    <s v="Tuesday"/>
    <s v="On Demand"/>
    <x v="7"/>
  </r>
  <r>
    <s v="2022-02-22 12:58 (PST)"/>
    <d v="2022-02-22T00:00:00"/>
    <s v="12:58(PST)"/>
    <s v="Tuesday"/>
    <s v="On Demand"/>
    <x v="26"/>
  </r>
  <r>
    <s v="2022-02-22 17:30 (-08)"/>
    <d v="2022-02-22T00:00:00"/>
    <s v="17:30(-08)"/>
    <s v="Tuesday"/>
    <s v="On Demand"/>
    <x v="6"/>
  </r>
  <r>
    <s v="2022-02-22 18:16 (-08)"/>
    <d v="2022-02-22T00:00:00"/>
    <s v="18:16(-08)"/>
    <s v="Tuesday"/>
    <s v="On Demand"/>
    <x v="15"/>
  </r>
  <r>
    <s v="2022-02-22 18:23 (-08)"/>
    <d v="2022-02-22T00:00:00"/>
    <s v="18:23(-08)"/>
    <s v="Tuesday"/>
    <s v="On Demand"/>
    <x v="21"/>
  </r>
  <r>
    <s v="2022-02-22 22:11 (PST)"/>
    <d v="2022-02-22T00:00:00"/>
    <s v="22:11(PST)"/>
    <s v="Tuesday"/>
    <s v="On Demand"/>
    <x v="25"/>
  </r>
  <r>
    <s v="2022-03-01 00:45 (PST)"/>
    <d v="2022-03-01T00:00:00"/>
    <s v="00:45(PST)"/>
    <s v="Tuesday"/>
    <s v="On Demand"/>
    <x v="16"/>
  </r>
  <r>
    <s v="2022-03-01 05:21 (PST)"/>
    <d v="2022-03-01T00:00:00"/>
    <s v="05:21(PST)"/>
    <s v="Tuesday"/>
    <s v="On Demand"/>
    <x v="16"/>
  </r>
  <r>
    <s v="2022-03-01 06:56 (PST)"/>
    <d v="2022-03-01T00:00:00"/>
    <s v="06:56(PST)"/>
    <s v="Tuesday"/>
    <s v="On Demand"/>
    <x v="21"/>
  </r>
  <r>
    <s v="2022-03-01 07:08 (PST)"/>
    <d v="2022-03-01T00:00:00"/>
    <s v="07:08(PST)"/>
    <s v="Tuesday"/>
    <s v="On Demand"/>
    <x v="16"/>
  </r>
  <r>
    <s v="2022-03-01 14:03 (PST)"/>
    <d v="2022-03-01T00:00:00"/>
    <s v="14:03(PST)"/>
    <s v="Tuesday"/>
    <s v="On Demand"/>
    <x v="31"/>
  </r>
  <r>
    <s v="2022-03-01 20:24 (PST)"/>
    <d v="2022-03-01T00:00:00"/>
    <s v="20:24(PST)"/>
    <s v="Tuesday"/>
    <s v="On Demand"/>
    <x v="8"/>
  </r>
  <r>
    <s v="2022-03-01 20:36 (PST)"/>
    <d v="2022-03-01T00:00:00"/>
    <s v="20:36(PST)"/>
    <s v="Tuesday"/>
    <s v="On Demand"/>
    <x v="8"/>
  </r>
  <r>
    <s v="2022-03-01 20:50 (PST)"/>
    <d v="2022-03-01T00:00:00"/>
    <s v="20:50(PST)"/>
    <s v="Tuesday"/>
    <s v="On Demand"/>
    <x v="16"/>
  </r>
  <r>
    <s v="2022-03-01 22:19 (PST)"/>
    <d v="2022-03-01T00:00:00"/>
    <s v="22:19(PST)"/>
    <s v="Tuesday"/>
    <s v="On Demand"/>
    <x v="19"/>
  </r>
  <r>
    <s v="2022-03-08 07:16 (PST)"/>
    <d v="2022-03-08T00:00:00"/>
    <s v="07:16(PST)"/>
    <s v="Tuesday"/>
    <s v="On Demand"/>
    <x v="16"/>
  </r>
  <r>
    <s v="2022-03-08 17:11 (PST)"/>
    <d v="2022-03-08T00:00:00"/>
    <s v="17:11(PST)"/>
    <s v="Tuesday"/>
    <s v="On Demand"/>
    <x v="57"/>
  </r>
  <r>
    <s v="2022-03-08 18:59 (-08)"/>
    <d v="2022-03-08T00:00:00"/>
    <s v="18:59(-08)"/>
    <s v="Tuesday"/>
    <s v="On Demand"/>
    <x v="1"/>
  </r>
  <r>
    <s v="2022-03-08 19:20 (-08)"/>
    <d v="2022-03-08T00:00:00"/>
    <s v="19:20(-08)"/>
    <s v="Tuesday"/>
    <s v="On Demand"/>
    <x v="6"/>
  </r>
  <r>
    <s v="2022-03-08 19:45 (-08)"/>
    <d v="2022-03-08T00:00:00"/>
    <s v="19:45(-08)"/>
    <s v="Tuesday"/>
    <s v="On Demand"/>
    <x v="29"/>
  </r>
  <r>
    <s v="2022-03-08 22:14 (PST)"/>
    <d v="2022-03-08T00:00:00"/>
    <s v="22:14(PST)"/>
    <s v="Tuesday"/>
    <s v="On Demand"/>
    <x v="19"/>
  </r>
  <r>
    <s v="2022-03-15 07:33 (PST)"/>
    <d v="2022-03-15T00:00:00"/>
    <s v="07:33(PST)"/>
    <s v="Tuesday"/>
    <s v="On Demand"/>
    <x v="13"/>
  </r>
  <r>
    <s v="2022-03-15 14:41 (PST)"/>
    <d v="2022-03-15T00:00:00"/>
    <s v="14:41(PST)"/>
    <s v="Tuesday"/>
    <s v="On Demand"/>
    <x v="58"/>
  </r>
  <r>
    <s v="2022-03-15 20:03 (-07)"/>
    <d v="2022-03-15T00:00:00"/>
    <s v="20:03(-07)"/>
    <s v="Tuesday"/>
    <s v="On Demand"/>
    <x v="6"/>
  </r>
  <r>
    <s v="2022-03-15 20:37 (-07)"/>
    <d v="2022-03-15T00:00:00"/>
    <s v="20:37(-07)"/>
    <s v="Tuesday"/>
    <s v="On Demand"/>
    <x v="50"/>
  </r>
  <r>
    <s v="2022-03-15 22:21 (PST)"/>
    <d v="2022-03-15T00:00:00"/>
    <s v="22:21(PST)"/>
    <s v="Tuesday"/>
    <s v="On Demand"/>
    <x v="23"/>
  </r>
  <r>
    <s v="2022-03-22 20:36 (-07)"/>
    <d v="2022-03-22T00:00:00"/>
    <s v="20:36(-07)"/>
    <s v="Tuesday"/>
    <s v="On Demand"/>
    <x v="1"/>
  </r>
  <r>
    <s v="2022-03-22 22:14 (PST)"/>
    <d v="2022-03-22T00:00:00"/>
    <s v="22:14(PST)"/>
    <s v="Tuesday"/>
    <s v="On Demand"/>
    <x v="28"/>
  </r>
  <r>
    <s v="2022-03-29 15:54 (PST)"/>
    <d v="2022-03-29T00:00:00"/>
    <s v="15:54(PST)"/>
    <s v="Tuesday"/>
    <s v="On Demand"/>
    <x v="59"/>
  </r>
  <r>
    <s v="2022-03-29 17:20 (-07)"/>
    <d v="2022-03-29T00:00:00"/>
    <s v="17:20(-07)"/>
    <s v="Tuesday"/>
    <s v="On Demand"/>
    <x v="18"/>
  </r>
  <r>
    <s v="2022-03-29 17:27 (-07)"/>
    <d v="2022-03-29T00:00:00"/>
    <s v="17:27(-07)"/>
    <s v="Tuesday"/>
    <s v="On Demand"/>
    <x v="6"/>
  </r>
  <r>
    <s v="2022-03-29 18:14 (-07)"/>
    <d v="2022-03-29T00:00:00"/>
    <s v="18:14(-07)"/>
    <s v="Tuesday"/>
    <s v="On Demand"/>
    <x v="42"/>
  </r>
  <r>
    <s v="2022-03-29 18:25 (-07)"/>
    <d v="2022-03-29T00:00:00"/>
    <s v="18:25(-07)"/>
    <s v="Tuesday"/>
    <s v="On Demand"/>
    <x v="7"/>
  </r>
  <r>
    <s v="2022-03-29 22:02 (PST)"/>
    <d v="2022-03-29T00:00:00"/>
    <s v="22:02(PST)"/>
    <s v="Tuesday"/>
    <s v="On Demand"/>
    <x v="13"/>
  </r>
  <r>
    <s v="2022-04-05 15:30 (PST)"/>
    <d v="2022-04-05T00:00:00"/>
    <s v="15:30(PST)"/>
    <s v="Tuesday"/>
    <s v="On Demand"/>
    <x v="60"/>
  </r>
  <r>
    <s v="2022-04-05 17:15 (-07)"/>
    <d v="2022-04-05T00:00:00"/>
    <s v="17:15(-07)"/>
    <s v="Tuesday"/>
    <s v="On Demand"/>
    <x v="6"/>
  </r>
  <r>
    <s v="2022-04-05 18:01 (-07)"/>
    <d v="2022-04-05T00:00:00"/>
    <s v="18:01(-07)"/>
    <s v="Tuesday"/>
    <s v="On Demand"/>
    <x v="22"/>
  </r>
  <r>
    <s v="2022-04-05 18:09 (-07)"/>
    <d v="2022-04-05T00:00:00"/>
    <s v="18:09(-07)"/>
    <s v="Tuesday"/>
    <s v="On Demand"/>
    <x v="20"/>
  </r>
  <r>
    <s v="2022-04-05 20:58 (PST)"/>
    <d v="2022-04-05T00:00:00"/>
    <s v="20:58(PST)"/>
    <s v="Tuesday"/>
    <s v="On Demand"/>
    <x v="23"/>
  </r>
  <r>
    <s v="2022-04-05 21:22 (PST)"/>
    <d v="2022-04-05T00:00:00"/>
    <s v="21:22(PST)"/>
    <s v="Tuesday"/>
    <s v="On Demand"/>
    <x v="28"/>
  </r>
  <r>
    <s v="2022-04-05 21:35 (PST)"/>
    <d v="2022-04-05T00:00:00"/>
    <s v="21:35(PST)"/>
    <s v="Tuesday"/>
    <s v="On Demand"/>
    <x v="8"/>
  </r>
  <r>
    <s v="2022-04-05 22:29 (PST)"/>
    <d v="2022-04-05T00:00:00"/>
    <s v="22:29(PST)"/>
    <s v="Tuesday"/>
    <s v="On Demand"/>
    <x v="25"/>
  </r>
  <r>
    <s v="2022-04-12 07:40 (PST)"/>
    <d v="2022-04-12T00:00:00"/>
    <s v="07:40(PST)"/>
    <s v="Tuesday"/>
    <s v="On Demand"/>
    <x v="23"/>
  </r>
  <r>
    <s v="2022-04-12 17:26 (-07)"/>
    <d v="2022-04-12T00:00:00"/>
    <s v="17:26(-07)"/>
    <s v="Tuesday"/>
    <s v="On Demand"/>
    <x v="6"/>
  </r>
  <r>
    <s v="2022-04-12 17:58 (-07)"/>
    <d v="2022-04-12T00:00:00"/>
    <s v="17:58(-07)"/>
    <s v="Tuesday"/>
    <s v="On Demand"/>
    <x v="8"/>
  </r>
  <r>
    <s v="2022-04-12 18:11 (-07)"/>
    <d v="2022-04-12T00:00:00"/>
    <s v="18:11(-07)"/>
    <s v="Tuesday"/>
    <s v="On Demand"/>
    <x v="3"/>
  </r>
  <r>
    <s v="2022-04-12 18:27 (-07)"/>
    <d v="2022-04-12T00:00:00"/>
    <s v="18:27(-07)"/>
    <s v="Tuesday"/>
    <s v="On Demand"/>
    <x v="15"/>
  </r>
  <r>
    <s v="2022-04-19 07:57 (PST)"/>
    <d v="2022-04-19T00:00:00"/>
    <s v="07:57(PST)"/>
    <s v="Tuesday"/>
    <s v="On Demand"/>
    <x v="23"/>
  </r>
  <r>
    <s v="2022-04-19 16:53 (PST)"/>
    <d v="2022-04-19T00:00:00"/>
    <s v="16:53(PST)"/>
    <s v="Tuesday"/>
    <s v="On Demand"/>
    <x v="61"/>
  </r>
  <r>
    <s v="2022-04-19 18:52 (-07)"/>
    <d v="2022-04-19T00:00:00"/>
    <s v="18:52(-07)"/>
    <s v="Tuesday"/>
    <s v="On Demand"/>
    <x v="50"/>
  </r>
  <r>
    <s v="2022-04-19 19:04 (-07)"/>
    <d v="2022-04-19T00:00:00"/>
    <s v="19:04(-07)"/>
    <s v="Tuesday"/>
    <s v="On Demand"/>
    <x v="33"/>
  </r>
  <r>
    <s v="2022-04-19 19:31 (-07)"/>
    <d v="2022-04-19T00:00:00"/>
    <s v="19:31(-07)"/>
    <s v="Tuesday"/>
    <s v="On Demand"/>
    <x v="1"/>
  </r>
  <r>
    <s v="2022-04-19 21:57 (PST)"/>
    <d v="2022-04-19T00:00:00"/>
    <s v="21:57(PST)"/>
    <s v="Tuesday"/>
    <s v="On Demand"/>
    <x v="19"/>
  </r>
  <r>
    <s v="2022-04-26 07:18 (PST)"/>
    <d v="2022-04-26T00:00:00"/>
    <s v="07:18(PST)"/>
    <s v="Tuesday"/>
    <s v="On Demand"/>
    <x v="28"/>
  </r>
  <r>
    <s v="2022-04-26 22:43 (PST)"/>
    <d v="2022-04-26T00:00:00"/>
    <s v="22:43(PST)"/>
    <s v="Tuesday"/>
    <s v="On Demand"/>
    <x v="13"/>
  </r>
  <r>
    <s v="2022-05-03 07:57 (PST)"/>
    <d v="2022-05-03T00:00:00"/>
    <s v="07:57(PST)"/>
    <s v="Tuesday"/>
    <s v="On Demand"/>
    <x v="23"/>
  </r>
  <r>
    <s v="2022-05-03 11:32 (PST)"/>
    <d v="2022-05-03T00:00:00"/>
    <s v="11:32(PST)"/>
    <s v="Tuesday"/>
    <s v="On Demand"/>
    <x v="31"/>
  </r>
  <r>
    <s v="2022-05-03 16:13 (PST)"/>
    <d v="2022-05-03T00:00:00"/>
    <s v="16:13(PST)"/>
    <s v="Tuesday"/>
    <s v="On Demand"/>
    <x v="62"/>
  </r>
  <r>
    <s v="2022-05-03 20:07 (-07)"/>
    <d v="2022-05-03T00:00:00"/>
    <s v="20:07(-07)"/>
    <s v="Tuesday"/>
    <s v="On Demand"/>
    <x v="6"/>
  </r>
  <r>
    <s v="2022-05-03 20:55 (-07)"/>
    <d v="2022-05-03T00:00:00"/>
    <s v="20:55(-07)"/>
    <s v="Tuesday"/>
    <s v="On Demand"/>
    <x v="42"/>
  </r>
  <r>
    <s v="2022-05-03 22:07 (PST)"/>
    <d v="2022-05-03T00:00:00"/>
    <s v="22:07(PST)"/>
    <s v="Tuesday"/>
    <s v="On Demand"/>
    <x v="23"/>
  </r>
  <r>
    <s v="2022-05-10 07:32 (PST)"/>
    <d v="2022-05-10T00:00:00"/>
    <s v="07:32(PST)"/>
    <s v="Tuesday"/>
    <s v="On Demand"/>
    <x v="16"/>
  </r>
  <r>
    <s v="2022-05-10 20:14 (PST)"/>
    <d v="2022-05-10T00:00:00"/>
    <s v="20:14(PST)"/>
    <s v="Tuesday"/>
    <s v="On Demand"/>
    <x v="37"/>
  </r>
  <r>
    <s v="2022-05-10 22:53 (PST)"/>
    <d v="2022-05-10T00:00:00"/>
    <s v="22:53(PST)"/>
    <s v="Tuesday"/>
    <s v="On Demand"/>
    <x v="25"/>
  </r>
  <r>
    <s v="2022-05-17 04:44 (PST)"/>
    <d v="2022-05-17T00:00:00"/>
    <s v="04:44(PST)"/>
    <s v="Tuesday"/>
    <s v="On Demand"/>
    <x v="28"/>
  </r>
  <r>
    <s v="2022-05-17 05:17 (PST)"/>
    <d v="2022-05-17T00:00:00"/>
    <s v="05:17(PST)"/>
    <s v="Tuesday"/>
    <s v="On Demand"/>
    <x v="23"/>
  </r>
  <r>
    <s v="2022-05-17 07:12 (PST)"/>
    <d v="2022-05-17T00:00:00"/>
    <s v="07:12(PST)"/>
    <s v="Tuesday"/>
    <s v="On Demand"/>
    <x v="16"/>
  </r>
  <r>
    <s v="2022-05-17 14:00 (PST)"/>
    <d v="2022-05-17T00:00:00"/>
    <s v="14:00(PST)"/>
    <s v="Tuesday"/>
    <s v="On Demand"/>
    <x v="5"/>
  </r>
  <r>
    <s v="2022-05-17 18:56 (-07)"/>
    <d v="2022-05-17T00:00:00"/>
    <s v="18:56(-07)"/>
    <s v="Tuesday"/>
    <s v="On Demand"/>
    <x v="1"/>
  </r>
  <r>
    <s v="2022-05-17 19:09 (-07)"/>
    <d v="2022-05-17T00:00:00"/>
    <s v="19:09(-07)"/>
    <s v="Tuesday"/>
    <s v="On Demand"/>
    <x v="6"/>
  </r>
  <r>
    <s v="2022-05-17 19:55 (-07)"/>
    <d v="2022-05-17T00:00:00"/>
    <s v="19:55(-07)"/>
    <s v="Tuesday"/>
    <s v="On Demand"/>
    <x v="6"/>
  </r>
  <r>
    <s v="2022-05-17 22:11 (PST)"/>
    <d v="2022-05-17T00:00:00"/>
    <s v="22:11(PST)"/>
    <s v="Tuesday"/>
    <s v="On Demand"/>
    <x v="16"/>
  </r>
  <r>
    <s v="2022-05-24 10:37 (PST)"/>
    <d v="2022-05-24T00:00:00"/>
    <s v="10:37(PST)"/>
    <s v="Tuesday"/>
    <s v="On Demand"/>
    <x v="16"/>
  </r>
  <r>
    <s v="2022-05-24 11:10 (PST)"/>
    <d v="2022-05-24T00:00:00"/>
    <s v="11:10(PST)"/>
    <s v="Tuesday"/>
    <s v="On Demand"/>
    <x v="1"/>
  </r>
  <r>
    <s v="2022-05-24 14:09 (PST)"/>
    <d v="2022-05-24T00:00:00"/>
    <s v="14:09(PST)"/>
    <s v="Tuesday"/>
    <s v="On Demand"/>
    <x v="15"/>
  </r>
  <r>
    <s v="2022-05-24 14:29 (PST)"/>
    <d v="2022-05-24T00:00:00"/>
    <s v="14:29(PST)"/>
    <s v="Tuesday"/>
    <s v="On Demand"/>
    <x v="3"/>
  </r>
  <r>
    <s v="2022-05-24 22:04 (PST)"/>
    <d v="2022-05-24T00:00:00"/>
    <s v="22:04(PST)"/>
    <s v="Tuesday"/>
    <s v="On Demand"/>
    <x v="13"/>
  </r>
  <r>
    <s v="2022-05-31 13:15 (PST)"/>
    <d v="2022-05-31T00:00:00"/>
    <s v="13:15(PST)"/>
    <s v="Tuesday"/>
    <s v="On Demand"/>
    <x v="52"/>
  </r>
  <r>
    <s v="2022-05-31 13:35 (PST)"/>
    <d v="2022-05-31T00:00:00"/>
    <s v="13:35(PST)"/>
    <s v="Tuesday"/>
    <s v="On Demand"/>
    <x v="5"/>
  </r>
  <r>
    <s v="2022-05-31 22:41 (PST)"/>
    <d v="2022-05-31T00:00:00"/>
    <s v="22:41(PST)"/>
    <s v="Tuesday"/>
    <s v="On Demand"/>
    <x v="25"/>
  </r>
  <r>
    <s v="2022-06-07 07:15 (PST)"/>
    <d v="2022-06-07T00:00:00"/>
    <s v="07:15(PST)"/>
    <s v="Tuesday"/>
    <s v="On Demand"/>
    <x v="28"/>
  </r>
  <r>
    <s v="2022-06-07 17:07 (-07)"/>
    <d v="2022-06-07T00:00:00"/>
    <s v="17:07(-07)"/>
    <s v="Tuesday"/>
    <s v="On Demand"/>
    <x v="35"/>
  </r>
  <r>
    <s v="2022-06-07 17:20 (-07)"/>
    <d v="2022-06-07T00:00:00"/>
    <s v="17:20(-07)"/>
    <s v="Tuesday"/>
    <s v="On Demand"/>
    <x v="6"/>
  </r>
  <r>
    <s v="2022-06-07 18:08 (-07)"/>
    <d v="2022-06-07T00:00:00"/>
    <s v="18:08(-07)"/>
    <s v="Tuesday"/>
    <s v="On Demand"/>
    <x v="12"/>
  </r>
  <r>
    <s v="2022-06-07 18:23 (-07)"/>
    <d v="2022-06-07T00:00:00"/>
    <s v="18:23(-07)"/>
    <s v="Tuesday"/>
    <s v="On Demand"/>
    <x v="16"/>
  </r>
  <r>
    <s v="2022-06-07 22:20 (PST)"/>
    <d v="2022-06-07T00:00:00"/>
    <s v="22:20(PST)"/>
    <s v="Tuesday"/>
    <s v="On Demand"/>
    <x v="25"/>
  </r>
  <r>
    <s v="2022-06-14 06:56 (PST)"/>
    <d v="2022-06-14T00:00:00"/>
    <s v="06:56(PST)"/>
    <s v="Tuesday"/>
    <s v="On Demand"/>
    <x v="13"/>
  </r>
  <r>
    <s v="2022-06-14 15:06 (-07)"/>
    <d v="2022-06-14T00:00:00"/>
    <s v="15:06(-07)"/>
    <s v="Tuesday"/>
    <s v="On Demand"/>
    <x v="8"/>
  </r>
  <r>
    <s v="2022-06-14 15:17 (-07)"/>
    <d v="2022-06-14T00:00:00"/>
    <s v="15:17(-07)"/>
    <s v="Tuesday"/>
    <s v="On Demand"/>
    <x v="37"/>
  </r>
  <r>
    <s v="2022-06-14 15:29 (-07)"/>
    <d v="2022-06-14T00:00:00"/>
    <s v="15:29(-07)"/>
    <s v="Tuesday"/>
    <s v="On Demand"/>
    <x v="24"/>
  </r>
  <r>
    <s v="2022-06-14 22:39 (PST)"/>
    <d v="2022-06-14T00:00:00"/>
    <s v="22:39(PST)"/>
    <s v="Tuesday"/>
    <s v="On Demand"/>
    <x v="25"/>
  </r>
  <r>
    <s v="2022-06-21 15:14 (PST)"/>
    <d v="2022-06-21T00:00:00"/>
    <s v="15:14(PST)"/>
    <s v="Tuesday"/>
    <s v="On Demand"/>
    <x v="5"/>
  </r>
  <r>
    <s v="2022-06-21 15:34 (PST)"/>
    <d v="2022-06-21T00:00:00"/>
    <s v="15:34(PST)"/>
    <s v="Tuesday"/>
    <s v="On Demand"/>
    <x v="3"/>
  </r>
  <r>
    <s v="2022-06-21 22:18 (PST)"/>
    <d v="2022-06-21T00:00:00"/>
    <s v="22:18(PST)"/>
    <s v="Tuesday"/>
    <s v="On Demand"/>
    <x v="25"/>
  </r>
  <r>
    <s v="2022-06-28 02:57 (PST)"/>
    <d v="2022-06-28T00:00:00"/>
    <s v="02:57(PST)"/>
    <s v="Tuesday"/>
    <s v="On Demand"/>
    <x v="28"/>
  </r>
  <r>
    <s v="2022-06-28 10:23 (PST)"/>
    <d v="2022-06-28T00:00:00"/>
    <s v="10:23(PST)"/>
    <s v="Tuesday"/>
    <s v="On Demand"/>
    <x v="23"/>
  </r>
  <r>
    <s v="2022-06-28 10:58 (PST)"/>
    <d v="2022-06-28T00:00:00"/>
    <s v="10:58(PST)"/>
    <s v="Tuesday"/>
    <s v="On Demand"/>
    <x v="24"/>
  </r>
  <r>
    <s v="2022-07-05 03:02 (PST)"/>
    <d v="2022-07-05T00:00:00"/>
    <s v="03:02(PST)"/>
    <s v="Tuesday"/>
    <s v="On Demand"/>
    <x v="23"/>
  </r>
  <r>
    <s v="2022-07-05 08:23 (PST)"/>
    <d v="2022-07-05T00:00:00"/>
    <s v="08:23(PST)"/>
    <s v="Tuesday"/>
    <s v="On Demand"/>
    <x v="13"/>
  </r>
  <r>
    <s v="2022-07-05 16:14 (-07)"/>
    <d v="2022-07-05T00:00:00"/>
    <s v="16:14(-07)"/>
    <s v="Tuesday"/>
    <s v="On Demand"/>
    <x v="31"/>
  </r>
  <r>
    <s v="2022-07-05 16:31 (-07)"/>
    <d v="2022-07-05T00:00:00"/>
    <s v="16:31(-07)"/>
    <s v="Tuesday"/>
    <s v="On Demand"/>
    <x v="21"/>
  </r>
  <r>
    <s v="2022-07-05 16:52 (-07)"/>
    <d v="2022-07-05T00:00:00"/>
    <s v="16:52(-07)"/>
    <s v="Tuesday"/>
    <s v="On Demand"/>
    <x v="31"/>
  </r>
  <r>
    <s v="2022-07-05 17:06 (-07)"/>
    <d v="2022-07-05T00:00:00"/>
    <s v="17:06(-07)"/>
    <s v="Tuesday"/>
    <s v="On Demand"/>
    <x v="6"/>
  </r>
  <r>
    <s v="2022-07-12 10:52 (PST)"/>
    <d v="2022-07-12T00:00:00"/>
    <s v="10:52(PST)"/>
    <s v="Tuesday"/>
    <s v="On Demand"/>
    <x v="13"/>
  </r>
  <r>
    <s v="2022-07-12 17:24 (-07)"/>
    <d v="2022-07-12T00:00:00"/>
    <s v="17:24(-07)"/>
    <s v="Tuesday"/>
    <s v="On Demand"/>
    <x v="12"/>
  </r>
  <r>
    <s v="2022-07-12 17:31 (-07)"/>
    <d v="2022-07-12T00:00:00"/>
    <s v="17:31(-07)"/>
    <s v="Tuesday"/>
    <s v="On Demand"/>
    <x v="12"/>
  </r>
  <r>
    <s v="2022-07-12 17:43 (-07)"/>
    <d v="2022-07-12T00:00:00"/>
    <s v="17:43(-07)"/>
    <s v="Tuesday"/>
    <s v="On Demand"/>
    <x v="21"/>
  </r>
  <r>
    <s v="2022-07-12 17:57 (-07)"/>
    <d v="2022-07-12T00:00:00"/>
    <s v="17:57(-07)"/>
    <s v="Tuesday"/>
    <s v="On Demand"/>
    <x v="6"/>
  </r>
  <r>
    <s v="2022-07-12 18:44 (-07)"/>
    <d v="2022-07-12T00:00:00"/>
    <s v="18:44(-07)"/>
    <s v="Tuesday"/>
    <s v="On Demand"/>
    <x v="4"/>
  </r>
  <r>
    <s v="2022-07-12 18:55 (-07)"/>
    <d v="2022-07-12T00:00:00"/>
    <s v="18:55(-07)"/>
    <s v="Tuesday"/>
    <s v="On Demand"/>
    <x v="29"/>
  </r>
  <r>
    <s v="2022-07-12 22:39 (PST)"/>
    <d v="2022-07-12T00:00:00"/>
    <s v="22:39(PST)"/>
    <s v="Tuesday"/>
    <s v="On Demand"/>
    <x v="16"/>
  </r>
  <r>
    <s v="2022-07-19 13:46 (PST)"/>
    <d v="2022-07-19T00:00:00"/>
    <s v="13:46(PST)"/>
    <s v="Tuesday"/>
    <s v="On Demand"/>
    <x v="31"/>
  </r>
  <r>
    <s v="2022-07-19 16:00 (-07)"/>
    <d v="2022-07-19T00:00:00"/>
    <s v="16:00(-07)"/>
    <s v="Tuesday"/>
    <s v="On Demand"/>
    <x v="6"/>
  </r>
  <r>
    <s v="2022-07-19 17:01 (-07)"/>
    <d v="2022-07-19T00:00:00"/>
    <s v="17:01(-07)"/>
    <s v="Tuesday"/>
    <s v="On Demand"/>
    <x v="4"/>
  </r>
  <r>
    <s v="2022-07-19 23:12 (PST)"/>
    <d v="2022-07-19T00:00:00"/>
    <s v="23:12(PST)"/>
    <s v="Tuesday"/>
    <s v="On Demand"/>
    <x v="23"/>
  </r>
  <r>
    <s v="2022-07-26 07:04 (PST)"/>
    <d v="2022-07-26T00:00:00"/>
    <s v="07:04(PST)"/>
    <s v="Tuesday"/>
    <s v="On Demand"/>
    <x v="7"/>
  </r>
  <r>
    <s v="2022-07-26 13:38 (-07)"/>
    <d v="2022-07-26T00:00:00"/>
    <s v="13:38(-07)"/>
    <s v="Tuesday"/>
    <s v="On Demand"/>
    <x v="6"/>
  </r>
  <r>
    <s v="2022-07-26 14:12 (-07)"/>
    <d v="2022-07-26T00:00:00"/>
    <s v="14:12(-07)"/>
    <s v="Tuesday"/>
    <s v="On Demand"/>
    <x v="12"/>
  </r>
  <r>
    <s v="2022-07-26 14:28 (-07)"/>
    <d v="2022-07-26T00:00:00"/>
    <s v="14:28(-07)"/>
    <s v="Tuesday"/>
    <s v="On Demand"/>
    <x v="2"/>
  </r>
  <r>
    <s v="2022-07-26 22:28 (PST)"/>
    <d v="2022-07-26T00:00:00"/>
    <s v="22:28(PST)"/>
    <s v="Tuesday"/>
    <s v="On Demand"/>
    <x v="25"/>
  </r>
  <r>
    <s v="2022-08-02 12:25 (PST)"/>
    <d v="2022-08-02T00:00:00"/>
    <s v="12:25(PST)"/>
    <s v="Tuesday"/>
    <s v="On Demand"/>
    <x v="15"/>
  </r>
  <r>
    <s v="2022-08-02 12:46 (PST)"/>
    <d v="2022-08-02T00:00:00"/>
    <s v="12:46(PST)"/>
    <s v="Tuesday"/>
    <s v="On Demand"/>
    <x v="26"/>
  </r>
  <r>
    <s v="2022-08-02 22:06 (PST)"/>
    <d v="2022-08-02T00:00:00"/>
    <s v="22:06(PST)"/>
    <s v="Tuesday"/>
    <s v="On Demand"/>
    <x v="16"/>
  </r>
  <r>
    <s v="2022-08-02 22:50 (PST)"/>
    <d v="2022-08-02T00:00:00"/>
    <s v="22:50(PST)"/>
    <s v="Tuesday"/>
    <s v="On Demand"/>
    <x v="13"/>
  </r>
  <r>
    <s v="2022-08-09 10:01 (PST)"/>
    <d v="2022-08-09T00:00:00"/>
    <s v="10:01(PST)"/>
    <s v="Tuesday"/>
    <s v="On Demand"/>
    <x v="1"/>
  </r>
  <r>
    <s v="2022-08-09 10:17 (PST)"/>
    <d v="2022-08-09T00:00:00"/>
    <s v="10:17(PST)"/>
    <s v="Tuesday"/>
    <s v="On Demand"/>
    <x v="16"/>
  </r>
  <r>
    <s v="2022-08-16 16:32 (PST)"/>
    <d v="2022-08-16T00:00:00"/>
    <s v="16:32(PST)"/>
    <s v="Tuesday"/>
    <s v="On Demand"/>
    <x v="28"/>
  </r>
  <r>
    <s v="2022-08-16 22:41 (PST)"/>
    <d v="2022-08-16T00:00:00"/>
    <s v="22:41(PST)"/>
    <s v="Tuesday"/>
    <s v="On Demand"/>
    <x v="16"/>
  </r>
  <r>
    <s v="2022-08-23 16:21 (-07)"/>
    <d v="2022-08-23T00:00:00"/>
    <s v="16:21(-07)"/>
    <s v="Tuesday"/>
    <s v="On Demand"/>
    <x v="35"/>
  </r>
  <r>
    <s v="2022-08-23 16:32 (-07)"/>
    <d v="2022-08-23T00:00:00"/>
    <s v="16:32(-07)"/>
    <s v="Tuesday"/>
    <s v="On Demand"/>
    <x v="8"/>
  </r>
  <r>
    <s v="2022-08-23 16:43 (-07)"/>
    <d v="2022-08-23T00:00:00"/>
    <s v="16:43(-07)"/>
    <s v="Tuesday"/>
    <s v="On Demand"/>
    <x v="8"/>
  </r>
  <r>
    <s v="2022-08-23 17:06 (-07)"/>
    <d v="2022-08-23T00:00:00"/>
    <s v="17:06(-07)"/>
    <s v="Tuesday"/>
    <s v="On Demand"/>
    <x v="12"/>
  </r>
  <r>
    <s v="2022-08-23 23:27 (PST)"/>
    <d v="2022-08-23T00:00:00"/>
    <s v="23:27(PST)"/>
    <s v="Tuesday"/>
    <s v="On Demand"/>
    <x v="16"/>
  </r>
  <r>
    <s v="2022-08-30 06:16 (-07)"/>
    <d v="2022-08-30T00:00:00"/>
    <s v="06:16(-07)"/>
    <s v="Tuesday"/>
    <s v="On Demand"/>
    <x v="7"/>
  </r>
  <r>
    <s v="2022-08-30 07:02 (-07)"/>
    <d v="2022-08-30T00:00:00"/>
    <s v="07:02(-07)"/>
    <s v="Tuesday"/>
    <s v="On Demand"/>
    <x v="17"/>
  </r>
  <r>
    <s v="2022-08-30 07:13 (-07)"/>
    <d v="2022-08-30T00:00:00"/>
    <s v="07:13(-07)"/>
    <s v="Tuesday"/>
    <s v="On Demand"/>
    <x v="18"/>
  </r>
  <r>
    <s v="2022-08-30 22:44 (PST)"/>
    <d v="2022-08-30T00:00:00"/>
    <s v="22:44(PST)"/>
    <s v="Tuesday"/>
    <s v="On Demand"/>
    <x v="23"/>
  </r>
  <r>
    <s v="2022-09-06 02:16 (PST)"/>
    <d v="2022-09-06T00:00:00"/>
    <s v="02:16(PST)"/>
    <s v="Tuesday"/>
    <s v="On Demand"/>
    <x v="25"/>
  </r>
  <r>
    <s v="2022-09-06 18:18 (-07)"/>
    <d v="2022-09-06T00:00:00"/>
    <s v="18:18(-07)"/>
    <s v="Tuesday"/>
    <s v="On Demand"/>
    <x v="5"/>
  </r>
  <r>
    <s v="2022-09-06 19:04 (-07)"/>
    <d v="2022-09-06T00:00:00"/>
    <s v="19:04(-07)"/>
    <s v="Tuesday"/>
    <s v="On Demand"/>
    <x v="63"/>
  </r>
  <r>
    <s v="2022-09-06 19:10 (-07)"/>
    <d v="2022-09-06T00:00:00"/>
    <s v="19:10(-07)"/>
    <s v="Tuesday"/>
    <s v="On Demand"/>
    <x v="24"/>
  </r>
  <r>
    <s v="2022-09-06 22:41 (PST)"/>
    <d v="2022-09-06T00:00:00"/>
    <s v="22:41(PST)"/>
    <s v="Tuesday"/>
    <s v="On Demand"/>
    <x v="19"/>
  </r>
  <r>
    <s v="2022-09-13 02:57 (PST)"/>
    <d v="2022-09-13T00:00:00"/>
    <s v="02:57(PST)"/>
    <s v="Tuesday"/>
    <s v="On Demand"/>
    <x v="19"/>
  </r>
  <r>
    <s v="2022-09-13 22:07 (PST)"/>
    <d v="2022-09-13T00:00:00"/>
    <s v="22:07(PST)"/>
    <s v="Tuesday"/>
    <s v="On Demand"/>
    <x v="25"/>
  </r>
  <r>
    <s v="2022-09-20 16:17 (-07)"/>
    <d v="2022-09-20T00:00:00"/>
    <s v="16:17(-07)"/>
    <s v="Tuesday"/>
    <s v="On Demand"/>
    <x v="35"/>
  </r>
  <r>
    <s v="2022-09-20 16:40 (-07)"/>
    <d v="2022-09-20T00:00:00"/>
    <s v="16:40(-07)"/>
    <s v="Tuesday"/>
    <s v="On Demand"/>
    <x v="6"/>
  </r>
  <r>
    <s v="2022-09-27 07:26 (PST)"/>
    <d v="2022-09-27T00:00:00"/>
    <s v="07:26(PST)"/>
    <s v="Tuesday"/>
    <s v="On Demand"/>
    <x v="7"/>
  </r>
  <r>
    <s v="2022-09-27 18:05 (-07)"/>
    <d v="2022-09-27T00:00:00"/>
    <s v="18:05(-07)"/>
    <s v="Tuesday"/>
    <s v="On Demand"/>
    <x v="24"/>
  </r>
  <r>
    <s v="2022-09-27 18:22 (-07)"/>
    <d v="2022-09-27T00:00:00"/>
    <s v="18:22(-07)"/>
    <s v="Tuesday"/>
    <s v="On Demand"/>
    <x v="6"/>
  </r>
  <r>
    <s v="2022-09-27 18:54 (-07)"/>
    <d v="2022-09-27T00:00:00"/>
    <s v="18:54(-07)"/>
    <s v="Tuesday"/>
    <s v="On Demand"/>
    <x v="11"/>
  </r>
  <r>
    <s v="2022-09-27 19:27 (-07)"/>
    <d v="2022-09-27T00:00:00"/>
    <s v="19:27(-07)"/>
    <s v="Tuesday"/>
    <s v="On Demand"/>
    <x v="7"/>
  </r>
  <r>
    <s v="2022-09-27 22:55 (PST)"/>
    <d v="2022-09-27T00:00:00"/>
    <s v="22:55(PST)"/>
    <s v="Tuesday"/>
    <s v="On Demand"/>
    <x v="23"/>
  </r>
  <r>
    <s v="2022-10-04 16:13 (-07)"/>
    <d v="2022-10-04T00:00:00"/>
    <s v="16:13(-07)"/>
    <s v="Tuesday"/>
    <s v="On Demand"/>
    <x v="11"/>
  </r>
  <r>
    <s v="2022-10-04 16:46 (-07)"/>
    <d v="2022-10-04T00:00:00"/>
    <s v="16:46(-07)"/>
    <s v="Tuesday"/>
    <s v="On Demand"/>
    <x v="7"/>
  </r>
  <r>
    <s v="2022-10-11 13:33 (PST)"/>
    <d v="2022-10-11T00:00:00"/>
    <s v="13:33(PST)"/>
    <s v="Tuesday"/>
    <s v="On Demand"/>
    <x v="21"/>
  </r>
  <r>
    <s v="2022-10-18 16:36 (-07)"/>
    <d v="2022-10-18T00:00:00"/>
    <s v="16:36(-07)"/>
    <s v="Tuesday"/>
    <s v="On Demand"/>
    <x v="20"/>
  </r>
  <r>
    <s v="2022-10-18 16:59 (-07)"/>
    <d v="2022-10-18T00:00:00"/>
    <s v="16:59(-07)"/>
    <s v="Tuesday"/>
    <s v="On Demand"/>
    <x v="11"/>
  </r>
  <r>
    <s v="2022-10-18 22:32 (PST)"/>
    <d v="2022-10-18T00:00:00"/>
    <s v="22:32(PST)"/>
    <s v="Tuesday"/>
    <s v="On Demand"/>
    <x v="25"/>
  </r>
  <r>
    <s v="2022-10-25 12:37 (PST)"/>
    <d v="2022-10-25T00:00:00"/>
    <s v="12:37(PST)"/>
    <s v="Tuesday"/>
    <s v="On Demand"/>
    <x v="7"/>
  </r>
  <r>
    <s v="2022-10-25 15:51 (PST)"/>
    <d v="2022-10-25T00:00:00"/>
    <s v="15:51(PST)"/>
    <s v="Tuesday"/>
    <s v="On Demand"/>
    <x v="21"/>
  </r>
  <r>
    <s v="2022-10-25 16:01 (PST)"/>
    <d v="2022-10-25T00:00:00"/>
    <s v="16:01(PST)"/>
    <s v="Tuesday"/>
    <s v="On Demand"/>
    <x v="3"/>
  </r>
  <r>
    <s v="2022-10-25 16:43 (PST)"/>
    <d v="2022-10-25T00:00:00"/>
    <s v="16:43(PST)"/>
    <s v="Tuesday"/>
    <s v="On Demand"/>
    <x v="16"/>
  </r>
  <r>
    <s v="2022-10-25 22:07 (PST)"/>
    <d v="2022-10-25T00:00:00"/>
    <s v="22:07(PST)"/>
    <s v="Tuesday"/>
    <s v="On Demand"/>
    <x v="28"/>
  </r>
  <r>
    <s v="2022-11-01 21:40 (GMT)"/>
    <d v="2022-11-01T00:00:00"/>
    <s v="21:40(GMT)"/>
    <s v="Tuesday"/>
    <s v="On Demand"/>
    <x v="16"/>
  </r>
  <r>
    <s v="2022-11-15 09:54 (EST)"/>
    <d v="2022-11-15T00:00:00"/>
    <s v="09:54(EST)"/>
    <s v="Tuesday"/>
    <s v="On Demand"/>
    <x v="7"/>
  </r>
  <r>
    <s v="2022-11-15 10:25 (EST)"/>
    <d v="2022-11-15T00:00:00"/>
    <s v="10:25(EST)"/>
    <s v="Tuesday"/>
    <s v="On Demand"/>
    <x v="11"/>
  </r>
  <r>
    <s v="2022-11-15 22:42 (EST)"/>
    <d v="2022-11-15T00:00:00"/>
    <s v="22:42(EST)"/>
    <s v="Tuesday"/>
    <s v="On Demand"/>
    <x v="28"/>
  </r>
  <r>
    <s v="2022-11-22 13:39 (PST)"/>
    <d v="2022-11-22T00:00:00"/>
    <s v="13:39(PST)"/>
    <s v="Tuesday"/>
    <s v="On Demand"/>
    <x v="16"/>
  </r>
  <r>
    <s v="2022-11-22 14:12 (PST)"/>
    <d v="2022-11-22T00:00:00"/>
    <s v="14:12(PST)"/>
    <s v="Tuesday"/>
    <s v="On Demand"/>
    <x v="4"/>
  </r>
  <r>
    <s v="2022-11-22 14:24 (PST)"/>
    <d v="2022-11-22T00:00:00"/>
    <s v="14:24(PST)"/>
    <s v="Tuesday"/>
    <s v="On Demand"/>
    <x v="8"/>
  </r>
  <r>
    <s v="2022-11-22 15:25 (PST)"/>
    <d v="2022-11-22T00:00:00"/>
    <s v="15:25(PST)"/>
    <s v="Tuesday"/>
    <s v="On Demand"/>
    <x v="40"/>
  </r>
  <r>
    <s v="2022-11-22 15:46 (PST)"/>
    <d v="2022-11-22T00:00:00"/>
    <s v="15:46(PST)"/>
    <s v="Tuesday"/>
    <s v="On Demand"/>
    <x v="54"/>
  </r>
  <r>
    <s v="2022-11-22 16:34 (-08)"/>
    <d v="2022-11-22T00:00:00"/>
    <s v="16:34(-08)"/>
    <s v="Tuesday"/>
    <s v="On Demand"/>
    <x v="6"/>
  </r>
  <r>
    <s v="2022-11-22 17:06 (-08)"/>
    <d v="2022-11-22T00:00:00"/>
    <s v="17:06(-08)"/>
    <s v="Tuesday"/>
    <s v="On Demand"/>
    <x v="12"/>
  </r>
  <r>
    <s v="2022-11-29 16:25 (-08)"/>
    <d v="2022-11-29T00:00:00"/>
    <s v="16:25(-08)"/>
    <s v="Tuesday"/>
    <s v="On Demand"/>
    <x v="7"/>
  </r>
  <r>
    <s v="2022-11-29 17:11 (-08)"/>
    <d v="2022-11-29T00:00:00"/>
    <s v="17:11(-08)"/>
    <s v="Tuesday"/>
    <s v="On Demand"/>
    <x v="22"/>
  </r>
  <r>
    <s v="2022-11-29 17:18 (-08)"/>
    <d v="2022-11-29T00:00:00"/>
    <s v="17:18(-08)"/>
    <s v="Tuesday"/>
    <s v="On Demand"/>
    <x v="22"/>
  </r>
  <r>
    <s v="2022-11-29 18:14 (PST)"/>
    <d v="2022-11-29T00:00:00"/>
    <s v="18:14(PST)"/>
    <s v="Tuesday"/>
    <s v="On Demand"/>
    <x v="7"/>
  </r>
  <r>
    <s v="2022-11-29 22:23 (PST)"/>
    <d v="2022-11-29T00:00:00"/>
    <s v="22:23(PST)"/>
    <s v="Tuesday"/>
    <s v="On Demand"/>
    <x v="19"/>
  </r>
  <r>
    <s v="2022-12-06 00:26 (PST)"/>
    <d v="2022-12-06T00:00:00"/>
    <s v="00:26(PST)"/>
    <s v="Tuesday"/>
    <s v="On Demand"/>
    <x v="23"/>
  </r>
  <r>
    <s v="2022-12-06 11:19 (PST)"/>
    <d v="2022-12-06T00:00:00"/>
    <s v="11:19(PST)"/>
    <s v="Tuesday"/>
    <s v="On Demand"/>
    <x v="43"/>
  </r>
  <r>
    <s v="2022-12-06 11:40 (PST)"/>
    <d v="2022-12-06T00:00:00"/>
    <s v="11:40(PST)"/>
    <s v="Tuesday"/>
    <s v="On Demand"/>
    <x v="43"/>
  </r>
  <r>
    <s v="2022-12-06 15:26 (-08)"/>
    <d v="2022-12-06T00:00:00"/>
    <s v="15:26(-08)"/>
    <s v="Tuesday"/>
    <s v="On Demand"/>
    <x v="4"/>
  </r>
  <r>
    <s v="2022-12-06 16:03 (-08)"/>
    <d v="2022-12-06T00:00:00"/>
    <s v="16:03(-08)"/>
    <s v="Tuesday"/>
    <s v="On Demand"/>
    <x v="31"/>
  </r>
  <r>
    <s v="2022-12-06 16:25 (-08)"/>
    <d v="2022-12-06T00:00:00"/>
    <s v="16:25(-08)"/>
    <s v="Tuesday"/>
    <s v="On Demand"/>
    <x v="1"/>
  </r>
  <r>
    <s v="2022-12-06 16:46 (-08)"/>
    <d v="2022-12-06T00:00:00"/>
    <s v="16:46(-08)"/>
    <s v="Tuesday"/>
    <s v="On Demand"/>
    <x v="10"/>
  </r>
  <r>
    <s v="2022-12-06 22:33 (PST)"/>
    <d v="2022-12-06T00:00:00"/>
    <s v="22:33(PST)"/>
    <s v="Tuesday"/>
    <s v="On Demand"/>
    <x v="28"/>
  </r>
  <r>
    <s v="2022-12-13 08:10 (EST)"/>
    <d v="2022-12-13T00:00:00"/>
    <s v="08:10(EST)"/>
    <s v="Tuesday"/>
    <s v="On Demand"/>
    <x v="7"/>
  </r>
  <r>
    <s v="2022-12-13 23:37 (EST)"/>
    <d v="2022-12-13T00:00:00"/>
    <s v="23:37(EST)"/>
    <s v="Tuesday"/>
    <s v="On Demand"/>
    <x v="19"/>
  </r>
  <r>
    <s v="2022-12-20 09:32 (EST)"/>
    <d v="2022-12-20T00:00:00"/>
    <s v="09:32(EST)"/>
    <s v="Tuesday"/>
    <s v="On Demand"/>
    <x v="16"/>
  </r>
  <r>
    <s v="2022-12-20 22:14 (EST)"/>
    <d v="2022-12-20T00:00:00"/>
    <s v="22:14(EST)"/>
    <s v="Tuesday"/>
    <s v="On Demand"/>
    <x v="23"/>
  </r>
  <r>
    <s v="2022-12-27 08:02 (PST)"/>
    <d v="2022-12-27T00:00:00"/>
    <s v="08:02(PST)"/>
    <s v="Tuesday"/>
    <s v="On Demand"/>
    <x v="13"/>
  </r>
  <r>
    <s v="2022-12-27 16:05 (-08)"/>
    <d v="2022-12-27T00:00:00"/>
    <s v="16:05(-08)"/>
    <s v="Tuesday"/>
    <s v="On Demand"/>
    <x v="37"/>
  </r>
  <r>
    <s v="2022-12-27 16:53 (-08)"/>
    <d v="2022-12-27T00:00:00"/>
    <s v="16:53(-08)"/>
    <s v="Tuesday"/>
    <s v="On Demand"/>
    <x v="46"/>
  </r>
  <r>
    <s v="2022-12-27 17:04 (-08)"/>
    <d v="2022-12-27T00:00:00"/>
    <s v="17:04(-08)"/>
    <s v="Tuesday"/>
    <s v="On Demand"/>
    <x v="36"/>
  </r>
  <r>
    <s v="2022-12-27 17:16 (-08)"/>
    <d v="2022-12-27T00:00:00"/>
    <s v="17:16(-08)"/>
    <s v="Tuesday"/>
    <s v="On Demand"/>
    <x v="37"/>
  </r>
  <r>
    <s v="2022-12-27 22:44 (PST)"/>
    <d v="2022-12-27T00:00:00"/>
    <s v="22:44(PST)"/>
    <s v="Tuesday"/>
    <s v="On Demand"/>
    <x v="25"/>
  </r>
  <r>
    <s v="2023-01-03 03:45 (PST)"/>
    <d v="2023-01-03T00:00:00"/>
    <s v="03:45(PST)"/>
    <s v="Tuesday"/>
    <s v="On Demand"/>
    <x v="19"/>
  </r>
  <r>
    <s v="2023-01-03 07:36 (PST)"/>
    <d v="2023-01-03T00:00:00"/>
    <s v="07:36(PST)"/>
    <s v="Tuesday"/>
    <s v="On Demand"/>
    <x v="7"/>
  </r>
  <r>
    <s v="2023-01-03 12:19 (PST)"/>
    <d v="2023-01-03T00:00:00"/>
    <s v="12:19(PST)"/>
    <s v="Tuesday"/>
    <s v="On Demand"/>
    <x v="43"/>
  </r>
  <r>
    <s v="2023-01-03 12:49 (PST)"/>
    <d v="2023-01-03T00:00:00"/>
    <s v="12:49(PST)"/>
    <s v="Tuesday"/>
    <m/>
    <x v="34"/>
  </r>
  <r>
    <s v="2023-01-03 16:08 (-08)"/>
    <d v="2023-01-03T00:00:00"/>
    <s v="16:08(-08)"/>
    <s v="Tuesday"/>
    <s v="On Demand"/>
    <x v="6"/>
  </r>
  <r>
    <s v="2023-01-03 16:54 (-08)"/>
    <d v="2023-01-03T00:00:00"/>
    <s v="16:54(-08)"/>
    <s v="Tuesday"/>
    <s v="On Demand"/>
    <x v="9"/>
  </r>
  <r>
    <s v="2023-01-03 17:00 (-08)"/>
    <d v="2023-01-03T00:00:00"/>
    <s v="17:00(-08)"/>
    <s v="Tuesday"/>
    <s v="On Demand"/>
    <x v="6"/>
  </r>
  <r>
    <s v="2023-01-03 22:06 (PST)"/>
    <d v="2023-01-03T00:00:00"/>
    <s v="22:06(PST)"/>
    <s v="Tuesday"/>
    <s v="On Demand"/>
    <x v="19"/>
  </r>
  <r>
    <s v="2023-01-10 03:25 (PST)"/>
    <d v="2023-01-10T00:00:00"/>
    <s v="03:25(PST)"/>
    <s v="Tuesday"/>
    <s v="On Demand"/>
    <x v="19"/>
  </r>
  <r>
    <s v="2023-01-10 11:09 (PST)"/>
    <d v="2023-01-10T00:00:00"/>
    <s v="11:09(PST)"/>
    <s v="Tuesday"/>
    <s v="On Demand"/>
    <x v="23"/>
  </r>
  <r>
    <s v="2023-01-10 19:00 (-08)"/>
    <d v="2023-01-10T00:00:00"/>
    <s v="19:00(-08)"/>
    <s v="Tuesday"/>
    <s v="On Demand"/>
    <x v="9"/>
  </r>
  <r>
    <s v="2023-01-10 19:48 (-08)"/>
    <d v="2023-01-10T00:00:00"/>
    <s v="19:48(-08)"/>
    <s v="Tuesday"/>
    <s v="On Demand"/>
    <x v="1"/>
  </r>
  <r>
    <s v="2023-01-10 21:46 (PST)"/>
    <d v="2023-01-10T00:00:00"/>
    <s v="21:46(PST)"/>
    <s v="Tuesday"/>
    <s v="On Demand"/>
    <x v="28"/>
  </r>
  <r>
    <s v="2023-01-17 08:17 (PST)"/>
    <d v="2023-01-17T00:00:00"/>
    <s v="08:17(PST)"/>
    <s v="Tuesday"/>
    <s v="On Demand"/>
    <x v="13"/>
  </r>
  <r>
    <s v="2023-01-17 13:40 (PST)"/>
    <d v="2023-01-17T00:00:00"/>
    <s v="13:40(PST)"/>
    <s v="Tuesday"/>
    <s v="On Demand"/>
    <x v="15"/>
  </r>
  <r>
    <s v="2023-01-17 16:00 (-08)"/>
    <d v="2023-01-17T00:00:00"/>
    <s v="16:00(-08)"/>
    <s v="Tuesday"/>
    <s v="On Demand"/>
    <x v="6"/>
  </r>
  <r>
    <s v="2023-01-17 16:46 (-08)"/>
    <d v="2023-01-17T00:00:00"/>
    <s v="16:46(-08)"/>
    <s v="Tuesday"/>
    <s v="On Demand"/>
    <x v="12"/>
  </r>
  <r>
    <s v="2023-01-17 16:58 (-08)"/>
    <d v="2023-01-17T00:00:00"/>
    <s v="16:58(-08)"/>
    <s v="Tuesday"/>
    <s v="On Demand"/>
    <x v="20"/>
  </r>
  <r>
    <s v="2023-01-24 01:18 (PST)"/>
    <d v="2023-01-24T00:00:00"/>
    <s v="01:18(PST)"/>
    <s v="Tuesday"/>
    <s v="On Demand"/>
    <x v="28"/>
  </r>
  <r>
    <s v="2023-01-24 07:47 (PST)"/>
    <d v="2023-01-24T00:00:00"/>
    <s v="07:47(PST)"/>
    <s v="Tuesday"/>
    <s v="On Demand"/>
    <x v="13"/>
  </r>
  <r>
    <s v="2023-01-24 12:41 (-08)"/>
    <d v="2023-01-24T00:00:00"/>
    <s v="12:41(-08)"/>
    <s v="Tuesday"/>
    <s v="On Demand"/>
    <x v="37"/>
  </r>
  <r>
    <s v="2023-01-24 13:47 (PST)"/>
    <d v="2023-01-24T00:00:00"/>
    <s v="13:47(PST)"/>
    <s v="Tuesday"/>
    <m/>
    <x v="34"/>
  </r>
  <r>
    <s v="2023-01-24 21:18 (PST)"/>
    <d v="2023-01-24T00:00:00"/>
    <s v="21:18(PST)"/>
    <s v="Tuesday"/>
    <s v="On Demand"/>
    <x v="23"/>
  </r>
  <r>
    <s v="2023-01-31 08:18 (-05)"/>
    <d v="2023-01-31T00:00:00"/>
    <s v="08:18(-05)"/>
    <s v="Tuesday"/>
    <s v="On Demand"/>
    <x v="6"/>
  </r>
  <r>
    <s v="2023-01-31 09:04 (-05)"/>
    <d v="2023-01-31T00:00:00"/>
    <s v="09:04(-05)"/>
    <s v="Tuesday"/>
    <s v="On Demand"/>
    <x v="8"/>
  </r>
  <r>
    <s v="2023-01-31 09:13 (-05)"/>
    <d v="2023-01-31T00:00:00"/>
    <s v="09:13(-05)"/>
    <s v="Tuesday"/>
    <s v="On Demand"/>
    <x v="42"/>
  </r>
  <r>
    <s v="2023-01-31 09:39 (EST)"/>
    <d v="2023-01-31T00:00:00"/>
    <s v="09:39(EST)"/>
    <s v="Tuesday"/>
    <s v="On Demand"/>
    <x v="35"/>
  </r>
  <r>
    <s v="2023-01-31 09:50 (EST)"/>
    <d v="2023-01-31T00:00:00"/>
    <s v="09:50(EST)"/>
    <s v="Tuesday"/>
    <s v="On Demand"/>
    <x v="18"/>
  </r>
  <r>
    <s v="2023-01-31 23:21 (EST)"/>
    <d v="2023-01-31T00:00:00"/>
    <s v="23:21(EST)"/>
    <s v="Tuesday"/>
    <s v="On Demand"/>
    <x v="16"/>
  </r>
  <r>
    <s v="2023-02-07 09:29 (-05)"/>
    <d v="2023-02-07T00:00:00"/>
    <s v="09:29(-05)"/>
    <s v="Tuesday"/>
    <s v="On Demand"/>
    <x v="6"/>
  </r>
  <r>
    <s v="2023-02-07 10:16 (-05)"/>
    <d v="2023-02-07T00:00:00"/>
    <s v="10:16(-05)"/>
    <s v="Tuesday"/>
    <s v="On Demand"/>
    <x v="1"/>
  </r>
  <r>
    <s v="2023-02-07 10:31 (-05)"/>
    <d v="2023-02-07T00:00:00"/>
    <s v="10:31(-05)"/>
    <s v="Tuesday"/>
    <s v="On Demand"/>
    <x v="1"/>
  </r>
  <r>
    <s v="2023-02-07 10:53 (-05)"/>
    <d v="2023-02-07T00:00:00"/>
    <s v="10:53(-05)"/>
    <s v="Tuesday"/>
    <s v="On Demand"/>
    <x v="16"/>
  </r>
  <r>
    <s v="2023-02-07 22:56 (EST)"/>
    <d v="2023-02-07T00:00:00"/>
    <s v="22:56(EST)"/>
    <s v="Tuesday"/>
    <s v="On Demand"/>
    <x v="13"/>
  </r>
  <r>
    <s v="2023-02-14 12:16 (-08)"/>
    <d v="2023-02-14T00:00:00"/>
    <s v="12:16(-08)"/>
    <s v="Tuesday"/>
    <s v="On Demand"/>
    <x v="7"/>
  </r>
  <r>
    <s v="2023-02-14 13:04 (-08)"/>
    <d v="2023-02-14T00:00:00"/>
    <s v="13:04(-08)"/>
    <s v="Tuesday"/>
    <s v="On Demand"/>
    <x v="1"/>
  </r>
  <r>
    <s v="2023-02-14 13:25 (-08)"/>
    <d v="2023-02-14T00:00:00"/>
    <s v="13:25(-08)"/>
    <s v="Tuesday"/>
    <s v="On Demand"/>
    <x v="24"/>
  </r>
  <r>
    <s v="2023-02-14 13:47 (-08)"/>
    <d v="2023-02-14T00:00:00"/>
    <s v="13:47(-08)"/>
    <s v="Tuesday"/>
    <s v="On Demand"/>
    <x v="24"/>
  </r>
  <r>
    <s v="2023-02-21 14:09 (-08)"/>
    <d v="2023-02-21T00:00:00"/>
    <s v="14:09(-08)"/>
    <s v="Tuesday"/>
    <s v="On Demand"/>
    <x v="37"/>
  </r>
  <r>
    <s v="2023-02-21 14:57 (-08)"/>
    <d v="2023-02-21T00:00:00"/>
    <s v="14:57(-08)"/>
    <s v="Tuesday"/>
    <s v="On Demand"/>
    <x v="38"/>
  </r>
  <r>
    <s v="2023-02-21 15:06 (-08)"/>
    <d v="2023-02-21T00:00:00"/>
    <s v="15:06(-08)"/>
    <s v="Tuesday"/>
    <s v="On Demand"/>
    <x v="35"/>
  </r>
  <r>
    <s v="2023-02-21 15:17 (-08)"/>
    <d v="2023-02-21T00:00:00"/>
    <s v="15:17(-08)"/>
    <s v="Tuesday"/>
    <s v="On Demand"/>
    <x v="26"/>
  </r>
  <r>
    <s v="2023-02-21 16:36 (PST)"/>
    <d v="2023-02-21T00:00:00"/>
    <s v="16:36(PST)"/>
    <s v="Tuesday"/>
    <s v="On Demand"/>
    <x v="13"/>
  </r>
  <r>
    <s v="2023-02-21 22:48 (PST)"/>
    <d v="2023-02-21T00:00:00"/>
    <s v="22:48(PST)"/>
    <s v="Tuesday"/>
    <s v="On Demand"/>
    <x v="16"/>
  </r>
  <r>
    <s v="2023-02-28 11:56 (PST)"/>
    <d v="2023-02-28T00:00:00"/>
    <s v="11:56(PST)"/>
    <s v="Tuesday"/>
    <s v="On Demand"/>
    <x v="13"/>
  </r>
  <r>
    <s v="2023-02-28 22:24 (PST)"/>
    <d v="2023-02-28T00:00:00"/>
    <s v="22:24(PST)"/>
    <s v="Tuesday"/>
    <s v="On Demand"/>
    <x v="28"/>
  </r>
  <r>
    <s v="2023-03-07 07:56 (PST)"/>
    <d v="2023-03-07T00:00:00"/>
    <s v="07:56(PST)"/>
    <s v="Tuesday"/>
    <s v="On Demand"/>
    <x v="28"/>
  </r>
  <r>
    <s v="2023-03-07 10:42 (PST)"/>
    <d v="2023-03-07T00:00:00"/>
    <s v="10:42(PST)"/>
    <s v="Tuesday"/>
    <m/>
    <x v="34"/>
  </r>
  <r>
    <s v="2023-03-07 13:03 (-08)"/>
    <d v="2023-03-07T00:00:00"/>
    <s v="13:03(-08)"/>
    <s v="Tuesday"/>
    <s v="On Demand"/>
    <x v="31"/>
  </r>
  <r>
    <s v="2023-03-07 13:15 (-08)"/>
    <d v="2023-03-07T00:00:00"/>
    <s v="13:15(-08)"/>
    <s v="Tuesday"/>
    <s v="On Demand"/>
    <x v="6"/>
  </r>
  <r>
    <s v="2023-03-07 14:47 (-08)"/>
    <d v="2023-03-07T00:00:00"/>
    <s v="14:47(-08)"/>
    <s v="Tuesday"/>
    <s v="On Demand"/>
    <x v="22"/>
  </r>
  <r>
    <s v="2023-03-07 22:32 (PST)"/>
    <d v="2023-03-07T00:00:00"/>
    <s v="22:32(PST)"/>
    <s v="Tuesday"/>
    <s v="On Demand"/>
    <x v="23"/>
  </r>
  <r>
    <s v="2023-03-14 16:21 (-07)"/>
    <d v="2023-03-14T00:00:00"/>
    <s v="16:21(-07)"/>
    <s v="Tuesday"/>
    <s v="On Demand"/>
    <x v="31"/>
  </r>
  <r>
    <s v="2023-03-14 16:36 (-07)"/>
    <d v="2023-03-14T00:00:00"/>
    <s v="16:36(-07)"/>
    <s v="Tuesday"/>
    <s v="On Demand"/>
    <x v="6"/>
  </r>
  <r>
    <s v="2023-03-14 17:38 (-07)"/>
    <d v="2023-03-14T00:00:00"/>
    <s v="17:38(-07)"/>
    <s v="Tuesday"/>
    <s v="On Demand"/>
    <x v="0"/>
  </r>
  <r>
    <s v="2023-03-14 17:49 (-07)"/>
    <d v="2023-03-14T00:00:00"/>
    <s v="17:49(-07)"/>
    <s v="Tuesday"/>
    <s v="On Demand"/>
    <x v="17"/>
  </r>
  <r>
    <s v="2023-03-14 23:05 (PST)"/>
    <d v="2023-03-14T00:00:00"/>
    <s v="23:05(PST)"/>
    <s v="Tuesday"/>
    <s v="On Demand"/>
    <x v="28"/>
  </r>
  <r>
    <s v="2023-03-21 12:41 (-04)"/>
    <d v="2023-03-21T00:00:00"/>
    <s v="12:41(-04)"/>
    <s v="Tuesday"/>
    <s v="On Demand"/>
    <x v="6"/>
  </r>
  <r>
    <s v="2023-03-21 13:13 (-04)"/>
    <d v="2023-03-21T00:00:00"/>
    <s v="13:13(-04)"/>
    <s v="Tuesday"/>
    <s v="On Demand"/>
    <x v="12"/>
  </r>
  <r>
    <s v="2023-03-21 13:24 (-04)"/>
    <d v="2023-03-21T00:00:00"/>
    <s v="13:24(-04)"/>
    <s v="Tuesday"/>
    <s v="On Demand"/>
    <x v="9"/>
  </r>
  <r>
    <s v="2023-03-21 13:33 (-04)"/>
    <d v="2023-03-21T00:00:00"/>
    <s v="13:33(-04)"/>
    <s v="Tuesday"/>
    <s v="On Demand"/>
    <x v="31"/>
  </r>
  <r>
    <s v="2023-03-21 14:07 (-04)"/>
    <d v="2023-03-21T00:00:00"/>
    <s v="14:07(-04)"/>
    <s v="Tuesday"/>
    <s v="On Demand"/>
    <x v="7"/>
  </r>
  <r>
    <s v="2023-03-21 23:08 (EST)"/>
    <d v="2023-03-21T00:00:00"/>
    <s v="23:08(EST)"/>
    <s v="Tuesday"/>
    <s v="On Demand"/>
    <x v="19"/>
  </r>
  <r>
    <s v="2023-03-28 10:51 (PST)"/>
    <d v="2023-03-28T00:00:00"/>
    <s v="10:51(PST)"/>
    <s v="Tuesday"/>
    <s v="On Demand"/>
    <x v="13"/>
  </r>
  <r>
    <s v="2023-03-28 14:37 (-07)"/>
    <d v="2023-03-28T00:00:00"/>
    <s v="14:37(-07)"/>
    <s v="Tuesday"/>
    <s v="On Demand"/>
    <x v="24"/>
  </r>
  <r>
    <s v="2023-03-28 14:50 (-07)"/>
    <d v="2023-03-28T00:00:00"/>
    <s v="14:50(-07)"/>
    <s v="Tuesday"/>
    <s v="On Demand"/>
    <x v="4"/>
  </r>
  <r>
    <s v="2023-03-28 15:42 (-07)"/>
    <d v="2023-03-28T00:00:00"/>
    <s v="15:42(-07)"/>
    <s v="Tuesday"/>
    <s v="On Demand"/>
    <x v="7"/>
  </r>
  <r>
    <s v="2023-03-28 16:23 (PST)"/>
    <d v="2023-03-28T00:00:00"/>
    <s v="16:23(PST)"/>
    <s v="Tuesday"/>
    <m/>
    <x v="34"/>
  </r>
  <r>
    <s v="2023-03-28 21:32 (PST)"/>
    <d v="2023-03-28T00:00:00"/>
    <s v="21:32(PST)"/>
    <s v="Tuesday"/>
    <s v="On Demand"/>
    <x v="23"/>
  </r>
  <r>
    <s v="2023-04-04 09:57 (PST)"/>
    <d v="2023-04-04T00:00:00"/>
    <s v="09:57(PST)"/>
    <s v="Tuesday"/>
    <s v="On Demand"/>
    <x v="7"/>
  </r>
  <r>
    <s v="2023-04-04 15:17 (-07)"/>
    <d v="2023-04-04T00:00:00"/>
    <s v="15:17(-07)"/>
    <s v="Tuesday"/>
    <s v="On Demand"/>
    <x v="37"/>
  </r>
  <r>
    <s v="2023-04-04 15:30 (-07)"/>
    <d v="2023-04-04T00:00:00"/>
    <s v="15:30(-07)"/>
    <s v="Tuesday"/>
    <s v="On Demand"/>
    <x v="6"/>
  </r>
  <r>
    <s v="2023-04-04 16:31 (-07)"/>
    <d v="2023-04-04T00:00:00"/>
    <s v="16:31(-07)"/>
    <s v="Tuesday"/>
    <s v="On Demand"/>
    <x v="9"/>
  </r>
  <r>
    <s v="2023-04-04 22:30 (PST)"/>
    <d v="2023-04-04T00:00:00"/>
    <s v="22:30(PST)"/>
    <s v="Tuesday"/>
    <s v="On Demand"/>
    <x v="19"/>
  </r>
  <r>
    <s v="2023-04-11 08:57 (PST)"/>
    <d v="2023-04-11T00:00:00"/>
    <s v="08:57(PST)"/>
    <s v="Tuesday"/>
    <s v="On Demand"/>
    <x v="16"/>
  </r>
  <r>
    <s v="2023-04-11 14:13 (PST)"/>
    <d v="2023-04-11T00:00:00"/>
    <s v="14:13(PST)"/>
    <s v="Tuesday"/>
    <m/>
    <x v="34"/>
  </r>
  <r>
    <s v="2023-04-11 15:16 (-07)"/>
    <d v="2023-04-11T00:00:00"/>
    <s v="15:16(-07)"/>
    <s v="Tuesday"/>
    <s v="On Demand"/>
    <x v="35"/>
  </r>
  <r>
    <s v="2023-04-11 15:48 (-07)"/>
    <d v="2023-04-11T00:00:00"/>
    <s v="15:48(-07)"/>
    <s v="Tuesday"/>
    <s v="On Demand"/>
    <x v="31"/>
  </r>
  <r>
    <s v="2023-04-11 16:02 (-07)"/>
    <d v="2023-04-11T00:00:00"/>
    <s v="16:02(-07)"/>
    <s v="Tuesday"/>
    <s v="On Demand"/>
    <x v="7"/>
  </r>
  <r>
    <s v="2023-04-11 16:36 (-07)"/>
    <d v="2023-04-11T00:00:00"/>
    <s v="16:36(-07)"/>
    <s v="Tuesday"/>
    <s v="On Demand"/>
    <x v="29"/>
  </r>
  <r>
    <s v="2023-04-11 21:51 (PST)"/>
    <d v="2023-04-11T00:00:00"/>
    <s v="21:51(PST)"/>
    <s v="Tuesday"/>
    <s v="On Demand"/>
    <x v="25"/>
  </r>
  <r>
    <s v="2023-04-18 06:52 (PST)"/>
    <d v="2023-04-18T00:00:00"/>
    <s v="06:52(PST)"/>
    <s v="Tuesday"/>
    <s v="On Demand"/>
    <x v="16"/>
  </r>
  <r>
    <s v="2023-04-18 17:36 (PST)"/>
    <d v="2023-04-18T00:00:00"/>
    <s v="17:36(PST)"/>
    <s v="Tuesday"/>
    <s v="On Demand"/>
    <x v="21"/>
  </r>
  <r>
    <s v="2023-04-18 18:06 (PST)"/>
    <d v="2023-04-18T00:00:00"/>
    <s v="18:06(PST)"/>
    <s v="Tuesday"/>
    <s v="On Demand"/>
    <x v="44"/>
  </r>
  <r>
    <s v="2023-04-18 18:16 (PST)"/>
    <d v="2023-04-18T00:00:00"/>
    <s v="18:16(PST)"/>
    <s v="Tuesday"/>
    <s v="On Demand"/>
    <x v="12"/>
  </r>
  <r>
    <s v="2023-04-25 06:22 (PST)"/>
    <d v="2023-04-25T00:00:00"/>
    <s v="06:22(PST)"/>
    <s v="Tuesday"/>
    <s v="On Demand"/>
    <x v="13"/>
  </r>
  <r>
    <s v="2023-04-25 13:21 (PST)"/>
    <d v="2023-04-25T00:00:00"/>
    <s v="13:21(PST)"/>
    <s v="Tuesday"/>
    <m/>
    <x v="34"/>
  </r>
  <r>
    <s v="2023-04-25 22:09 (PST)"/>
    <d v="2023-04-25T00:00:00"/>
    <s v="22:09(PST)"/>
    <s v="Tuesday"/>
    <s v="On Demand"/>
    <x v="28"/>
  </r>
  <r>
    <s v="2023-05-09 10:38 (PST)"/>
    <d v="2023-05-09T00:00:00"/>
    <s v="10:38(PST)"/>
    <s v="Tuesday"/>
    <m/>
    <x v="34"/>
  </r>
  <r>
    <s v="2023-05-09 16:47 (-07)"/>
    <d v="2023-05-09T00:00:00"/>
    <s v="16:47(-07)"/>
    <s v="Tuesday"/>
    <s v="On Demand"/>
    <x v="7"/>
  </r>
  <r>
    <s v="2023-05-09 17:51 (-07)"/>
    <d v="2023-05-09T00:00:00"/>
    <s v="17:51(-07)"/>
    <s v="Tuesday"/>
    <s v="On Demand"/>
    <x v="26"/>
  </r>
  <r>
    <s v="2023-05-09 22:36 (PST)"/>
    <d v="2023-05-09T00:00:00"/>
    <s v="22:36(PST)"/>
    <s v="Tuesday"/>
    <s v="On Demand"/>
    <x v="25"/>
  </r>
  <r>
    <s v="2023-05-16 06:51 (PST)"/>
    <d v="2023-05-16T00:00:00"/>
    <s v="06:51(PST)"/>
    <s v="Tuesday"/>
    <s v="On Demand"/>
    <x v="23"/>
  </r>
  <r>
    <s v="2023-05-16 09:01 (PST)"/>
    <d v="2023-05-16T00:00:00"/>
    <s v="09:01(PST)"/>
    <s v="Tuesday"/>
    <m/>
    <x v="34"/>
  </r>
  <r>
    <s v="2023-05-16 22:16 (PST)"/>
    <d v="2023-05-16T00:00:00"/>
    <s v="22:16(PST)"/>
    <s v="Tuesday"/>
    <s v="On Demand"/>
    <x v="28"/>
  </r>
  <r>
    <s v="2023-05-23 06:31 (PST)"/>
    <d v="2023-05-23T00:00:00"/>
    <s v="06:31(PST)"/>
    <s v="Tuesday"/>
    <s v="On Demand"/>
    <x v="13"/>
  </r>
  <r>
    <s v="2023-05-23 16:37 (PST)"/>
    <d v="2023-05-23T00:00:00"/>
    <s v="16:37(PST)"/>
    <s v="Tuesday"/>
    <m/>
    <x v="34"/>
  </r>
  <r>
    <s v="2023-05-23 17:24 (-07)"/>
    <d v="2023-05-23T00:00:00"/>
    <s v="17:24(-07)"/>
    <s v="Tuesday"/>
    <s v="On Demand"/>
    <x v="7"/>
  </r>
  <r>
    <s v="2023-05-23 18:03 (-07)"/>
    <d v="2023-05-23T00:00:00"/>
    <s v="18:03(-07)"/>
    <s v="Tuesday"/>
    <s v="On Demand"/>
    <x v="31"/>
  </r>
  <r>
    <s v="2023-05-23 18:26 (-07)"/>
    <d v="2023-05-23T00:00:00"/>
    <s v="18:26(-07)"/>
    <s v="Tuesday"/>
    <s v="On Demand"/>
    <x v="1"/>
  </r>
  <r>
    <s v="2023-05-23 22:10 (PST)"/>
    <d v="2023-05-23T00:00:00"/>
    <s v="22:10(PST)"/>
    <s v="Tuesday"/>
    <s v="On Demand"/>
    <x v="23"/>
  </r>
  <r>
    <s v="2023-05-30 15:56 (-07)"/>
    <d v="2023-05-30T00:00:00"/>
    <s v="15:56(-07)"/>
    <s v="Tuesday"/>
    <s v="On Demand"/>
    <x v="7"/>
  </r>
  <r>
    <s v="2023-05-30 16:42 (-07)"/>
    <d v="2023-05-30T00:00:00"/>
    <s v="16:42(-07)"/>
    <s v="Tuesday"/>
    <s v="On Demand"/>
    <x v="17"/>
  </r>
  <r>
    <s v="2023-05-30 16:53 (-07)"/>
    <d v="2023-05-30T00:00:00"/>
    <s v="16:53(-07)"/>
    <s v="Tuesday"/>
    <s v="On Demand"/>
    <x v="17"/>
  </r>
  <r>
    <s v="2023-05-30 22:25 (PST)"/>
    <d v="2023-05-30T00:00:00"/>
    <s v="22:25(PST)"/>
    <s v="Tuesday"/>
    <s v="On Demand"/>
    <x v="19"/>
  </r>
  <r>
    <s v="2023-05-30 22:35 (PST)"/>
    <d v="2023-05-30T00:00:00"/>
    <s v="22:35(PST)"/>
    <s v="Tuesday"/>
    <s v="On Demand"/>
    <x v="16"/>
  </r>
  <r>
    <s v="2023-06-06 22:10 (PST)"/>
    <d v="2023-06-06T00:00:00"/>
    <s v="22:10(PST)"/>
    <s v="Tuesday"/>
    <s v="On Demand"/>
    <x v="23"/>
  </r>
  <r>
    <s v="2023-06-13 06:24 (PST)"/>
    <d v="2023-06-13T00:00:00"/>
    <s v="06:24(PST)"/>
    <s v="Tuesday"/>
    <s v="On Demand"/>
    <x v="13"/>
  </r>
  <r>
    <s v="2023-06-13 11:38 (PST)"/>
    <d v="2023-06-13T00:00:00"/>
    <s v="11:38(PST)"/>
    <s v="Tuesday"/>
    <m/>
    <x v="34"/>
  </r>
  <r>
    <s v="2023-06-13 22:16 (PST)"/>
    <d v="2023-06-13T00:00:00"/>
    <s v="22:16(PST)"/>
    <s v="Tuesday"/>
    <s v="On Demand"/>
    <x v="28"/>
  </r>
  <r>
    <s v="2023-06-20 16:17 (-07)"/>
    <d v="2023-06-20T00:00:00"/>
    <s v="16:17(-07)"/>
    <s v="Tuesday"/>
    <s v="On Demand"/>
    <x v="6"/>
  </r>
  <r>
    <s v="2023-06-20 16:50 (-07)"/>
    <d v="2023-06-20T00:00:00"/>
    <s v="16:50(-07)"/>
    <s v="Tuesday"/>
    <s v="On Demand"/>
    <x v="6"/>
  </r>
  <r>
    <s v="2023-06-20 16:54 (-07)"/>
    <d v="2023-06-20T00:00:00"/>
    <s v="16:54(-07)"/>
    <s v="Tuesday"/>
    <s v="On Demand"/>
    <x v="24"/>
  </r>
  <r>
    <s v="2023-06-20 17:15 (-07)"/>
    <d v="2023-06-20T00:00:00"/>
    <s v="17:15(-07)"/>
    <s v="Tuesday"/>
    <s v="On Demand"/>
    <x v="1"/>
  </r>
  <r>
    <s v="2023-06-20 22:28 (PST)"/>
    <d v="2023-06-20T00:00:00"/>
    <s v="22:28(PST)"/>
    <s v="Tuesday"/>
    <s v="On Demand"/>
    <x v="28"/>
  </r>
  <r>
    <s v="2023-07-04 10:58 (-07)"/>
    <d v="2023-07-04T00:00:00"/>
    <s v="10:58(-07)"/>
    <s v="Tuesday"/>
    <s v="On Demand"/>
    <x v="7"/>
  </r>
  <r>
    <s v="2023-07-04 11:45 (-07)"/>
    <d v="2023-07-04T00:00:00"/>
    <s v="11:45(-07)"/>
    <s v="Tuesday"/>
    <s v="On Demand"/>
    <x v="9"/>
  </r>
  <r>
    <s v="2023-07-04 11:56 (-07)"/>
    <d v="2023-07-04T00:00:00"/>
    <s v="11:56(-07)"/>
    <s v="Tuesday"/>
    <s v="On Demand"/>
    <x v="1"/>
  </r>
  <r>
    <s v="2023-07-04 12:04 (-07)"/>
    <d v="2023-07-04T00:00:00"/>
    <s v="12:04(-07)"/>
    <s v="Tuesday"/>
    <s v="On Demand"/>
    <x v="7"/>
  </r>
  <r>
    <s v="2023-07-11 15:51 (-07)"/>
    <d v="2023-07-11T00:00:00"/>
    <s v="15:51(-07)"/>
    <s v="Tuesday"/>
    <s v="On Demand"/>
    <x v="46"/>
  </r>
  <r>
    <s v="2023-07-11 16:38 (-07)"/>
    <d v="2023-07-11T00:00:00"/>
    <s v="16:38(-07)"/>
    <s v="Tuesday"/>
    <s v="On Demand"/>
    <x v="35"/>
  </r>
  <r>
    <s v="2023-07-11 22:12 (PST)"/>
    <d v="2023-07-11T00:00:00"/>
    <s v="22:12(PST)"/>
    <s v="Tuesday"/>
    <s v="On Demand"/>
    <x v="16"/>
  </r>
  <r>
    <s v="2023-07-18 07:24 (PST)"/>
    <d v="2023-07-18T00:00:00"/>
    <s v="07:24(PST)"/>
    <s v="Tuesday"/>
    <m/>
    <x v="34"/>
  </r>
  <r>
    <s v="2023-07-18 12:15 (-07)"/>
    <d v="2023-07-18T00:00:00"/>
    <s v="12:15(-07)"/>
    <s v="Tuesday"/>
    <s v="On Demand"/>
    <x v="46"/>
  </r>
  <r>
    <s v="2023-07-18 22:08 (PST)"/>
    <d v="2023-07-18T00:00:00"/>
    <s v="22:08(PST)"/>
    <s v="Tuesday"/>
    <s v="On Demand"/>
    <x v="28"/>
  </r>
  <r>
    <s v="2023-07-25 04:59 (EST)"/>
    <d v="2023-07-25T00:00:00"/>
    <s v="04:59(EST)"/>
    <s v="Tuesday"/>
    <s v="On Demand"/>
    <x v="21"/>
  </r>
  <r>
    <s v="2023-07-25 05:33 (EST)"/>
    <d v="2023-07-25T00:00:00"/>
    <s v="05:33(EST)"/>
    <s v="Tuesday"/>
    <s v="On Demand"/>
    <x v="20"/>
  </r>
  <r>
    <s v="2023-07-25 05:49 (EST)"/>
    <d v="2023-07-25T00:00:00"/>
    <s v="05:49(EST)"/>
    <s v="Tuesday"/>
    <s v="On Demand"/>
    <x v="1"/>
  </r>
  <r>
    <s v="2023-08-01 09:33 (PST)"/>
    <d v="2023-08-01T00:00:00"/>
    <s v="09:33(PST)"/>
    <s v="Tuesday"/>
    <m/>
    <x v="34"/>
  </r>
  <r>
    <s v="2023-08-01 13:29 (-07)"/>
    <d v="2023-08-01T00:00:00"/>
    <s v="13:29(-07)"/>
    <s v="Tuesday"/>
    <s v="On Demand"/>
    <x v="38"/>
  </r>
  <r>
    <s v="2023-08-01 21:51 (PST)"/>
    <d v="2023-08-01T00:00:00"/>
    <s v="21:51(PST)"/>
    <s v="Tuesday"/>
    <s v="On Demand"/>
    <x v="28"/>
  </r>
  <r>
    <s v="2023-08-08 22:17 (PST)"/>
    <d v="2023-08-08T00:00:00"/>
    <s v="22:17(PST)"/>
    <s v="Tuesday"/>
    <s v="On Demand"/>
    <x v="28"/>
  </r>
  <r>
    <s v="2023-08-15 21:34 (PST)"/>
    <d v="2023-08-15T00:00:00"/>
    <s v="21:34(PST)"/>
    <s v="Tuesday"/>
    <s v="On Demand"/>
    <x v="19"/>
  </r>
  <r>
    <s v="2023-08-22 16:38 (-07)"/>
    <d v="2023-08-22T00:00:00"/>
    <s v="16:38(-07)"/>
    <s v="Tuesday"/>
    <s v="On Demand"/>
    <x v="26"/>
  </r>
  <r>
    <s v="2023-08-22 17:00 (-07)"/>
    <d v="2023-08-22T00:00:00"/>
    <s v="17:00(-07)"/>
    <s v="Tuesday"/>
    <s v="On Demand"/>
    <x v="26"/>
  </r>
  <r>
    <s v="2023-08-22 21:54 (PST)"/>
    <d v="2023-08-22T00:00:00"/>
    <s v="21:54(PST)"/>
    <s v="Tuesday"/>
    <s v="On Demand"/>
    <x v="23"/>
  </r>
  <r>
    <s v="2023-08-29 22:09 (PST)"/>
    <d v="2023-08-29T00:00:00"/>
    <s v="22:09(PST)"/>
    <s v="Tuesday"/>
    <s v="On Demand"/>
    <x v="19"/>
  </r>
  <r>
    <s v="2023-09-05 02:54 (PST)"/>
    <d v="2023-09-05T00:00:00"/>
    <s v="02:54(PST)"/>
    <s v="Tuesday"/>
    <s v="On Demand"/>
    <x v="25"/>
  </r>
  <r>
    <s v="2023-09-05 20:52 (PST)"/>
    <d v="2023-09-05T00:00:00"/>
    <s v="20:52(PST)"/>
    <s v="Tuesday"/>
    <s v="On Demand"/>
    <x v="16"/>
  </r>
  <r>
    <s v="2023-09-12 08:47 (PST)"/>
    <d v="2023-09-12T00:00:00"/>
    <s v="08:47(PST)"/>
    <s v="Tuesday"/>
    <s v="On Demand"/>
    <x v="16"/>
  </r>
  <r>
    <s v="2023-09-12 15:25 (-07)"/>
    <d v="2023-09-12T00:00:00"/>
    <s v="15:25(-07)"/>
    <s v="Tuesday"/>
    <s v="On Demand"/>
    <x v="4"/>
  </r>
  <r>
    <s v="2023-09-12 16:12 (-07)"/>
    <d v="2023-09-12T00:00:00"/>
    <s v="16:12(-07)"/>
    <s v="Tuesday"/>
    <s v="On Demand"/>
    <x v="36"/>
  </r>
  <r>
    <s v="2023-09-12 16:23 (-07)"/>
    <d v="2023-09-12T00:00:00"/>
    <s v="16:23(-07)"/>
    <s v="Tuesday"/>
    <s v="On Demand"/>
    <x v="36"/>
  </r>
  <r>
    <s v="2023-09-12 16:28 (-07)"/>
    <d v="2023-09-12T00:00:00"/>
    <s v="16:28(-07)"/>
    <s v="Tuesday"/>
    <s v="On Demand"/>
    <x v="6"/>
  </r>
  <r>
    <s v="2023-09-12 21:28 (PST)"/>
    <d v="2023-09-12T00:00:00"/>
    <s v="21:28(PST)"/>
    <s v="Tuesday"/>
    <s v="On Demand"/>
    <x v="13"/>
  </r>
  <r>
    <s v="2023-09-26 14:04 (-07)"/>
    <d v="2023-09-26T00:00:00"/>
    <s v="14:04(-07)"/>
    <s v="Tuesday"/>
    <s v="On Demand"/>
    <x v="6"/>
  </r>
  <r>
    <s v="2023-09-26 14:49 (-07)"/>
    <d v="2023-09-26T00:00:00"/>
    <s v="14:49(-07)"/>
    <s v="Tuesday"/>
    <s v="On Demand"/>
    <x v="39"/>
  </r>
  <r>
    <s v="2023-09-26 14:57 (-07)"/>
    <d v="2023-09-26T00:00:00"/>
    <s v="14:57(-07)"/>
    <s v="Tuesday"/>
    <s v="On Demand"/>
    <x v="24"/>
  </r>
  <r>
    <s v="2023-09-26 15:08 (-07)"/>
    <d v="2023-09-26T00:00:00"/>
    <s v="15:08(-07)"/>
    <s v="Tuesday"/>
    <s v="On Demand"/>
    <x v="0"/>
  </r>
  <r>
    <s v="2023-09-26 22:37 (PST)"/>
    <d v="2023-09-26T00:00:00"/>
    <s v="22:37(PST)"/>
    <s v="Tuesday"/>
    <s v="On Demand"/>
    <x v="28"/>
  </r>
  <r>
    <s v="2023-10-03 13:54 (-07)"/>
    <d v="2023-10-03T00:00:00"/>
    <s v="13:54(-07)"/>
    <s v="Tuesday"/>
    <s v="On Demand"/>
    <x v="7"/>
  </r>
  <r>
    <s v="2023-10-03 14:44 (-07)"/>
    <d v="2023-10-03T00:00:00"/>
    <s v="14:44(-07)"/>
    <s v="Tuesday"/>
    <s v="On Demand"/>
    <x v="0"/>
  </r>
  <r>
    <s v="2023-10-03 22:28 (PST)"/>
    <d v="2023-10-03T00:00:00"/>
    <s v="22:28(PST)"/>
    <s v="Tuesday"/>
    <s v="On Demand"/>
    <x v="13"/>
  </r>
  <r>
    <s v="2023-10-10 10:39 (PST)"/>
    <d v="2023-10-10T00:00:00"/>
    <s v="10:39(PST)"/>
    <s v="Tuesday"/>
    <s v="On Demand"/>
    <x v="13"/>
  </r>
  <r>
    <s v="2023-10-17 22:54 (EST)"/>
    <d v="2023-10-17T00:00:00"/>
    <s v="22:54(EST)"/>
    <s v="Tuesday"/>
    <s v="On Demand"/>
    <x v="28"/>
  </r>
  <r>
    <s v="2023-10-24 10:47 (PST)"/>
    <d v="2023-10-24T00:00:00"/>
    <s v="10:47(PST)"/>
    <s v="Tuesday"/>
    <s v="On Demand"/>
    <x v="16"/>
  </r>
  <r>
    <s v="2023-10-24 17:23 (-07)"/>
    <d v="2023-10-24T00:00:00"/>
    <s v="17:23(-07)"/>
    <s v="Tuesday"/>
    <s v="On Demand"/>
    <x v="6"/>
  </r>
  <r>
    <s v="2023-10-24 18:09 (-07)"/>
    <d v="2023-10-24T00:00:00"/>
    <s v="18:09(-07)"/>
    <s v="Tuesday"/>
    <s v="On Demand"/>
    <x v="15"/>
  </r>
  <r>
    <s v="2023-10-24 18:24 (-07)"/>
    <d v="2023-10-24T00:00:00"/>
    <s v="18:24(-07)"/>
    <s v="Tuesday"/>
    <s v="On Demand"/>
    <x v="20"/>
  </r>
  <r>
    <s v="2023-10-24 18:36 (-07)"/>
    <d v="2023-10-24T00:00:00"/>
    <s v="18:36(-07)"/>
    <s v="Tuesday"/>
    <s v="On Demand"/>
    <x v="15"/>
  </r>
  <r>
    <s v="2023-10-24 21:59 (PST)"/>
    <d v="2023-10-24T00:00:00"/>
    <s v="21:59(PST)"/>
    <s v="Tuesday"/>
    <s v="On Demand"/>
    <x v="13"/>
  </r>
  <r>
    <s v="2023-10-31 12:14 (-07)"/>
    <d v="2023-10-31T00:00:00"/>
    <s v="12:14(-07)"/>
    <s v="Tuesday"/>
    <s v="On Demand"/>
    <x v="38"/>
  </r>
  <r>
    <s v="2023-10-31 12:48 (-07)"/>
    <d v="2023-10-31T00:00:00"/>
    <s v="12:48(-07)"/>
    <s v="Tuesday"/>
    <s v="On Demand"/>
    <x v="24"/>
  </r>
  <r>
    <s v="2023-10-31 13:10 (-07)"/>
    <d v="2023-10-31T00:00:00"/>
    <s v="13:10(-07)"/>
    <s v="Tuesday"/>
    <s v="On Demand"/>
    <x v="35"/>
  </r>
  <r>
    <s v="2023-10-31 22:56 (PST)"/>
    <d v="2023-10-31T00:00:00"/>
    <s v="22:56(PST)"/>
    <s v="Tuesday"/>
    <s v="On Demand"/>
    <x v="13"/>
  </r>
  <r>
    <s v="2023-11-07 15:28 (-08)"/>
    <d v="2023-11-07T00:00:00"/>
    <s v="15:28(-08)"/>
    <s v="Tuesday"/>
    <s v="On Demand"/>
    <x v="20"/>
  </r>
  <r>
    <s v="2023-11-07 15:40 (-08)"/>
    <d v="2023-11-07T00:00:00"/>
    <s v="15:40(-08)"/>
    <s v="Tuesday"/>
    <s v="On Demand"/>
    <x v="6"/>
  </r>
  <r>
    <s v="2023-11-07 16:27 (-08)"/>
    <d v="2023-11-07T00:00:00"/>
    <s v="16:27(-08)"/>
    <s v="Tuesday"/>
    <s v="On Demand"/>
    <x v="8"/>
  </r>
  <r>
    <s v="2023-11-07 22:57 (PST)"/>
    <d v="2023-11-07T00:00:00"/>
    <s v="22:57(PST)"/>
    <s v="Tuesday"/>
    <s v="On Demand"/>
    <x v="23"/>
  </r>
  <r>
    <s v="2023-11-14 21:55 (PST)"/>
    <d v="2023-11-14T00:00:00"/>
    <s v="21:55(PST)"/>
    <s v="Tuesday"/>
    <s v="On Demand"/>
    <x v="28"/>
  </r>
  <r>
    <s v="2023-11-21 08:51 (PST)"/>
    <d v="2023-11-21T00:00:00"/>
    <s v="08:51(PST)"/>
    <s v="Tuesday"/>
    <s v="On Demand"/>
    <x v="13"/>
  </r>
  <r>
    <s v="2023-11-21 22:41 (PST)"/>
    <d v="2023-11-21T00:00:00"/>
    <s v="22:41(PST)"/>
    <s v="Tuesday"/>
    <s v="On Demand"/>
    <x v="19"/>
  </r>
  <r>
    <s v="2023-11-28 09:00 (PST)"/>
    <d v="2023-11-28T00:00:00"/>
    <s v="09:00(PST)"/>
    <s v="Tuesday"/>
    <s v="On Demand"/>
    <x v="7"/>
  </r>
  <r>
    <s v="2023-11-28 09:32 (PST)"/>
    <d v="2023-11-28T00:00:00"/>
    <s v="09:32(PST)"/>
    <s v="Tuesday"/>
    <s v="On Demand"/>
    <x v="31"/>
  </r>
  <r>
    <s v="2023-11-28 10:58 (PST)"/>
    <d v="2023-11-28T00:00:00"/>
    <s v="10:58(PST)"/>
    <s v="Tuesday"/>
    <s v="On Demand"/>
    <x v="25"/>
  </r>
  <r>
    <s v="2023-11-28 22:31 (PST)"/>
    <d v="2023-11-28T00:00:00"/>
    <s v="22:31(PST)"/>
    <s v="Tuesday"/>
    <s v="On Demand"/>
    <x v="16"/>
  </r>
  <r>
    <s v="2023-12-05 15:31 (-08)"/>
    <d v="2023-12-05T00:00:00"/>
    <s v="15:31(-08)"/>
    <s v="Tuesday"/>
    <s v="On Demand"/>
    <x v="7"/>
  </r>
  <r>
    <s v="2023-12-05 16:17 (-08)"/>
    <d v="2023-12-05T00:00:00"/>
    <s v="16:17(-08)"/>
    <s v="Tuesday"/>
    <s v="On Demand"/>
    <x v="6"/>
  </r>
  <r>
    <s v="2023-12-05 16:24 (-08)"/>
    <d v="2023-12-05T00:00:00"/>
    <s v="16:24(-08)"/>
    <s v="Tuesday"/>
    <s v="On Demand"/>
    <x v="36"/>
  </r>
  <r>
    <s v="2023-12-05 16:41 (-08)"/>
    <d v="2023-12-05T00:00:00"/>
    <s v="16:41(-08)"/>
    <s v="Tuesday"/>
    <s v="On Demand"/>
    <x v="21"/>
  </r>
  <r>
    <s v="2023-12-05 22:20 (PST)"/>
    <d v="2023-12-05T00:00:00"/>
    <s v="22:20(PST)"/>
    <s v="Tuesday"/>
    <s v="On Demand"/>
    <x v="25"/>
  </r>
  <r>
    <s v="2023-12-12 10:25 (PST)"/>
    <d v="2023-12-12T00:00:00"/>
    <s v="10:25(PST)"/>
    <s v="Tuesday"/>
    <s v="On Demand"/>
    <x v="23"/>
  </r>
  <r>
    <s v="2023-12-12 14:38 (-08)"/>
    <d v="2023-12-12T00:00:00"/>
    <s v="14:38(-08)"/>
    <s v="Tuesday"/>
    <s v="On Demand"/>
    <x v="35"/>
  </r>
  <r>
    <s v="2023-12-12 14:51 (-08)"/>
    <d v="2023-12-12T00:00:00"/>
    <s v="14:51(-08)"/>
    <s v="Tuesday"/>
    <s v="On Demand"/>
    <x v="4"/>
  </r>
  <r>
    <s v="2023-12-12 15:37 (-08)"/>
    <d v="2023-12-12T00:00:00"/>
    <s v="15:37(-08)"/>
    <s v="Tuesday"/>
    <s v="On Demand"/>
    <x v="18"/>
  </r>
  <r>
    <s v="2023-12-12 23:01 (PST)"/>
    <d v="2023-12-12T00:00:00"/>
    <s v="23:01(PST)"/>
    <s v="Tuesday"/>
    <s v="On Demand"/>
    <x v="28"/>
  </r>
  <r>
    <s v="2023-12-19 15:05 (-08)"/>
    <d v="2023-12-19T00:00:00"/>
    <s v="15:05(-08)"/>
    <s v="Tuesday"/>
    <s v="On Demand"/>
    <x v="6"/>
  </r>
  <r>
    <s v="2023-12-19 16:06 (-08)"/>
    <d v="2023-12-19T00:00:00"/>
    <s v="16:06(-08)"/>
    <s v="Tuesday"/>
    <s v="On Demand"/>
    <x v="12"/>
  </r>
  <r>
    <s v="2023-12-19 16:17 (-08)"/>
    <d v="2023-12-19T00:00:00"/>
    <s v="16:17(-08)"/>
    <s v="Tuesday"/>
    <s v="On Demand"/>
    <x v="0"/>
  </r>
  <r>
    <s v="2023-12-19 21:52 (PST)"/>
    <d v="2023-12-19T00:00:00"/>
    <s v="21:52(PST)"/>
    <s v="Tuesday"/>
    <s v="On Demand"/>
    <x v="25"/>
  </r>
  <r>
    <s v="2023-12-26 08:08 (PST)"/>
    <d v="2023-12-26T00:00:00"/>
    <s v="08:08(PST)"/>
    <s v="Tuesday"/>
    <s v="On Demand"/>
    <x v="13"/>
  </r>
  <r>
    <s v="2023-12-26 16:37 (-08)"/>
    <d v="2023-12-26T00:00:00"/>
    <s v="16:37(-08)"/>
    <s v="Tuesday"/>
    <s v="On Demand"/>
    <x v="6"/>
  </r>
  <r>
    <s v="2023-12-26 17:53 (-08)"/>
    <d v="2023-12-26T00:00:00"/>
    <s v="17:53(-08)"/>
    <s v="Tuesday"/>
    <s v="On Demand"/>
    <x v="36"/>
  </r>
  <r>
    <s v="2023-12-26 18:00 (-08)"/>
    <d v="2023-12-26T00:00:00"/>
    <s v="18:00(-08)"/>
    <s v="Tuesday"/>
    <s v="On Demand"/>
    <x v="29"/>
  </r>
  <r>
    <s v="2023-12-26 23:25 (PST)"/>
    <d v="2023-12-26T00:00:00"/>
    <s v="23:25(PST)"/>
    <s v="Tuesday"/>
    <s v="On Demand"/>
    <x v="25"/>
  </r>
  <r>
    <s v="2024-01-02 07:02 (PST)"/>
    <d v="2024-01-02T00:00:00"/>
    <s v="07:02(PST)"/>
    <s v="Tuesday"/>
    <s v="On Demand"/>
    <x v="7"/>
  </r>
  <r>
    <s v="2024-01-02 13:31 (PST)"/>
    <d v="2024-01-02T00:00:00"/>
    <s v="13:31(PST)"/>
    <s v="Tuesday"/>
    <m/>
    <x v="34"/>
  </r>
  <r>
    <s v="2024-01-02 15:51 (-08)"/>
    <d v="2024-01-02T00:00:00"/>
    <s v="15:51(-08)"/>
    <s v="Tuesday"/>
    <s v="On Demand"/>
    <x v="7"/>
  </r>
  <r>
    <s v="2024-01-02 16:52 (-08)"/>
    <d v="2024-01-02T00:00:00"/>
    <s v="16:52(-08)"/>
    <s v="Tuesday"/>
    <s v="On Demand"/>
    <x v="39"/>
  </r>
  <r>
    <s v="2024-01-02 16:57 (-08)"/>
    <d v="2024-01-02T00:00:00"/>
    <s v="16:57(-08)"/>
    <s v="Tuesday"/>
    <s v="On Demand"/>
    <x v="39"/>
  </r>
  <r>
    <s v="2024-01-02 21:58 (PST)"/>
    <d v="2024-01-02T00:00:00"/>
    <s v="21:58(PST)"/>
    <s v="Tuesday"/>
    <s v="On Demand"/>
    <x v="28"/>
  </r>
  <r>
    <s v="2024-01-09 16:49 (-08)"/>
    <d v="2024-01-09T00:00:00"/>
    <s v="16:49(-08)"/>
    <s v="Tuesday"/>
    <s v="On Demand"/>
    <x v="49"/>
  </r>
  <r>
    <s v="2024-01-09 17:23 (-08)"/>
    <d v="2024-01-09T00:00:00"/>
    <s v="17:23(-08)"/>
    <s v="Tuesday"/>
    <s v="On Demand"/>
    <x v="50"/>
  </r>
  <r>
    <s v="2024-01-09 17:35 (-08)"/>
    <d v="2024-01-09T00:00:00"/>
    <s v="17:35(-08)"/>
    <s v="Tuesday"/>
    <s v="On Demand"/>
    <x v="31"/>
  </r>
  <r>
    <s v="2024-01-09 18:10 (PST)"/>
    <d v="2024-01-09T00:00:00"/>
    <s v="18:10(PST)"/>
    <s v="Tuesday"/>
    <s v="On Demand"/>
    <x v="16"/>
  </r>
  <r>
    <s v="2024-01-09 21:54 (PST)"/>
    <d v="2024-01-09T00:00:00"/>
    <s v="21:54(PST)"/>
    <s v="Tuesday"/>
    <s v="On Demand"/>
    <x v="16"/>
  </r>
  <r>
    <s v="2024-01-16 13:44 (PST)"/>
    <d v="2024-01-16T00:00:00"/>
    <s v="13:44(PST)"/>
    <s v="Tuesday"/>
    <s v="On Demand"/>
    <x v="13"/>
  </r>
  <r>
    <s v="2024-01-16 14:46 (PST)"/>
    <d v="2024-01-16T00:00:00"/>
    <s v="14:46(PST)"/>
    <s v="Tuesday"/>
    <s v="On Demand"/>
    <x v="13"/>
  </r>
  <r>
    <s v="2024-01-16 16:41 (-08)"/>
    <d v="2024-01-16T00:00:00"/>
    <s v="16:41(-08)"/>
    <s v="Tuesday"/>
    <s v="On Demand"/>
    <x v="37"/>
  </r>
  <r>
    <s v="2024-01-16 17:13 (-08)"/>
    <d v="2024-01-16T00:00:00"/>
    <s v="17:13(-08)"/>
    <s v="Tuesday"/>
    <s v="On Demand"/>
    <x v="3"/>
  </r>
  <r>
    <s v="2024-01-16 21:44 (PST)"/>
    <d v="2024-01-16T00:00:00"/>
    <s v="21:44(PST)"/>
    <s v="Tuesday"/>
    <s v="On Demand"/>
    <x v="28"/>
  </r>
  <r>
    <s v="2018-10-03 13:44 (PST)"/>
    <d v="2018-10-03T00:00:00"/>
    <s v="13:44(PST)"/>
    <s v="Wednesday"/>
    <s v="On Demand"/>
    <x v="0"/>
  </r>
  <r>
    <s v="2018-11-07 15:59 (PST)"/>
    <d v="2018-11-07T00:00:00"/>
    <s v="15:59(PST)"/>
    <s v="Wednesday"/>
    <s v="On Demand"/>
    <x v="0"/>
  </r>
  <r>
    <s v="2018-12-26 11:20 (PST)"/>
    <d v="2018-12-26T00:00:00"/>
    <s v="11:20(PST)"/>
    <s v="Wednesday"/>
    <s v="On Demand"/>
    <x v="0"/>
  </r>
  <r>
    <s v="2019-07-10 12:18 (PST)"/>
    <d v="2019-07-10T00:00:00"/>
    <s v="12:18(PST)"/>
    <s v="Wednesday"/>
    <s v="On Demand"/>
    <x v="0"/>
  </r>
  <r>
    <s v="2020-01-01 18:01 (PST)"/>
    <d v="2020-01-01T00:00:00"/>
    <s v="18:01(PST)"/>
    <s v="Wednesday"/>
    <s v="On Demand"/>
    <x v="64"/>
  </r>
  <r>
    <s v="2020-01-29 17:08 (PST)"/>
    <d v="2020-01-29T00:00:00"/>
    <s v="17:08(PST)"/>
    <s v="Wednesday"/>
    <s v="On Demand"/>
    <x v="31"/>
  </r>
  <r>
    <s v="2020-02-05 21:37 (PST)"/>
    <d v="2020-02-05T00:00:00"/>
    <s v="21:37(PST)"/>
    <s v="Wednesday"/>
    <s v="On Demand"/>
    <x v="13"/>
  </r>
  <r>
    <s v="2020-10-14 19:14 (PST)"/>
    <d v="2020-10-14T00:00:00"/>
    <s v="19:14(PST)"/>
    <s v="Wednesday"/>
    <s v="On Demand"/>
    <x v="11"/>
  </r>
  <r>
    <s v="2020-10-14 20:03 (PST)"/>
    <d v="2020-10-14T00:00:00"/>
    <s v="20:03(PST)"/>
    <s v="Wednesday"/>
    <s v="On Demand"/>
    <x v="37"/>
  </r>
  <r>
    <s v="2020-10-21 18:32 (PST)"/>
    <d v="2020-10-21T00:00:00"/>
    <s v="18:32(PST)"/>
    <s v="Wednesday"/>
    <s v="On Demand"/>
    <x v="3"/>
  </r>
  <r>
    <s v="2020-10-21 19:12 (PST)"/>
    <d v="2020-10-21T00:00:00"/>
    <s v="19:12(PST)"/>
    <s v="Wednesday"/>
    <s v="On Demand"/>
    <x v="4"/>
  </r>
  <r>
    <s v="2020-11-04 07:02 (PST)"/>
    <d v="2020-11-04T00:00:00"/>
    <s v="07:02(PST)"/>
    <s v="Wednesday"/>
    <s v="On Demand"/>
    <x v="0"/>
  </r>
  <r>
    <s v="2020-11-04 07:34 (PST)"/>
    <d v="2020-11-04T00:00:00"/>
    <s v="07:34(PST)"/>
    <s v="Wednesday"/>
    <s v="On Demand"/>
    <x v="0"/>
  </r>
  <r>
    <s v="2020-11-11 10:25 (PST)"/>
    <d v="2020-11-11T00:00:00"/>
    <s v="10:25(PST)"/>
    <s v="Wednesday"/>
    <s v="On Demand"/>
    <x v="7"/>
  </r>
  <r>
    <s v="2020-11-11 11:12 (PST)"/>
    <d v="2020-11-11T00:00:00"/>
    <s v="11:12(PST)"/>
    <s v="Wednesday"/>
    <s v="On Demand"/>
    <x v="7"/>
  </r>
  <r>
    <s v="2020-11-18 06:32 (PST)"/>
    <d v="2020-11-18T00:00:00"/>
    <s v="06:32(PST)"/>
    <s v="Wednesday"/>
    <s v="On Demand"/>
    <x v="5"/>
  </r>
  <r>
    <s v="2020-11-18 07:04 (PST)"/>
    <d v="2020-11-18T00:00:00"/>
    <s v="07:04(PST)"/>
    <s v="Wednesday"/>
    <s v="On Demand"/>
    <x v="15"/>
  </r>
  <r>
    <s v="2020-11-25 06:59 (PST)"/>
    <d v="2020-11-25T00:00:00"/>
    <s v="06:59(PST)"/>
    <s v="Wednesday"/>
    <s v="On Demand"/>
    <x v="6"/>
  </r>
  <r>
    <s v="2020-11-25 07:15 (PST)"/>
    <d v="2020-11-25T00:00:00"/>
    <s v="07:15(PST)"/>
    <s v="Wednesday"/>
    <s v="On Demand"/>
    <x v="6"/>
  </r>
  <r>
    <s v="2020-11-25 07:37 (PST)"/>
    <d v="2020-11-25T00:00:00"/>
    <s v="07:37(PST)"/>
    <s v="Wednesday"/>
    <s v="On Demand"/>
    <x v="6"/>
  </r>
  <r>
    <s v="2020-11-25 07:42 (PST)"/>
    <d v="2020-11-25T00:00:00"/>
    <s v="07:42(PST)"/>
    <s v="Wednesday"/>
    <s v="On Demand"/>
    <x v="6"/>
  </r>
  <r>
    <s v="2020-12-02 06:44 (PST)"/>
    <d v="2020-12-02T00:00:00"/>
    <s v="06:44(PST)"/>
    <s v="Wednesday"/>
    <s v="On Demand"/>
    <x v="12"/>
  </r>
  <r>
    <s v="2020-12-02 07:15 (PST)"/>
    <d v="2020-12-02T00:00:00"/>
    <s v="07:15(PST)"/>
    <s v="Wednesday"/>
    <s v="On Demand"/>
    <x v="12"/>
  </r>
  <r>
    <s v="2020-12-02 20:48 (PST)"/>
    <d v="2020-12-02T00:00:00"/>
    <s v="20:48(PST)"/>
    <s v="Wednesday"/>
    <s v="On Demand"/>
    <x v="7"/>
  </r>
  <r>
    <s v="2020-12-02 21:36 (PST)"/>
    <d v="2020-12-02T00:00:00"/>
    <s v="21:36(PST)"/>
    <s v="Wednesday"/>
    <s v="On Demand"/>
    <x v="13"/>
  </r>
  <r>
    <s v="2020-12-09 20:05 (PST)"/>
    <d v="2020-12-09T00:00:00"/>
    <s v="20:05(PST)"/>
    <s v="Wednesday"/>
    <s v="On Demand"/>
    <x v="6"/>
  </r>
  <r>
    <s v="2020-12-09 20:53 (PST)"/>
    <d v="2020-12-09T00:00:00"/>
    <s v="20:53(PST)"/>
    <s v="Wednesday"/>
    <s v="On Demand"/>
    <x v="4"/>
  </r>
  <r>
    <s v="2020-12-16 06:57 (PST)"/>
    <d v="2020-12-16T00:00:00"/>
    <s v="06:57(PST)"/>
    <s v="Wednesday"/>
    <s v="On Demand"/>
    <x v="12"/>
  </r>
  <r>
    <s v="2020-12-16 07:28 (PST)"/>
    <d v="2020-12-16T00:00:00"/>
    <s v="07:28(PST)"/>
    <s v="Wednesday"/>
    <s v="On Demand"/>
    <x v="22"/>
  </r>
  <r>
    <s v="2020-12-16 19:07 (PST)"/>
    <d v="2020-12-16T00:00:00"/>
    <s v="19:07(PST)"/>
    <s v="Wednesday"/>
    <s v="On Demand"/>
    <x v="1"/>
  </r>
  <r>
    <s v="2020-12-16 19:41 (PST)"/>
    <d v="2020-12-16T00:00:00"/>
    <s v="19:41(PST)"/>
    <s v="Wednesday"/>
    <s v="On Demand"/>
    <x v="23"/>
  </r>
  <r>
    <s v="2020-12-23 17:29 (PST)"/>
    <d v="2020-12-23T00:00:00"/>
    <s v="17:29(PST)"/>
    <s v="Wednesday"/>
    <s v="On Demand"/>
    <x v="7"/>
  </r>
  <r>
    <s v="2020-12-23 18:15 (PST)"/>
    <d v="2020-12-23T00:00:00"/>
    <s v="18:15(PST)"/>
    <s v="Wednesday"/>
    <s v="On Demand"/>
    <x v="7"/>
  </r>
  <r>
    <s v="2020-12-23 18:23 (PST)"/>
    <d v="2020-12-23T00:00:00"/>
    <s v="18:23(PST)"/>
    <s v="Wednesday"/>
    <s v="On Demand"/>
    <x v="1"/>
  </r>
  <r>
    <s v="2020-12-23 18:40 (PST)"/>
    <d v="2020-12-23T00:00:00"/>
    <s v="18:40(PST)"/>
    <s v="Wednesday"/>
    <s v="On Demand"/>
    <x v="25"/>
  </r>
  <r>
    <s v="2020-12-30 12:46 (PST)"/>
    <d v="2020-12-30T00:00:00"/>
    <s v="12:46(PST)"/>
    <s v="Wednesday"/>
    <s v="On Demand"/>
    <x v="1"/>
  </r>
  <r>
    <s v="2020-12-30 13:22 (PST)"/>
    <d v="2020-12-30T00:00:00"/>
    <s v="13:22(PST)"/>
    <s v="Wednesday"/>
    <s v="On Demand"/>
    <x v="16"/>
  </r>
  <r>
    <s v="2021-01-06 20:37 (PST)"/>
    <d v="2021-01-06T00:00:00"/>
    <s v="20:37(PST)"/>
    <s v="Wednesday"/>
    <s v="On Demand"/>
    <x v="7"/>
  </r>
  <r>
    <s v="2021-01-13 06:42 (PST)"/>
    <d v="2021-01-13T00:00:00"/>
    <s v="06:42(PST)"/>
    <s v="Wednesday"/>
    <s v="On Demand"/>
    <x v="7"/>
  </r>
  <r>
    <s v="2021-01-20 22:09 (PST)"/>
    <d v="2021-01-20T00:00:00"/>
    <s v="22:09(PST)"/>
    <s v="Wednesday"/>
    <s v="On Demand"/>
    <x v="13"/>
  </r>
  <r>
    <s v="2021-01-27 07:00 (-08)"/>
    <d v="2021-01-27T00:00:00"/>
    <s v="07:00(-08)"/>
    <s v="Wednesday"/>
    <s v="On Demand"/>
    <x v="6"/>
  </r>
  <r>
    <s v="2021-01-27 07:47 (-08)"/>
    <d v="2021-01-27T00:00:00"/>
    <s v="07:47(-08)"/>
    <s v="Wednesday"/>
    <s v="On Demand"/>
    <x v="6"/>
  </r>
  <r>
    <s v="2021-01-27 21:25 (PST)"/>
    <d v="2021-01-27T00:00:00"/>
    <s v="21:25(PST)"/>
    <s v="Wednesday"/>
    <s v="On Demand"/>
    <x v="13"/>
  </r>
  <r>
    <s v="2021-02-03 07:01 (-08)"/>
    <d v="2021-02-03T00:00:00"/>
    <s v="07:01(-08)"/>
    <s v="Wednesday"/>
    <s v="On Demand"/>
    <x v="7"/>
  </r>
  <r>
    <s v="2021-02-03 07:07 (-08)"/>
    <d v="2021-02-03T00:00:00"/>
    <s v="07:07(-08)"/>
    <s v="Wednesday"/>
    <s v="On Demand"/>
    <x v="7"/>
  </r>
  <r>
    <s v="2021-02-03 07:54 (-08)"/>
    <d v="2021-02-03T00:00:00"/>
    <s v="07:54(-08)"/>
    <s v="Wednesday"/>
    <s v="On Demand"/>
    <x v="7"/>
  </r>
  <r>
    <s v="2021-02-03 07:59 (-08)"/>
    <d v="2021-02-03T00:00:00"/>
    <s v="07:59(-08)"/>
    <s v="Wednesday"/>
    <s v="On Demand"/>
    <x v="7"/>
  </r>
  <r>
    <s v="2021-02-03 22:02 (PST)"/>
    <d v="2021-02-03T00:00:00"/>
    <s v="22:02(PST)"/>
    <s v="Wednesday"/>
    <s v="On Demand"/>
    <x v="13"/>
  </r>
  <r>
    <s v="2021-02-10 07:00 (PST)"/>
    <d v="2021-02-10T00:00:00"/>
    <s v="07:00(PST)"/>
    <s v="Wednesday"/>
    <s v="On Demand"/>
    <x v="7"/>
  </r>
  <r>
    <s v="2021-02-17 06:04 (PST)"/>
    <d v="2021-02-17T00:00:00"/>
    <s v="06:04(PST)"/>
    <s v="Wednesday"/>
    <s v="On Demand"/>
    <x v="6"/>
  </r>
  <r>
    <s v="2021-02-17 07:05 (PST)"/>
    <d v="2021-02-17T00:00:00"/>
    <s v="07:05(PST)"/>
    <s v="Wednesday"/>
    <s v="On Demand"/>
    <x v="6"/>
  </r>
  <r>
    <s v="2021-02-17 07:11 (PST)"/>
    <d v="2021-02-17T00:00:00"/>
    <s v="07:11(PST)"/>
    <s v="Wednesday"/>
    <s v="On Demand"/>
    <x v="6"/>
  </r>
  <r>
    <s v="2021-02-24 19:07 (-08)"/>
    <d v="2021-02-24T00:00:00"/>
    <s v="19:07(-08)"/>
    <s v="Wednesday"/>
    <s v="On Demand"/>
    <x v="6"/>
  </r>
  <r>
    <s v="2021-02-24 20:09 (-08)"/>
    <d v="2021-02-24T00:00:00"/>
    <s v="20:09(-08)"/>
    <s v="Wednesday"/>
    <s v="On Demand"/>
    <x v="4"/>
  </r>
  <r>
    <s v="2021-02-24 20:16 (-08)"/>
    <d v="2021-02-24T00:00:00"/>
    <s v="20:16(-08)"/>
    <s v="Wednesday"/>
    <s v="On Demand"/>
    <x v="6"/>
  </r>
  <r>
    <s v="2021-03-03 18:58 (-08)"/>
    <d v="2021-03-03T00:00:00"/>
    <s v="18:58(-08)"/>
    <s v="Wednesday"/>
    <s v="On Demand"/>
    <x v="22"/>
  </r>
  <r>
    <s v="2021-03-03 19:04 (-08)"/>
    <d v="2021-03-03T00:00:00"/>
    <s v="19:04(-08)"/>
    <s v="Wednesday"/>
    <s v="On Demand"/>
    <x v="6"/>
  </r>
  <r>
    <s v="2021-03-03 19:49 (-08)"/>
    <d v="2021-03-03T00:00:00"/>
    <s v="19:49(-08)"/>
    <s v="Wednesday"/>
    <s v="On Demand"/>
    <x v="6"/>
  </r>
  <r>
    <s v="2021-03-03 19:57 (-08)"/>
    <d v="2021-03-03T00:00:00"/>
    <s v="19:57(-08)"/>
    <s v="Wednesday"/>
    <s v="On Demand"/>
    <x v="6"/>
  </r>
  <r>
    <s v="2021-03-10 07:06 (-08)"/>
    <d v="2021-03-10T00:00:00"/>
    <s v="07:06(-08)"/>
    <s v="Wednesday"/>
    <s v="On Demand"/>
    <x v="7"/>
  </r>
  <r>
    <s v="2021-03-10 07:53 (-08)"/>
    <d v="2021-03-10T00:00:00"/>
    <s v="07:53(-08)"/>
    <s v="Wednesday"/>
    <s v="On Demand"/>
    <x v="17"/>
  </r>
  <r>
    <s v="2021-03-10 08:04 (-08)"/>
    <d v="2021-03-10T00:00:00"/>
    <s v="08:04(-08)"/>
    <s v="Wednesday"/>
    <s v="On Demand"/>
    <x v="7"/>
  </r>
  <r>
    <s v="2021-03-10 21:16 (PST)"/>
    <d v="2021-03-10T00:00:00"/>
    <s v="21:16(PST)"/>
    <s v="Wednesday"/>
    <s v="On Demand"/>
    <x v="25"/>
  </r>
  <r>
    <s v="2021-03-10 22:02 (PST)"/>
    <d v="2021-03-10T00:00:00"/>
    <s v="22:02(PST)"/>
    <s v="Wednesday"/>
    <s v="On Demand"/>
    <x v="16"/>
  </r>
  <r>
    <s v="2021-03-17 07:31 (-07)"/>
    <d v="2021-03-17T00:00:00"/>
    <s v="07:31(-07)"/>
    <s v="Wednesday"/>
    <s v="On Demand"/>
    <x v="6"/>
  </r>
  <r>
    <s v="2021-03-17 08:02 (-07)"/>
    <d v="2021-03-17T00:00:00"/>
    <s v="08:02(-07)"/>
    <s v="Wednesday"/>
    <s v="On Demand"/>
    <x v="6"/>
  </r>
  <r>
    <s v="2021-03-17 22:47 (PST)"/>
    <d v="2021-03-17T00:00:00"/>
    <s v="22:47(PST)"/>
    <s v="Wednesday"/>
    <s v="On Demand"/>
    <x v="23"/>
  </r>
  <r>
    <s v="2021-03-24 20:05 (-07)"/>
    <d v="2021-03-24T00:00:00"/>
    <s v="20:05(-07)"/>
    <s v="Wednesday"/>
    <s v="On Demand"/>
    <x v="7"/>
  </r>
  <r>
    <s v="2021-03-24 20:51 (-07)"/>
    <d v="2021-03-24T00:00:00"/>
    <s v="20:51(-07)"/>
    <s v="Wednesday"/>
    <s v="On Demand"/>
    <x v="1"/>
  </r>
  <r>
    <s v="2021-03-24 21:03 (-07)"/>
    <d v="2021-03-24T00:00:00"/>
    <s v="21:03(-07)"/>
    <s v="Wednesday"/>
    <s v="On Demand"/>
    <x v="5"/>
  </r>
  <r>
    <s v="2021-03-24 21:18 (-07)"/>
    <d v="2021-03-24T00:00:00"/>
    <s v="21:18(-07)"/>
    <s v="Wednesday"/>
    <s v="On Demand"/>
    <x v="7"/>
  </r>
  <r>
    <s v="2021-03-24 22:27 (PST)"/>
    <d v="2021-03-24T00:00:00"/>
    <s v="22:27(PST)"/>
    <s v="Wednesday"/>
    <s v="On Demand"/>
    <x v="19"/>
  </r>
  <r>
    <s v="2021-03-31 06:57 (PST)"/>
    <d v="2021-03-31T00:00:00"/>
    <s v="06:57(PST)"/>
    <s v="Wednesday"/>
    <s v="On Demand"/>
    <x v="23"/>
  </r>
  <r>
    <s v="2021-03-31 20:07 (-07)"/>
    <d v="2021-03-31T00:00:00"/>
    <s v="20:07(-07)"/>
    <s v="Wednesday"/>
    <s v="On Demand"/>
    <x v="7"/>
  </r>
  <r>
    <s v="2021-03-31 20:38 (-07)"/>
    <d v="2021-03-31T00:00:00"/>
    <s v="20:38(-07)"/>
    <s v="Wednesday"/>
    <s v="On Demand"/>
    <x v="5"/>
  </r>
  <r>
    <s v="2021-03-31 22:19 (PST)"/>
    <d v="2021-03-31T00:00:00"/>
    <s v="22:19(PST)"/>
    <s v="Wednesday"/>
    <s v="On Demand"/>
    <x v="23"/>
  </r>
  <r>
    <s v="2021-04-07 20:36 (-07)"/>
    <d v="2021-04-07T00:00:00"/>
    <s v="20:36(-07)"/>
    <s v="Wednesday"/>
    <s v="On Demand"/>
    <x v="7"/>
  </r>
  <r>
    <s v="2021-04-07 21:24 (-07)"/>
    <d v="2021-04-07T00:00:00"/>
    <s v="21:24(-07)"/>
    <s v="Wednesday"/>
    <s v="On Demand"/>
    <x v="15"/>
  </r>
  <r>
    <s v="2021-04-07 22:26 (PST)"/>
    <d v="2021-04-07T00:00:00"/>
    <s v="22:26(PST)"/>
    <s v="Wednesday"/>
    <s v="On Demand"/>
    <x v="16"/>
  </r>
  <r>
    <s v="2021-04-14 06:53 (-07)"/>
    <d v="2021-04-14T00:00:00"/>
    <s v="06:53(-07)"/>
    <s v="Wednesday"/>
    <s v="On Demand"/>
    <x v="6"/>
  </r>
  <r>
    <s v="2021-04-14 07:39 (-07)"/>
    <d v="2021-04-14T00:00:00"/>
    <s v="07:39(-07)"/>
    <s v="Wednesday"/>
    <s v="On Demand"/>
    <x v="6"/>
  </r>
  <r>
    <s v="2021-04-14 22:21 (PST)"/>
    <d v="2021-04-14T00:00:00"/>
    <s v="22:21(PST)"/>
    <s v="Wednesday"/>
    <s v="On Demand"/>
    <x v="16"/>
  </r>
  <r>
    <s v="2021-04-21 19:15 (-07)"/>
    <d v="2021-04-21T00:00:00"/>
    <s v="19:15(-07)"/>
    <s v="Wednesday"/>
    <s v="On Demand"/>
    <x v="6"/>
  </r>
  <r>
    <s v="2021-04-21 20:16 (-07)"/>
    <d v="2021-04-21T00:00:00"/>
    <s v="20:16(-07)"/>
    <s v="Wednesday"/>
    <s v="On Demand"/>
    <x v="0"/>
  </r>
  <r>
    <s v="2021-04-21 20:29 (-07)"/>
    <d v="2021-04-21T00:00:00"/>
    <s v="20:29(-07)"/>
    <s v="Wednesday"/>
    <s v="On Demand"/>
    <x v="6"/>
  </r>
  <r>
    <s v="2021-04-21 22:22 (PST)"/>
    <d v="2021-04-21T00:00:00"/>
    <s v="22:22(PST)"/>
    <s v="Wednesday"/>
    <s v="On Demand"/>
    <x v="16"/>
  </r>
  <r>
    <s v="2021-04-28 06:55 (-07)"/>
    <d v="2021-04-28T00:00:00"/>
    <s v="06:55(-07)"/>
    <s v="Wednesday"/>
    <s v="On Demand"/>
    <x v="15"/>
  </r>
  <r>
    <s v="2021-04-28 07:00 (-07)"/>
    <d v="2021-04-28T00:00:00"/>
    <s v="07:00(-07)"/>
    <s v="Wednesday"/>
    <s v="On Demand"/>
    <x v="7"/>
  </r>
  <r>
    <s v="2021-04-28 07:46 (-07)"/>
    <d v="2021-04-28T00:00:00"/>
    <s v="07:46(-07)"/>
    <s v="Wednesday"/>
    <s v="On Demand"/>
    <x v="7"/>
  </r>
  <r>
    <s v="2021-04-28 22:00 (PST)"/>
    <d v="2021-04-28T00:00:00"/>
    <s v="22:00(PST)"/>
    <s v="Wednesday"/>
    <s v="On Demand"/>
    <x v="13"/>
  </r>
  <r>
    <s v="2021-05-05 19:28 (-07)"/>
    <d v="2021-05-05T00:00:00"/>
    <s v="19:28(-07)"/>
    <s v="Wednesday"/>
    <s v="On Demand"/>
    <x v="6"/>
  </r>
  <r>
    <s v="2021-05-05 20:26 (PST)"/>
    <d v="2021-05-05T00:00:00"/>
    <s v="20:26(PST)"/>
    <s v="Wednesday"/>
    <s v="On Demand"/>
    <x v="5"/>
  </r>
  <r>
    <s v="2021-05-05 23:01 (PST)"/>
    <d v="2021-05-05T00:00:00"/>
    <s v="23:01(PST)"/>
    <s v="Wednesday"/>
    <s v="On Demand"/>
    <x v="16"/>
  </r>
  <r>
    <s v="2021-05-12 06:58 (-07)"/>
    <d v="2021-05-12T00:00:00"/>
    <s v="06:58(-07)"/>
    <s v="Wednesday"/>
    <s v="On Demand"/>
    <x v="6"/>
  </r>
  <r>
    <s v="2021-05-12 07:44 (-07)"/>
    <d v="2021-05-12T00:00:00"/>
    <s v="07:44(-07)"/>
    <s v="Wednesday"/>
    <s v="On Demand"/>
    <x v="6"/>
  </r>
  <r>
    <s v="2021-05-12 07:51 (-07)"/>
    <d v="2021-05-12T00:00:00"/>
    <s v="07:51(-07)"/>
    <s v="Wednesday"/>
    <s v="On Demand"/>
    <x v="20"/>
  </r>
  <r>
    <s v="2021-05-12 22:55 (PST)"/>
    <d v="2021-05-12T00:00:00"/>
    <s v="22:55(PST)"/>
    <s v="Wednesday"/>
    <s v="On Demand"/>
    <x v="13"/>
  </r>
  <r>
    <s v="2021-05-19 07:07 (PST)"/>
    <d v="2021-05-19T00:00:00"/>
    <s v="07:07(PST)"/>
    <s v="Wednesday"/>
    <s v="On Demand"/>
    <x v="32"/>
  </r>
  <r>
    <s v="2021-05-19 07:19 (PST)"/>
    <d v="2021-05-19T00:00:00"/>
    <s v="07:19(PST)"/>
    <s v="Wednesday"/>
    <s v="On Demand"/>
    <x v="7"/>
  </r>
  <r>
    <s v="2021-05-19 22:19 (PST)"/>
    <d v="2021-05-19T00:00:00"/>
    <s v="22:19(PST)"/>
    <s v="Wednesday"/>
    <s v="On Demand"/>
    <x v="16"/>
  </r>
  <r>
    <s v="2021-05-26 07:07 (-07)"/>
    <d v="2021-05-26T00:00:00"/>
    <s v="07:07(-07)"/>
    <s v="Wednesday"/>
    <s v="On Demand"/>
    <x v="6"/>
  </r>
  <r>
    <s v="2021-05-26 08:09 (-07)"/>
    <d v="2021-05-26T00:00:00"/>
    <s v="08:09(-07)"/>
    <s v="Wednesday"/>
    <s v="On Demand"/>
    <x v="6"/>
  </r>
  <r>
    <s v="2021-05-26 08:14 (-07)"/>
    <d v="2021-05-26T00:00:00"/>
    <s v="08:14(-07)"/>
    <s v="Wednesday"/>
    <s v="On Demand"/>
    <x v="6"/>
  </r>
  <r>
    <s v="2021-05-26 22:20 (PST)"/>
    <d v="2021-05-26T00:00:00"/>
    <s v="22:20(PST)"/>
    <s v="Wednesday"/>
    <s v="On Demand"/>
    <x v="25"/>
  </r>
  <r>
    <s v="2021-06-02 06:58 (-07)"/>
    <d v="2021-06-02T00:00:00"/>
    <s v="06:58(-07)"/>
    <s v="Wednesday"/>
    <s v="On Demand"/>
    <x v="6"/>
  </r>
  <r>
    <s v="2021-06-02 07:44 (-07)"/>
    <d v="2021-06-02T00:00:00"/>
    <s v="07:44(-07)"/>
    <s v="Wednesday"/>
    <s v="On Demand"/>
    <x v="6"/>
  </r>
  <r>
    <s v="2021-06-02 07:49 (-07)"/>
    <d v="2021-06-02T00:00:00"/>
    <s v="07:49(-07)"/>
    <s v="Wednesday"/>
    <s v="On Demand"/>
    <x v="6"/>
  </r>
  <r>
    <s v="2021-06-02 07:54 (-07)"/>
    <d v="2021-06-02T00:00:00"/>
    <s v="07:54(-07)"/>
    <s v="Wednesday"/>
    <s v="On Demand"/>
    <x v="6"/>
  </r>
  <r>
    <s v="2021-06-02 08:10 (-07)"/>
    <d v="2021-06-02T00:00:00"/>
    <s v="08:10(-07)"/>
    <s v="Wednesday"/>
    <s v="On Demand"/>
    <x v="1"/>
  </r>
  <r>
    <s v="2021-06-02 22:32 (PST)"/>
    <d v="2021-06-02T00:00:00"/>
    <s v="22:32(PST)"/>
    <s v="Wednesday"/>
    <s v="On Demand"/>
    <x v="13"/>
  </r>
  <r>
    <s v="2021-06-09 07:16 (PST)"/>
    <d v="2021-06-09T00:00:00"/>
    <s v="07:16(PST)"/>
    <s v="Wednesday"/>
    <s v="On Demand"/>
    <x v="7"/>
  </r>
  <r>
    <s v="2021-06-09 07:38 (PST)"/>
    <d v="2021-06-09T00:00:00"/>
    <s v="07:38(PST)"/>
    <s v="Wednesday"/>
    <s v="On Demand"/>
    <x v="23"/>
  </r>
  <r>
    <s v="2021-06-09 17:36 (-07)"/>
    <d v="2021-06-09T00:00:00"/>
    <s v="17:36(-07)"/>
    <s v="Wednesday"/>
    <s v="On Demand"/>
    <x v="7"/>
  </r>
  <r>
    <s v="2021-06-09 18:22 (-07)"/>
    <d v="2021-06-09T00:00:00"/>
    <s v="18:22(-07)"/>
    <s v="Wednesday"/>
    <s v="On Demand"/>
    <x v="7"/>
  </r>
  <r>
    <s v="2021-06-09 18:28 (-07)"/>
    <d v="2021-06-09T00:00:00"/>
    <s v="18:28(-07)"/>
    <s v="Wednesday"/>
    <s v="On Demand"/>
    <x v="4"/>
  </r>
  <r>
    <s v="2021-06-09 18:35 (-07)"/>
    <d v="2021-06-09T00:00:00"/>
    <s v="18:35(-07)"/>
    <s v="Wednesday"/>
    <s v="On Demand"/>
    <x v="4"/>
  </r>
  <r>
    <s v="2021-06-16 07:05 (-07)"/>
    <d v="2021-06-16T00:00:00"/>
    <s v="07:05(-07)"/>
    <s v="Wednesday"/>
    <s v="On Demand"/>
    <x v="6"/>
  </r>
  <r>
    <s v="2021-06-16 07:51 (-07)"/>
    <d v="2021-06-16T00:00:00"/>
    <s v="07:51(-07)"/>
    <s v="Wednesday"/>
    <s v="On Demand"/>
    <x v="17"/>
  </r>
  <r>
    <s v="2021-06-16 16:35 (PST)"/>
    <d v="2021-06-16T00:00:00"/>
    <s v="16:35(PST)"/>
    <s v="Wednesday"/>
    <s v="On Demand"/>
    <x v="11"/>
  </r>
  <r>
    <s v="2021-06-16 16:57 (PST)"/>
    <d v="2021-06-16T00:00:00"/>
    <s v="16:57(PST)"/>
    <s v="Wednesday"/>
    <s v="On Demand"/>
    <x v="16"/>
  </r>
  <r>
    <s v="2021-06-16 22:22 (PST)"/>
    <d v="2021-06-16T00:00:00"/>
    <s v="22:22(PST)"/>
    <s v="Wednesday"/>
    <s v="On Demand"/>
    <x v="16"/>
  </r>
  <r>
    <s v="2021-06-23 07:05 (-07)"/>
    <d v="2021-06-23T00:00:00"/>
    <s v="07:05(-07)"/>
    <s v="Wednesday"/>
    <s v="On Demand"/>
    <x v="6"/>
  </r>
  <r>
    <s v="2021-06-23 07:52 (-07)"/>
    <d v="2021-06-23T00:00:00"/>
    <s v="07:52(-07)"/>
    <s v="Wednesday"/>
    <s v="On Demand"/>
    <x v="6"/>
  </r>
  <r>
    <s v="2021-06-23 07:57 (-07)"/>
    <d v="2021-06-23T00:00:00"/>
    <s v="07:57(-07)"/>
    <s v="Wednesday"/>
    <s v="On Demand"/>
    <x v="6"/>
  </r>
  <r>
    <s v="2021-06-23 13:18 (PST)"/>
    <d v="2021-06-23T00:00:00"/>
    <s v="13:18(PST)"/>
    <s v="Wednesday"/>
    <s v="On Demand"/>
    <x v="23"/>
  </r>
  <r>
    <s v="2021-06-23 22:44 (PST)"/>
    <d v="2021-06-23T00:00:00"/>
    <s v="22:44(PST)"/>
    <s v="Wednesday"/>
    <s v="On Demand"/>
    <x v="16"/>
  </r>
  <r>
    <s v="2021-06-30 06:55 (-07)"/>
    <d v="2021-06-30T00:00:00"/>
    <s v="06:55(-07)"/>
    <s v="Wednesday"/>
    <s v="On Demand"/>
    <x v="7"/>
  </r>
  <r>
    <s v="2021-06-30 07:42 (-07)"/>
    <d v="2021-06-30T00:00:00"/>
    <s v="07:42(-07)"/>
    <s v="Wednesday"/>
    <s v="On Demand"/>
    <x v="11"/>
  </r>
  <r>
    <s v="2021-06-30 07:59 (-07)"/>
    <d v="2021-06-30T00:00:00"/>
    <s v="07:59(-07)"/>
    <s v="Wednesday"/>
    <s v="On Demand"/>
    <x v="37"/>
  </r>
  <r>
    <s v="2021-07-07 23:47 (PST)"/>
    <d v="2021-07-07T00:00:00"/>
    <s v="23:47(PST)"/>
    <s v="Wednesday"/>
    <s v="On Demand"/>
    <x v="23"/>
  </r>
  <r>
    <s v="2021-07-14 06:58 (-07)"/>
    <d v="2021-07-14T00:00:00"/>
    <s v="06:58(-07)"/>
    <s v="Wednesday"/>
    <s v="On Demand"/>
    <x v="6"/>
  </r>
  <r>
    <s v="2021-07-14 07:59 (-07)"/>
    <d v="2021-07-14T00:00:00"/>
    <s v="07:59(-07)"/>
    <s v="Wednesday"/>
    <s v="On Demand"/>
    <x v="6"/>
  </r>
  <r>
    <s v="2021-07-14 08:05 (-07)"/>
    <d v="2021-07-14T00:00:00"/>
    <s v="08:05(-07)"/>
    <s v="Wednesday"/>
    <s v="On Demand"/>
    <x v="27"/>
  </r>
  <r>
    <s v="2021-07-14 09:26 (PST)"/>
    <d v="2021-07-14T00:00:00"/>
    <s v="09:26(PST)"/>
    <s v="Wednesday"/>
    <s v="On Demand"/>
    <x v="25"/>
  </r>
  <r>
    <s v="2021-07-14 22:41 (PST)"/>
    <d v="2021-07-14T00:00:00"/>
    <s v="22:41(PST)"/>
    <s v="Wednesday"/>
    <s v="On Demand"/>
    <x v="13"/>
  </r>
  <r>
    <s v="2021-07-21 06:49 (-07)"/>
    <d v="2021-07-21T00:00:00"/>
    <s v="06:49(-07)"/>
    <s v="Wednesday"/>
    <s v="On Demand"/>
    <x v="7"/>
  </r>
  <r>
    <s v="2021-07-21 07:34 (-07)"/>
    <d v="2021-07-21T00:00:00"/>
    <s v="07:34(-07)"/>
    <s v="Wednesday"/>
    <s v="On Demand"/>
    <x v="7"/>
  </r>
  <r>
    <s v="2021-07-21 07:47 (-07)"/>
    <d v="2021-07-21T00:00:00"/>
    <s v="07:47(-07)"/>
    <s v="Wednesday"/>
    <s v="On Demand"/>
    <x v="21"/>
  </r>
  <r>
    <s v="2021-07-21 07:58 (-07)"/>
    <d v="2021-07-21T00:00:00"/>
    <s v="07:58(-07)"/>
    <s v="Wednesday"/>
    <s v="On Demand"/>
    <x v="7"/>
  </r>
  <r>
    <s v="2021-07-21 16:53 (PST)"/>
    <d v="2021-07-21T00:00:00"/>
    <s v="16:53(PST)"/>
    <s v="Wednesday"/>
    <s v="On Demand"/>
    <x v="19"/>
  </r>
  <r>
    <s v="2021-07-21 22:12 (PST)"/>
    <d v="2021-07-21T00:00:00"/>
    <s v="22:12(PST)"/>
    <s v="Wednesday"/>
    <s v="On Demand"/>
    <x v="25"/>
  </r>
  <r>
    <s v="2021-07-28 06:45 (-07)"/>
    <d v="2021-07-28T00:00:00"/>
    <s v="06:45(-07)"/>
    <s v="Wednesday"/>
    <s v="On Demand"/>
    <x v="6"/>
  </r>
  <r>
    <s v="2021-07-28 07:45 (-07)"/>
    <d v="2021-07-28T00:00:00"/>
    <s v="07:45(-07)"/>
    <s v="Wednesday"/>
    <s v="On Demand"/>
    <x v="6"/>
  </r>
  <r>
    <s v="2021-07-28 07:51 (-07)"/>
    <d v="2021-07-28T00:00:00"/>
    <s v="07:51(-07)"/>
    <s v="Wednesday"/>
    <s v="On Demand"/>
    <x v="26"/>
  </r>
  <r>
    <s v="2021-07-28 08:02 (-07)"/>
    <d v="2021-07-28T00:00:00"/>
    <s v="08:02(-07)"/>
    <s v="Wednesday"/>
    <s v="On Demand"/>
    <x v="6"/>
  </r>
  <r>
    <s v="2021-07-28 22:25 (PST)"/>
    <d v="2021-07-28T00:00:00"/>
    <s v="22:25(PST)"/>
    <s v="Wednesday"/>
    <s v="On Demand"/>
    <x v="16"/>
  </r>
  <r>
    <s v="2021-08-04 06:52 (-07)"/>
    <d v="2021-08-04T00:00:00"/>
    <s v="06:52(-07)"/>
    <s v="Wednesday"/>
    <s v="On Demand"/>
    <x v="6"/>
  </r>
  <r>
    <s v="2021-08-04 07:53 (-07)"/>
    <d v="2021-08-04T00:00:00"/>
    <s v="07:53(-07)"/>
    <s v="Wednesday"/>
    <s v="On Demand"/>
    <x v="21"/>
  </r>
  <r>
    <s v="2021-08-04 08:04 (-07)"/>
    <d v="2021-08-04T00:00:00"/>
    <s v="08:04(-07)"/>
    <s v="Wednesday"/>
    <s v="On Demand"/>
    <x v="6"/>
  </r>
  <r>
    <s v="2021-08-04 20:51 (PST)"/>
    <d v="2021-08-04T00:00:00"/>
    <s v="20:51(PST)"/>
    <s v="Wednesday"/>
    <s v="On Demand"/>
    <x v="16"/>
  </r>
  <r>
    <s v="2021-08-04 22:08 (PST)"/>
    <d v="2021-08-04T00:00:00"/>
    <s v="22:08(PST)"/>
    <s v="Wednesday"/>
    <s v="On Demand"/>
    <x v="19"/>
  </r>
  <r>
    <s v="2021-08-11 06:41 (-07)"/>
    <d v="2021-08-11T00:00:00"/>
    <s v="06:41(-07)"/>
    <s v="Wednesday"/>
    <s v="On Demand"/>
    <x v="7"/>
  </r>
  <r>
    <s v="2021-08-11 07:27 (-07)"/>
    <d v="2021-08-11T00:00:00"/>
    <s v="07:27(-07)"/>
    <s v="Wednesday"/>
    <s v="On Demand"/>
    <x v="6"/>
  </r>
  <r>
    <s v="2021-08-11 07:57 (-07)"/>
    <d v="2021-08-11T00:00:00"/>
    <s v="07:57(-07)"/>
    <s v="Wednesday"/>
    <s v="On Demand"/>
    <x v="6"/>
  </r>
  <r>
    <s v="2021-08-11 20:49 (PST)"/>
    <d v="2021-08-11T00:00:00"/>
    <s v="20:49(PST)"/>
    <s v="Wednesday"/>
    <s v="On Demand"/>
    <x v="1"/>
  </r>
  <r>
    <s v="2021-08-11 22:28 (PST)"/>
    <d v="2021-08-11T00:00:00"/>
    <s v="22:28(PST)"/>
    <s v="Wednesday"/>
    <s v="On Demand"/>
    <x v="16"/>
  </r>
  <r>
    <s v="2021-08-18 06:49 (-07)"/>
    <d v="2021-08-18T00:00:00"/>
    <s v="06:49(-07)"/>
    <s v="Wednesday"/>
    <s v="On Demand"/>
    <x v="6"/>
  </r>
  <r>
    <s v="2021-08-18 07:21 (-07)"/>
    <d v="2021-08-18T00:00:00"/>
    <s v="07:21(-07)"/>
    <s v="Wednesday"/>
    <s v="On Demand"/>
    <x v="11"/>
  </r>
  <r>
    <s v="2021-08-18 08:01 (PST)"/>
    <d v="2021-08-18T00:00:00"/>
    <s v="08:01(PST)"/>
    <s v="Wednesday"/>
    <s v="On Demand"/>
    <x v="7"/>
  </r>
  <r>
    <s v="2021-08-25 07:26 (PST)"/>
    <d v="2021-08-25T00:00:00"/>
    <s v="07:26(PST)"/>
    <s v="Wednesday"/>
    <s v="On Demand"/>
    <x v="16"/>
  </r>
  <r>
    <s v="2021-08-25 22:31 (PST)"/>
    <d v="2021-08-25T00:00:00"/>
    <s v="22:31(PST)"/>
    <s v="Wednesday"/>
    <s v="On Demand"/>
    <x v="19"/>
  </r>
  <r>
    <s v="2021-09-01 07:40 (PST)"/>
    <d v="2021-09-01T00:00:00"/>
    <s v="07:40(PST)"/>
    <s v="Wednesday"/>
    <s v="On Demand"/>
    <x v="1"/>
  </r>
  <r>
    <s v="2021-09-01 12:16 (PST)"/>
    <d v="2021-09-01T00:00:00"/>
    <s v="12:16(PST)"/>
    <s v="Wednesday"/>
    <s v="On Demand"/>
    <x v="16"/>
  </r>
  <r>
    <s v="2021-09-01 17:53 (-07)"/>
    <d v="2021-09-01T00:00:00"/>
    <s v="17:53(-07)"/>
    <s v="Wednesday"/>
    <s v="On Demand"/>
    <x v="5"/>
  </r>
  <r>
    <s v="2021-09-01 18:41 (-07)"/>
    <d v="2021-09-01T00:00:00"/>
    <s v="18:41(-07)"/>
    <s v="Wednesday"/>
    <s v="On Demand"/>
    <x v="12"/>
  </r>
  <r>
    <s v="2021-09-01 18:52 (-07)"/>
    <d v="2021-09-01T00:00:00"/>
    <s v="18:52(-07)"/>
    <s v="Wednesday"/>
    <s v="On Demand"/>
    <x v="6"/>
  </r>
  <r>
    <s v="2021-09-01 22:10 (PST)"/>
    <d v="2021-09-01T00:00:00"/>
    <s v="22:10(PST)"/>
    <s v="Wednesday"/>
    <s v="On Demand"/>
    <x v="23"/>
  </r>
  <r>
    <s v="2021-09-08 07:06 (PST)"/>
    <d v="2021-09-08T00:00:00"/>
    <s v="07:06(PST)"/>
    <s v="Wednesday"/>
    <s v="On Demand"/>
    <x v="7"/>
  </r>
  <r>
    <s v="2021-09-08 17:46 (-07)"/>
    <d v="2021-09-08T00:00:00"/>
    <s v="17:46(-07)"/>
    <s v="Wednesday"/>
    <s v="On Demand"/>
    <x v="15"/>
  </r>
  <r>
    <s v="2021-09-08 17:57 (-07)"/>
    <d v="2021-09-08T00:00:00"/>
    <s v="17:57(-07)"/>
    <s v="Wednesday"/>
    <s v="On Demand"/>
    <x v="6"/>
  </r>
  <r>
    <s v="2021-09-08 18:58 (-07)"/>
    <d v="2021-09-08T00:00:00"/>
    <s v="18:58(-07)"/>
    <s v="Wednesday"/>
    <s v="On Demand"/>
    <x v="6"/>
  </r>
  <r>
    <s v="2021-09-08 19:04 (-07)"/>
    <d v="2021-09-08T00:00:00"/>
    <s v="19:04(-07)"/>
    <s v="Wednesday"/>
    <s v="On Demand"/>
    <x v="5"/>
  </r>
  <r>
    <s v="2021-09-08 19:09 (-07)"/>
    <d v="2021-09-08T00:00:00"/>
    <s v="19:09(-07)"/>
    <s v="Wednesday"/>
    <s v="On Demand"/>
    <x v="1"/>
  </r>
  <r>
    <s v="2021-09-08 22:23 (PST)"/>
    <d v="2021-09-08T00:00:00"/>
    <s v="22:23(PST)"/>
    <s v="Wednesday"/>
    <s v="On Demand"/>
    <x v="19"/>
  </r>
  <r>
    <s v="2021-09-08 22:28 (PST)"/>
    <d v="2021-09-08T00:00:00"/>
    <s v="22:28(PST)"/>
    <s v="Wednesday"/>
    <s v="On Demand"/>
    <x v="16"/>
  </r>
  <r>
    <s v="2021-09-15 07:24 (PST)"/>
    <d v="2021-09-15T00:00:00"/>
    <s v="07:24(PST)"/>
    <s v="Wednesday"/>
    <s v="On Demand"/>
    <x v="25"/>
  </r>
  <r>
    <s v="2021-09-15 19:15 (-07)"/>
    <d v="2021-09-15T00:00:00"/>
    <s v="19:15(-07)"/>
    <s v="Wednesday"/>
    <s v="On Demand"/>
    <x v="6"/>
  </r>
  <r>
    <s v="2021-09-15 19:47 (-07)"/>
    <d v="2021-09-15T00:00:00"/>
    <s v="19:47(-07)"/>
    <s v="Wednesday"/>
    <s v="On Demand"/>
    <x v="4"/>
  </r>
  <r>
    <s v="2021-09-15 20:04 (-07)"/>
    <d v="2021-09-15T00:00:00"/>
    <s v="20:04(-07)"/>
    <s v="Wednesday"/>
    <s v="On Demand"/>
    <x v="4"/>
  </r>
  <r>
    <s v="2021-09-15 22:58 (PST)"/>
    <d v="2021-09-15T00:00:00"/>
    <s v="22:58(PST)"/>
    <s v="Wednesday"/>
    <s v="On Demand"/>
    <x v="23"/>
  </r>
  <r>
    <s v="2021-09-22 07:07 (-07)"/>
    <d v="2021-09-22T00:00:00"/>
    <s v="07:07(-07)"/>
    <s v="Wednesday"/>
    <s v="On Demand"/>
    <x v="26"/>
  </r>
  <r>
    <s v="2021-09-22 07:39 (-07)"/>
    <d v="2021-09-22T00:00:00"/>
    <s v="07:39(-07)"/>
    <s v="Wednesday"/>
    <s v="On Demand"/>
    <x v="53"/>
  </r>
  <r>
    <s v="2021-09-22 07:50 (-07)"/>
    <d v="2021-09-22T00:00:00"/>
    <s v="07:50(-07)"/>
    <s v="Wednesday"/>
    <s v="On Demand"/>
    <x v="16"/>
  </r>
  <r>
    <s v="2021-09-22 22:18 (PST)"/>
    <d v="2021-09-22T00:00:00"/>
    <s v="22:18(PST)"/>
    <s v="Wednesday"/>
    <s v="On Demand"/>
    <x v="23"/>
  </r>
  <r>
    <s v="2021-09-29 07:14 (PST)"/>
    <d v="2021-09-29T00:00:00"/>
    <s v="07:14(PST)"/>
    <s v="Wednesday"/>
    <s v="On Demand"/>
    <x v="7"/>
  </r>
  <r>
    <s v="2021-09-29 22:28 (PST)"/>
    <d v="2021-09-29T00:00:00"/>
    <s v="22:28(PST)"/>
    <s v="Wednesday"/>
    <s v="On Demand"/>
    <x v="16"/>
  </r>
  <r>
    <s v="2021-10-06 18:17 (-07)"/>
    <d v="2021-10-06T00:00:00"/>
    <s v="18:17(-07)"/>
    <s v="Wednesday"/>
    <s v="On Demand"/>
    <x v="6"/>
  </r>
  <r>
    <s v="2021-10-06 18:48 (-07)"/>
    <d v="2021-10-06T00:00:00"/>
    <s v="18:48(-07)"/>
    <s v="Wednesday"/>
    <s v="On Demand"/>
    <x v="4"/>
  </r>
  <r>
    <s v="2021-10-06 19:09 (-07)"/>
    <d v="2021-10-06T00:00:00"/>
    <s v="19:09(-07)"/>
    <s v="Wednesday"/>
    <s v="On Demand"/>
    <x v="5"/>
  </r>
  <r>
    <s v="2021-10-06 19:20 (-07)"/>
    <d v="2021-10-06T00:00:00"/>
    <s v="19:20(-07)"/>
    <s v="Wednesday"/>
    <s v="On Demand"/>
    <x v="36"/>
  </r>
  <r>
    <s v="2021-10-06 22:32 (PST)"/>
    <d v="2021-10-06T00:00:00"/>
    <s v="22:32(PST)"/>
    <s v="Wednesday"/>
    <s v="On Demand"/>
    <x v="16"/>
  </r>
  <r>
    <s v="2021-10-13 19:56 (PST)"/>
    <d v="2021-10-13T00:00:00"/>
    <s v="19:56(PST)"/>
    <s v="Wednesday"/>
    <s v="On Demand"/>
    <x v="7"/>
  </r>
  <r>
    <s v="2021-10-13 22:32 (PST)"/>
    <d v="2021-10-13T00:00:00"/>
    <s v="22:32(PST)"/>
    <s v="Wednesday"/>
    <s v="On Demand"/>
    <x v="13"/>
  </r>
  <r>
    <s v="2021-10-20 17:28 (-07)"/>
    <d v="2021-10-20T00:00:00"/>
    <s v="17:28(-07)"/>
    <s v="Wednesday"/>
    <s v="On Demand"/>
    <x v="6"/>
  </r>
  <r>
    <s v="2021-10-20 18:30 (-07)"/>
    <d v="2021-10-20T00:00:00"/>
    <s v="18:30(-07)"/>
    <s v="Wednesday"/>
    <s v="On Demand"/>
    <x v="4"/>
  </r>
  <r>
    <s v="2021-10-20 18:47 (-07)"/>
    <d v="2021-10-20T00:00:00"/>
    <s v="18:47(-07)"/>
    <s v="Wednesday"/>
    <s v="On Demand"/>
    <x v="1"/>
  </r>
  <r>
    <s v="2021-10-20 22:53 (PST)"/>
    <d v="2021-10-20T00:00:00"/>
    <s v="22:53(PST)"/>
    <s v="Wednesday"/>
    <s v="On Demand"/>
    <x v="25"/>
  </r>
  <r>
    <s v="2021-10-27 07:07 (PST)"/>
    <d v="2021-10-27T00:00:00"/>
    <s v="07:07(PST)"/>
    <s v="Wednesday"/>
    <s v="On Demand"/>
    <x v="7"/>
  </r>
  <r>
    <s v="2021-10-27 22:10 (PST)"/>
    <d v="2021-10-27T00:00:00"/>
    <s v="22:10(PST)"/>
    <s v="Wednesday"/>
    <s v="On Demand"/>
    <x v="13"/>
  </r>
  <r>
    <s v="2021-11-03 18:18 (PST)"/>
    <d v="2021-11-03T00:00:00"/>
    <s v="18:18(PST)"/>
    <s v="Wednesday"/>
    <s v="On Demand"/>
    <x v="16"/>
  </r>
  <r>
    <s v="2021-11-03 21:05 (PST)"/>
    <d v="2021-11-03T00:00:00"/>
    <s v="21:05(PST)"/>
    <s v="Wednesday"/>
    <s v="On Demand"/>
    <x v="16"/>
  </r>
  <r>
    <s v="2021-11-10 07:02 (PST)"/>
    <d v="2021-11-10T00:00:00"/>
    <s v="07:02(PST)"/>
    <s v="Wednesday"/>
    <s v="On Demand"/>
    <x v="13"/>
  </r>
  <r>
    <s v="2021-11-10 16:43 (-08)"/>
    <d v="2021-11-10T00:00:00"/>
    <s v="16:43(-08)"/>
    <s v="Wednesday"/>
    <s v="On Demand"/>
    <x v="7"/>
  </r>
  <r>
    <s v="2021-11-10 17:03 (-08)"/>
    <d v="2021-11-10T00:00:00"/>
    <s v="17:03(-08)"/>
    <s v="Wednesday"/>
    <s v="On Demand"/>
    <x v="7"/>
  </r>
  <r>
    <s v="2021-11-10 17:35 (-08)"/>
    <d v="2021-11-10T00:00:00"/>
    <s v="17:35(-08)"/>
    <s v="Wednesday"/>
    <s v="On Demand"/>
    <x v="22"/>
  </r>
  <r>
    <s v="2021-11-10 17:46 (-08)"/>
    <d v="2021-11-10T00:00:00"/>
    <s v="17:46(-08)"/>
    <s v="Wednesday"/>
    <s v="On Demand"/>
    <x v="1"/>
  </r>
  <r>
    <s v="2021-11-10 22:27 (PST)"/>
    <d v="2021-11-10T00:00:00"/>
    <s v="22:27(PST)"/>
    <s v="Wednesday"/>
    <s v="On Demand"/>
    <x v="16"/>
  </r>
  <r>
    <s v="2021-11-17 07:10 (PST)"/>
    <d v="2021-11-17T00:00:00"/>
    <s v="07:10(PST)"/>
    <s v="Wednesday"/>
    <s v="On Demand"/>
    <x v="7"/>
  </r>
  <r>
    <s v="2021-11-17 16:47 (-08)"/>
    <d v="2021-11-17T00:00:00"/>
    <s v="16:47(-08)"/>
    <s v="Wednesday"/>
    <s v="On Demand"/>
    <x v="7"/>
  </r>
  <r>
    <s v="2021-11-17 17:18 (-08)"/>
    <d v="2021-11-17T00:00:00"/>
    <s v="17:18(-08)"/>
    <s v="Wednesday"/>
    <s v="On Demand"/>
    <x v="7"/>
  </r>
  <r>
    <s v="2021-11-17 17:25 (-08)"/>
    <d v="2021-11-17T00:00:00"/>
    <s v="17:25(-08)"/>
    <s v="Wednesday"/>
    <s v="On Demand"/>
    <x v="12"/>
  </r>
  <r>
    <s v="2021-11-17 17:37 (-08)"/>
    <d v="2021-11-17T00:00:00"/>
    <s v="17:37(-08)"/>
    <s v="Wednesday"/>
    <s v="On Demand"/>
    <x v="1"/>
  </r>
  <r>
    <s v="2021-11-17 22:20 (PST)"/>
    <d v="2021-11-17T00:00:00"/>
    <s v="22:20(PST)"/>
    <s v="Wednesday"/>
    <s v="On Demand"/>
    <x v="19"/>
  </r>
  <r>
    <s v="2021-11-24 07:55 (PST)"/>
    <d v="2021-11-24T00:00:00"/>
    <s v="07:55(PST)"/>
    <s v="Wednesday"/>
    <s v="On Demand"/>
    <x v="7"/>
  </r>
  <r>
    <s v="2021-11-24 15:02 (PST)"/>
    <d v="2021-11-24T00:00:00"/>
    <s v="15:02(PST)"/>
    <s v="Wednesday"/>
    <s v="On Demand"/>
    <x v="31"/>
  </r>
  <r>
    <s v="2021-11-24 15:54 (-08)"/>
    <d v="2021-11-24T00:00:00"/>
    <s v="15:54(-08)"/>
    <s v="Wednesday"/>
    <s v="On Demand"/>
    <x v="5"/>
  </r>
  <r>
    <s v="2021-11-24 16:00 (-08)"/>
    <d v="2021-11-24T00:00:00"/>
    <s v="16:00(-08)"/>
    <s v="Wednesday"/>
    <s v="On Demand"/>
    <x v="6"/>
  </r>
  <r>
    <s v="2021-11-24 16:48 (-08)"/>
    <d v="2021-11-24T00:00:00"/>
    <s v="16:48(-08)"/>
    <s v="Wednesday"/>
    <s v="On Demand"/>
    <x v="1"/>
  </r>
  <r>
    <s v="2021-11-24 16:59 (-08)"/>
    <d v="2021-11-24T00:00:00"/>
    <s v="16:59(-08)"/>
    <s v="Wednesday"/>
    <s v="On Demand"/>
    <x v="4"/>
  </r>
  <r>
    <s v="2021-11-24 22:21 (PST)"/>
    <d v="2021-11-24T00:00:00"/>
    <s v="22:21(PST)"/>
    <s v="Wednesday"/>
    <s v="On Demand"/>
    <x v="25"/>
  </r>
  <r>
    <s v="2021-12-01 07:10 (PST)"/>
    <d v="2021-12-01T00:00:00"/>
    <s v="07:10(PST)"/>
    <s v="Wednesday"/>
    <s v="On Demand"/>
    <x v="23"/>
  </r>
  <r>
    <s v="2021-12-01 12:08 (PST)"/>
    <d v="2021-12-01T00:00:00"/>
    <s v="12:08(PST)"/>
    <s v="Wednesday"/>
    <s v="On Demand"/>
    <x v="31"/>
  </r>
  <r>
    <s v="2021-12-01 13:06 (PST)"/>
    <d v="2021-12-01T00:00:00"/>
    <s v="13:06(PST)"/>
    <s v="Wednesday"/>
    <s v="On Demand"/>
    <x v="19"/>
  </r>
  <r>
    <s v="2021-12-01 19:05 (-08)"/>
    <d v="2021-12-01T00:00:00"/>
    <s v="19:05(-08)"/>
    <s v="Wednesday"/>
    <s v="On Demand"/>
    <x v="7"/>
  </r>
  <r>
    <s v="2021-12-01 19:50 (-08)"/>
    <d v="2021-12-01T00:00:00"/>
    <s v="19:50(-08)"/>
    <s v="Wednesday"/>
    <s v="On Demand"/>
    <x v="7"/>
  </r>
  <r>
    <s v="2021-12-01 19:57 (-08)"/>
    <d v="2021-12-01T00:00:00"/>
    <s v="19:57(-08)"/>
    <s v="Wednesday"/>
    <s v="On Demand"/>
    <x v="65"/>
  </r>
  <r>
    <s v="2021-12-01 22:16 (PST)"/>
    <d v="2021-12-01T00:00:00"/>
    <s v="22:16(PST)"/>
    <s v="Wednesday"/>
    <s v="On Demand"/>
    <x v="25"/>
  </r>
  <r>
    <s v="2021-12-08 07:51 (PST)"/>
    <d v="2021-12-08T00:00:00"/>
    <s v="07:51(PST)"/>
    <s v="Wednesday"/>
    <s v="On Demand"/>
    <x v="16"/>
  </r>
  <r>
    <s v="2021-12-08 12:49 (PST)"/>
    <d v="2021-12-08T00:00:00"/>
    <s v="12:49(PST)"/>
    <s v="Wednesday"/>
    <s v="On Demand"/>
    <x v="16"/>
  </r>
  <r>
    <s v="2021-12-08 17:43 (-08)"/>
    <d v="2021-12-08T00:00:00"/>
    <s v="17:43(-08)"/>
    <s v="Wednesday"/>
    <s v="On Demand"/>
    <x v="4"/>
  </r>
  <r>
    <s v="2021-12-08 17:55 (-08)"/>
    <d v="2021-12-08T00:00:00"/>
    <s v="17:55(-08)"/>
    <s v="Wednesday"/>
    <s v="On Demand"/>
    <x v="11"/>
  </r>
  <r>
    <s v="2021-12-08 18:42 (-08)"/>
    <d v="2021-12-08T00:00:00"/>
    <s v="18:42(-08)"/>
    <s v="Wednesday"/>
    <s v="On Demand"/>
    <x v="5"/>
  </r>
  <r>
    <s v="2021-12-08 19:58 (PST)"/>
    <d v="2021-12-08T00:00:00"/>
    <s v="19:58(PST)"/>
    <s v="Wednesday"/>
    <s v="On Demand"/>
    <x v="13"/>
  </r>
  <r>
    <s v="2021-12-08 21:50 (PST)"/>
    <d v="2021-12-08T00:00:00"/>
    <s v="21:50(PST)"/>
    <s v="Wednesday"/>
    <s v="On Demand"/>
    <x v="19"/>
  </r>
  <r>
    <s v="2021-12-15 06:00 (-08)"/>
    <d v="2021-12-15T00:00:00"/>
    <s v="06:00(-08)"/>
    <s v="Wednesday"/>
    <s v="On Demand"/>
    <x v="6"/>
  </r>
  <r>
    <s v="2021-12-15 06:46 (-08)"/>
    <d v="2021-12-15T00:00:00"/>
    <s v="06:46(-08)"/>
    <s v="Wednesday"/>
    <s v="On Demand"/>
    <x v="10"/>
  </r>
  <r>
    <s v="2021-12-15 06:57 (-08)"/>
    <d v="2021-12-15T00:00:00"/>
    <s v="06:57(-08)"/>
    <s v="Wednesday"/>
    <s v="On Demand"/>
    <x v="10"/>
  </r>
  <r>
    <s v="2021-12-15 12:48 (PST)"/>
    <d v="2021-12-15T00:00:00"/>
    <s v="12:48(PST)"/>
    <s v="Wednesday"/>
    <s v="On Demand"/>
    <x v="2"/>
  </r>
  <r>
    <s v="2021-12-15 21:57 (PST)"/>
    <d v="2021-12-15T00:00:00"/>
    <s v="21:57(PST)"/>
    <s v="Wednesday"/>
    <s v="On Demand"/>
    <x v="28"/>
  </r>
  <r>
    <s v="2021-12-22 13:47 (PST)"/>
    <d v="2021-12-22T00:00:00"/>
    <s v="13:47(PST)"/>
    <s v="Wednesday"/>
    <s v="On Demand"/>
    <x v="7"/>
  </r>
  <r>
    <s v="2021-12-22 17:02 (-08)"/>
    <d v="2021-12-22T00:00:00"/>
    <s v="17:02(-08)"/>
    <s v="Wednesday"/>
    <s v="On Demand"/>
    <x v="6"/>
  </r>
  <r>
    <s v="2021-12-22 17:25 (-08)"/>
    <d v="2021-12-22T00:00:00"/>
    <s v="17:25(-08)"/>
    <s v="Wednesday"/>
    <s v="On Demand"/>
    <x v="26"/>
  </r>
  <r>
    <s v="2021-12-22 17:36 (-08)"/>
    <d v="2021-12-22T00:00:00"/>
    <s v="17:36(-08)"/>
    <s v="Wednesday"/>
    <s v="On Demand"/>
    <x v="26"/>
  </r>
  <r>
    <s v="2021-12-22 18:11 (-08)"/>
    <d v="2021-12-22T00:00:00"/>
    <s v="18:11(-08)"/>
    <s v="Wednesday"/>
    <s v="On Demand"/>
    <x v="1"/>
  </r>
  <r>
    <s v="2021-12-22 18:23 (-08)"/>
    <d v="2021-12-22T00:00:00"/>
    <s v="18:23(-08)"/>
    <s v="Wednesday"/>
    <s v="On Demand"/>
    <x v="4"/>
  </r>
  <r>
    <s v="2021-12-22 22:21 (PST)"/>
    <d v="2021-12-22T00:00:00"/>
    <s v="22:21(PST)"/>
    <s v="Wednesday"/>
    <s v="On Demand"/>
    <x v="16"/>
  </r>
  <r>
    <s v="2021-12-29 02:39 (PST)"/>
    <d v="2021-12-29T00:00:00"/>
    <s v="02:39(PST)"/>
    <s v="Wednesday"/>
    <s v="On Demand"/>
    <x v="19"/>
  </r>
  <r>
    <s v="2021-12-29 03:14 (PST)"/>
    <d v="2021-12-29T00:00:00"/>
    <s v="03:14(PST)"/>
    <s v="Wednesday"/>
    <s v="On Demand"/>
    <x v="19"/>
  </r>
  <r>
    <s v="2021-12-29 12:41 (PST)"/>
    <d v="2021-12-29T00:00:00"/>
    <s v="12:41(PST)"/>
    <s v="Wednesday"/>
    <s v="On Demand"/>
    <x v="25"/>
  </r>
  <r>
    <s v="2021-12-29 17:31 (-08)"/>
    <d v="2021-12-29T00:00:00"/>
    <s v="17:31(-08)"/>
    <s v="Wednesday"/>
    <s v="On Demand"/>
    <x v="9"/>
  </r>
  <r>
    <s v="2021-12-29 18:06 (-08)"/>
    <d v="2021-12-29T00:00:00"/>
    <s v="18:06(-08)"/>
    <s v="Wednesday"/>
    <s v="On Demand"/>
    <x v="11"/>
  </r>
  <r>
    <s v="2021-12-29 22:45 (PST)"/>
    <d v="2021-12-29T00:00:00"/>
    <s v="22:45(PST)"/>
    <s v="Wednesday"/>
    <s v="On Demand"/>
    <x v="25"/>
  </r>
  <r>
    <s v="2022-01-05 07:37 (PST)"/>
    <d v="2022-01-05T00:00:00"/>
    <s v="07:37(PST)"/>
    <s v="Wednesday"/>
    <s v="On Demand"/>
    <x v="16"/>
  </r>
  <r>
    <s v="2022-01-05 14:45 (PST)"/>
    <d v="2022-01-05T00:00:00"/>
    <s v="14:45(PST)"/>
    <s v="Wednesday"/>
    <s v="On Demand"/>
    <x v="16"/>
  </r>
  <r>
    <s v="2022-01-05 16:05 (-08)"/>
    <d v="2022-01-05T00:00:00"/>
    <s v="16:05(-08)"/>
    <s v="Wednesday"/>
    <s v="On Demand"/>
    <x v="4"/>
  </r>
  <r>
    <s v="2022-01-05 16:13 (-08)"/>
    <d v="2022-01-05T00:00:00"/>
    <s v="16:13(-08)"/>
    <s v="Wednesday"/>
    <s v="On Demand"/>
    <x v="5"/>
  </r>
  <r>
    <s v="2022-01-05 16:44 (-08)"/>
    <d v="2022-01-05T00:00:00"/>
    <s v="16:44(-08)"/>
    <s v="Wednesday"/>
    <s v="On Demand"/>
    <x v="6"/>
  </r>
  <r>
    <s v="2022-01-05 22:26 (PST)"/>
    <d v="2022-01-05T00:00:00"/>
    <s v="22:26(PST)"/>
    <s v="Wednesday"/>
    <s v="On Demand"/>
    <x v="19"/>
  </r>
  <r>
    <s v="2022-01-12 07:07 (PST)"/>
    <d v="2022-01-12T00:00:00"/>
    <s v="07:07(PST)"/>
    <s v="Wednesday"/>
    <s v="On Demand"/>
    <x v="13"/>
  </r>
  <r>
    <s v="2022-01-12 07:39 (PST)"/>
    <d v="2022-01-12T00:00:00"/>
    <s v="07:39(PST)"/>
    <s v="Wednesday"/>
    <s v="On Demand"/>
    <x v="1"/>
  </r>
  <r>
    <s v="2022-01-12 12:01 (PST)"/>
    <d v="2022-01-12T00:00:00"/>
    <s v="12:01(PST)"/>
    <s v="Wednesday"/>
    <s v="On Demand"/>
    <x v="20"/>
  </r>
  <r>
    <s v="2022-01-12 12:26 (PST)"/>
    <d v="2022-01-12T00:00:00"/>
    <s v="12:26(PST)"/>
    <s v="Wednesday"/>
    <s v="On Demand"/>
    <x v="19"/>
  </r>
  <r>
    <s v="2022-01-12 16:13 (-08)"/>
    <d v="2022-01-12T00:00:00"/>
    <s v="16:13(-08)"/>
    <s v="Wednesday"/>
    <s v="On Demand"/>
    <x v="0"/>
  </r>
  <r>
    <s v="2022-01-12 16:18 (-08)"/>
    <d v="2022-01-12T00:00:00"/>
    <s v="16:18(-08)"/>
    <s v="Wednesday"/>
    <s v="On Demand"/>
    <x v="7"/>
  </r>
  <r>
    <s v="2022-01-12 17:04 (-08)"/>
    <d v="2022-01-12T00:00:00"/>
    <s v="17:04(-08)"/>
    <s v="Wednesday"/>
    <s v="On Demand"/>
    <x v="6"/>
  </r>
  <r>
    <s v="2022-01-12 17:10 (-08)"/>
    <d v="2022-01-12T00:00:00"/>
    <s v="17:10(-08)"/>
    <s v="Wednesday"/>
    <s v="On Demand"/>
    <x v="6"/>
  </r>
  <r>
    <s v="2022-01-12 23:00 (PST)"/>
    <d v="2022-01-12T00:00:00"/>
    <s v="23:00(PST)"/>
    <s v="Wednesday"/>
    <s v="On Demand"/>
    <x v="23"/>
  </r>
  <r>
    <s v="2022-01-19 07:26 (PST)"/>
    <d v="2022-01-19T00:00:00"/>
    <s v="07:26(PST)"/>
    <s v="Wednesday"/>
    <s v="On Demand"/>
    <x v="16"/>
  </r>
  <r>
    <s v="2022-01-19 16:29 (-08)"/>
    <d v="2022-01-19T00:00:00"/>
    <s v="16:29(-08)"/>
    <s v="Wednesday"/>
    <s v="On Demand"/>
    <x v="6"/>
  </r>
  <r>
    <s v="2022-01-19 17:15 (-08)"/>
    <d v="2022-01-19T00:00:00"/>
    <s v="17:15(-08)"/>
    <s v="Wednesday"/>
    <s v="On Demand"/>
    <x v="12"/>
  </r>
  <r>
    <s v="2022-01-19 17:36 (-08)"/>
    <d v="2022-01-19T00:00:00"/>
    <s v="17:36(-08)"/>
    <s v="Wednesday"/>
    <s v="On Demand"/>
    <x v="24"/>
  </r>
  <r>
    <s v="2022-01-19 17:41 (-08)"/>
    <d v="2022-01-19T00:00:00"/>
    <s v="17:41(-08)"/>
    <s v="Wednesday"/>
    <s v="On Demand"/>
    <x v="8"/>
  </r>
  <r>
    <s v="2022-01-19 22:15 (PST)"/>
    <d v="2022-01-19T00:00:00"/>
    <s v="22:15(PST)"/>
    <s v="Wednesday"/>
    <s v="On Demand"/>
    <x v="13"/>
  </r>
  <r>
    <s v="2022-01-26 07:42 (PST)"/>
    <d v="2022-01-26T00:00:00"/>
    <s v="07:42(PST)"/>
    <s v="Wednesday"/>
    <s v="On Demand"/>
    <x v="16"/>
  </r>
  <r>
    <s v="2022-01-26 12:30 (PST)"/>
    <d v="2022-01-26T00:00:00"/>
    <s v="12:30(PST)"/>
    <s v="Wednesday"/>
    <s v="On Demand"/>
    <x v="21"/>
  </r>
  <r>
    <s v="2022-01-26 16:20 (-08)"/>
    <d v="2022-01-26T00:00:00"/>
    <s v="16:20(-08)"/>
    <s v="Wednesday"/>
    <s v="On Demand"/>
    <x v="8"/>
  </r>
  <r>
    <s v="2022-01-26 16:26 (-08)"/>
    <d v="2022-01-26T00:00:00"/>
    <s v="16:26(-08)"/>
    <s v="Wednesday"/>
    <s v="On Demand"/>
    <x v="6"/>
  </r>
  <r>
    <s v="2022-01-26 17:11 (-08)"/>
    <d v="2022-01-26T00:00:00"/>
    <s v="17:11(-08)"/>
    <s v="Wednesday"/>
    <s v="On Demand"/>
    <x v="1"/>
  </r>
  <r>
    <s v="2022-01-26 17:21 (-08)"/>
    <d v="2022-01-26T00:00:00"/>
    <s v="17:21(-08)"/>
    <s v="Wednesday"/>
    <s v="On Demand"/>
    <x v="17"/>
  </r>
  <r>
    <s v="2022-01-26 17:32 (-08)"/>
    <d v="2022-01-26T00:00:00"/>
    <s v="17:32(-08)"/>
    <s v="Wednesday"/>
    <s v="On Demand"/>
    <x v="1"/>
  </r>
  <r>
    <s v="2022-01-26 22:27 (PST)"/>
    <d v="2022-01-26T00:00:00"/>
    <s v="22:27(PST)"/>
    <s v="Wednesday"/>
    <s v="On Demand"/>
    <x v="13"/>
  </r>
  <r>
    <s v="2022-02-02 07:14 (PST)"/>
    <d v="2022-02-02T00:00:00"/>
    <s v="07:14(PST)"/>
    <s v="Wednesday"/>
    <s v="On Demand"/>
    <x v="7"/>
  </r>
  <r>
    <s v="2022-02-02 16:28 (PST)"/>
    <d v="2022-02-02T00:00:00"/>
    <s v="16:28(PST)"/>
    <s v="Wednesday"/>
    <s v="On Demand"/>
    <x v="21"/>
  </r>
  <r>
    <s v="2022-02-02 17:20 (PST)"/>
    <d v="2022-02-02T00:00:00"/>
    <s v="17:20(PST)"/>
    <s v="Wednesday"/>
    <s v="On Demand"/>
    <x v="1"/>
  </r>
  <r>
    <s v="2022-02-02 17:37 (-08)"/>
    <d v="2022-02-02T00:00:00"/>
    <s v="17:37(-08)"/>
    <s v="Wednesday"/>
    <s v="On Demand"/>
    <x v="6"/>
  </r>
  <r>
    <s v="2022-02-02 22:23 (PST)"/>
    <d v="2022-02-02T00:00:00"/>
    <s v="22:23(PST)"/>
    <s v="Wednesday"/>
    <s v="On Demand"/>
    <x v="23"/>
  </r>
  <r>
    <s v="2022-02-09 14:50 (PST)"/>
    <d v="2022-02-09T00:00:00"/>
    <s v="14:50(PST)"/>
    <s v="Wednesday"/>
    <s v="On Demand"/>
    <x v="7"/>
  </r>
  <r>
    <s v="2022-02-09 16:13 (PST)"/>
    <d v="2022-02-09T00:00:00"/>
    <s v="16:13(PST)"/>
    <s v="Wednesday"/>
    <s v="On Demand"/>
    <x v="21"/>
  </r>
  <r>
    <s v="2022-02-09 17:05 (-08)"/>
    <d v="2022-02-09T00:00:00"/>
    <s v="17:05(-08)"/>
    <s v="Wednesday"/>
    <s v="On Demand"/>
    <x v="1"/>
  </r>
  <r>
    <s v="2022-02-09 17:16 (-08)"/>
    <d v="2022-02-09T00:00:00"/>
    <s v="17:16(-08)"/>
    <s v="Wednesday"/>
    <s v="On Demand"/>
    <x v="1"/>
  </r>
  <r>
    <s v="2022-02-09 17:24 (-08)"/>
    <d v="2022-02-09T00:00:00"/>
    <s v="17:24(-08)"/>
    <s v="Wednesday"/>
    <s v="On Demand"/>
    <x v="6"/>
  </r>
  <r>
    <s v="2022-02-09 17:55 (-08)"/>
    <d v="2022-02-09T00:00:00"/>
    <s v="17:55(-08)"/>
    <s v="Wednesday"/>
    <s v="On Demand"/>
    <x v="6"/>
  </r>
  <r>
    <s v="2022-02-09 22:34 (PST)"/>
    <d v="2022-02-09T00:00:00"/>
    <s v="22:34(PST)"/>
    <s v="Wednesday"/>
    <s v="On Demand"/>
    <x v="16"/>
  </r>
  <r>
    <s v="2022-02-16 07:22 (PST)"/>
    <d v="2022-02-16T00:00:00"/>
    <s v="07:22(PST)"/>
    <s v="Wednesday"/>
    <s v="On Demand"/>
    <x v="1"/>
  </r>
  <r>
    <s v="2022-02-16 07:31 (PST)"/>
    <d v="2022-02-16T00:00:00"/>
    <s v="07:31(PST)"/>
    <s v="Wednesday"/>
    <s v="On Demand"/>
    <x v="7"/>
  </r>
  <r>
    <s v="2022-02-16 17:13 (-08)"/>
    <d v="2022-02-16T00:00:00"/>
    <s v="17:13(-08)"/>
    <s v="Wednesday"/>
    <s v="On Demand"/>
    <x v="6"/>
  </r>
  <r>
    <s v="2022-02-16 17:59 (-08)"/>
    <d v="2022-02-16T00:00:00"/>
    <s v="17:59(-08)"/>
    <s v="Wednesday"/>
    <s v="On Demand"/>
    <x v="9"/>
  </r>
  <r>
    <s v="2022-02-16 18:10 (-08)"/>
    <d v="2022-02-16T00:00:00"/>
    <s v="18:10(-08)"/>
    <s v="Wednesday"/>
    <s v="On Demand"/>
    <x v="18"/>
  </r>
  <r>
    <s v="2022-02-16 22:31 (PST)"/>
    <d v="2022-02-16T00:00:00"/>
    <s v="22:31(PST)"/>
    <s v="Wednesday"/>
    <s v="On Demand"/>
    <x v="16"/>
  </r>
  <r>
    <s v="2022-02-23 12:20 (PST)"/>
    <d v="2022-02-23T00:00:00"/>
    <s v="12:20(PST)"/>
    <s v="Wednesday"/>
    <s v="On Demand"/>
    <x v="31"/>
  </r>
  <r>
    <s v="2022-02-23 17:10 (-08)"/>
    <d v="2022-02-23T00:00:00"/>
    <s v="17:10(-08)"/>
    <s v="Wednesday"/>
    <s v="On Demand"/>
    <x v="7"/>
  </r>
  <r>
    <s v="2022-02-23 17:56 (-08)"/>
    <d v="2022-02-23T00:00:00"/>
    <s v="17:56(-08)"/>
    <s v="Wednesday"/>
    <s v="On Demand"/>
    <x v="8"/>
  </r>
  <r>
    <s v="2022-02-23 18:13 (PST)"/>
    <d v="2022-02-23T00:00:00"/>
    <s v="18:13(PST)"/>
    <s v="Wednesday"/>
    <s v="On Demand"/>
    <x v="24"/>
  </r>
  <r>
    <s v="2022-02-23 18:24 (PST)"/>
    <d v="2022-02-23T00:00:00"/>
    <s v="18:24(PST)"/>
    <s v="Wednesday"/>
    <s v="On Demand"/>
    <x v="16"/>
  </r>
  <r>
    <s v="2022-02-23 22:24 (PST)"/>
    <d v="2022-02-23T00:00:00"/>
    <s v="22:24(PST)"/>
    <s v="Wednesday"/>
    <s v="On Demand"/>
    <x v="19"/>
  </r>
  <r>
    <s v="2022-03-02 07:37 (PST)"/>
    <d v="2022-03-02T00:00:00"/>
    <s v="07:37(PST)"/>
    <s v="Wednesday"/>
    <s v="On Demand"/>
    <x v="13"/>
  </r>
  <r>
    <s v="2022-03-02 08:22 (PST)"/>
    <d v="2022-03-02T00:00:00"/>
    <s v="08:22(PST)"/>
    <s v="Wednesday"/>
    <s v="On Demand"/>
    <x v="19"/>
  </r>
  <r>
    <s v="2022-03-02 17:24 (-08)"/>
    <d v="2022-03-02T00:00:00"/>
    <s v="17:24(-08)"/>
    <s v="Wednesday"/>
    <s v="On Demand"/>
    <x v="17"/>
  </r>
  <r>
    <s v="2022-03-02 17:30 (-08)"/>
    <d v="2022-03-02T00:00:00"/>
    <s v="17:30(-08)"/>
    <s v="Wednesday"/>
    <s v="On Demand"/>
    <x v="6"/>
  </r>
  <r>
    <s v="2022-03-02 18:15 (-08)"/>
    <d v="2022-03-02T00:00:00"/>
    <s v="18:15(-08)"/>
    <s v="Wednesday"/>
    <s v="On Demand"/>
    <x v="20"/>
  </r>
  <r>
    <s v="2022-03-02 18:22 (-08)"/>
    <d v="2022-03-02T00:00:00"/>
    <s v="18:22(-08)"/>
    <s v="Wednesday"/>
    <s v="On Demand"/>
    <x v="12"/>
  </r>
  <r>
    <s v="2022-03-02 18:34 (-08)"/>
    <d v="2022-03-02T00:00:00"/>
    <s v="18:34(-08)"/>
    <s v="Wednesday"/>
    <s v="On Demand"/>
    <x v="3"/>
  </r>
  <r>
    <s v="2022-03-02 22:33 (PST)"/>
    <d v="2022-03-02T00:00:00"/>
    <s v="22:33(PST)"/>
    <s v="Wednesday"/>
    <s v="On Demand"/>
    <x v="16"/>
  </r>
  <r>
    <s v="2022-03-09 07:28 (PST)"/>
    <d v="2022-03-09T00:00:00"/>
    <s v="07:28(PST)"/>
    <s v="Wednesday"/>
    <s v="On Demand"/>
    <x v="7"/>
  </r>
  <r>
    <s v="2022-03-09 18:04 (-08)"/>
    <d v="2022-03-09T00:00:00"/>
    <s v="18:04(-08)"/>
    <s v="Wednesday"/>
    <s v="On Demand"/>
    <x v="6"/>
  </r>
  <r>
    <s v="2022-03-09 18:50 (-08)"/>
    <d v="2022-03-09T00:00:00"/>
    <s v="18:50(-08)"/>
    <s v="Wednesday"/>
    <s v="On Demand"/>
    <x v="7"/>
  </r>
  <r>
    <s v="2022-03-09 19:04 (-08)"/>
    <d v="2022-03-09T00:00:00"/>
    <s v="19:04(-08)"/>
    <s v="Wednesday"/>
    <s v="On Demand"/>
    <x v="26"/>
  </r>
  <r>
    <s v="2022-03-09 19:15 (-08)"/>
    <d v="2022-03-09T00:00:00"/>
    <s v="19:15(-08)"/>
    <s v="Wednesday"/>
    <s v="On Demand"/>
    <x v="24"/>
  </r>
  <r>
    <s v="2022-03-09 22:36 (PST)"/>
    <d v="2022-03-09T00:00:00"/>
    <s v="22:36(PST)"/>
    <s v="Wednesday"/>
    <s v="On Demand"/>
    <x v="13"/>
  </r>
  <r>
    <s v="2022-03-16 07:33 (PST)"/>
    <d v="2022-03-16T00:00:00"/>
    <s v="07:33(PST)"/>
    <s v="Wednesday"/>
    <s v="On Demand"/>
    <x v="13"/>
  </r>
  <r>
    <s v="2022-03-16 12:25 (PST)"/>
    <d v="2022-03-16T00:00:00"/>
    <s v="12:25(PST)"/>
    <s v="Wednesday"/>
    <s v="On Demand"/>
    <x v="37"/>
  </r>
  <r>
    <s v="2022-03-16 18:35 (-07)"/>
    <d v="2022-03-16T00:00:00"/>
    <s v="18:35(-07)"/>
    <s v="Wednesday"/>
    <s v="On Demand"/>
    <x v="29"/>
  </r>
  <r>
    <s v="2022-03-16 18:46 (-07)"/>
    <d v="2022-03-16T00:00:00"/>
    <s v="18:46(-07)"/>
    <s v="Wednesday"/>
    <s v="On Demand"/>
    <x v="7"/>
  </r>
  <r>
    <s v="2022-03-16 19:31 (-07)"/>
    <d v="2022-03-16T00:00:00"/>
    <s v="19:31(-07)"/>
    <s v="Wednesday"/>
    <s v="On Demand"/>
    <x v="7"/>
  </r>
  <r>
    <s v="2022-03-16 19:43 (-07)"/>
    <d v="2022-03-16T00:00:00"/>
    <s v="19:43(-07)"/>
    <s v="Wednesday"/>
    <s v="On Demand"/>
    <x v="4"/>
  </r>
  <r>
    <s v="2022-03-16 19:49 (-07)"/>
    <d v="2022-03-16T00:00:00"/>
    <s v="19:49(-07)"/>
    <s v="Wednesday"/>
    <s v="On Demand"/>
    <x v="7"/>
  </r>
  <r>
    <s v="2022-03-16 22:10 (PST)"/>
    <d v="2022-03-16T00:00:00"/>
    <s v="22:10(PST)"/>
    <s v="Wednesday"/>
    <s v="On Demand"/>
    <x v="23"/>
  </r>
  <r>
    <s v="2022-03-23 07:14 (PST)"/>
    <d v="2022-03-23T00:00:00"/>
    <s v="07:14(PST)"/>
    <s v="Wednesday"/>
    <s v="On Demand"/>
    <x v="28"/>
  </r>
  <r>
    <s v="2022-03-23 16:46 (PST)"/>
    <d v="2022-03-23T00:00:00"/>
    <s v="16:46(PST)"/>
    <s v="Wednesday"/>
    <s v="On Demand"/>
    <x v="66"/>
  </r>
  <r>
    <s v="2022-03-23 17:56 (-07)"/>
    <d v="2022-03-23T00:00:00"/>
    <s v="17:56(-07)"/>
    <s v="Wednesday"/>
    <s v="On Demand"/>
    <x v="1"/>
  </r>
  <r>
    <s v="2022-03-23 18:08 (-07)"/>
    <d v="2022-03-23T00:00:00"/>
    <s v="18:08(-07)"/>
    <s v="Wednesday"/>
    <s v="On Demand"/>
    <x v="12"/>
  </r>
  <r>
    <s v="2022-03-23 18:16 (-07)"/>
    <d v="2022-03-23T00:00:00"/>
    <s v="18:16(-07)"/>
    <s v="Wednesday"/>
    <s v="On Demand"/>
    <x v="4"/>
  </r>
  <r>
    <s v="2022-03-23 19:02 (-07)"/>
    <d v="2022-03-23T00:00:00"/>
    <s v="19:02(-07)"/>
    <s v="Wednesday"/>
    <s v="On Demand"/>
    <x v="29"/>
  </r>
  <r>
    <s v="2022-03-23 22:36 (PST)"/>
    <d v="2022-03-23T00:00:00"/>
    <s v="22:36(PST)"/>
    <s v="Wednesday"/>
    <s v="On Demand"/>
    <x v="25"/>
  </r>
  <r>
    <s v="2022-03-30 17:55 (-07)"/>
    <d v="2022-03-30T00:00:00"/>
    <s v="17:55(-07)"/>
    <s v="Wednesday"/>
    <s v="On Demand"/>
    <x v="7"/>
  </r>
  <r>
    <s v="2022-03-30 18:26 (-07)"/>
    <d v="2022-03-30T00:00:00"/>
    <s v="18:26(-07)"/>
    <s v="Wednesday"/>
    <s v="On Demand"/>
    <x v="7"/>
  </r>
  <r>
    <s v="2022-03-30 18:38 (-07)"/>
    <d v="2022-03-30T00:00:00"/>
    <s v="18:38(-07)"/>
    <s v="Wednesday"/>
    <s v="On Demand"/>
    <x v="4"/>
  </r>
  <r>
    <s v="2022-03-30 21:57 (PST)"/>
    <d v="2022-03-30T00:00:00"/>
    <s v="21:57(PST)"/>
    <s v="Wednesday"/>
    <s v="On Demand"/>
    <x v="19"/>
  </r>
  <r>
    <s v="2022-04-06 07:05 (PST)"/>
    <d v="2022-04-06T00:00:00"/>
    <s v="07:05(PST)"/>
    <s v="Wednesday"/>
    <s v="On Demand"/>
    <x v="16"/>
  </r>
  <r>
    <s v="2022-04-06 07:39 (PST)"/>
    <d v="2022-04-06T00:00:00"/>
    <s v="07:39(PST)"/>
    <s v="Wednesday"/>
    <s v="On Demand"/>
    <x v="21"/>
  </r>
  <r>
    <s v="2022-04-06 12:23 (PST)"/>
    <d v="2022-04-06T00:00:00"/>
    <s v="12:23(PST)"/>
    <s v="Wednesday"/>
    <s v="On Demand"/>
    <x v="43"/>
  </r>
  <r>
    <s v="2022-04-06 22:28 (PST)"/>
    <d v="2022-04-06T00:00:00"/>
    <s v="22:28(PST)"/>
    <s v="Wednesday"/>
    <s v="On Demand"/>
    <x v="13"/>
  </r>
  <r>
    <s v="2022-04-13 07:05 (PST)"/>
    <d v="2022-04-13T00:00:00"/>
    <s v="07:05(PST)"/>
    <s v="Wednesday"/>
    <s v="On Demand"/>
    <x v="13"/>
  </r>
  <r>
    <s v="2022-04-13 15:33 (PST)"/>
    <d v="2022-04-13T00:00:00"/>
    <s v="15:33(PST)"/>
    <s v="Wednesday"/>
    <s v="On Demand"/>
    <x v="31"/>
  </r>
  <r>
    <s v="2022-04-13 20:18 (PST)"/>
    <d v="2022-04-13T00:00:00"/>
    <s v="20:18(PST)"/>
    <s v="Wednesday"/>
    <s v="On Demand"/>
    <x v="13"/>
  </r>
  <r>
    <s v="2022-04-13 21:17 (PST)"/>
    <d v="2022-04-13T00:00:00"/>
    <s v="21:17(PST)"/>
    <s v="Wednesday"/>
    <s v="On Demand"/>
    <x v="13"/>
  </r>
  <r>
    <s v="2022-04-20 11:21 (PST)"/>
    <d v="2022-04-20T00:00:00"/>
    <s v="11:21(PST)"/>
    <s v="Wednesday"/>
    <s v="On Demand"/>
    <x v="16"/>
  </r>
  <r>
    <s v="2022-04-20 18:32 (-07)"/>
    <d v="2022-04-20T00:00:00"/>
    <s v="18:32(-07)"/>
    <s v="Wednesday"/>
    <s v="On Demand"/>
    <x v="29"/>
  </r>
  <r>
    <s v="2022-04-20 18:39 (-07)"/>
    <d v="2022-04-20T00:00:00"/>
    <s v="18:39(-07)"/>
    <s v="Wednesday"/>
    <s v="On Demand"/>
    <x v="7"/>
  </r>
  <r>
    <s v="2022-04-20 19:24 (-07)"/>
    <d v="2022-04-20T00:00:00"/>
    <s v="19:24(-07)"/>
    <s v="Wednesday"/>
    <s v="On Demand"/>
    <x v="45"/>
  </r>
  <r>
    <s v="2022-04-20 19:34 (-07)"/>
    <d v="2022-04-20T00:00:00"/>
    <s v="19:34(-07)"/>
    <s v="Wednesday"/>
    <s v="On Demand"/>
    <x v="27"/>
  </r>
  <r>
    <s v="2022-04-20 22:25 (PST)"/>
    <d v="2022-04-20T00:00:00"/>
    <s v="22:25(PST)"/>
    <s v="Wednesday"/>
    <s v="On Demand"/>
    <x v="16"/>
  </r>
  <r>
    <s v="2022-04-27 02:51 (PST)"/>
    <d v="2022-04-27T00:00:00"/>
    <s v="02:51(PST)"/>
    <s v="Wednesday"/>
    <s v="On Demand"/>
    <x v="13"/>
  </r>
  <r>
    <s v="2022-04-27 11:30 (PST)"/>
    <d v="2022-04-27T00:00:00"/>
    <s v="11:30(PST)"/>
    <s v="Wednesday"/>
    <s v="On Demand"/>
    <x v="13"/>
  </r>
  <r>
    <s v="2022-04-27 12:10 (PST)"/>
    <d v="2022-04-27T00:00:00"/>
    <s v="12:10(PST)"/>
    <s v="Wednesday"/>
    <s v="On Demand"/>
    <x v="3"/>
  </r>
  <r>
    <s v="2022-04-27 16:05 (-07)"/>
    <d v="2022-04-27T00:00:00"/>
    <s v="16:05(-07)"/>
    <s v="Wednesday"/>
    <s v="On Demand"/>
    <x v="7"/>
  </r>
  <r>
    <s v="2022-04-27 16:51 (-07)"/>
    <d v="2022-04-27T00:00:00"/>
    <s v="16:51(-07)"/>
    <s v="Wednesday"/>
    <s v="On Demand"/>
    <x v="1"/>
  </r>
  <r>
    <s v="2022-04-27 16:58 (-07)"/>
    <d v="2022-04-27T00:00:00"/>
    <s v="16:58(-07)"/>
    <s v="Wednesday"/>
    <s v="On Demand"/>
    <x v="12"/>
  </r>
  <r>
    <s v="2022-04-27 22:43 (PST)"/>
    <d v="2022-04-27T00:00:00"/>
    <s v="22:43(PST)"/>
    <s v="Wednesday"/>
    <s v="On Demand"/>
    <x v="23"/>
  </r>
  <r>
    <s v="2022-05-04 07:25 (PST)"/>
    <d v="2022-05-04T00:00:00"/>
    <s v="07:25(PST)"/>
    <s v="Wednesday"/>
    <s v="On Demand"/>
    <x v="13"/>
  </r>
  <r>
    <s v="2022-05-04 19:37 (-07)"/>
    <d v="2022-05-04T00:00:00"/>
    <s v="19:37(-07)"/>
    <s v="Wednesday"/>
    <s v="On Demand"/>
    <x v="6"/>
  </r>
  <r>
    <s v="2022-05-04 22:05 (PST)"/>
    <d v="2022-05-04T00:00:00"/>
    <s v="22:05(PST)"/>
    <s v="Wednesday"/>
    <s v="On Demand"/>
    <x v="19"/>
  </r>
  <r>
    <s v="2022-05-11 07:30 (PST)"/>
    <d v="2022-05-11T00:00:00"/>
    <s v="07:30(PST)"/>
    <s v="Wednesday"/>
    <s v="On Demand"/>
    <x v="28"/>
  </r>
  <r>
    <s v="2022-05-11 16:35 (PST)"/>
    <d v="2022-05-11T00:00:00"/>
    <s v="16:35(PST)"/>
    <s v="Wednesday"/>
    <s v="On Demand"/>
    <x v="31"/>
  </r>
  <r>
    <s v="2022-05-11 18:13 (-07)"/>
    <d v="2022-05-11T00:00:00"/>
    <s v="18:13(-07)"/>
    <s v="Wednesday"/>
    <s v="On Demand"/>
    <x v="24"/>
  </r>
  <r>
    <s v="2022-05-11 18:25 (-07)"/>
    <d v="2022-05-11T00:00:00"/>
    <s v="18:25(-07)"/>
    <s v="Wednesday"/>
    <s v="On Demand"/>
    <x v="6"/>
  </r>
  <r>
    <s v="2022-05-18 07:39 (PST)"/>
    <d v="2022-05-18T00:00:00"/>
    <s v="07:39(PST)"/>
    <s v="Wednesday"/>
    <s v="On Demand"/>
    <x v="32"/>
  </r>
  <r>
    <s v="2022-05-18 12:45 (PST)"/>
    <d v="2022-05-18T00:00:00"/>
    <s v="12:45(PST)"/>
    <s v="Wednesday"/>
    <s v="On Demand"/>
    <x v="67"/>
  </r>
  <r>
    <s v="2022-05-18 12:52 (PST)"/>
    <d v="2022-05-18T00:00:00"/>
    <s v="12:52(PST)"/>
    <s v="Wednesday"/>
    <s v="On Demand"/>
    <x v="67"/>
  </r>
  <r>
    <s v="2022-05-18 16:48 (-07)"/>
    <d v="2022-05-18T00:00:00"/>
    <s v="16:48(-07)"/>
    <s v="Wednesday"/>
    <s v="On Demand"/>
    <x v="8"/>
  </r>
  <r>
    <s v="2022-05-18 16:59 (-07)"/>
    <d v="2022-05-18T00:00:00"/>
    <s v="16:59(-07)"/>
    <s v="Wednesday"/>
    <s v="On Demand"/>
    <x v="24"/>
  </r>
  <r>
    <s v="2022-05-18 17:12 (-07)"/>
    <d v="2022-05-18T00:00:00"/>
    <s v="17:12(-07)"/>
    <s v="Wednesday"/>
    <s v="On Demand"/>
    <x v="7"/>
  </r>
  <r>
    <s v="2022-05-18 17:58 (-07)"/>
    <d v="2022-05-18T00:00:00"/>
    <s v="17:58(-07)"/>
    <s v="Wednesday"/>
    <s v="On Demand"/>
    <x v="7"/>
  </r>
  <r>
    <s v="2022-05-18 23:52 (PST)"/>
    <d v="2022-05-18T00:00:00"/>
    <s v="23:52(PST)"/>
    <s v="Wednesday"/>
    <s v="On Demand"/>
    <x v="25"/>
  </r>
  <r>
    <s v="2022-05-25 07:34 (PST)"/>
    <d v="2022-05-25T00:00:00"/>
    <s v="07:34(PST)"/>
    <s v="Wednesday"/>
    <s v="On Demand"/>
    <x v="23"/>
  </r>
  <r>
    <s v="2022-05-25 19:51 (-07)"/>
    <d v="2022-05-25T00:00:00"/>
    <s v="19:51(-07)"/>
    <s v="Wednesday"/>
    <s v="On Demand"/>
    <x v="15"/>
  </r>
  <r>
    <s v="2022-05-25 22:22 (PST)"/>
    <d v="2022-05-25T00:00:00"/>
    <s v="22:22(PST)"/>
    <s v="Wednesday"/>
    <s v="On Demand"/>
    <x v="25"/>
  </r>
  <r>
    <s v="2022-06-01 07:31 (PST)"/>
    <d v="2022-06-01T00:00:00"/>
    <s v="07:31(PST)"/>
    <s v="Wednesday"/>
    <s v="On Demand"/>
    <x v="23"/>
  </r>
  <r>
    <s v="2022-06-01 17:21 (-07)"/>
    <d v="2022-06-01T00:00:00"/>
    <s v="17:21(-07)"/>
    <s v="Wednesday"/>
    <s v="On Demand"/>
    <x v="24"/>
  </r>
  <r>
    <s v="2022-06-01 17:35 (-07)"/>
    <d v="2022-06-01T00:00:00"/>
    <s v="17:35(-07)"/>
    <s v="Wednesday"/>
    <s v="On Demand"/>
    <x v="6"/>
  </r>
  <r>
    <s v="2022-06-01 18:24 (-07)"/>
    <d v="2022-06-01T00:00:00"/>
    <s v="18:24(-07)"/>
    <s v="Wednesday"/>
    <s v="On Demand"/>
    <x v="31"/>
  </r>
  <r>
    <s v="2022-06-01 22:22 (PST)"/>
    <d v="2022-06-01T00:00:00"/>
    <s v="22:22(PST)"/>
    <s v="Wednesday"/>
    <s v="On Demand"/>
    <x v="23"/>
  </r>
  <r>
    <s v="2022-06-08 07:23 (PST)"/>
    <d v="2022-06-08T00:00:00"/>
    <s v="07:23(PST)"/>
    <s v="Wednesday"/>
    <s v="On Demand"/>
    <x v="16"/>
  </r>
  <r>
    <s v="2022-06-08 11:13 (PST)"/>
    <d v="2022-06-08T00:00:00"/>
    <s v="11:13(PST)"/>
    <s v="Wednesday"/>
    <s v="On Demand"/>
    <x v="53"/>
  </r>
  <r>
    <s v="2022-06-08 22:05 (PST)"/>
    <d v="2022-06-08T00:00:00"/>
    <s v="22:05(PST)"/>
    <s v="Wednesday"/>
    <s v="On Demand"/>
    <x v="28"/>
  </r>
  <r>
    <s v="2022-06-15 12:21 (PST)"/>
    <d v="2022-06-15T00:00:00"/>
    <s v="12:21(PST)"/>
    <s v="Wednesday"/>
    <s v="On Demand"/>
    <x v="21"/>
  </r>
  <r>
    <s v="2022-06-15 16:04 (-07)"/>
    <d v="2022-06-15T00:00:00"/>
    <s v="16:04(-07)"/>
    <s v="Wednesday"/>
    <s v="On Demand"/>
    <x v="24"/>
  </r>
  <r>
    <s v="2022-06-15 16:21 (-07)"/>
    <d v="2022-06-15T00:00:00"/>
    <s v="16:21(-07)"/>
    <s v="Wednesday"/>
    <s v="On Demand"/>
    <x v="4"/>
  </r>
  <r>
    <s v="2022-06-15 17:08 (-07)"/>
    <d v="2022-06-15T00:00:00"/>
    <s v="17:08(-07)"/>
    <s v="Wednesday"/>
    <s v="On Demand"/>
    <x v="24"/>
  </r>
  <r>
    <s v="2022-06-15 17:20 (-07)"/>
    <d v="2022-06-15T00:00:00"/>
    <s v="17:20(-07)"/>
    <s v="Wednesday"/>
    <s v="On Demand"/>
    <x v="39"/>
  </r>
  <r>
    <s v="2022-06-15 21:43 (PST)"/>
    <d v="2022-06-15T00:00:00"/>
    <s v="21:43(PST)"/>
    <s v="Wednesday"/>
    <s v="On Demand"/>
    <x v="13"/>
  </r>
  <r>
    <s v="2022-06-22 02:49 (PST)"/>
    <d v="2022-06-22T00:00:00"/>
    <s v="02:49(PST)"/>
    <s v="Wednesday"/>
    <s v="On Demand"/>
    <x v="13"/>
  </r>
  <r>
    <s v="2022-06-22 08:28 (-07)"/>
    <d v="2022-06-22T00:00:00"/>
    <s v="08:28(-07)"/>
    <s v="Wednesday"/>
    <s v="On Demand"/>
    <x v="11"/>
  </r>
  <r>
    <s v="2022-06-22 08:35 (-07)"/>
    <d v="2022-06-22T00:00:00"/>
    <s v="08:35(-07)"/>
    <s v="Wednesday"/>
    <s v="On Demand"/>
    <x v="6"/>
  </r>
  <r>
    <s v="2022-06-22 09:20 (-07)"/>
    <d v="2022-06-22T00:00:00"/>
    <s v="09:20(-07)"/>
    <s v="Wednesday"/>
    <s v="On Demand"/>
    <x v="6"/>
  </r>
  <r>
    <s v="2022-06-22 09:28 (-07)"/>
    <d v="2022-06-22T00:00:00"/>
    <s v="09:28(-07)"/>
    <s v="Wednesday"/>
    <s v="On Demand"/>
    <x v="31"/>
  </r>
  <r>
    <s v="2022-06-29 02:54 (PST)"/>
    <d v="2022-06-29T00:00:00"/>
    <s v="02:54(PST)"/>
    <s v="Wednesday"/>
    <s v="On Demand"/>
    <x v="28"/>
  </r>
  <r>
    <s v="2022-06-29 12:23 (PST)"/>
    <d v="2022-06-29T00:00:00"/>
    <s v="12:23(PST)"/>
    <s v="Wednesday"/>
    <s v="On Demand"/>
    <x v="6"/>
  </r>
  <r>
    <s v="2022-06-29 16:52 (-07)"/>
    <d v="2022-06-29T00:00:00"/>
    <s v="16:52(-07)"/>
    <s v="Wednesday"/>
    <s v="On Demand"/>
    <x v="26"/>
  </r>
  <r>
    <s v="2022-06-29 17:08 (-07)"/>
    <d v="2022-06-29T00:00:00"/>
    <s v="17:08(-07)"/>
    <s v="Wednesday"/>
    <s v="On Demand"/>
    <x v="6"/>
  </r>
  <r>
    <s v="2022-06-29 17:53 (-07)"/>
    <d v="2022-06-29T00:00:00"/>
    <s v="17:53(-07)"/>
    <s v="Wednesday"/>
    <s v="On Demand"/>
    <x v="6"/>
  </r>
  <r>
    <s v="2022-06-29 18:02 (PST)"/>
    <d v="2022-06-29T00:00:00"/>
    <s v="18:02(PST)"/>
    <s v="Wednesday"/>
    <s v="On Demand"/>
    <x v="36"/>
  </r>
  <r>
    <s v="2022-06-29 22:57 (PST)"/>
    <d v="2022-06-29T00:00:00"/>
    <s v="22:57(PST)"/>
    <s v="Wednesday"/>
    <s v="On Demand"/>
    <x v="16"/>
  </r>
  <r>
    <s v="2022-07-06 01:21 (PST)"/>
    <d v="2022-07-06T00:00:00"/>
    <s v="01:21(PST)"/>
    <s v="Wednesday"/>
    <s v="On Demand"/>
    <x v="25"/>
  </r>
  <r>
    <s v="2022-07-06 07:40 (PST)"/>
    <d v="2022-07-06T00:00:00"/>
    <s v="07:40(PST)"/>
    <s v="Wednesday"/>
    <s v="On Demand"/>
    <x v="16"/>
  </r>
  <r>
    <s v="2022-07-06 13:10 (PST)"/>
    <d v="2022-07-06T00:00:00"/>
    <s v="13:10(PST)"/>
    <s v="Wednesday"/>
    <s v="On Demand"/>
    <x v="3"/>
  </r>
  <r>
    <s v="2022-07-06 13:41 (PST)"/>
    <d v="2022-07-06T00:00:00"/>
    <s v="13:41(PST)"/>
    <s v="Wednesday"/>
    <m/>
    <x v="34"/>
  </r>
  <r>
    <s v="2022-07-06 18:50 (-07)"/>
    <d v="2022-07-06T00:00:00"/>
    <s v="18:50(-07)"/>
    <s v="Wednesday"/>
    <s v="On Demand"/>
    <x v="4"/>
  </r>
  <r>
    <s v="2022-07-06 22:24 (PST)"/>
    <d v="2022-07-06T00:00:00"/>
    <s v="22:24(PST)"/>
    <s v="Wednesday"/>
    <s v="On Demand"/>
    <x v="19"/>
  </r>
  <r>
    <s v="2022-07-13 07:10 (PST)"/>
    <d v="2022-07-13T00:00:00"/>
    <s v="07:10(PST)"/>
    <s v="Wednesday"/>
    <s v="On Demand"/>
    <x v="16"/>
  </r>
  <r>
    <s v="2022-07-13 07:42 (PST)"/>
    <d v="2022-07-13T00:00:00"/>
    <s v="07:42(PST)"/>
    <s v="Wednesday"/>
    <s v="On Demand"/>
    <x v="20"/>
  </r>
  <r>
    <s v="2022-07-13 12:14 (PST)"/>
    <d v="2022-07-13T00:00:00"/>
    <s v="12:14(PST)"/>
    <s v="Wednesday"/>
    <s v="On Demand"/>
    <x v="3"/>
  </r>
  <r>
    <s v="2022-07-13 12:35 (PST)"/>
    <d v="2022-07-13T00:00:00"/>
    <s v="12:35(PST)"/>
    <s v="Wednesday"/>
    <s v="On Demand"/>
    <x v="3"/>
  </r>
  <r>
    <s v="2022-07-13 22:59 (PST)"/>
    <d v="2022-07-13T00:00:00"/>
    <s v="22:59(PST)"/>
    <s v="Wednesday"/>
    <s v="On Demand"/>
    <x v="25"/>
  </r>
  <r>
    <s v="2022-07-20 09:25 (PST)"/>
    <d v="2022-07-20T00:00:00"/>
    <s v="09:25(PST)"/>
    <s v="Wednesday"/>
    <s v="On Demand"/>
    <x v="13"/>
  </r>
  <r>
    <s v="2022-07-20 11:26 (-07)"/>
    <d v="2022-07-20T00:00:00"/>
    <s v="11:26(-07)"/>
    <s v="Wednesday"/>
    <s v="On Demand"/>
    <x v="12"/>
  </r>
  <r>
    <s v="2022-07-20 11:32 (-07)"/>
    <d v="2022-07-20T00:00:00"/>
    <s v="11:32(-07)"/>
    <s v="Wednesday"/>
    <s v="On Demand"/>
    <x v="12"/>
  </r>
  <r>
    <s v="2022-07-20 11:44 (-07)"/>
    <d v="2022-07-20T00:00:00"/>
    <s v="11:44(-07)"/>
    <s v="Wednesday"/>
    <s v="On Demand"/>
    <x v="1"/>
  </r>
  <r>
    <s v="2022-07-20 11:57 (-07)"/>
    <d v="2022-07-20T00:00:00"/>
    <s v="11:57(-07)"/>
    <s v="Wednesday"/>
    <s v="On Demand"/>
    <x v="20"/>
  </r>
  <r>
    <s v="2022-07-20 22:31 (PST)"/>
    <d v="2022-07-20T00:00:00"/>
    <s v="22:31(PST)"/>
    <s v="Wednesday"/>
    <s v="On Demand"/>
    <x v="23"/>
  </r>
  <r>
    <s v="2022-07-27 11:10 (-07)"/>
    <d v="2022-07-27T00:00:00"/>
    <s v="11:10(-07)"/>
    <s v="Wednesday"/>
    <s v="On Demand"/>
    <x v="6"/>
  </r>
  <r>
    <s v="2022-07-27 11:57 (-07)"/>
    <d v="2022-07-27T00:00:00"/>
    <s v="11:57(-07)"/>
    <s v="Wednesday"/>
    <s v="On Demand"/>
    <x v="12"/>
  </r>
  <r>
    <s v="2022-07-27 12:05 (-07)"/>
    <d v="2022-07-27T00:00:00"/>
    <s v="12:05(-07)"/>
    <s v="Wednesday"/>
    <s v="On Demand"/>
    <x v="12"/>
  </r>
  <r>
    <s v="2022-07-27 12:16 (-07)"/>
    <d v="2022-07-27T00:00:00"/>
    <s v="12:16(-07)"/>
    <s v="Wednesday"/>
    <s v="On Demand"/>
    <x v="31"/>
  </r>
  <r>
    <s v="2022-07-27 12:27 (-07)"/>
    <d v="2022-07-27T00:00:00"/>
    <s v="12:27(-07)"/>
    <s v="Wednesday"/>
    <s v="On Demand"/>
    <x v="8"/>
  </r>
  <r>
    <s v="2022-07-27 21:26 (PST)"/>
    <d v="2022-07-27T00:00:00"/>
    <s v="21:26(PST)"/>
    <s v="Wednesday"/>
    <s v="On Demand"/>
    <x v="7"/>
  </r>
  <r>
    <s v="2022-07-27 21:47 (PST)"/>
    <d v="2022-07-27T00:00:00"/>
    <s v="21:47(PST)"/>
    <s v="Wednesday"/>
    <s v="On Demand"/>
    <x v="32"/>
  </r>
  <r>
    <s v="2022-07-27 22:29 (PST)"/>
    <d v="2022-07-27T00:00:00"/>
    <s v="22:29(PST)"/>
    <s v="Wednesday"/>
    <s v="On Demand"/>
    <x v="28"/>
  </r>
  <r>
    <s v="2022-08-03 07:11 (PST)"/>
    <d v="2022-08-03T00:00:00"/>
    <s v="07:11(PST)"/>
    <s v="Wednesday"/>
    <s v="On Demand"/>
    <x v="16"/>
  </r>
  <r>
    <s v="2022-08-03 16:33 (-07)"/>
    <d v="2022-08-03T00:00:00"/>
    <s v="16:33(-07)"/>
    <s v="Wednesday"/>
    <s v="On Demand"/>
    <x v="12"/>
  </r>
  <r>
    <s v="2022-08-03 16:57 (-07)"/>
    <d v="2022-08-03T00:00:00"/>
    <s v="16:57(-07)"/>
    <s v="Wednesday"/>
    <s v="On Demand"/>
    <x v="23"/>
  </r>
  <r>
    <s v="2022-08-03 22:04 (PST)"/>
    <d v="2022-08-03T00:00:00"/>
    <s v="22:04(PST)"/>
    <s v="Wednesday"/>
    <s v="On Demand"/>
    <x v="28"/>
  </r>
  <r>
    <s v="2022-08-10 22:11 (PST)"/>
    <d v="2022-08-10T00:00:00"/>
    <s v="22:11(PST)"/>
    <s v="Wednesday"/>
    <s v="On Demand"/>
    <x v="16"/>
  </r>
  <r>
    <s v="2022-08-17 16:05 (-07)"/>
    <d v="2022-08-17T00:00:00"/>
    <s v="16:05(-07)"/>
    <s v="Wednesday"/>
    <s v="On Demand"/>
    <x v="1"/>
  </r>
  <r>
    <s v="2022-08-17 16:15 (-07)"/>
    <d v="2022-08-17T00:00:00"/>
    <s v="16:15(-07)"/>
    <s v="Wednesday"/>
    <s v="On Demand"/>
    <x v="6"/>
  </r>
  <r>
    <s v="2022-08-17 17:00 (-07)"/>
    <d v="2022-08-17T00:00:00"/>
    <s v="17:00(-07)"/>
    <s v="Wednesday"/>
    <s v="On Demand"/>
    <x v="6"/>
  </r>
  <r>
    <s v="2022-08-17 17:10 (-07)"/>
    <d v="2022-08-17T00:00:00"/>
    <s v="17:10(-07)"/>
    <s v="Wednesday"/>
    <s v="On Demand"/>
    <x v="5"/>
  </r>
  <r>
    <s v="2022-08-17 17:17 (-07)"/>
    <d v="2022-08-17T00:00:00"/>
    <s v="17:17(-07)"/>
    <s v="Wednesday"/>
    <s v="On Demand"/>
    <x v="12"/>
  </r>
  <r>
    <s v="2022-08-17 18:01 (PST)"/>
    <d v="2022-08-17T00:00:00"/>
    <s v="18:01(PST)"/>
    <s v="Wednesday"/>
    <s v="On Demand"/>
    <x v="16"/>
  </r>
  <r>
    <s v="2022-08-17 22:00 (PST)"/>
    <d v="2022-08-17T00:00:00"/>
    <s v="22:00(PST)"/>
    <s v="Wednesday"/>
    <s v="On Demand"/>
    <x v="13"/>
  </r>
  <r>
    <s v="2022-08-24 07:16 (PST)"/>
    <d v="2022-08-24T00:00:00"/>
    <s v="07:16(PST)"/>
    <s v="Wednesday"/>
    <s v="On Demand"/>
    <x v="7"/>
  </r>
  <r>
    <s v="2022-08-24 13:16 (PST)"/>
    <d v="2022-08-24T00:00:00"/>
    <s v="13:16(PST)"/>
    <s v="Wednesday"/>
    <s v="On Demand"/>
    <x v="31"/>
  </r>
  <r>
    <s v="2022-08-24 13:26 (PST)"/>
    <d v="2022-08-24T00:00:00"/>
    <s v="13:26(PST)"/>
    <s v="Wednesday"/>
    <s v="On Demand"/>
    <x v="54"/>
  </r>
  <r>
    <s v="2022-08-24 16:49 (-07)"/>
    <d v="2022-08-24T00:00:00"/>
    <s v="16:49(-07)"/>
    <s v="Wednesday"/>
    <s v="On Demand"/>
    <x v="24"/>
  </r>
  <r>
    <s v="2022-08-24 17:03 (-07)"/>
    <d v="2022-08-24T00:00:00"/>
    <s v="17:03(-07)"/>
    <s v="Wednesday"/>
    <s v="On Demand"/>
    <x v="6"/>
  </r>
  <r>
    <s v="2022-08-24 17:49 (-07)"/>
    <d v="2022-08-24T00:00:00"/>
    <s v="17:49(-07)"/>
    <s v="Wednesday"/>
    <s v="On Demand"/>
    <x v="12"/>
  </r>
  <r>
    <s v="2022-08-24 18:00 (-07)"/>
    <d v="2022-08-24T00:00:00"/>
    <s v="18:00(-07)"/>
    <s v="Wednesday"/>
    <s v="On Demand"/>
    <x v="42"/>
  </r>
  <r>
    <s v="2022-08-24 22:46 (PST)"/>
    <d v="2022-08-24T00:00:00"/>
    <s v="22:46(PST)"/>
    <s v="Wednesday"/>
    <s v="On Demand"/>
    <x v="28"/>
  </r>
  <r>
    <s v="2022-08-31 11:29 (-07)"/>
    <d v="2022-08-31T00:00:00"/>
    <s v="11:29(-07)"/>
    <s v="Wednesday"/>
    <s v="On Demand"/>
    <x v="4"/>
  </r>
  <r>
    <s v="2022-08-31 12:14 (-07)"/>
    <d v="2022-08-31T00:00:00"/>
    <s v="12:14(-07)"/>
    <s v="Wednesday"/>
    <s v="On Demand"/>
    <x v="20"/>
  </r>
  <r>
    <s v="2022-08-31 22:06 (PST)"/>
    <d v="2022-08-31T00:00:00"/>
    <s v="22:06(PST)"/>
    <s v="Wednesday"/>
    <s v="On Demand"/>
    <x v="25"/>
  </r>
  <r>
    <s v="2022-09-07 11:33 (PST)"/>
    <d v="2022-09-07T00:00:00"/>
    <s v="11:33(PST)"/>
    <s v="Wednesday"/>
    <m/>
    <x v="34"/>
  </r>
  <r>
    <s v="2022-09-07 16:05 (-07)"/>
    <d v="2022-09-07T00:00:00"/>
    <s v="16:05(-07)"/>
    <s v="Wednesday"/>
    <s v="On Demand"/>
    <x v="31"/>
  </r>
  <r>
    <s v="2022-09-07 16:39 (-07)"/>
    <d v="2022-09-07T00:00:00"/>
    <s v="16:39(-07)"/>
    <s v="Wednesday"/>
    <s v="On Demand"/>
    <x v="6"/>
  </r>
  <r>
    <s v="2022-09-07 17:21 (PST)"/>
    <d v="2022-09-07T00:00:00"/>
    <s v="17:21(PST)"/>
    <s v="Wednesday"/>
    <s v="On Demand"/>
    <x v="23"/>
  </r>
  <r>
    <s v="2022-09-07 22:30 (PST)"/>
    <d v="2022-09-07T00:00:00"/>
    <s v="22:30(PST)"/>
    <s v="Wednesday"/>
    <s v="On Demand"/>
    <x v="25"/>
  </r>
  <r>
    <s v="2022-09-14 06:46 (PST)"/>
    <d v="2022-09-14T00:00:00"/>
    <s v="06:46(PST)"/>
    <s v="Wednesday"/>
    <s v="On Demand"/>
    <x v="16"/>
  </r>
  <r>
    <s v="2022-09-14 16:33 (-07)"/>
    <d v="2022-09-14T00:00:00"/>
    <s v="16:33(-07)"/>
    <s v="Wednesday"/>
    <s v="On Demand"/>
    <x v="6"/>
  </r>
  <r>
    <s v="2022-09-14 17:19 (-07)"/>
    <d v="2022-09-14T00:00:00"/>
    <s v="17:19(-07)"/>
    <s v="Wednesday"/>
    <s v="On Demand"/>
    <x v="6"/>
  </r>
  <r>
    <s v="2022-09-14 17:27 (-07)"/>
    <d v="2022-09-14T00:00:00"/>
    <s v="17:27(-07)"/>
    <s v="Wednesday"/>
    <s v="On Demand"/>
    <x v="17"/>
  </r>
  <r>
    <s v="2022-09-14 17:39 (-07)"/>
    <d v="2022-09-14T00:00:00"/>
    <s v="17:39(-07)"/>
    <s v="Wednesday"/>
    <s v="On Demand"/>
    <x v="24"/>
  </r>
  <r>
    <s v="2022-09-14 17:50 (-07)"/>
    <d v="2022-09-14T00:00:00"/>
    <s v="17:50(-07)"/>
    <s v="Wednesday"/>
    <s v="On Demand"/>
    <x v="40"/>
  </r>
  <r>
    <s v="2022-09-14 22:50 (PST)"/>
    <d v="2022-09-14T00:00:00"/>
    <s v="22:50(PST)"/>
    <s v="Wednesday"/>
    <s v="On Demand"/>
    <x v="23"/>
  </r>
  <r>
    <s v="2022-09-21 16:11 (-07)"/>
    <d v="2022-09-21T00:00:00"/>
    <s v="16:11(-07)"/>
    <s v="Wednesday"/>
    <s v="On Demand"/>
    <x v="6"/>
  </r>
  <r>
    <s v="2022-09-21 17:07 (-07)"/>
    <d v="2022-09-21T00:00:00"/>
    <s v="17:07(-07)"/>
    <s v="Wednesday"/>
    <s v="On Demand"/>
    <x v="0"/>
  </r>
  <r>
    <s v="2022-09-21 17:23 (-07)"/>
    <d v="2022-09-21T00:00:00"/>
    <s v="17:23(-07)"/>
    <s v="Wednesday"/>
    <s v="On Demand"/>
    <x v="4"/>
  </r>
  <r>
    <s v="2022-09-21 22:43 (PST)"/>
    <d v="2022-09-21T00:00:00"/>
    <s v="22:43(PST)"/>
    <s v="Wednesday"/>
    <s v="On Demand"/>
    <x v="13"/>
  </r>
  <r>
    <s v="2022-09-28 14:37 (-07)"/>
    <d v="2022-09-28T00:00:00"/>
    <s v="14:37(-07)"/>
    <s v="Wednesday"/>
    <s v="On Demand"/>
    <x v="7"/>
  </r>
  <r>
    <s v="2022-09-28 15:22 (-07)"/>
    <d v="2022-09-28T00:00:00"/>
    <s v="15:22(-07)"/>
    <s v="Wednesday"/>
    <s v="On Demand"/>
    <x v="34"/>
  </r>
  <r>
    <s v="2022-09-28 15:39 (-07)"/>
    <d v="2022-09-28T00:00:00"/>
    <s v="15:39(-07)"/>
    <s v="Wednesday"/>
    <s v="On Demand"/>
    <x v="6"/>
  </r>
  <r>
    <s v="2022-10-05 07:31 (PST)"/>
    <d v="2022-10-05T00:00:00"/>
    <s v="07:31(PST)"/>
    <s v="Wednesday"/>
    <s v="On Demand"/>
    <x v="23"/>
  </r>
  <r>
    <s v="2022-10-05 11:57 (PST)"/>
    <d v="2022-10-05T00:00:00"/>
    <s v="11:57(PST)"/>
    <s v="Wednesday"/>
    <s v="On Demand"/>
    <x v="37"/>
  </r>
  <r>
    <s v="2022-10-12 02:58 (PST)"/>
    <d v="2022-10-12T00:00:00"/>
    <s v="02:58(PST)"/>
    <s v="Wednesday"/>
    <s v="On Demand"/>
    <x v="19"/>
  </r>
  <r>
    <s v="2022-10-12 19:02 (-07)"/>
    <d v="2022-10-12T00:00:00"/>
    <s v="19:02(-07)"/>
    <s v="Wednesday"/>
    <s v="On Demand"/>
    <x v="1"/>
  </r>
  <r>
    <s v="2022-10-12 19:24 (-07)"/>
    <d v="2022-10-12T00:00:00"/>
    <s v="19:24(-07)"/>
    <s v="Wednesday"/>
    <s v="On Demand"/>
    <x v="11"/>
  </r>
  <r>
    <s v="2022-10-12 21:06 (PST)"/>
    <d v="2022-10-12T00:00:00"/>
    <s v="21:06(PST)"/>
    <s v="Wednesday"/>
    <s v="On Demand"/>
    <x v="13"/>
  </r>
  <r>
    <s v="2022-10-12 23:03 (PST)"/>
    <d v="2022-10-12T00:00:00"/>
    <s v="23:03(PST)"/>
    <s v="Wednesday"/>
    <s v="On Demand"/>
    <x v="25"/>
  </r>
  <r>
    <s v="2022-10-19 05:18 (-07)"/>
    <d v="2022-10-19T00:00:00"/>
    <s v="05:18(-07)"/>
    <s v="Wednesday"/>
    <s v="On Demand"/>
    <x v="6"/>
  </r>
  <r>
    <s v="2022-10-19 06:11 (-07)"/>
    <d v="2022-10-19T00:00:00"/>
    <s v="06:11(-07)"/>
    <s v="Wednesday"/>
    <s v="On Demand"/>
    <x v="5"/>
  </r>
  <r>
    <s v="2022-10-26 08:29 (PST)"/>
    <d v="2022-10-26T00:00:00"/>
    <s v="08:29(PST)"/>
    <s v="Wednesday"/>
    <s v="On Demand"/>
    <x v="23"/>
  </r>
  <r>
    <s v="2022-10-26 17:38 (-07)"/>
    <d v="2022-10-26T00:00:00"/>
    <s v="17:38(-07)"/>
    <s v="Wednesday"/>
    <s v="On Demand"/>
    <x v="6"/>
  </r>
  <r>
    <s v="2022-10-26 18:24 (-07)"/>
    <d v="2022-10-26T00:00:00"/>
    <s v="18:24(-07)"/>
    <s v="Wednesday"/>
    <s v="On Demand"/>
    <x v="1"/>
  </r>
  <r>
    <s v="2022-10-26 18:33 (-07)"/>
    <d v="2022-10-26T00:00:00"/>
    <s v="18:33(-07)"/>
    <s v="Wednesday"/>
    <s v="On Demand"/>
    <x v="24"/>
  </r>
  <r>
    <s v="2022-10-26 22:05 (PST)"/>
    <d v="2022-10-26T00:00:00"/>
    <s v="22:05(PST)"/>
    <s v="Wednesday"/>
    <s v="On Demand"/>
    <x v="25"/>
  </r>
  <r>
    <s v="2022-11-02 22:25 (GMT)"/>
    <d v="2022-11-02T00:00:00"/>
    <s v="22:25(GMT)"/>
    <s v="Wednesday"/>
    <s v="On Demand"/>
    <x v="19"/>
  </r>
  <r>
    <s v="2022-11-09 08:18 (-05)"/>
    <d v="2022-11-09T00:00:00"/>
    <s v="08:18(-05)"/>
    <s v="Wednesday"/>
    <s v="On Demand"/>
    <x v="7"/>
  </r>
  <r>
    <s v="2022-11-09 09:10 (-05)"/>
    <d v="2022-11-09T00:00:00"/>
    <s v="09:10(-05)"/>
    <s v="Wednesday"/>
    <s v="On Demand"/>
    <x v="17"/>
  </r>
  <r>
    <s v="2022-11-09 09:20 (-05)"/>
    <d v="2022-11-09T00:00:00"/>
    <s v="09:20(-05)"/>
    <s v="Wednesday"/>
    <s v="On Demand"/>
    <x v="1"/>
  </r>
  <r>
    <s v="2022-11-16 08:49 (-05)"/>
    <d v="2022-11-16T00:00:00"/>
    <s v="08:49(-05)"/>
    <s v="Wednesday"/>
    <s v="On Demand"/>
    <x v="17"/>
  </r>
  <r>
    <s v="2022-11-16 09:21 (-05)"/>
    <d v="2022-11-16T00:00:00"/>
    <s v="09:21(-05)"/>
    <s v="Wednesday"/>
    <s v="On Demand"/>
    <x v="29"/>
  </r>
  <r>
    <s v="2022-11-16 09:31 (-05)"/>
    <d v="2022-11-16T00:00:00"/>
    <s v="09:31(-05)"/>
    <s v="Wednesday"/>
    <s v="On Demand"/>
    <x v="1"/>
  </r>
  <r>
    <s v="2022-11-16 09:38 (-05)"/>
    <d v="2022-11-16T00:00:00"/>
    <s v="09:38(-05)"/>
    <s v="Wednesday"/>
    <s v="On Demand"/>
    <x v="36"/>
  </r>
  <r>
    <s v="2022-11-16 09:52 (EST)"/>
    <d v="2022-11-16T00:00:00"/>
    <s v="09:52(EST)"/>
    <s v="Wednesday"/>
    <s v="On Demand"/>
    <x v="24"/>
  </r>
  <r>
    <s v="2022-11-16 10:14 (EST)"/>
    <d v="2022-11-16T00:00:00"/>
    <s v="10:14(EST)"/>
    <s v="Wednesday"/>
    <s v="On Demand"/>
    <x v="23"/>
  </r>
  <r>
    <s v="2022-11-23 13:31 (-08)"/>
    <d v="2022-11-23T00:00:00"/>
    <s v="13:31(-08)"/>
    <s v="Wednesday"/>
    <s v="On Demand"/>
    <x v="4"/>
  </r>
  <r>
    <s v="2022-11-23 14:33 (-08)"/>
    <d v="2022-11-23T00:00:00"/>
    <s v="14:33(-08)"/>
    <s v="Wednesday"/>
    <s v="On Demand"/>
    <x v="8"/>
  </r>
  <r>
    <s v="2022-11-30 07:25 (PST)"/>
    <d v="2022-11-30T00:00:00"/>
    <s v="07:25(PST)"/>
    <s v="Wednesday"/>
    <s v="On Demand"/>
    <x v="16"/>
  </r>
  <r>
    <s v="2022-11-30 16:10 (PST)"/>
    <d v="2022-11-30T00:00:00"/>
    <s v="16:10(PST)"/>
    <s v="Wednesday"/>
    <s v="On Demand"/>
    <x v="40"/>
  </r>
  <r>
    <s v="2022-11-30 16:30 (PST)"/>
    <d v="2022-11-30T00:00:00"/>
    <s v="16:30(PST)"/>
    <s v="Wednesday"/>
    <m/>
    <x v="34"/>
  </r>
  <r>
    <s v="2022-11-30 17:31 (-08)"/>
    <d v="2022-11-30T00:00:00"/>
    <s v="17:31(-08)"/>
    <s v="Wednesday"/>
    <s v="On Demand"/>
    <x v="7"/>
  </r>
  <r>
    <s v="2022-11-30 18:02 (-08)"/>
    <d v="2022-11-30T00:00:00"/>
    <s v="18:02(-08)"/>
    <s v="Wednesday"/>
    <s v="On Demand"/>
    <x v="10"/>
  </r>
  <r>
    <s v="2022-11-30 18:10 (-08)"/>
    <d v="2022-11-30T00:00:00"/>
    <s v="18:10(-08)"/>
    <s v="Wednesday"/>
    <s v="On Demand"/>
    <x v="20"/>
  </r>
  <r>
    <s v="2022-11-30 23:22 (PST)"/>
    <d v="2022-11-30T00:00:00"/>
    <s v="23:22(PST)"/>
    <s v="Wednesday"/>
    <s v="On Demand"/>
    <x v="28"/>
  </r>
  <r>
    <s v="2022-12-07 11:44 (PST)"/>
    <d v="2022-12-07T00:00:00"/>
    <s v="11:44(PST)"/>
    <s v="Wednesday"/>
    <s v="On Demand"/>
    <x v="54"/>
  </r>
  <r>
    <s v="2022-12-07 12:01 (PST)"/>
    <d v="2022-12-07T00:00:00"/>
    <s v="12:01(PST)"/>
    <s v="Wednesday"/>
    <s v="On Demand"/>
    <x v="5"/>
  </r>
  <r>
    <s v="2022-12-07 13:15 (PST)"/>
    <d v="2022-12-07T00:00:00"/>
    <s v="13:15(PST)"/>
    <s v="Wednesday"/>
    <s v="On Demand"/>
    <x v="16"/>
  </r>
  <r>
    <s v="2022-12-07 16:13 (-08)"/>
    <d v="2022-12-07T00:00:00"/>
    <s v="16:13(-08)"/>
    <s v="Wednesday"/>
    <s v="On Demand"/>
    <x v="21"/>
  </r>
  <r>
    <s v="2022-12-07 16:25 (-08)"/>
    <d v="2022-12-07T00:00:00"/>
    <s v="16:25(-08)"/>
    <s v="Wednesday"/>
    <s v="On Demand"/>
    <x v="4"/>
  </r>
  <r>
    <s v="2022-12-07 17:12 (-08)"/>
    <d v="2022-12-07T00:00:00"/>
    <s v="17:12(-08)"/>
    <s v="Wednesday"/>
    <s v="On Demand"/>
    <x v="10"/>
  </r>
  <r>
    <s v="2022-12-07 22:50 (PST)"/>
    <d v="2022-12-07T00:00:00"/>
    <s v="22:50(PST)"/>
    <s v="Wednesday"/>
    <s v="On Demand"/>
    <x v="25"/>
  </r>
  <r>
    <s v="2022-12-14 04:53 (EST)"/>
    <d v="2022-12-14T00:00:00"/>
    <s v="04:53(EST)"/>
    <s v="Wednesday"/>
    <s v="On Demand"/>
    <x v="28"/>
  </r>
  <r>
    <s v="2022-12-14 09:18 (-05)"/>
    <d v="2022-12-14T00:00:00"/>
    <s v="09:18(-05)"/>
    <s v="Wednesday"/>
    <s v="On Demand"/>
    <x v="4"/>
  </r>
  <r>
    <s v="2022-12-14 09:29 (-05)"/>
    <d v="2022-12-14T00:00:00"/>
    <s v="09:29(-05)"/>
    <s v="Wednesday"/>
    <s v="On Demand"/>
    <x v="6"/>
  </r>
  <r>
    <s v="2022-12-14 10:01 (-05)"/>
    <d v="2022-12-14T00:00:00"/>
    <s v="10:01(-05)"/>
    <s v="Wednesday"/>
    <s v="On Demand"/>
    <x v="1"/>
  </r>
  <r>
    <s v="2022-12-14 10:13 (-05)"/>
    <d v="2022-12-14T00:00:00"/>
    <s v="10:13(-05)"/>
    <s v="Wednesday"/>
    <s v="On Demand"/>
    <x v="18"/>
  </r>
  <r>
    <s v="2022-12-14 10:28 (EST)"/>
    <d v="2022-12-14T00:00:00"/>
    <s v="10:28(EST)"/>
    <s v="Wednesday"/>
    <s v="On Demand"/>
    <x v="11"/>
  </r>
  <r>
    <s v="2022-12-14 10:40 (EST)"/>
    <d v="2022-12-14T00:00:00"/>
    <s v="10:40(EST)"/>
    <s v="Wednesday"/>
    <s v="On Demand"/>
    <x v="10"/>
  </r>
  <r>
    <s v="2022-12-14 17:45 (EST)"/>
    <d v="2022-12-14T00:00:00"/>
    <s v="17:45(EST)"/>
    <s v="Wednesday"/>
    <s v="On Demand"/>
    <x v="16"/>
  </r>
  <r>
    <s v="2022-12-14 23:58 (EST)"/>
    <d v="2022-12-14T00:00:00"/>
    <s v="23:58(EST)"/>
    <s v="Wednesday"/>
    <s v="On Demand"/>
    <x v="16"/>
  </r>
  <r>
    <s v="2022-12-21 08:54 (-05)"/>
    <d v="2022-12-21T00:00:00"/>
    <s v="08:54(-05)"/>
    <s v="Wednesday"/>
    <s v="On Demand"/>
    <x v="6"/>
  </r>
  <r>
    <s v="2022-12-21 09:39 (-05)"/>
    <d v="2022-12-21T00:00:00"/>
    <s v="09:39(-05)"/>
    <s v="Wednesday"/>
    <s v="On Demand"/>
    <x v="6"/>
  </r>
  <r>
    <s v="2022-12-21 09:52 (EST)"/>
    <d v="2022-12-21T00:00:00"/>
    <s v="09:52(EST)"/>
    <s v="Wednesday"/>
    <s v="On Demand"/>
    <x v="24"/>
  </r>
  <r>
    <s v="2022-12-21 10:09 (EST)"/>
    <d v="2022-12-21T00:00:00"/>
    <s v="10:09(EST)"/>
    <s v="Wednesday"/>
    <s v="On Demand"/>
    <x v="23"/>
  </r>
  <r>
    <s v="2022-12-21 23:12 (EST)"/>
    <d v="2022-12-21T00:00:00"/>
    <s v="23:12(EST)"/>
    <s v="Wednesday"/>
    <s v="On Demand"/>
    <x v="19"/>
  </r>
  <r>
    <s v="2022-12-28 08:17 (PST)"/>
    <d v="2022-12-28T00:00:00"/>
    <s v="08:17(PST)"/>
    <s v="Wednesday"/>
    <s v="On Demand"/>
    <x v="52"/>
  </r>
  <r>
    <s v="2022-12-28 08:48 (PST)"/>
    <d v="2022-12-28T00:00:00"/>
    <s v="08:48(PST)"/>
    <s v="Wednesday"/>
    <m/>
    <x v="34"/>
  </r>
  <r>
    <s v="2022-12-28 11:49 (PST)"/>
    <d v="2022-12-28T00:00:00"/>
    <s v="11:49(PST)"/>
    <s v="Wednesday"/>
    <s v="On Demand"/>
    <x v="13"/>
  </r>
  <r>
    <s v="2022-12-28 22:54 (PST)"/>
    <d v="2022-12-28T00:00:00"/>
    <s v="22:54(PST)"/>
    <s v="Wednesday"/>
    <s v="On Demand"/>
    <x v="23"/>
  </r>
  <r>
    <s v="2023-01-04 07:12 (PST)"/>
    <d v="2023-01-04T00:00:00"/>
    <s v="07:12(PST)"/>
    <s v="Wednesday"/>
    <s v="On Demand"/>
    <x v="13"/>
  </r>
  <r>
    <s v="2023-01-04 13:37 (-08)"/>
    <d v="2023-01-04T00:00:00"/>
    <s v="13:37(-08)"/>
    <s v="Wednesday"/>
    <s v="On Demand"/>
    <x v="7"/>
  </r>
  <r>
    <s v="2023-01-04 14:23 (-08)"/>
    <d v="2023-01-04T00:00:00"/>
    <s v="14:23(-08)"/>
    <s v="Wednesday"/>
    <s v="On Demand"/>
    <x v="22"/>
  </r>
  <r>
    <s v="2023-01-04 14:33 (-08)"/>
    <d v="2023-01-04T00:00:00"/>
    <s v="14:33(-08)"/>
    <s v="Wednesday"/>
    <s v="On Demand"/>
    <x v="35"/>
  </r>
  <r>
    <s v="2023-01-04 14:44 (-08)"/>
    <d v="2023-01-04T00:00:00"/>
    <s v="14:44(-08)"/>
    <s v="Wednesday"/>
    <s v="On Demand"/>
    <x v="1"/>
  </r>
  <r>
    <s v="2023-01-04 22:46 (PST)"/>
    <d v="2023-01-04T00:00:00"/>
    <s v="22:46(PST)"/>
    <s v="Wednesday"/>
    <s v="On Demand"/>
    <x v="13"/>
  </r>
  <r>
    <s v="2023-01-11 07:20 (PST)"/>
    <d v="2023-01-11T00:00:00"/>
    <s v="07:20(PST)"/>
    <s v="Wednesday"/>
    <s v="On Demand"/>
    <x v="7"/>
  </r>
  <r>
    <s v="2023-01-11 16:59 (-08)"/>
    <d v="2023-01-11T00:00:00"/>
    <s v="16:59(-08)"/>
    <s v="Wednesday"/>
    <s v="On Demand"/>
    <x v="37"/>
  </r>
  <r>
    <s v="2023-01-18 15:05 (-08)"/>
    <d v="2023-01-18T00:00:00"/>
    <s v="15:05(-08)"/>
    <s v="Wednesday"/>
    <s v="On Demand"/>
    <x v="7"/>
  </r>
  <r>
    <s v="2023-01-18 15:44 (-08)"/>
    <d v="2023-01-18T00:00:00"/>
    <s v="15:44(-08)"/>
    <s v="Wednesday"/>
    <s v="On Demand"/>
    <x v="6"/>
  </r>
  <r>
    <s v="2023-01-18 16:38 (PST)"/>
    <d v="2023-01-18T00:00:00"/>
    <s v="16:38(PST)"/>
    <s v="Wednesday"/>
    <s v="On Demand"/>
    <x v="16"/>
  </r>
  <r>
    <s v="2023-01-18 17:12 (PST)"/>
    <d v="2023-01-18T00:00:00"/>
    <s v="17:12(PST)"/>
    <s v="Wednesday"/>
    <s v="On Demand"/>
    <x v="8"/>
  </r>
  <r>
    <s v="2023-01-25 07:15 (PST)"/>
    <d v="2023-01-25T00:00:00"/>
    <s v="07:15(PST)"/>
    <s v="Wednesday"/>
    <s v="On Demand"/>
    <x v="8"/>
  </r>
  <r>
    <s v="2023-01-25 07:36 (PST)"/>
    <d v="2023-01-25T00:00:00"/>
    <s v="07:36(PST)"/>
    <s v="Wednesday"/>
    <s v="On Demand"/>
    <x v="8"/>
  </r>
  <r>
    <s v="2023-01-25 07:53 (PST)"/>
    <d v="2023-01-25T00:00:00"/>
    <s v="07:53(PST)"/>
    <s v="Wednesday"/>
    <s v="On Demand"/>
    <x v="23"/>
  </r>
  <r>
    <s v="2023-01-25 22:50 (PST)"/>
    <d v="2023-01-25T00:00:00"/>
    <s v="22:50(PST)"/>
    <s v="Wednesday"/>
    <s v="On Demand"/>
    <x v="19"/>
  </r>
  <r>
    <s v="2023-02-01 08:47 (EST)"/>
    <d v="2023-02-01T00:00:00"/>
    <s v="08:47(EST)"/>
    <s v="Wednesday"/>
    <s v="On Demand"/>
    <x v="13"/>
  </r>
  <r>
    <s v="2023-02-01 10:08 (-05)"/>
    <d v="2023-02-01T00:00:00"/>
    <s v="10:08(-05)"/>
    <s v="Wednesday"/>
    <s v="On Demand"/>
    <x v="11"/>
  </r>
  <r>
    <s v="2023-02-01 23:39 (EST)"/>
    <d v="2023-02-01T00:00:00"/>
    <s v="23:39(EST)"/>
    <s v="Wednesday"/>
    <s v="On Demand"/>
    <x v="13"/>
  </r>
  <r>
    <s v="2023-02-08 01:55 (EST)"/>
    <d v="2023-02-08T00:00:00"/>
    <s v="01:55(EST)"/>
    <s v="Wednesday"/>
    <s v="On Demand"/>
    <x v="13"/>
  </r>
  <r>
    <s v="2023-02-08 10:07 (-05)"/>
    <d v="2023-02-08T00:00:00"/>
    <s v="10:07(-05)"/>
    <s v="Wednesday"/>
    <s v="On Demand"/>
    <x v="68"/>
  </r>
  <r>
    <s v="2023-02-08 10:38 (-05)"/>
    <d v="2023-02-08T00:00:00"/>
    <s v="10:38(-05)"/>
    <s v="Wednesday"/>
    <s v="On Demand"/>
    <x v="36"/>
  </r>
  <r>
    <s v="2023-02-08 10:47 (-05)"/>
    <d v="2023-02-08T00:00:00"/>
    <s v="10:47(-05)"/>
    <s v="Wednesday"/>
    <s v="On Demand"/>
    <x v="11"/>
  </r>
  <r>
    <s v="2023-02-08 22:59 (EST)"/>
    <d v="2023-02-08T00:00:00"/>
    <s v="22:59(EST)"/>
    <s v="Wednesday"/>
    <s v="On Demand"/>
    <x v="19"/>
  </r>
  <r>
    <s v="2023-02-15 08:19 (PST)"/>
    <d v="2023-02-15T00:00:00"/>
    <s v="08:19(PST)"/>
    <s v="Wednesday"/>
    <s v="On Demand"/>
    <x v="23"/>
  </r>
  <r>
    <s v="2023-02-15 12:02 (PST)"/>
    <d v="2023-02-15T00:00:00"/>
    <s v="12:02(PST)"/>
    <s v="Wednesday"/>
    <m/>
    <x v="34"/>
  </r>
  <r>
    <s v="2023-02-15 22:54 (PST)"/>
    <d v="2023-02-15T00:00:00"/>
    <s v="22:54(PST)"/>
    <s v="Wednesday"/>
    <s v="On Demand"/>
    <x v="28"/>
  </r>
  <r>
    <s v="2023-02-22 12:27 (PST)"/>
    <d v="2023-02-22T00:00:00"/>
    <s v="12:27(PST)"/>
    <s v="Wednesday"/>
    <s v="On Demand"/>
    <x v="7"/>
  </r>
  <r>
    <s v="2023-03-01 11:39 (PST)"/>
    <d v="2023-03-01T00:00:00"/>
    <s v="11:39(PST)"/>
    <s v="Wednesday"/>
    <m/>
    <x v="34"/>
  </r>
  <r>
    <s v="2023-03-01 14:53 (-08)"/>
    <d v="2023-03-01T00:00:00"/>
    <s v="14:53(-08)"/>
    <s v="Wednesday"/>
    <s v="On Demand"/>
    <x v="6"/>
  </r>
  <r>
    <s v="2023-03-01 15:39 (-08)"/>
    <d v="2023-03-01T00:00:00"/>
    <s v="15:39(-08)"/>
    <s v="Wednesday"/>
    <s v="On Demand"/>
    <x v="17"/>
  </r>
  <r>
    <s v="2023-03-01 15:52 (-08)"/>
    <d v="2023-03-01T00:00:00"/>
    <s v="15:52(-08)"/>
    <s v="Wednesday"/>
    <s v="On Demand"/>
    <x v="18"/>
  </r>
  <r>
    <s v="2023-03-01 16:06 (-08)"/>
    <d v="2023-03-01T00:00:00"/>
    <s v="16:06(-08)"/>
    <s v="Wednesday"/>
    <s v="On Demand"/>
    <x v="31"/>
  </r>
  <r>
    <s v="2023-03-01 16:13 (-08)"/>
    <d v="2023-03-01T00:00:00"/>
    <s v="16:13(-08)"/>
    <s v="Wednesday"/>
    <s v="On Demand"/>
    <x v="31"/>
  </r>
  <r>
    <s v="2023-03-01 16:34 (PST)"/>
    <d v="2023-03-01T00:00:00"/>
    <s v="16:34(PST)"/>
    <s v="Wednesday"/>
    <s v="On Demand"/>
    <x v="16"/>
  </r>
  <r>
    <s v="2023-03-01 22:50 (PST)"/>
    <d v="2023-03-01T00:00:00"/>
    <s v="22:50(PST)"/>
    <s v="Wednesday"/>
    <s v="On Demand"/>
    <x v="13"/>
  </r>
  <r>
    <s v="2023-03-08 16:28 (-08)"/>
    <d v="2023-03-08T00:00:00"/>
    <s v="16:28(-08)"/>
    <s v="Wednesday"/>
    <s v="On Demand"/>
    <x v="31"/>
  </r>
  <r>
    <s v="2023-03-08 16:39 (-08)"/>
    <d v="2023-03-08T00:00:00"/>
    <s v="16:39(-08)"/>
    <s v="Wednesday"/>
    <s v="On Demand"/>
    <x v="31"/>
  </r>
  <r>
    <s v="2023-03-08 16:49 (-08)"/>
    <d v="2023-03-08T00:00:00"/>
    <s v="16:49(-08)"/>
    <s v="Wednesday"/>
    <s v="On Demand"/>
    <x v="6"/>
  </r>
  <r>
    <s v="2023-03-08 23:29 (PST)"/>
    <d v="2023-03-08T00:00:00"/>
    <s v="23:29(PST)"/>
    <s v="Wednesday"/>
    <s v="On Demand"/>
    <x v="23"/>
  </r>
  <r>
    <s v="2023-03-15 13:07 (PST)"/>
    <d v="2023-03-15T00:00:00"/>
    <s v="13:07(PST)"/>
    <s v="Wednesday"/>
    <s v="On Demand"/>
    <x v="23"/>
  </r>
  <r>
    <s v="2023-03-15 14:09 (PST)"/>
    <d v="2023-03-15T00:00:00"/>
    <s v="14:09(PST)"/>
    <s v="Wednesday"/>
    <m/>
    <x v="34"/>
  </r>
  <r>
    <s v="2023-03-22 06:56 (EST)"/>
    <d v="2023-03-22T00:00:00"/>
    <s v="06:56(EST)"/>
    <s v="Wednesday"/>
    <s v="On Demand"/>
    <x v="19"/>
  </r>
  <r>
    <s v="2023-03-29 02:59 (PST)"/>
    <d v="2023-03-29T00:00:00"/>
    <s v="02:59(PST)"/>
    <s v="Wednesday"/>
    <s v="On Demand"/>
    <x v="13"/>
  </r>
  <r>
    <s v="2023-03-29 14:20 (PST)"/>
    <d v="2023-03-29T00:00:00"/>
    <s v="14:20(PST)"/>
    <s v="Wednesday"/>
    <s v="On Demand"/>
    <x v="3"/>
  </r>
  <r>
    <s v="2023-03-29 14:50 (PST)"/>
    <d v="2023-03-29T00:00:00"/>
    <s v="14:50(PST)"/>
    <s v="Wednesday"/>
    <m/>
    <x v="34"/>
  </r>
  <r>
    <s v="2023-03-29 22:13 (PST)"/>
    <d v="2023-03-29T00:00:00"/>
    <s v="22:13(PST)"/>
    <s v="Wednesday"/>
    <s v="On Demand"/>
    <x v="16"/>
  </r>
  <r>
    <s v="2023-04-05 14:33 (PST)"/>
    <d v="2023-04-05T00:00:00"/>
    <s v="14:33(PST)"/>
    <s v="Wednesday"/>
    <s v="On Demand"/>
    <x v="28"/>
  </r>
  <r>
    <s v="2023-04-05 20:22 (PST)"/>
    <d v="2023-04-05T00:00:00"/>
    <s v="20:22(PST)"/>
    <s v="Wednesday"/>
    <s v="On Demand"/>
    <x v="28"/>
  </r>
  <r>
    <s v="2023-04-12 06:45 (PST)"/>
    <d v="2023-04-12T00:00:00"/>
    <s v="06:45(PST)"/>
    <s v="Wednesday"/>
    <s v="On Demand"/>
    <x v="13"/>
  </r>
  <r>
    <s v="2023-04-12 14:12 (PST)"/>
    <d v="2023-04-12T00:00:00"/>
    <s v="14:12(PST)"/>
    <s v="Wednesday"/>
    <m/>
    <x v="34"/>
  </r>
  <r>
    <s v="2023-04-19 09:08 (PST)"/>
    <d v="2023-04-19T00:00:00"/>
    <s v="09:08(PST)"/>
    <s v="Wednesday"/>
    <s v="On Demand"/>
    <x v="31"/>
  </r>
  <r>
    <s v="2023-04-19 10:04 (PST)"/>
    <d v="2023-04-19T00:00:00"/>
    <s v="10:04(PST)"/>
    <s v="Wednesday"/>
    <s v="On Demand"/>
    <x v="4"/>
  </r>
  <r>
    <s v="2023-04-19 10:14 (PST)"/>
    <d v="2023-04-19T00:00:00"/>
    <s v="10:14(PST)"/>
    <s v="Wednesday"/>
    <s v="On Demand"/>
    <x v="37"/>
  </r>
  <r>
    <s v="2023-04-26 06:24 (PST)"/>
    <d v="2023-04-26T00:00:00"/>
    <s v="06:24(PST)"/>
    <s v="Wednesday"/>
    <s v="On Demand"/>
    <x v="13"/>
  </r>
  <r>
    <s v="2023-04-26 14:31 (PST)"/>
    <d v="2023-04-26T00:00:00"/>
    <s v="14:31(PST)"/>
    <s v="Wednesday"/>
    <m/>
    <x v="34"/>
  </r>
  <r>
    <s v="2023-05-03 06:30 (PST)"/>
    <d v="2023-05-03T00:00:00"/>
    <s v="06:30(PST)"/>
    <s v="Wednesday"/>
    <s v="On Demand"/>
    <x v="13"/>
  </r>
  <r>
    <s v="2023-05-03 15:04 (-07)"/>
    <d v="2023-05-03T00:00:00"/>
    <s v="15:04(-07)"/>
    <s v="Wednesday"/>
    <s v="On Demand"/>
    <x v="11"/>
  </r>
  <r>
    <s v="2023-05-10 07:05 (PST)"/>
    <d v="2023-05-10T00:00:00"/>
    <s v="07:05(PST)"/>
    <s v="Wednesday"/>
    <s v="On Demand"/>
    <x v="28"/>
  </r>
  <r>
    <s v="2023-05-10 17:52 (-07)"/>
    <d v="2023-05-10T00:00:00"/>
    <s v="17:52(-07)"/>
    <s v="Wednesday"/>
    <s v="On Demand"/>
    <x v="31"/>
  </r>
  <r>
    <s v="2023-05-10 22:28 (PST)"/>
    <d v="2023-05-10T00:00:00"/>
    <s v="22:28(PST)"/>
    <s v="Wednesday"/>
    <s v="On Demand"/>
    <x v="25"/>
  </r>
  <r>
    <s v="2023-05-17 15:10 (-07)"/>
    <d v="2023-05-17T00:00:00"/>
    <s v="15:10(-07)"/>
    <s v="Wednesday"/>
    <s v="On Demand"/>
    <x v="24"/>
  </r>
  <r>
    <s v="2023-05-17 15:29 (-07)"/>
    <d v="2023-05-17T00:00:00"/>
    <s v="15:29(-07)"/>
    <s v="Wednesday"/>
    <s v="On Demand"/>
    <x v="6"/>
  </r>
  <r>
    <s v="2023-05-17 16:51 (-07)"/>
    <d v="2023-05-17T00:00:00"/>
    <s v="16:51(-07)"/>
    <s v="Wednesday"/>
    <s v="On Demand"/>
    <x v="20"/>
  </r>
  <r>
    <s v="2023-05-24 06:46 (PST)"/>
    <d v="2023-05-24T00:00:00"/>
    <s v="06:46(PST)"/>
    <s v="Wednesday"/>
    <s v="On Demand"/>
    <x v="13"/>
  </r>
  <r>
    <s v="2023-05-24 10:02 (PST)"/>
    <d v="2023-05-24T00:00:00"/>
    <s v="10:02(PST)"/>
    <s v="Wednesday"/>
    <m/>
    <x v="34"/>
  </r>
  <r>
    <s v="2023-05-24 15:09 (-07)"/>
    <d v="2023-05-24T00:00:00"/>
    <s v="15:09(-07)"/>
    <s v="Wednesday"/>
    <s v="On Demand"/>
    <x v="1"/>
  </r>
  <r>
    <s v="2023-05-24 15:27 (-07)"/>
    <d v="2023-05-24T00:00:00"/>
    <s v="15:27(-07)"/>
    <s v="Wednesday"/>
    <s v="On Demand"/>
    <x v="7"/>
  </r>
  <r>
    <s v="2023-05-24 16:13 (-07)"/>
    <d v="2023-05-24T00:00:00"/>
    <s v="16:13(-07)"/>
    <s v="Wednesday"/>
    <s v="On Demand"/>
    <x v="29"/>
  </r>
  <r>
    <s v="2023-05-24 16:18 (-07)"/>
    <d v="2023-05-24T00:00:00"/>
    <s v="16:18(-07)"/>
    <s v="Wednesday"/>
    <s v="On Demand"/>
    <x v="45"/>
  </r>
  <r>
    <s v="2023-05-24 22:03 (PST)"/>
    <d v="2023-05-24T00:00:00"/>
    <s v="22:03(PST)"/>
    <s v="Wednesday"/>
    <s v="On Demand"/>
    <x v="23"/>
  </r>
  <r>
    <s v="2023-05-31 06:29 (PST)"/>
    <d v="2023-05-31T00:00:00"/>
    <s v="06:29(PST)"/>
    <s v="Wednesday"/>
    <s v="On Demand"/>
    <x v="16"/>
  </r>
  <r>
    <s v="2023-05-31 15:36 (-07)"/>
    <d v="2023-05-31T00:00:00"/>
    <s v="15:36(-07)"/>
    <s v="Wednesday"/>
    <s v="On Demand"/>
    <x v="24"/>
  </r>
  <r>
    <s v="2023-05-31 16:02 (-07)"/>
    <d v="2023-05-31T00:00:00"/>
    <s v="16:02(-07)"/>
    <s v="Wednesday"/>
    <s v="On Demand"/>
    <x v="6"/>
  </r>
  <r>
    <s v="2023-05-31 16:50 (-07)"/>
    <d v="2023-05-31T00:00:00"/>
    <s v="16:50(-07)"/>
    <s v="Wednesday"/>
    <s v="On Demand"/>
    <x v="36"/>
  </r>
  <r>
    <s v="2023-06-07 07:15 (PST)"/>
    <d v="2023-06-07T00:00:00"/>
    <s v="07:15(PST)"/>
    <s v="Wednesday"/>
    <s v="On Demand"/>
    <x v="13"/>
  </r>
  <r>
    <s v="2023-06-07 10:29 (PST)"/>
    <d v="2023-06-07T00:00:00"/>
    <s v="10:29(PST)"/>
    <s v="Wednesday"/>
    <m/>
    <x v="34"/>
  </r>
  <r>
    <s v="2023-06-07 15:41 (-07)"/>
    <d v="2023-06-07T00:00:00"/>
    <s v="15:41(-07)"/>
    <s v="Wednesday"/>
    <s v="On Demand"/>
    <x v="1"/>
  </r>
  <r>
    <s v="2023-06-07 16:04 (-07)"/>
    <d v="2023-06-07T00:00:00"/>
    <s v="16:04(-07)"/>
    <s v="Wednesday"/>
    <s v="On Demand"/>
    <x v="4"/>
  </r>
  <r>
    <s v="2023-06-07 16:50 (-07)"/>
    <d v="2023-06-07T00:00:00"/>
    <s v="16:50(-07)"/>
    <s v="Wednesday"/>
    <s v="On Demand"/>
    <x v="7"/>
  </r>
  <r>
    <s v="2023-06-07 22:44 (PST)"/>
    <d v="2023-06-07T00:00:00"/>
    <s v="22:44(PST)"/>
    <s v="Wednesday"/>
    <s v="On Demand"/>
    <x v="23"/>
  </r>
  <r>
    <s v="2023-06-14 22:02 (PST)"/>
    <d v="2023-06-14T00:00:00"/>
    <s v="22:02(PST)"/>
    <s v="Wednesday"/>
    <s v="On Demand"/>
    <x v="16"/>
  </r>
  <r>
    <s v="2023-06-21 06:44 (PST)"/>
    <d v="2023-06-21T00:00:00"/>
    <s v="06:44(PST)"/>
    <s v="Wednesday"/>
    <s v="On Demand"/>
    <x v="23"/>
  </r>
  <r>
    <s v="2023-06-21 18:13 (-07)"/>
    <d v="2023-06-21T00:00:00"/>
    <s v="18:13(-07)"/>
    <s v="Wednesday"/>
    <s v="On Demand"/>
    <x v="4"/>
  </r>
  <r>
    <s v="2023-06-21 18:59 (-07)"/>
    <d v="2023-06-21T00:00:00"/>
    <s v="18:59(-07)"/>
    <s v="Wednesday"/>
    <s v="On Demand"/>
    <x v="29"/>
  </r>
  <r>
    <s v="2023-06-21 21:39 (PST)"/>
    <d v="2023-06-21T00:00:00"/>
    <s v="21:39(PST)"/>
    <s v="Wednesday"/>
    <s v="On Demand"/>
    <x v="19"/>
  </r>
  <r>
    <s v="2023-06-28 14:53 (-07)"/>
    <d v="2023-06-28T00:00:00"/>
    <s v="14:53(-07)"/>
    <s v="Wednesday"/>
    <s v="On Demand"/>
    <x v="7"/>
  </r>
  <r>
    <s v="2023-06-28 15:45 (-07)"/>
    <d v="2023-06-28T00:00:00"/>
    <s v="15:45(-07)"/>
    <s v="Wednesday"/>
    <s v="On Demand"/>
    <x v="17"/>
  </r>
  <r>
    <s v="2023-06-28 16:04 (PST)"/>
    <d v="2023-06-28T00:00:00"/>
    <s v="16:04(PST)"/>
    <s v="Wednesday"/>
    <s v="On Demand"/>
    <x v="24"/>
  </r>
  <r>
    <s v="2023-06-28 16:16 (PST)"/>
    <d v="2023-06-28T00:00:00"/>
    <s v="16:16(PST)"/>
    <s v="Wednesday"/>
    <s v="On Demand"/>
    <x v="7"/>
  </r>
  <r>
    <s v="2023-06-28 23:05 (PST)"/>
    <d v="2023-06-28T00:00:00"/>
    <s v="23:05(PST)"/>
    <s v="Wednesday"/>
    <s v="On Demand"/>
    <x v="13"/>
  </r>
  <r>
    <s v="2023-07-05 22:21 (PST)"/>
    <d v="2023-07-05T00:00:00"/>
    <s v="22:21(PST)"/>
    <s v="Wednesday"/>
    <s v="On Demand"/>
    <x v="16"/>
  </r>
  <r>
    <s v="2023-07-12 09:30 (PST)"/>
    <d v="2023-07-12T00:00:00"/>
    <s v="09:30(PST)"/>
    <s v="Wednesday"/>
    <m/>
    <x v="34"/>
  </r>
  <r>
    <s v="2023-07-12 14:43 (-07)"/>
    <d v="2023-07-12T00:00:00"/>
    <s v="14:43(-07)"/>
    <s v="Wednesday"/>
    <s v="On Demand"/>
    <x v="6"/>
  </r>
  <r>
    <s v="2023-07-12 15:28 (-07)"/>
    <d v="2023-07-12T00:00:00"/>
    <s v="15:28(-07)"/>
    <s v="Wednesday"/>
    <s v="On Demand"/>
    <x v="15"/>
  </r>
  <r>
    <s v="2023-07-12 15:46 (-07)"/>
    <d v="2023-07-12T00:00:00"/>
    <s v="15:46(-07)"/>
    <s v="Wednesday"/>
    <s v="On Demand"/>
    <x v="15"/>
  </r>
  <r>
    <s v="2023-07-12 22:42 (PST)"/>
    <d v="2023-07-12T00:00:00"/>
    <s v="22:42(PST)"/>
    <s v="Wednesday"/>
    <s v="On Demand"/>
    <x v="16"/>
  </r>
  <r>
    <s v="2023-07-19 11:31 (PST)"/>
    <d v="2023-07-19T00:00:00"/>
    <s v="11:31(PST)"/>
    <s v="Wednesday"/>
    <m/>
    <x v="34"/>
  </r>
  <r>
    <s v="2023-07-19 15:07 (-07)"/>
    <d v="2023-07-19T00:00:00"/>
    <s v="15:07(-07)"/>
    <s v="Wednesday"/>
    <s v="On Demand"/>
    <x v="24"/>
  </r>
  <r>
    <s v="2023-07-19 15:25 (-07)"/>
    <d v="2023-07-19T00:00:00"/>
    <s v="15:25(-07)"/>
    <s v="Wednesday"/>
    <s v="On Demand"/>
    <x v="6"/>
  </r>
  <r>
    <s v="2023-07-19 16:11 (-07)"/>
    <d v="2023-07-19T00:00:00"/>
    <s v="16:11(-07)"/>
    <s v="Wednesday"/>
    <s v="On Demand"/>
    <x v="7"/>
  </r>
  <r>
    <s v="2023-07-19 16:17 (-07)"/>
    <d v="2023-07-19T00:00:00"/>
    <s v="16:17(-07)"/>
    <s v="Wednesday"/>
    <s v="On Demand"/>
    <x v="17"/>
  </r>
  <r>
    <s v="2023-07-19 16:42 (PST)"/>
    <d v="2023-07-19T00:00:00"/>
    <s v="16:42(PST)"/>
    <s v="Wednesday"/>
    <s v="On Demand"/>
    <x v="13"/>
  </r>
  <r>
    <s v="2023-07-26 21:56 (EST)"/>
    <d v="2023-07-26T00:00:00"/>
    <s v="21:56(EST)"/>
    <s v="Wednesday"/>
    <s v="On Demand"/>
    <x v="19"/>
  </r>
  <r>
    <s v="2023-08-09 07:45 (PST)"/>
    <d v="2023-08-09T00:00:00"/>
    <s v="07:45(PST)"/>
    <s v="Wednesday"/>
    <s v="On Demand"/>
    <x v="28"/>
  </r>
  <r>
    <s v="2023-08-09 15:38 (-07)"/>
    <d v="2023-08-09T00:00:00"/>
    <s v="15:38(-07)"/>
    <s v="Wednesday"/>
    <s v="On Demand"/>
    <x v="7"/>
  </r>
  <r>
    <s v="2023-08-09 21:29 (PST)"/>
    <d v="2023-08-09T00:00:00"/>
    <s v="21:29(PST)"/>
    <s v="Wednesday"/>
    <s v="On Demand"/>
    <x v="19"/>
  </r>
  <r>
    <s v="2023-08-16 07:59 (PST)"/>
    <d v="2023-08-16T00:00:00"/>
    <s v="07:59(PST)"/>
    <s v="Wednesday"/>
    <s v="On Demand"/>
    <x v="23"/>
  </r>
  <r>
    <s v="2023-08-16 16:10 (-07)"/>
    <d v="2023-08-16T00:00:00"/>
    <s v="16:10(-07)"/>
    <s v="Wednesday"/>
    <s v="On Demand"/>
    <x v="6"/>
  </r>
  <r>
    <s v="2023-08-16 16:22 (-07)"/>
    <d v="2023-08-16T00:00:00"/>
    <s v="16:22(-07)"/>
    <s v="Wednesday"/>
    <s v="On Demand"/>
    <x v="6"/>
  </r>
  <r>
    <s v="2023-08-16 16:45 (-07)"/>
    <d v="2023-08-16T00:00:00"/>
    <s v="16:45(-07)"/>
    <s v="Wednesday"/>
    <s v="On Demand"/>
    <x v="6"/>
  </r>
  <r>
    <s v="2023-08-16 21:34 (PST)"/>
    <d v="2023-08-16T00:00:00"/>
    <s v="21:34(PST)"/>
    <s v="Wednesday"/>
    <s v="On Demand"/>
    <x v="19"/>
  </r>
  <r>
    <s v="2023-08-23 07:30 (PST)"/>
    <d v="2023-08-23T00:00:00"/>
    <s v="07:30(PST)"/>
    <s v="Wednesday"/>
    <s v="On Demand"/>
    <x v="28"/>
  </r>
  <r>
    <s v="2023-08-23 13:53 (-07)"/>
    <d v="2023-08-23T00:00:00"/>
    <s v="13:53(-07)"/>
    <s v="Wednesday"/>
    <s v="On Demand"/>
    <x v="6"/>
  </r>
  <r>
    <s v="2023-08-23 14:54 (-07)"/>
    <d v="2023-08-23T00:00:00"/>
    <s v="14:54(-07)"/>
    <s v="Wednesday"/>
    <s v="On Demand"/>
    <x v="17"/>
  </r>
  <r>
    <s v="2023-08-23 15:00 (-07)"/>
    <d v="2023-08-23T00:00:00"/>
    <s v="15:00(-07)"/>
    <s v="Wednesday"/>
    <s v="On Demand"/>
    <x v="1"/>
  </r>
  <r>
    <s v="2023-08-23 15:11 (-07)"/>
    <d v="2023-08-23T00:00:00"/>
    <s v="15:11(-07)"/>
    <s v="Wednesday"/>
    <s v="On Demand"/>
    <x v="10"/>
  </r>
  <r>
    <s v="2023-08-23 22:18 (PST)"/>
    <d v="2023-08-23T00:00:00"/>
    <s v="22:18(PST)"/>
    <s v="Wednesday"/>
    <s v="On Demand"/>
    <x v="19"/>
  </r>
  <r>
    <s v="2023-08-30 07:51 (-07)"/>
    <d v="2023-08-30T00:00:00"/>
    <s v="07:51(-07)"/>
    <s v="Wednesday"/>
    <s v="On Demand"/>
    <x v="26"/>
  </r>
  <r>
    <s v="2023-08-30 08:23 (-07)"/>
    <d v="2023-08-30T00:00:00"/>
    <s v="08:23(-07)"/>
    <s v="Wednesday"/>
    <s v="On Demand"/>
    <x v="1"/>
  </r>
  <r>
    <s v="2023-08-30 08:34 (-07)"/>
    <d v="2023-08-30T00:00:00"/>
    <s v="08:34(-07)"/>
    <s v="Wednesday"/>
    <s v="On Demand"/>
    <x v="37"/>
  </r>
  <r>
    <s v="2023-08-30 22:04 (PST)"/>
    <d v="2023-08-30T00:00:00"/>
    <s v="22:04(PST)"/>
    <s v="Wednesday"/>
    <s v="On Demand"/>
    <x v="23"/>
  </r>
  <r>
    <s v="2023-09-06 20:19 (PST)"/>
    <d v="2023-09-06T00:00:00"/>
    <s v="20:19(PST)"/>
    <s v="Wednesday"/>
    <s v="On Demand"/>
    <x v="16"/>
  </r>
  <r>
    <s v="2023-09-13 08:03 (PST)"/>
    <d v="2023-09-13T00:00:00"/>
    <s v="08:03(PST)"/>
    <s v="Wednesday"/>
    <s v="On Demand"/>
    <x v="13"/>
  </r>
  <r>
    <s v="2023-09-13 15:16 (-07)"/>
    <d v="2023-09-13T00:00:00"/>
    <s v="15:16(-07)"/>
    <s v="Wednesday"/>
    <s v="On Demand"/>
    <x v="26"/>
  </r>
  <r>
    <s v="2023-09-13 15:50 (-07)"/>
    <d v="2023-09-13T00:00:00"/>
    <s v="15:50(-07)"/>
    <s v="Wednesday"/>
    <s v="On Demand"/>
    <x v="38"/>
  </r>
  <r>
    <s v="2023-09-13 21:47 (PST)"/>
    <d v="2023-09-13T00:00:00"/>
    <s v="21:47(PST)"/>
    <s v="Wednesday"/>
    <s v="On Demand"/>
    <x v="23"/>
  </r>
  <r>
    <s v="2023-09-20 15:49 (-07)"/>
    <d v="2023-09-20T00:00:00"/>
    <s v="15:49(-07)"/>
    <s v="Wednesday"/>
    <s v="On Demand"/>
    <x v="6"/>
  </r>
  <r>
    <s v="2023-09-20 16:36 (-07)"/>
    <d v="2023-09-20T00:00:00"/>
    <s v="16:36(-07)"/>
    <s v="Wednesday"/>
    <s v="On Demand"/>
    <x v="7"/>
  </r>
  <r>
    <s v="2023-09-20 16:55 (-07)"/>
    <d v="2023-09-20T00:00:00"/>
    <s v="16:55(-07)"/>
    <s v="Wednesday"/>
    <s v="On Demand"/>
    <x v="12"/>
  </r>
  <r>
    <s v="2023-09-20 21:56 (PST)"/>
    <d v="2023-09-20T00:00:00"/>
    <s v="21:56(PST)"/>
    <s v="Wednesday"/>
    <s v="On Demand"/>
    <x v="16"/>
  </r>
  <r>
    <s v="2023-09-27 21:26 (PST)"/>
    <d v="2023-09-27T00:00:00"/>
    <s v="21:26(PST)"/>
    <s v="Wednesday"/>
    <s v="On Demand"/>
    <x v="19"/>
  </r>
  <r>
    <s v="2023-10-04 14:17 (-07)"/>
    <d v="2023-10-04T00:00:00"/>
    <s v="14:17(-07)"/>
    <s v="Wednesday"/>
    <s v="On Demand"/>
    <x v="6"/>
  </r>
  <r>
    <s v="2023-10-04 14:49 (-07)"/>
    <d v="2023-10-04T00:00:00"/>
    <s v="14:49(-07)"/>
    <s v="Wednesday"/>
    <s v="On Demand"/>
    <x v="17"/>
  </r>
  <r>
    <s v="2023-10-04 15:04 (-07)"/>
    <d v="2023-10-04T00:00:00"/>
    <s v="15:04(-07)"/>
    <s v="Wednesday"/>
    <s v="On Demand"/>
    <x v="9"/>
  </r>
  <r>
    <s v="2023-10-04 15:12 (-07)"/>
    <d v="2023-10-04T00:00:00"/>
    <s v="15:12(-07)"/>
    <s v="Wednesday"/>
    <s v="On Demand"/>
    <x v="26"/>
  </r>
  <r>
    <s v="2023-10-04 15:51 (PST)"/>
    <d v="2023-10-04T00:00:00"/>
    <s v="15:51(PST)"/>
    <s v="Wednesday"/>
    <s v="On Demand"/>
    <x v="13"/>
  </r>
  <r>
    <s v="2023-10-11 16:18 (PST)"/>
    <d v="2023-10-11T00:00:00"/>
    <s v="16:18(PST)"/>
    <s v="Wednesday"/>
    <s v="On Demand"/>
    <x v="23"/>
  </r>
  <r>
    <s v="2023-10-11 18:54 (-07)"/>
    <d v="2023-10-11T00:00:00"/>
    <s v="18:54(-07)"/>
    <s v="Wednesday"/>
    <s v="On Demand"/>
    <x v="4"/>
  </r>
  <r>
    <s v="2023-10-11 19:40 (-07)"/>
    <d v="2023-10-11T00:00:00"/>
    <s v="19:40(-07)"/>
    <s v="Wednesday"/>
    <s v="On Demand"/>
    <x v="6"/>
  </r>
  <r>
    <s v="2023-10-11 19:50 (-07)"/>
    <d v="2023-10-11T00:00:00"/>
    <s v="19:50(-07)"/>
    <s v="Wednesday"/>
    <s v="On Demand"/>
    <x v="29"/>
  </r>
  <r>
    <s v="2023-10-18 17:01 (EST)"/>
    <d v="2023-10-18T00:00:00"/>
    <s v="17:01(EST)"/>
    <s v="Wednesday"/>
    <s v="On Demand"/>
    <x v="31"/>
  </r>
  <r>
    <s v="2023-10-18 23:26 (EST)"/>
    <d v="2023-10-18T00:00:00"/>
    <s v="23:26(EST)"/>
    <s v="Wednesday"/>
    <s v="On Demand"/>
    <x v="23"/>
  </r>
  <r>
    <s v="2023-10-25 14:51 (-07)"/>
    <d v="2023-10-25T00:00:00"/>
    <s v="14:51(-07)"/>
    <s v="Wednesday"/>
    <s v="On Demand"/>
    <x v="35"/>
  </r>
  <r>
    <s v="2023-10-25 15:03 (-07)"/>
    <d v="2023-10-25T00:00:00"/>
    <s v="15:03(-07)"/>
    <s v="Wednesday"/>
    <s v="On Demand"/>
    <x v="4"/>
  </r>
  <r>
    <s v="2023-10-25 15:27 (-07)"/>
    <d v="2023-10-25T00:00:00"/>
    <s v="15:27(-07)"/>
    <s v="Wednesday"/>
    <s v="On Demand"/>
    <x v="6"/>
  </r>
  <r>
    <s v="2023-10-25 16:27 (-07)"/>
    <d v="2023-10-25T00:00:00"/>
    <s v="16:27(-07)"/>
    <s v="Wednesday"/>
    <s v="On Demand"/>
    <x v="42"/>
  </r>
  <r>
    <s v="2023-10-25 22:33 (PST)"/>
    <d v="2023-10-25T00:00:00"/>
    <s v="22:33(PST)"/>
    <s v="Wednesday"/>
    <s v="On Demand"/>
    <x v="28"/>
  </r>
  <r>
    <s v="2023-11-01 11:24 (PST)"/>
    <d v="2023-11-01T00:00:00"/>
    <s v="11:24(PST)"/>
    <s v="Wednesday"/>
    <s v="On Demand"/>
    <x v="28"/>
  </r>
  <r>
    <s v="2023-11-01 14:22 (-07)"/>
    <d v="2023-11-01T00:00:00"/>
    <s v="14:22(-07)"/>
    <s v="Wednesday"/>
    <s v="On Demand"/>
    <x v="6"/>
  </r>
  <r>
    <s v="2023-11-01 22:28 (PST)"/>
    <d v="2023-11-01T00:00:00"/>
    <s v="22:28(PST)"/>
    <s v="Wednesday"/>
    <s v="On Demand"/>
    <x v="16"/>
  </r>
  <r>
    <s v="2023-11-08 07:59 (PST)"/>
    <d v="2023-11-08T00:00:00"/>
    <s v="07:59(PST)"/>
    <s v="Wednesday"/>
    <s v="On Demand"/>
    <x v="23"/>
  </r>
  <r>
    <s v="2023-11-08 10:29 (-08)"/>
    <d v="2023-11-08T00:00:00"/>
    <s v="10:29(-08)"/>
    <s v="Wednesday"/>
    <s v="On Demand"/>
    <x v="38"/>
  </r>
  <r>
    <s v="2023-11-08 11:03 (-08)"/>
    <d v="2023-11-08T00:00:00"/>
    <s v="11:03(-08)"/>
    <s v="Wednesday"/>
    <s v="On Demand"/>
    <x v="24"/>
  </r>
  <r>
    <s v="2023-11-15 17:43 (PST)"/>
    <d v="2023-11-15T00:00:00"/>
    <s v="17:43(PST)"/>
    <s v="Wednesday"/>
    <s v="On Demand"/>
    <x v="21"/>
  </r>
  <r>
    <s v="2023-11-15 18:14 (PST)"/>
    <d v="2023-11-15T00:00:00"/>
    <s v="18:14(PST)"/>
    <s v="Wednesday"/>
    <s v="On Demand"/>
    <x v="21"/>
  </r>
  <r>
    <s v="2023-11-15 18:33 (PST)"/>
    <d v="2023-11-15T00:00:00"/>
    <s v="18:33(PST)"/>
    <s v="Wednesday"/>
    <s v="On Demand"/>
    <x v="1"/>
  </r>
  <r>
    <s v="2023-11-15 22:52 (PST)"/>
    <d v="2023-11-15T00:00:00"/>
    <s v="22:52(PST)"/>
    <s v="Wednesday"/>
    <s v="On Demand"/>
    <x v="19"/>
  </r>
  <r>
    <s v="2023-11-22 17:05 (-08)"/>
    <d v="2023-11-22T00:00:00"/>
    <s v="17:05(-08)"/>
    <s v="Wednesday"/>
    <s v="On Demand"/>
    <x v="6"/>
  </r>
  <r>
    <s v="2023-11-22 17:33 (-08)"/>
    <d v="2023-11-22T00:00:00"/>
    <s v="17:33(-08)"/>
    <s v="Wednesday"/>
    <s v="On Demand"/>
    <x v="1"/>
  </r>
  <r>
    <s v="2023-11-22 18:33 (PST)"/>
    <d v="2023-11-22T00:00:00"/>
    <s v="18:33(PST)"/>
    <s v="Wednesday"/>
    <s v="On Demand"/>
    <x v="24"/>
  </r>
  <r>
    <s v="2023-11-22 18:45 (PST)"/>
    <d v="2023-11-22T00:00:00"/>
    <s v="18:45(PST)"/>
    <s v="Wednesday"/>
    <s v="On Demand"/>
    <x v="16"/>
  </r>
  <r>
    <s v="2023-11-29 22:06 (PST)"/>
    <d v="2023-11-29T00:00:00"/>
    <s v="22:06(PST)"/>
    <s v="Wednesday"/>
    <s v="On Demand"/>
    <x v="19"/>
  </r>
  <r>
    <s v="2023-12-06 15:39 (-08)"/>
    <d v="2023-12-06T00:00:00"/>
    <s v="15:39(-08)"/>
    <s v="Wednesday"/>
    <s v="On Demand"/>
    <x v="20"/>
  </r>
  <r>
    <s v="2023-12-06 15:53 (-08)"/>
    <d v="2023-12-06T00:00:00"/>
    <s v="15:53(-08)"/>
    <s v="Wednesday"/>
    <s v="On Demand"/>
    <x v="38"/>
  </r>
  <r>
    <s v="2023-12-06 16:29 (-08)"/>
    <d v="2023-12-06T00:00:00"/>
    <s v="16:29(-08)"/>
    <s v="Wednesday"/>
    <s v="On Demand"/>
    <x v="20"/>
  </r>
  <r>
    <s v="2023-12-06 21:39 (PST)"/>
    <d v="2023-12-06T00:00:00"/>
    <s v="21:39(PST)"/>
    <s v="Wednesday"/>
    <s v="On Demand"/>
    <x v="7"/>
  </r>
  <r>
    <s v="2023-12-06 22:02 (PST)"/>
    <d v="2023-12-06T00:00:00"/>
    <s v="22:02(PST)"/>
    <s v="Wednesday"/>
    <s v="On Demand"/>
    <x v="28"/>
  </r>
  <r>
    <s v="2023-12-13 07:41 (PST)"/>
    <d v="2023-12-13T00:00:00"/>
    <s v="07:41(PST)"/>
    <s v="Wednesday"/>
    <s v="On Demand"/>
    <x v="13"/>
  </r>
  <r>
    <s v="2023-12-13 15:15 (-08)"/>
    <d v="2023-12-13T00:00:00"/>
    <s v="15:15(-08)"/>
    <s v="Wednesday"/>
    <s v="On Demand"/>
    <x v="26"/>
  </r>
  <r>
    <s v="2023-12-13 15:37 (-08)"/>
    <d v="2023-12-13T00:00:00"/>
    <s v="15:37(-08)"/>
    <s v="Wednesday"/>
    <s v="On Demand"/>
    <x v="50"/>
  </r>
  <r>
    <s v="2023-12-13 15:49 (-08)"/>
    <d v="2023-12-13T00:00:00"/>
    <s v="15:49(-08)"/>
    <s v="Wednesday"/>
    <s v="On Demand"/>
    <x v="38"/>
  </r>
  <r>
    <s v="2023-12-13 16:22 (-08)"/>
    <d v="2023-12-13T00:00:00"/>
    <s v="16:22(-08)"/>
    <s v="Wednesday"/>
    <s v="On Demand"/>
    <x v="46"/>
  </r>
  <r>
    <s v="2023-12-13 22:43 (PST)"/>
    <d v="2023-12-13T00:00:00"/>
    <s v="22:43(PST)"/>
    <s v="Wednesday"/>
    <s v="On Demand"/>
    <x v="23"/>
  </r>
  <r>
    <s v="2023-12-20 23:20 (PST)"/>
    <d v="2023-12-20T00:00:00"/>
    <s v="23:20(PST)"/>
    <s v="Wednesday"/>
    <s v="On Demand"/>
    <x v="13"/>
  </r>
  <r>
    <s v="2023-12-27 22:39 (PST)"/>
    <d v="2023-12-27T00:00:00"/>
    <s v="22:39(PST)"/>
    <s v="Wednesday"/>
    <s v="On Demand"/>
    <x v="28"/>
  </r>
  <r>
    <s v="2024-01-03 14:46 (PST)"/>
    <d v="2024-01-03T00:00:00"/>
    <s v="14:46(PST)"/>
    <s v="Wednesday"/>
    <m/>
    <x v="34"/>
  </r>
  <r>
    <s v="2024-01-03 16:28 (-08)"/>
    <d v="2024-01-03T00:00:00"/>
    <s v="16:28(-08)"/>
    <s v="Wednesday"/>
    <s v="On Demand"/>
    <x v="37"/>
  </r>
  <r>
    <s v="2024-01-03 17:01 (-08)"/>
    <d v="2024-01-03T00:00:00"/>
    <s v="17:01(-08)"/>
    <s v="Wednesday"/>
    <s v="On Demand"/>
    <x v="4"/>
  </r>
  <r>
    <s v="2024-01-03 17:13 (-08)"/>
    <d v="2024-01-03T00:00:00"/>
    <s v="17:13(-08)"/>
    <s v="Wednesday"/>
    <s v="On Demand"/>
    <x v="4"/>
  </r>
  <r>
    <s v="2024-01-03 17:29 (-08)"/>
    <d v="2024-01-03T00:00:00"/>
    <s v="17:29(-08)"/>
    <s v="Wednesday"/>
    <s v="On Demand"/>
    <x v="38"/>
  </r>
  <r>
    <s v="2024-01-03 22:19 (PST)"/>
    <d v="2024-01-03T00:00:00"/>
    <s v="22:19(PST)"/>
    <s v="Wednesday"/>
    <s v="On Demand"/>
    <x v="28"/>
  </r>
  <r>
    <s v="2024-01-10 12:11 (PST)"/>
    <d v="2024-01-10T00:00:00"/>
    <s v="12:11(PST)"/>
    <s v="Wednesday"/>
    <m/>
    <x v="34"/>
  </r>
  <r>
    <s v="2024-01-10 16:11 (-08)"/>
    <d v="2024-01-10T00:00:00"/>
    <s v="16:11(-08)"/>
    <s v="Wednesday"/>
    <s v="On Demand"/>
    <x v="4"/>
  </r>
  <r>
    <s v="2024-01-10 22:12 (PST)"/>
    <d v="2024-01-10T00:00:00"/>
    <s v="22:12(PST)"/>
    <s v="Wednesday"/>
    <s v="On Demand"/>
    <x v="28"/>
  </r>
  <r>
    <s v="2024-01-17 15:42 (-08)"/>
    <d v="2024-01-17T00:00:00"/>
    <s v="15:42(-08)"/>
    <s v="Wednesday"/>
    <s v="On Demand"/>
    <x v="10"/>
  </r>
  <r>
    <s v="2024-01-17 16:28 (-08)"/>
    <d v="2024-01-17T00:00:00"/>
    <s v="16:28(-08)"/>
    <s v="Wednesday"/>
    <s v="On Demand"/>
    <x v="18"/>
  </r>
  <r>
    <s v="2024-01-17 16:42 (-08)"/>
    <d v="2024-01-17T00:00:00"/>
    <s v="16:42(-08)"/>
    <s v="Wednesday"/>
    <s v="On Demand"/>
    <x v="1"/>
  </r>
  <r>
    <m/>
    <m/>
    <m/>
    <m/>
    <m/>
    <x v="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B9FFC8-347C-4DFA-A4FD-920B81FED50C}" name="PivotTable5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G20:H33" firstHeaderRow="1" firstDataRow="1" firstDataCol="1" rowPageCount="1" colPageCount="1"/>
  <pivotFields count="23">
    <pivotField showAll="0"/>
    <pivotField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dataField="1"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2" item="6" hier="-1"/>
  </pageFields>
  <dataFields count="1">
    <dataField name="Sum of Length (minutes)" fld="6" baseField="2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983F42-3933-4C7F-BBBF-93ABE8B34783}" name="PivotTable6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D20:E33" firstHeaderRow="1" firstDataRow="1" firstDataCol="1" rowPageCount="1" colPageCount="1"/>
  <pivotFields count="23">
    <pivotField showAll="0"/>
    <pivotField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dataField="1"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2" item="5" hier="-1"/>
  </pageFields>
  <dataFields count="1">
    <dataField name="Sum of Length (minutes)" fld="6" baseField="2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AC958A-0C19-4523-BA89-CC75ABD5B13F}" name="PivotTable7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20:B33" firstHeaderRow="1" firstDataRow="1" firstDataCol="1" rowPageCount="1" colPageCount="1"/>
  <pivotFields count="23">
    <pivotField showAll="0"/>
    <pivotField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dataField="1"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2" item="4" hier="-1"/>
  </pageFields>
  <dataFields count="1">
    <dataField name="Sum of Length (minutes)" fld="6" baseField="21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180B74-74A7-4515-8BB5-F888F3EF3BEE}" name="PivotTable16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G3:H16" firstHeaderRow="1" firstDataRow="1" firstDataCol="1" rowPageCount="1" colPageCount="1"/>
  <pivotFields count="23">
    <pivotField showAll="0"/>
    <pivotField multipleItemSelectionAllowed="1"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dataField="1"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2" item="6" hier="-1"/>
  </pageFields>
  <dataFields count="1">
    <dataField name="Count of Class Timestamp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FBE027-90E6-4EB3-8A98-9E1BB592EFA3}" name="PivotTable15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D3:E16" firstHeaderRow="1" firstDataRow="1" firstDataCol="1" rowPageCount="1" colPageCount="1"/>
  <pivotFields count="23">
    <pivotField showAll="0"/>
    <pivotField multipleItemSelectionAllowed="1"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dataField="1"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2" item="5" hier="-1"/>
  </pageFields>
  <dataFields count="1">
    <dataField name="Count of Class Timestamp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B10297-B9CB-436E-AC61-AB6D3C6FAEB0}" name="PivotTable2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3:B16" firstHeaderRow="1" firstDataRow="1" firstDataCol="1" rowPageCount="1" colPageCount="1"/>
  <pivotFields count="23">
    <pivotField showAll="0"/>
    <pivotField multipleItemSelectionAllowed="1"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dataField="1"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Page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21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ageFields count="1">
    <pageField fld="22" item="4" hier="-1"/>
  </pageFields>
  <dataFields count="1">
    <dataField name="Count of Class Timestamp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ivotTable5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31:C68" firstHeaderRow="0" firstDataRow="1" firstDataCol="1"/>
  <pivotFields count="23">
    <pivotField showAll="0"/>
    <pivotField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>
      <items count="2018">
        <item x="1046"/>
        <item x="894"/>
        <item x="278"/>
        <item x="1296"/>
        <item x="1333"/>
        <item x="366"/>
        <item x="802"/>
        <item x="367"/>
        <item x="68"/>
        <item x="1742"/>
        <item x="473"/>
        <item x="731"/>
        <item x="1346"/>
        <item x="689"/>
        <item x="1210"/>
        <item x="1176"/>
        <item x="1695"/>
        <item x="274"/>
        <item x="958"/>
        <item x="1190"/>
        <item x="1079"/>
        <item x="499"/>
        <item x="1312"/>
        <item x="829"/>
        <item x="1191"/>
        <item x="986"/>
        <item x="1662"/>
        <item x="1047"/>
        <item x="550"/>
        <item x="830"/>
        <item x="1758"/>
        <item x="1465"/>
        <item x="893"/>
        <item x="1672"/>
        <item x="650"/>
        <item x="1077"/>
        <item x="1963"/>
        <item x="506"/>
        <item x="1042"/>
        <item x="651"/>
        <item x="771"/>
        <item x="1438"/>
        <item x="1729"/>
        <item x="1498"/>
        <item x="613"/>
        <item x="530"/>
        <item x="1888"/>
        <item x="1104"/>
        <item x="642"/>
        <item x="1913"/>
        <item x="352"/>
        <item x="531"/>
        <item x="1809"/>
        <item x="1721"/>
        <item x="1932"/>
        <item x="1975"/>
        <item x="1723"/>
        <item x="785"/>
        <item x="171"/>
        <item x="696"/>
        <item x="1889"/>
        <item x="1257"/>
        <item x="791"/>
        <item x="1546"/>
        <item x="327"/>
        <item x="1753"/>
        <item x="781"/>
        <item x="125"/>
        <item x="1557"/>
        <item x="1316"/>
        <item x="134"/>
        <item x="1274"/>
        <item x="672"/>
        <item x="722"/>
        <item x="1544"/>
        <item x="135"/>
        <item x="1032"/>
        <item x="1258"/>
        <item x="1275"/>
        <item x="1580"/>
        <item x="1493"/>
        <item x="1239"/>
        <item x="231"/>
        <item x="1506"/>
        <item x="1711"/>
        <item x="1262"/>
        <item x="1948"/>
        <item x="702"/>
        <item x="1804"/>
        <item x="332"/>
        <item x="1308"/>
        <item x="1309"/>
        <item x="1712"/>
        <item x="1933"/>
        <item x="1696"/>
        <item x="1200"/>
        <item x="907"/>
        <item x="1805"/>
        <item x="374"/>
        <item x="551"/>
        <item x="1551"/>
        <item x="425"/>
        <item x="333"/>
        <item x="692"/>
        <item x="1806"/>
        <item x="919"/>
        <item x="1590"/>
        <item x="269"/>
        <item x="693"/>
        <item x="334"/>
        <item x="999"/>
        <item x="694"/>
        <item x="1885"/>
        <item x="1407"/>
        <item x="1846"/>
        <item x="751"/>
        <item x="335"/>
        <item x="1269"/>
        <item x="908"/>
        <item x="270"/>
        <item x="1636"/>
        <item x="552"/>
        <item x="388"/>
        <item x="1728"/>
        <item x="412"/>
        <item x="451"/>
        <item x="753"/>
        <item x="1794"/>
        <item x="413"/>
        <item x="772"/>
        <item x="1400"/>
        <item x="1591"/>
        <item x="444"/>
        <item x="1985"/>
        <item x="1982"/>
        <item x="1796"/>
        <item x="475"/>
        <item x="1833"/>
        <item x="485"/>
        <item x="561"/>
        <item x="769"/>
        <item x="478"/>
        <item x="61"/>
        <item x="482"/>
        <item x="489"/>
        <item x="1180"/>
        <item x="87"/>
        <item x="1841"/>
        <item x="1627"/>
        <item x="1834"/>
        <item x="1870"/>
        <item x="1977"/>
        <item x="449"/>
        <item x="1886"/>
        <item x="1392"/>
        <item x="690"/>
        <item x="1673"/>
        <item x="1646"/>
        <item x="433"/>
        <item x="562"/>
        <item x="1677"/>
        <item x="1669"/>
        <item x="1791"/>
        <item x="1859"/>
        <item x="1639"/>
        <item x="5"/>
        <item x="469"/>
        <item x="431"/>
        <item x="1861"/>
        <item x="1652"/>
        <item x="1645"/>
        <item x="1974"/>
        <item x="585"/>
        <item x="92"/>
        <item x="1887"/>
        <item x="387"/>
        <item x="1454"/>
        <item x="42"/>
        <item x="85"/>
        <item x="524"/>
        <item x="64"/>
        <item x="1842"/>
        <item x="385"/>
        <item x="695"/>
        <item x="1844"/>
        <item x="14"/>
        <item x="52"/>
        <item x="389"/>
        <item x="1642"/>
        <item x="397"/>
        <item x="1667"/>
        <item x="494"/>
        <item x="47"/>
        <item x="1404"/>
        <item x="69"/>
        <item x="1853"/>
        <item x="120"/>
        <item x="1863"/>
        <item x="24"/>
        <item x="503"/>
        <item x="405"/>
        <item x="414"/>
        <item x="1431"/>
        <item x="1"/>
        <item x="1443"/>
        <item x="11"/>
        <item x="1643"/>
        <item x="1401"/>
        <item x="13"/>
        <item x="26"/>
        <item x="532"/>
        <item x="665"/>
        <item x="500"/>
        <item x="1181"/>
        <item x="415"/>
        <item x="1537"/>
        <item x="792"/>
        <item x="1665"/>
        <item x="1409"/>
        <item x="107"/>
        <item x="1663"/>
        <item x="114"/>
        <item x="486"/>
        <item x="1633"/>
        <item x="1448"/>
        <item x="1442"/>
        <item x="296"/>
        <item x="507"/>
        <item x="479"/>
        <item x="169"/>
        <item x="811"/>
        <item x="483"/>
        <item x="228"/>
        <item x="1415"/>
        <item x="1803"/>
        <item x="422"/>
        <item x="1538"/>
        <item x="1182"/>
        <item x="6"/>
        <item x="1873"/>
        <item x="1410"/>
        <item x="614"/>
        <item x="1455"/>
        <item x="234"/>
        <item x="104"/>
        <item x="65"/>
        <item x="58"/>
        <item x="1855"/>
        <item x="594"/>
        <item x="476"/>
        <item x="394"/>
        <item x="1660"/>
        <item x="118"/>
        <item x="452"/>
        <item x="130"/>
        <item x="1414"/>
        <item x="138"/>
        <item x="434"/>
        <item x="97"/>
        <item x="1422"/>
        <item x="1505"/>
        <item x="66"/>
        <item x="70"/>
        <item x="453"/>
        <item x="1640"/>
        <item x="683"/>
        <item x="1187"/>
        <item x="1635"/>
        <item x="484"/>
        <item x="1444"/>
        <item x="1405"/>
        <item x="2011"/>
        <item x="480"/>
        <item x="136"/>
        <item x="88"/>
        <item x="567"/>
        <item x="1862"/>
        <item x="601"/>
        <item x="1871"/>
        <item x="126"/>
        <item x="1435"/>
        <item x="1406"/>
        <item x="177"/>
        <item x="1661"/>
        <item x="1843"/>
        <item x="656"/>
        <item x="1423"/>
        <item x="194"/>
        <item x="89"/>
        <item x="1411"/>
        <item x="95"/>
        <item x="48"/>
        <item x="71"/>
        <item x="1416"/>
        <item x="1634"/>
        <item x="208"/>
        <item x="1867"/>
        <item x="297"/>
        <item x="481"/>
        <item x="406"/>
        <item x="149"/>
        <item x="1192"/>
        <item x="1412"/>
        <item x="170"/>
        <item x="1571"/>
        <item x="49"/>
        <item x="28"/>
        <item x="1539"/>
        <item x="93"/>
        <item x="12"/>
        <item x="271"/>
        <item x="190"/>
        <item x="86"/>
        <item x="1845"/>
        <item x="799"/>
        <item x="90"/>
        <item x="1049"/>
        <item x="224"/>
        <item x="1666"/>
        <item x="252"/>
        <item x="1445"/>
        <item x="1490"/>
        <item x="53"/>
        <item x="837"/>
        <item x="1872"/>
        <item x="1854"/>
        <item x="1417"/>
        <item x="73"/>
        <item x="1468"/>
        <item x="50"/>
        <item x="25"/>
        <item x="450"/>
        <item x="629"/>
        <item x="1432"/>
        <item x="1864"/>
        <item x="1745"/>
        <item x="1476"/>
        <item x="1641"/>
        <item x="921"/>
        <item x="684"/>
        <item x="666"/>
        <item x="27"/>
        <item x="94"/>
        <item x="1540"/>
        <item x="905"/>
        <item x="31"/>
        <item x="1664"/>
        <item x="1755"/>
        <item x="1761"/>
        <item x="667"/>
        <item x="1968"/>
        <item x="1644"/>
        <item x="1997"/>
        <item x="209"/>
        <item x="1541"/>
        <item x="1188"/>
        <item x="1155"/>
        <item x="1193"/>
        <item x="956"/>
        <item x="1914"/>
        <item x="889"/>
        <item x="38"/>
        <item x="213"/>
        <item x="1050"/>
        <item x="272"/>
        <item x="856"/>
        <item x="34"/>
        <item x="1998"/>
        <item x="1915"/>
        <item x="39"/>
        <item x="952"/>
        <item x="923"/>
        <item x="35"/>
        <item x="1553"/>
        <item x="1189"/>
        <item x="273"/>
        <item x="32"/>
        <item x="1961"/>
        <item x="880"/>
        <item x="1194"/>
        <item x="369"/>
        <item x="1938"/>
        <item x="971"/>
        <item x="33"/>
        <item x="1177"/>
        <item x="881"/>
        <item x="1954"/>
        <item x="988"/>
        <item x="287"/>
        <item x="1554"/>
        <item x="957"/>
        <item x="1195"/>
        <item x="1071"/>
        <item x="890"/>
        <item x="882"/>
        <item x="906"/>
        <item x="1000"/>
        <item x="1762"/>
        <item x="851"/>
        <item x="1341"/>
        <item x="961"/>
        <item x="1607"/>
        <item x="708"/>
        <item x="1025"/>
        <item x="1978"/>
        <item x="1936"/>
        <item x="1568"/>
        <item x="29"/>
        <item x="714"/>
        <item x="970"/>
        <item x="1004"/>
        <item x="709"/>
        <item x="643"/>
        <item x="1542"/>
        <item x="1310"/>
        <item x="30"/>
        <item x="1949"/>
        <item x="1051"/>
        <item x="975"/>
        <item x="1937"/>
        <item x="1916"/>
        <item x="217"/>
        <item x="1939"/>
        <item x="715"/>
        <item x="972"/>
        <item x="1221"/>
        <item x="1921"/>
        <item x="1001"/>
        <item x="1917"/>
        <item x="1062"/>
        <item x="1766"/>
        <item x="987"/>
        <item x="895"/>
        <item x="962"/>
        <item x="1213"/>
        <item x="1940"/>
        <item x="1201"/>
        <item x="1747"/>
        <item x="1473"/>
        <item x="1807"/>
        <item x="896"/>
        <item x="973"/>
        <item x="40"/>
        <item x="1608"/>
        <item x="1941"/>
        <item x="346"/>
        <item x="1955"/>
        <item x="1763"/>
        <item x="1129"/>
        <item x="1279"/>
        <item x="36"/>
        <item x="1289"/>
        <item x="150"/>
        <item x="1226"/>
        <item x="976"/>
        <item x="922"/>
        <item x="41"/>
        <item x="852"/>
        <item x="1207"/>
        <item x="1543"/>
        <item x="857"/>
        <item x="1592"/>
        <item x="1342"/>
        <item x="1294"/>
        <item x="347"/>
        <item x="1764"/>
        <item x="186"/>
        <item x="37"/>
        <item x="1942"/>
        <item x="1278"/>
        <item x="1280"/>
        <item x="974"/>
        <item x="1010"/>
        <item x="821"/>
        <item x="1734"/>
        <item x="1290"/>
        <item x="1088"/>
        <item x="1787"/>
        <item x="1224"/>
        <item x="733"/>
        <item x="1002"/>
        <item x="710"/>
        <item x="858"/>
        <item x="883"/>
        <item x="989"/>
        <item x="891"/>
        <item x="1979"/>
        <item x="275"/>
        <item x="1080"/>
        <item x="370"/>
        <item x="1964"/>
        <item x="1352"/>
        <item x="1285"/>
        <item x="283"/>
        <item x="884"/>
        <item x="1229"/>
        <item x="1956"/>
        <item x="1252"/>
        <item x="1011"/>
        <item x="1545"/>
        <item x="977"/>
        <item x="711"/>
        <item x="1614"/>
        <item x="1099"/>
        <item x="1943"/>
        <item x="1980"/>
        <item x="716"/>
        <item x="75"/>
        <item x="1606"/>
        <item x="1147"/>
        <item x="1767"/>
        <item x="351"/>
        <item x="1335"/>
        <item x="892"/>
        <item x="909"/>
        <item x="1291"/>
        <item x="1222"/>
        <item x="1199"/>
        <item x="1722"/>
        <item x="897"/>
        <item x="746"/>
        <item x="1735"/>
        <item x="1130"/>
        <item x="1100"/>
        <item x="151"/>
        <item x="869"/>
        <item x="1227"/>
        <item x="1950"/>
        <item x="697"/>
        <item x="990"/>
        <item x="2007"/>
        <item x="1986"/>
        <item x="963"/>
        <item x="861"/>
        <item x="1768"/>
        <item x="935"/>
        <item x="1292"/>
        <item x="244"/>
        <item x="717"/>
        <item x="859"/>
        <item x="734"/>
        <item x="932"/>
        <item x="853"/>
        <item x="1081"/>
        <item x="342"/>
        <item x="1330"/>
        <item x="1566"/>
        <item x="1965"/>
        <item x="698"/>
        <item x="1813"/>
        <item x="1084"/>
        <item x="1951"/>
        <item x="321"/>
        <item x="463"/>
        <item x="187"/>
        <item x="822"/>
        <item x="1776"/>
        <item x="901"/>
        <item x="747"/>
        <item x="1343"/>
        <item x="719"/>
        <item x="1966"/>
        <item x="823"/>
        <item x="1082"/>
        <item x="860"/>
        <item x="9"/>
        <item x="1202"/>
        <item x="1228"/>
        <item x="1436"/>
        <item x="1301"/>
        <item x="348"/>
        <item x="164"/>
        <item x="1534"/>
        <item x="1393"/>
        <item x="1724"/>
        <item x="1769"/>
        <item x="1020"/>
        <item x="188"/>
        <item x="703"/>
        <item x="1353"/>
        <item x="978"/>
        <item x="1083"/>
        <item x="940"/>
        <item x="1356"/>
        <item x="276"/>
        <item x="1163"/>
        <item x="1230"/>
        <item x="870"/>
        <item x="1225"/>
        <item x="1281"/>
        <item x="1472"/>
        <item x="1085"/>
        <item x="718"/>
        <item x="218"/>
        <item x="349"/>
        <item x="2008"/>
        <item x="1527"/>
        <item x="1313"/>
        <item x="1205"/>
        <item x="1354"/>
        <item x="825"/>
        <item x="936"/>
        <item x="1108"/>
        <item x="340"/>
        <item x="1164"/>
        <item x="277"/>
        <item x="597"/>
        <item x="1211"/>
        <item x="871"/>
        <item x="1924"/>
        <item x="1302"/>
        <item x="862"/>
        <item x="1437"/>
        <item x="1101"/>
        <item x="1832"/>
        <item x="1535"/>
        <item x="1912"/>
        <item x="902"/>
        <item x="1659"/>
        <item x="1038"/>
        <item x="1555"/>
        <item x="1086"/>
        <item x="1026"/>
        <item x="1056"/>
        <item x="979"/>
        <item x="221"/>
        <item x="1102"/>
        <item x="76"/>
        <item x="598"/>
        <item x="1109"/>
        <item x="1829"/>
        <item x="307"/>
        <item x="933"/>
        <item x="1589"/>
        <item x="1231"/>
        <item x="1331"/>
        <item x="2005"/>
        <item x="303"/>
        <item x="994"/>
        <item x="1922"/>
        <item x="1110"/>
        <item x="1536"/>
        <item x="284"/>
        <item x="898"/>
        <item x="1103"/>
        <item x="1057"/>
        <item x="15"/>
        <item x="748"/>
        <item x="1118"/>
        <item x="995"/>
        <item x="1223"/>
        <item x="1355"/>
        <item x="77"/>
        <item x="1263"/>
        <item x="1003"/>
        <item x="595"/>
        <item x="245"/>
        <item x="10"/>
        <item x="1332"/>
        <item x="1524"/>
        <item x="937"/>
        <item x="288"/>
        <item x="685"/>
        <item x="934"/>
        <item x="78"/>
        <item x="1314"/>
        <item x="1799"/>
        <item x="1969"/>
        <item x="246"/>
        <item x="1743"/>
        <item x="1094"/>
        <item x="1621"/>
        <item x="660"/>
        <item x="737"/>
        <item x="953"/>
        <item x="1923"/>
        <item x="1947"/>
        <item x="1800"/>
        <item x="1482"/>
        <item x="980"/>
        <item x="322"/>
        <item x="679"/>
        <item x="1087"/>
        <item x="289"/>
        <item x="996"/>
        <item x="1297"/>
        <item x="265"/>
        <item x="1096"/>
        <item x="1620"/>
        <item x="925"/>
        <item x="915"/>
        <item x="165"/>
        <item x="803"/>
        <item x="1206"/>
        <item x="1452"/>
        <item x="1616"/>
        <item x="661"/>
        <item x="899"/>
        <item x="304"/>
        <item x="1801"/>
        <item x="0"/>
        <item x="926"/>
        <item x="1069"/>
        <item x="1931"/>
        <item x="1315"/>
        <item x="1357"/>
        <item x="1615"/>
        <item x="723"/>
        <item x="1453"/>
        <item x="166"/>
        <item x="941"/>
        <item x="1893"/>
        <item x="1052"/>
        <item x="1387"/>
        <item x="98"/>
        <item x="757"/>
        <item x="1802"/>
        <item x="1039"/>
        <item x="1144"/>
        <item x="1464"/>
        <item x="1495"/>
        <item x="1447"/>
        <item x="167"/>
        <item x="944"/>
        <item x="1021"/>
        <item x="1111"/>
        <item x="379"/>
        <item x="1349"/>
        <item x="724"/>
        <item x="927"/>
        <item x="330"/>
        <item x="1344"/>
        <item x="2014"/>
        <item x="214"/>
        <item x="1622"/>
        <item x="997"/>
        <item x="376"/>
        <item x="305"/>
        <item x="1095"/>
        <item x="1131"/>
        <item x="903"/>
        <item x="172"/>
        <item x="1389"/>
        <item x="1925"/>
        <item x="1466"/>
        <item x="393"/>
        <item x="959"/>
        <item x="1022"/>
        <item x="1112"/>
        <item x="191"/>
        <item x="1388"/>
        <item x="357"/>
        <item x="464"/>
        <item x="225"/>
        <item x="774"/>
        <item x="621"/>
        <item x="215"/>
        <item x="1012"/>
        <item x="262"/>
        <item x="1483"/>
        <item x="222"/>
        <item x="991"/>
        <item x="1727"/>
        <item x="904"/>
        <item x="131"/>
        <item x="568"/>
        <item x="1926"/>
        <item x="139"/>
        <item x="1023"/>
        <item x="1171"/>
        <item x="1897"/>
        <item x="1058"/>
        <item x="292"/>
        <item x="1358"/>
        <item x="1217"/>
        <item x="1053"/>
        <item x="323"/>
        <item x="290"/>
        <item x="308"/>
        <item x="1059"/>
        <item x="1134"/>
        <item x="1463"/>
        <item x="1514"/>
        <item x="1165"/>
        <item x="1624"/>
        <item x="804"/>
        <item x="1145"/>
        <item x="1778"/>
        <item x="662"/>
        <item x="1759"/>
        <item x="1890"/>
        <item x="1350"/>
        <item x="1496"/>
        <item x="738"/>
        <item x="1584"/>
        <item x="226"/>
        <item x="210"/>
        <item x="306"/>
        <item x="1484"/>
        <item x="1264"/>
        <item x="1218"/>
        <item x="145"/>
        <item x="1097"/>
        <item x="640"/>
        <item x="324"/>
        <item x="739"/>
        <item x="1751"/>
        <item x="916"/>
        <item x="805"/>
        <item x="1090"/>
        <item x="848"/>
        <item x="1910"/>
        <item x="998"/>
        <item x="741"/>
        <item x="981"/>
        <item x="1054"/>
        <item x="1013"/>
        <item x="806"/>
        <item x="1474"/>
        <item x="1317"/>
        <item x="1345"/>
        <item x="720"/>
        <item x="533"/>
        <item x="1098"/>
        <item x="1692"/>
        <item x="263"/>
        <item x="301"/>
        <item x="1060"/>
        <item x="173"/>
        <item x="285"/>
        <item x="948"/>
        <item x="1515"/>
        <item x="1172"/>
        <item x="1146"/>
        <item x="1373"/>
        <item x="192"/>
        <item x="1771"/>
        <item x="1261"/>
        <item x="199"/>
        <item x="1014"/>
        <item x="260"/>
        <item x="291"/>
        <item x="1973"/>
        <item x="1582"/>
        <item x="343"/>
        <item x="775"/>
        <item x="309"/>
        <item x="982"/>
        <item x="174"/>
        <item x="1135"/>
        <item x="200"/>
        <item x="1321"/>
        <item x="1125"/>
        <item x="1061"/>
        <item x="132"/>
        <item x="1779"/>
        <item x="302"/>
        <item x="1777"/>
        <item x="1715"/>
        <item x="316"/>
        <item x="1927"/>
        <item x="912"/>
        <item x="1497"/>
        <item x="838"/>
        <item x="1868"/>
        <item x="1467"/>
        <item x="1319"/>
        <item x="1040"/>
        <item x="325"/>
        <item x="175"/>
        <item x="1795"/>
        <item x="983"/>
        <item x="1516"/>
        <item x="1780"/>
        <item x="133"/>
        <item x="317"/>
        <item x="1136"/>
        <item x="1377"/>
        <item x="1928"/>
        <item x="161"/>
        <item x="1808"/>
        <item x="1528"/>
        <item x="1359"/>
        <item x="839"/>
        <item x="872"/>
        <item x="1041"/>
        <item x="156"/>
        <item x="1781"/>
        <item x="195"/>
        <item x="1731"/>
        <item x="1581"/>
        <item x="253"/>
        <item x="1716"/>
        <item x="80"/>
        <item x="1957"/>
        <item x="669"/>
        <item x="849"/>
        <item x="1601"/>
        <item x="1737"/>
        <item x="1756"/>
        <item x="1919"/>
        <item x="663"/>
        <item x="1126"/>
        <item x="1074"/>
        <item x="1826"/>
        <item x="1033"/>
        <item x="196"/>
        <item x="1725"/>
        <item x="664"/>
        <item x="1772"/>
        <item x="1760"/>
        <item x="254"/>
        <item x="721"/>
        <item x="850"/>
        <item x="1351"/>
        <item x="1265"/>
        <item x="1440"/>
        <item x="1374"/>
        <item x="1173"/>
        <item x="1993"/>
        <item x="742"/>
        <item x="1583"/>
        <item x="1075"/>
        <item x="1208"/>
        <item x="866"/>
        <item x="1318"/>
        <item x="992"/>
        <item x="1375"/>
        <item x="201"/>
        <item x="162"/>
        <item x="917"/>
        <item x="1441"/>
        <item x="1266"/>
        <item x="949"/>
        <item x="1219"/>
        <item x="1572"/>
        <item x="1382"/>
        <item x="1811"/>
        <item x="993"/>
        <item x="743"/>
        <item x="1558"/>
        <item x="1076"/>
        <item x="1782"/>
        <item x="1127"/>
        <item x="1560"/>
        <item x="261"/>
        <item x="1323"/>
        <item x="202"/>
        <item x="950"/>
        <item x="1714"/>
        <item x="362"/>
        <item x="1267"/>
        <item x="318"/>
        <item x="1738"/>
        <item x="1789"/>
        <item x="1361"/>
        <item x="763"/>
        <item x="924"/>
        <item x="1999"/>
        <item x="1379"/>
        <item x="1477"/>
        <item x="1174"/>
        <item x="951"/>
        <item x="1976"/>
        <item x="2006"/>
        <item x="1958"/>
        <item x="670"/>
        <item x="319"/>
        <item x="1451"/>
        <item x="1220"/>
        <item x="1726"/>
        <item x="1602"/>
        <item x="1115"/>
        <item x="1386"/>
        <item x="671"/>
        <item x="954"/>
        <item x="1981"/>
        <item x="197"/>
        <item x="1066"/>
        <item x="1944"/>
        <item x="873"/>
        <item x="1367"/>
        <item x="1336"/>
        <item x="777"/>
        <item x="1320"/>
        <item x="1573"/>
        <item x="840"/>
        <item x="390"/>
        <item x="1784"/>
        <item x="320"/>
        <item x="1819"/>
        <item x="91"/>
        <item x="81"/>
        <item x="1603"/>
        <item x="782"/>
        <item x="1702"/>
        <item x="198"/>
        <item x="1324"/>
        <item x="867"/>
        <item x="1988"/>
        <item x="1128"/>
        <item x="1812"/>
        <item x="1959"/>
        <item x="727"/>
        <item x="337"/>
        <item x="1827"/>
        <item x="1067"/>
        <item x="1609"/>
        <item x="1132"/>
        <item x="1574"/>
        <item x="1446"/>
        <item x="255"/>
        <item x="1249"/>
        <item x="1785"/>
        <item x="1900"/>
        <item x="2004"/>
        <item x="1820"/>
        <item x="773"/>
        <item x="44"/>
        <item x="930"/>
        <item x="1970"/>
        <item x="1561"/>
        <item x="1994"/>
        <item x="1362"/>
        <item x="1027"/>
        <item x="82"/>
        <item x="1773"/>
        <item x="1203"/>
        <item x="1995"/>
        <item x="712"/>
        <item x="868"/>
        <item x="1175"/>
        <item x="764"/>
        <item x="1879"/>
        <item x="1562"/>
        <item x="1604"/>
        <item x="1575"/>
        <item x="1105"/>
        <item x="1270"/>
        <item x="819"/>
        <item x="1822"/>
        <item x="1327"/>
        <item x="1774"/>
        <item x="16"/>
        <item x="1990"/>
        <item x="744"/>
        <item x="1364"/>
        <item x="83"/>
        <item x="1380"/>
        <item x="845"/>
        <item x="1983"/>
        <item x="1996"/>
        <item x="1068"/>
        <item x="1469"/>
        <item x="17"/>
        <item x="1563"/>
        <item x="765"/>
        <item x="1719"/>
        <item x="1531"/>
        <item x="2012"/>
        <item x="728"/>
        <item x="1790"/>
        <item x="1491"/>
        <item x="1209"/>
        <item x="835"/>
        <item x="1623"/>
        <item x="1325"/>
        <item x="344"/>
        <item x="1381"/>
        <item x="1930"/>
        <item x="778"/>
        <item x="1612"/>
        <item x="1617"/>
        <item x="1008"/>
        <item x="1739"/>
        <item x="1564"/>
        <item x="1600"/>
        <item x="1744"/>
        <item x="1034"/>
        <item x="1984"/>
        <item x="543"/>
        <item x="808"/>
        <item x="1815"/>
        <item x="1718"/>
        <item x="832"/>
        <item x="1788"/>
        <item x="360"/>
        <item x="1817"/>
        <item x="704"/>
        <item x="1594"/>
        <item x="293"/>
        <item x="1906"/>
        <item x="749"/>
        <item x="544"/>
        <item x="1720"/>
        <item x="754"/>
        <item x="938"/>
        <item x="178"/>
        <item x="1821"/>
        <item x="1271"/>
        <item x="767"/>
        <item x="1618"/>
        <item x="1586"/>
        <item x="1337"/>
        <item x="1369"/>
        <item x="736"/>
        <item x="1816"/>
        <item x="1122"/>
        <item x="1987"/>
        <item x="311"/>
        <item x="359"/>
        <item x="1786"/>
        <item x="2015"/>
        <item x="1598"/>
        <item x="1396"/>
        <item x="363"/>
        <item x="1960"/>
        <item x="336"/>
        <item x="617"/>
        <item x="1682"/>
        <item x="1989"/>
        <item x="1740"/>
        <item x="1512"/>
        <item x="800"/>
        <item x="179"/>
        <item x="391"/>
        <item x="931"/>
        <item x="1106"/>
        <item x="652"/>
        <item x="1824"/>
        <item x="705"/>
        <item x="793"/>
        <item x="1971"/>
        <item x="1140"/>
        <item x="786"/>
        <item x="2010"/>
        <item x="1028"/>
        <item x="1705"/>
        <item x="364"/>
        <item x="911"/>
        <item x="1363"/>
        <item x="1250"/>
        <item x="1529"/>
        <item x="1107"/>
        <item x="1488"/>
        <item x="625"/>
        <item x="635"/>
        <item x="618"/>
        <item x="1828"/>
        <item x="1532"/>
        <item x="1757"/>
        <item x="266"/>
        <item x="842"/>
        <item x="392"/>
        <item x="1523"/>
        <item x="2"/>
        <item x="1251"/>
        <item x="1593"/>
        <item x="1610"/>
        <item x="18"/>
        <item x="1328"/>
        <item x="1749"/>
        <item x="589"/>
        <item x="345"/>
        <item x="706"/>
        <item x="180"/>
        <item x="1287"/>
        <item x="571"/>
        <item x="810"/>
        <item x="1613"/>
        <item x="1383"/>
        <item x="1992"/>
        <item x="833"/>
        <item x="1945"/>
        <item x="1329"/>
        <item x="1113"/>
        <item x="1384"/>
        <item x="1009"/>
        <item x="1035"/>
        <item x="1730"/>
        <item x="1892"/>
        <item x="1688"/>
        <item x="626"/>
        <item x="572"/>
        <item x="1619"/>
        <item x="787"/>
        <item x="1043"/>
        <item x="1397"/>
        <item x="490"/>
        <item x="1133"/>
        <item x="1334"/>
        <item x="846"/>
        <item x="1253"/>
        <item x="622"/>
        <item x="157"/>
        <item x="1036"/>
        <item x="2000"/>
        <item x="545"/>
        <item x="1509"/>
        <item x="1161"/>
        <item x="1898"/>
        <item x="1502"/>
        <item x="236"/>
        <item x="146"/>
        <item x="438"/>
        <item x="1556"/>
        <item x="1276"/>
        <item x="755"/>
        <item x="534"/>
        <item x="294"/>
        <item x="779"/>
        <item x="1818"/>
        <item x="375"/>
        <item x="1303"/>
        <item x="546"/>
        <item x="795"/>
        <item x="729"/>
        <item x="377"/>
        <item x="776"/>
        <item x="965"/>
        <item x="1123"/>
        <item x="1595"/>
        <item x="312"/>
        <item x="1385"/>
        <item x="158"/>
        <item x="1533"/>
        <item x="1611"/>
        <item x="1946"/>
        <item x="796"/>
        <item x="1559"/>
        <item x="455"/>
        <item x="1503"/>
        <item x="439"/>
        <item x="181"/>
        <item x="645"/>
        <item x="267"/>
        <item x="1683"/>
        <item x="1055"/>
        <item x="99"/>
        <item x="756"/>
        <item x="836"/>
        <item x="1866"/>
        <item x="1585"/>
        <item x="1569"/>
        <item x="1775"/>
        <item x="609"/>
        <item x="1370"/>
        <item x="1797"/>
        <item x="615"/>
        <item x="1298"/>
        <item x="955"/>
        <item x="203"/>
        <item x="1972"/>
        <item x="1510"/>
        <item x="1255"/>
        <item x="547"/>
        <item x="633"/>
        <item x="1530"/>
        <item x="1684"/>
        <item x="1124"/>
        <item x="1576"/>
        <item x="1798"/>
        <item x="182"/>
        <item x="960"/>
        <item x="750"/>
        <item x="1876"/>
        <item x="1732"/>
        <item x="1507"/>
        <item x="147"/>
        <item x="237"/>
        <item x="653"/>
        <item x="548"/>
        <item x="100"/>
        <item x="783"/>
        <item x="279"/>
        <item x="1162"/>
        <item x="610"/>
        <item x="1880"/>
        <item x="780"/>
        <item x="1371"/>
        <item x="1119"/>
        <item x="812"/>
        <item x="1470"/>
        <item x="1120"/>
        <item x="686"/>
        <item x="1486"/>
        <item x="1299"/>
        <item x="1499"/>
        <item x="834"/>
        <item x="1511"/>
        <item x="1494"/>
        <item x="1121"/>
        <item x="611"/>
        <item x="1752"/>
        <item x="646"/>
        <item x="1508"/>
        <item x="280"/>
        <item x="1029"/>
        <item x="256"/>
        <item x="535"/>
        <item x="372"/>
        <item x="1304"/>
        <item x="1500"/>
        <item x="1487"/>
        <item x="3"/>
        <item x="654"/>
        <item x="599"/>
        <item x="863"/>
        <item x="627"/>
        <item x="298"/>
        <item x="794"/>
        <item x="538"/>
        <item x="328"/>
        <item x="1322"/>
        <item x="204"/>
        <item x="573"/>
        <item x="2002"/>
        <item x="1372"/>
        <item x="491"/>
        <item x="557"/>
        <item x="403"/>
        <item x="801"/>
        <item x="1877"/>
        <item x="730"/>
        <item x="1449"/>
        <item x="1750"/>
        <item x="1525"/>
        <item x="569"/>
        <item x="864"/>
        <item x="628"/>
        <item x="539"/>
        <item x="939"/>
        <item x="574"/>
        <item x="466"/>
        <item x="707"/>
        <item x="1015"/>
        <item x="607"/>
        <item x="517"/>
        <item x="1894"/>
        <item x="1244"/>
        <item x="1450"/>
        <item x="1741"/>
        <item x="1699"/>
        <item x="1911"/>
        <item x="536"/>
        <item x="815"/>
        <item x="1519"/>
        <item x="353"/>
        <item x="967"/>
        <item x="1305"/>
        <item x="1521"/>
        <item x="248"/>
        <item x="1895"/>
        <item x="788"/>
        <item x="159"/>
        <item x="623"/>
        <item x="1475"/>
        <item x="153"/>
        <item x="205"/>
        <item x="590"/>
        <item x="1567"/>
        <item x="440"/>
        <item x="847"/>
        <item x="1016"/>
        <item x="619"/>
        <item x="575"/>
        <item x="1899"/>
        <item x="229"/>
        <item x="1492"/>
        <item x="854"/>
        <item x="1183"/>
        <item x="1489"/>
        <item x="1237"/>
        <item x="789"/>
        <item x="1825"/>
        <item x="624"/>
        <item x="563"/>
        <item x="441"/>
        <item x="1878"/>
        <item x="1587"/>
        <item x="1685"/>
        <item x="109"/>
        <item x="160"/>
        <item x="1456"/>
        <item x="314"/>
        <item x="768"/>
        <item x="2013"/>
        <item x="1306"/>
        <item x="1142"/>
        <item x="813"/>
        <item x="1693"/>
        <item x="1017"/>
        <item x="442"/>
        <item x="1891"/>
        <item x="1674"/>
        <item x="456"/>
        <item x="828"/>
        <item x="865"/>
        <item x="1588"/>
        <item x="487"/>
        <item x="286"/>
        <item x="1577"/>
        <item x="1651"/>
        <item x="564"/>
        <item x="1792"/>
        <item x="673"/>
        <item x="553"/>
        <item x="154"/>
        <item x="770"/>
        <item x="1570"/>
        <item x="1240"/>
        <item x="616"/>
        <item x="591"/>
        <item x="680"/>
        <item x="1485"/>
        <item x="457"/>
        <item x="1896"/>
        <item x="1522"/>
        <item x="687"/>
        <item x="945"/>
        <item x="606"/>
        <item x="504"/>
        <item x="1882"/>
        <item x="1245"/>
        <item x="677"/>
        <item x="1114"/>
        <item x="1471"/>
        <item x="1952"/>
        <item x="1398"/>
        <item x="238"/>
        <item x="1480"/>
        <item x="1241"/>
        <item x="1288"/>
        <item x="299"/>
        <item x="1457"/>
        <item x="554"/>
        <item x="404"/>
        <item x="508"/>
        <item x="558"/>
        <item x="206"/>
        <item x="579"/>
        <item x="239"/>
        <item x="540"/>
        <item x="1064"/>
        <item x="1823"/>
        <item x="1143"/>
        <item x="1578"/>
        <item x="674"/>
        <item x="725"/>
        <item x="443"/>
        <item x="608"/>
        <item x="1883"/>
        <item x="1300"/>
        <item x="257"/>
        <item x="281"/>
        <item x="1517"/>
        <item x="600"/>
        <item x="636"/>
        <item x="1481"/>
        <item x="816"/>
        <item x="1242"/>
        <item x="354"/>
        <item x="541"/>
        <item x="855"/>
        <item x="1929"/>
        <item x="966"/>
        <item x="416"/>
        <item x="612"/>
        <item x="1254"/>
        <item x="155"/>
        <item x="467"/>
        <item x="1678"/>
        <item x="1918"/>
        <item x="1196"/>
        <item x="559"/>
        <item x="395"/>
        <item x="258"/>
        <item x="580"/>
        <item x="1185"/>
        <item x="576"/>
        <item x="219"/>
        <item x="784"/>
        <item x="603"/>
        <item x="54"/>
        <item x="249"/>
        <item x="758"/>
        <item x="1679"/>
        <item x="417"/>
        <item x="518"/>
        <item x="300"/>
        <item x="570"/>
        <item x="127"/>
        <item x="1478"/>
        <item x="1238"/>
        <item x="1708"/>
        <item x="592"/>
        <item x="817"/>
        <item x="45"/>
        <item x="1137"/>
        <item x="110"/>
        <item x="1246"/>
        <item x="378"/>
        <item x="648"/>
        <item x="560"/>
        <item x="19"/>
        <item x="501"/>
        <item x="1479"/>
        <item x="1837"/>
        <item x="1518"/>
        <item x="1694"/>
        <item x="1793"/>
        <item x="691"/>
        <item x="400"/>
        <item x="1501"/>
        <item x="1141"/>
        <item x="519"/>
        <item x="525"/>
        <item x="111"/>
        <item x="1186"/>
        <item x="542"/>
        <item x="1138"/>
        <item x="495"/>
        <item x="1901"/>
        <item x="1717"/>
        <item x="555"/>
        <item x="1838"/>
        <item x="250"/>
        <item x="928"/>
        <item x="688"/>
        <item x="1243"/>
        <item x="498"/>
        <item x="726"/>
        <item x="383"/>
        <item x="115"/>
        <item x="565"/>
        <item x="259"/>
        <item x="649"/>
        <item x="1632"/>
        <item x="184"/>
        <item x="55"/>
        <item x="128"/>
        <item x="140"/>
        <item x="1630"/>
        <item x="112"/>
        <item x="1907"/>
        <item x="1628"/>
        <item x="1934"/>
        <item x="310"/>
        <item x="1139"/>
        <item x="512"/>
        <item x="1902"/>
        <item x="1865"/>
        <item x="826"/>
        <item x="675"/>
        <item x="1653"/>
        <item x="586"/>
        <item x="4"/>
        <item x="1170"/>
        <item x="1905"/>
        <item x="577"/>
        <item x="1908"/>
        <item x="43"/>
        <item x="647"/>
        <item x="1839"/>
        <item x="509"/>
        <item x="526"/>
        <item x="386"/>
        <item x="505"/>
        <item x="946"/>
        <item x="1232"/>
        <item x="681"/>
        <item x="587"/>
        <item x="1629"/>
        <item x="699"/>
        <item x="7"/>
        <item x="2009"/>
        <item x="1072"/>
        <item x="1394"/>
        <item x="510"/>
        <item x="427"/>
        <item x="1326"/>
        <item x="1092"/>
        <item x="1458"/>
        <item x="578"/>
        <item x="401"/>
        <item x="1920"/>
        <item x="1903"/>
        <item x="103"/>
        <item x="396"/>
        <item x="682"/>
        <item x="604"/>
        <item x="121"/>
        <item x="947"/>
        <item x="759"/>
        <item x="827"/>
        <item x="790"/>
        <item x="1713"/>
        <item x="1149"/>
        <item x="929"/>
        <item x="1874"/>
        <item x="581"/>
        <item x="1184"/>
        <item x="1700"/>
        <item x="657"/>
        <item x="1680"/>
        <item x="1625"/>
        <item x="630"/>
        <item x="605"/>
        <item x="1670"/>
        <item x="418"/>
        <item x="1433"/>
        <item x="402"/>
        <item x="1709"/>
        <item x="1850"/>
        <item x="382"/>
        <item x="513"/>
        <item x="1881"/>
        <item x="831"/>
        <item x="240"/>
        <item x="797"/>
        <item x="760"/>
        <item x="1847"/>
        <item x="843"/>
        <item x="1427"/>
        <item x="582"/>
        <item x="1395"/>
        <item x="1668"/>
        <item x="471"/>
        <item x="1259"/>
        <item x="488"/>
        <item x="527"/>
        <item x="1167"/>
        <item x="631"/>
        <item x="419"/>
        <item x="583"/>
        <item x="1830"/>
        <item x="1460"/>
        <item x="1904"/>
        <item x="1391"/>
        <item x="514"/>
        <item x="20"/>
        <item x="384"/>
        <item x="1689"/>
        <item x="1283"/>
        <item x="761"/>
        <item x="1247"/>
        <item x="876"/>
        <item x="1157"/>
        <item x="1701"/>
        <item x="1424"/>
        <item x="658"/>
        <item x="516"/>
        <item x="1637"/>
        <item x="496"/>
        <item x="528"/>
        <item x="1671"/>
        <item x="1690"/>
        <item x="1631"/>
        <item x="1434"/>
        <item x="1158"/>
        <item x="515"/>
        <item x="1260"/>
        <item x="641"/>
        <item x="1148"/>
        <item x="1681"/>
        <item x="185"/>
        <item x="21"/>
        <item x="497"/>
        <item x="141"/>
        <item x="1233"/>
        <item x="1647"/>
        <item x="1156"/>
        <item x="659"/>
        <item x="428"/>
        <item x="1073"/>
        <item x="436"/>
        <item x="520"/>
        <item x="420"/>
        <item x="1909"/>
        <item x="1284"/>
        <item x="1648"/>
        <item x="142"/>
        <item x="942"/>
        <item x="1638"/>
        <item x="2001"/>
        <item x="1459"/>
        <item x="1836"/>
        <item x="1286"/>
        <item x="644"/>
        <item x="1234"/>
        <item x="105"/>
        <item x="1150"/>
        <item x="429"/>
        <item x="143"/>
        <item x="1875"/>
        <item x="8"/>
        <item x="437"/>
        <item x="1754"/>
        <item x="1626"/>
        <item x="637"/>
        <item x="1851"/>
        <item x="46"/>
        <item x="1197"/>
        <item x="1151"/>
        <item x="430"/>
        <item x="241"/>
        <item x="752"/>
        <item x="1018"/>
        <item x="122"/>
        <item x="1691"/>
        <item x="1117"/>
        <item x="1159"/>
        <item x="943"/>
        <item x="1852"/>
        <item x="1168"/>
        <item x="1884"/>
        <item x="242"/>
        <item x="1399"/>
        <item x="123"/>
        <item x="1376"/>
        <item x="1461"/>
        <item x="879"/>
        <item x="1703"/>
        <item x="1547"/>
        <item x="1831"/>
        <item x="1425"/>
        <item x="1214"/>
        <item x="1418"/>
        <item x="1835"/>
        <item x="913"/>
        <item x="1462"/>
        <item x="1347"/>
        <item x="1019"/>
        <item x="638"/>
        <item x="1160"/>
        <item x="1848"/>
        <item x="421"/>
        <item x="888"/>
        <item x="632"/>
        <item x="886"/>
        <item x="1178"/>
        <item x="1235"/>
        <item x="700"/>
        <item x="1272"/>
        <item x="1849"/>
        <item x="1408"/>
        <item x="445"/>
        <item x="556"/>
        <item x="910"/>
        <item x="877"/>
        <item x="521"/>
        <item x="380"/>
        <item x="1006"/>
        <item x="1697"/>
        <item x="1548"/>
        <item x="381"/>
        <item x="1599"/>
        <item x="1426"/>
        <item x="701"/>
        <item x="1293"/>
        <item x="522"/>
        <item x="1860"/>
        <item x="1654"/>
        <item x="1675"/>
        <item x="1402"/>
        <item x="798"/>
        <item x="1704"/>
        <item x="358"/>
        <item x="1419"/>
        <item x="1215"/>
        <item x="1840"/>
        <item x="459"/>
        <item x="465"/>
        <item x="1273"/>
        <item x="1390"/>
        <item x="523"/>
        <item x="409"/>
        <item x="1179"/>
        <item x="1169"/>
        <item x="106"/>
        <item x="1166"/>
        <item x="22"/>
        <item x="984"/>
        <item x="1649"/>
        <item x="1078"/>
        <item x="1420"/>
        <item x="1365"/>
        <item x="1698"/>
        <item x="1856"/>
        <item x="63"/>
        <item x="1810"/>
        <item x="1198"/>
        <item x="1089"/>
        <item x="1710"/>
        <item x="878"/>
        <item x="1686"/>
        <item x="885"/>
        <item x="1706"/>
        <item x="23"/>
        <item x="1154"/>
        <item x="807"/>
        <item x="1857"/>
        <item x="1676"/>
        <item x="1552"/>
        <item x="446"/>
        <item x="407"/>
        <item x="1655"/>
        <item x="1403"/>
        <item x="968"/>
        <item x="1421"/>
        <item x="1216"/>
        <item x="887"/>
        <item x="1048"/>
        <item x="447"/>
        <item x="1656"/>
        <item x="914"/>
        <item x="338"/>
        <item x="874"/>
        <item x="470"/>
        <item x="220"/>
        <item x="969"/>
        <item x="1858"/>
        <item x="1116"/>
        <item x="1428"/>
        <item x="1687"/>
        <item x="1070"/>
        <item x="1597"/>
        <item x="875"/>
        <item x="1657"/>
        <item x="341"/>
        <item x="1338"/>
        <item x="460"/>
        <item x="1152"/>
        <item x="339"/>
        <item x="1429"/>
        <item x="492"/>
        <item x="1650"/>
        <item x="1204"/>
        <item x="315"/>
        <item x="410"/>
        <item x="423"/>
        <item x="461"/>
        <item x="458"/>
        <item x="1596"/>
        <item x="1005"/>
        <item x="1236"/>
        <item x="549"/>
        <item x="1707"/>
        <item x="411"/>
        <item x="1153"/>
        <item x="511"/>
        <item x="1024"/>
        <item x="920"/>
        <item x="602"/>
        <item x="1733"/>
        <item x="189"/>
        <item x="408"/>
        <item x="502"/>
        <item x="566"/>
        <item x="537"/>
        <item x="432"/>
        <item x="844"/>
        <item x="424"/>
        <item x="227"/>
        <item x="634"/>
        <item x="1093"/>
        <item x="398"/>
        <item x="900"/>
        <item x="152"/>
        <item x="60"/>
        <item x="1991"/>
        <item x="588"/>
        <item x="824"/>
        <item x="584"/>
        <item x="96"/>
        <item x="365"/>
        <item x="62"/>
        <item x="399"/>
        <item x="1256"/>
        <item x="1348"/>
        <item x="529"/>
        <item x="655"/>
        <item x="355"/>
        <item x="1413"/>
        <item x="435"/>
        <item x="468"/>
        <item x="620"/>
        <item x="137"/>
        <item x="233"/>
        <item x="235"/>
        <item x="1748"/>
        <item x="361"/>
        <item x="593"/>
        <item x="51"/>
        <item x="841"/>
        <item x="117"/>
        <item x="814"/>
        <item x="1549"/>
        <item x="766"/>
        <item x="740"/>
        <item x="1339"/>
        <item x="493"/>
        <item x="1044"/>
        <item x="1212"/>
        <item x="1935"/>
        <item x="124"/>
        <item x="56"/>
        <item x="1360"/>
        <item x="448"/>
        <item x="472"/>
        <item x="1295"/>
        <item x="639"/>
        <item x="57"/>
        <item x="243"/>
        <item x="454"/>
        <item x="232"/>
        <item x="1311"/>
        <item x="596"/>
        <item x="371"/>
        <item x="102"/>
        <item x="247"/>
        <item x="101"/>
        <item x="426"/>
        <item x="713"/>
        <item x="67"/>
        <item x="230"/>
        <item x="1736"/>
        <item x="678"/>
        <item x="477"/>
        <item x="373"/>
        <item x="676"/>
        <item x="1307"/>
        <item x="193"/>
        <item x="1550"/>
        <item x="207"/>
        <item x="462"/>
        <item x="72"/>
        <item x="762"/>
        <item x="313"/>
        <item x="1605"/>
        <item x="964"/>
        <item x="1814"/>
        <item x="74"/>
        <item x="1065"/>
        <item x="1770"/>
        <item x="820"/>
        <item x="1658"/>
        <item x="84"/>
        <item x="1967"/>
        <item x="1282"/>
        <item x="129"/>
        <item x="732"/>
        <item x="295"/>
        <item x="745"/>
        <item x="1520"/>
        <item x="79"/>
        <item x="474"/>
        <item x="119"/>
        <item x="1783"/>
        <item x="163"/>
        <item x="148"/>
        <item x="1045"/>
        <item x="1248"/>
        <item x="985"/>
        <item x="1565"/>
        <item x="1007"/>
        <item x="1091"/>
        <item x="268"/>
        <item x="216"/>
        <item x="176"/>
        <item x="113"/>
        <item x="1439"/>
        <item x="350"/>
        <item x="1063"/>
        <item x="1765"/>
        <item x="211"/>
        <item x="168"/>
        <item x="1430"/>
        <item x="1268"/>
        <item x="1526"/>
        <item x="2003"/>
        <item x="1368"/>
        <item x="144"/>
        <item x="356"/>
        <item x="1037"/>
        <item x="326"/>
        <item x="59"/>
        <item x="735"/>
        <item x="1504"/>
        <item x="1277"/>
        <item x="331"/>
        <item x="1378"/>
        <item x="918"/>
        <item x="1340"/>
        <item x="1746"/>
        <item x="1962"/>
        <item x="1030"/>
        <item x="251"/>
        <item x="1031"/>
        <item x="329"/>
        <item x="212"/>
        <item x="1579"/>
        <item x="809"/>
        <item x="1869"/>
        <item x="183"/>
        <item x="223"/>
        <item x="116"/>
        <item x="368"/>
        <item x="1366"/>
        <item x="108"/>
        <item x="818"/>
        <item x="1513"/>
        <item x="282"/>
        <item x="668"/>
        <item x="1953"/>
        <item x="264"/>
        <item x="2016"/>
        <item t="default"/>
      </items>
    </pivotField>
    <pivotField showAll="0">
      <items count="9">
        <item x="3"/>
        <item x="1"/>
        <item x="5"/>
        <item x="6"/>
        <item x="4"/>
        <item x="0"/>
        <item x="2"/>
        <item x="7"/>
        <item t="default"/>
      </items>
    </pivotField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axis="axisRow" showAll="0">
      <items count="37">
        <item sd="0" x="32"/>
        <item sd="0" x="21"/>
        <item sd="0" x="13"/>
        <item sd="0" x="3"/>
        <item sd="0" x="33"/>
        <item sd="0" x="31"/>
        <item sd="0" x="1"/>
        <item sd="0" x="19"/>
        <item sd="0" x="20"/>
        <item sd="0"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dataField="1"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Distance (mi)" fld="16" baseField="0" baseItem="0"/>
    <dataField name="Count of Class Timestamp" fld="1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3:C17" firstHeaderRow="0" firstDataRow="1" firstDataCol="1"/>
  <pivotFields count="23">
    <pivotField showAll="0"/>
    <pivotField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showAll="0"/>
    <pivotField showAll="0"/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axis="axisRow"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dataField="1"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7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Class Timestamp" fld="10" subtotal="count" baseField="0" baseItem="0"/>
    <dataField name="Sum of Distance (mi)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ivotTable4" cacheId="0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>
  <location ref="A19:D28" firstHeaderRow="0" firstDataRow="1" firstDataCol="1"/>
  <pivotFields count="23">
    <pivotField showAll="0"/>
    <pivotField showAll="0">
      <items count="1178">
        <item x="815"/>
        <item x="631"/>
        <item x="632"/>
        <item x="633"/>
        <item x="816"/>
        <item x="634"/>
        <item x="146"/>
        <item x="635"/>
        <item x="817"/>
        <item x="818"/>
        <item x="1000"/>
        <item x="636"/>
        <item x="819"/>
        <item x="637"/>
        <item x="820"/>
        <item x="821"/>
        <item x="1001"/>
        <item x="147"/>
        <item x="148"/>
        <item x="822"/>
        <item x="149"/>
        <item x="638"/>
        <item x="150"/>
        <item x="823"/>
        <item x="639"/>
        <item x="1002"/>
        <item x="640"/>
        <item x="641"/>
        <item x="824"/>
        <item x="642"/>
        <item x="0"/>
        <item x="825"/>
        <item x="643"/>
        <item x="826"/>
        <item x="644"/>
        <item x="827"/>
        <item x="1003"/>
        <item x="645"/>
        <item x="828"/>
        <item x="646"/>
        <item x="647"/>
        <item x="829"/>
        <item x="151"/>
        <item x="1004"/>
        <item x="648"/>
        <item x="152"/>
        <item x="830"/>
        <item x="649"/>
        <item x="1"/>
        <item x="153"/>
        <item x="831"/>
        <item x="1005"/>
        <item x="154"/>
        <item x="832"/>
        <item x="1006"/>
        <item x="472"/>
        <item x="155"/>
        <item x="833"/>
        <item x="473"/>
        <item x="834"/>
        <item x="474"/>
        <item x="475"/>
        <item x="1007"/>
        <item x="650"/>
        <item x="2"/>
        <item x="156"/>
        <item x="835"/>
        <item x="1008"/>
        <item x="3"/>
        <item x="322"/>
        <item x="323"/>
        <item x="476"/>
        <item x="836"/>
        <item x="1009"/>
        <item x="651"/>
        <item x="4"/>
        <item x="324"/>
        <item x="477"/>
        <item x="157"/>
        <item x="837"/>
        <item x="1010"/>
        <item x="652"/>
        <item x="325"/>
        <item x="478"/>
        <item x="158"/>
        <item x="838"/>
        <item x="1011"/>
        <item x="653"/>
        <item x="5"/>
        <item x="326"/>
        <item x="479"/>
        <item x="159"/>
        <item x="839"/>
        <item x="1012"/>
        <item x="654"/>
        <item x="6"/>
        <item x="160"/>
        <item x="840"/>
        <item x="1013"/>
        <item x="655"/>
        <item x="7"/>
        <item x="327"/>
        <item x="480"/>
        <item x="161"/>
        <item x="841"/>
        <item x="1014"/>
        <item x="656"/>
        <item x="8"/>
        <item x="328"/>
        <item x="481"/>
        <item x="162"/>
        <item x="842"/>
        <item x="1015"/>
        <item x="657"/>
        <item x="9"/>
        <item x="329"/>
        <item x="482"/>
        <item x="163"/>
        <item x="843"/>
        <item x="1016"/>
        <item x="658"/>
        <item x="330"/>
        <item x="483"/>
        <item x="164"/>
        <item x="844"/>
        <item x="1017"/>
        <item x="659"/>
        <item x="10"/>
        <item x="331"/>
        <item x="484"/>
        <item x="165"/>
        <item x="845"/>
        <item x="1018"/>
        <item x="660"/>
        <item x="11"/>
        <item x="332"/>
        <item x="485"/>
        <item x="166"/>
        <item x="846"/>
        <item x="1019"/>
        <item x="661"/>
        <item x="12"/>
        <item x="333"/>
        <item x="486"/>
        <item x="167"/>
        <item x="847"/>
        <item x="1020"/>
        <item x="662"/>
        <item x="13"/>
        <item x="334"/>
        <item x="487"/>
        <item x="168"/>
        <item x="848"/>
        <item x="1021"/>
        <item x="663"/>
        <item x="14"/>
        <item x="335"/>
        <item x="488"/>
        <item x="169"/>
        <item x="849"/>
        <item x="1022"/>
        <item x="664"/>
        <item x="15"/>
        <item x="336"/>
        <item x="489"/>
        <item x="170"/>
        <item x="850"/>
        <item x="1023"/>
        <item x="665"/>
        <item x="16"/>
        <item x="337"/>
        <item x="171"/>
        <item x="851"/>
        <item x="1024"/>
        <item x="666"/>
        <item x="17"/>
        <item x="338"/>
        <item x="490"/>
        <item x="172"/>
        <item x="852"/>
        <item x="1025"/>
        <item x="667"/>
        <item x="18"/>
        <item x="491"/>
        <item x="173"/>
        <item x="853"/>
        <item x="1026"/>
        <item x="19"/>
        <item x="339"/>
        <item x="492"/>
        <item x="174"/>
        <item x="854"/>
        <item x="1027"/>
        <item x="668"/>
        <item x="20"/>
        <item x="340"/>
        <item x="493"/>
        <item x="175"/>
        <item x="855"/>
        <item x="1028"/>
        <item x="669"/>
        <item x="21"/>
        <item x="341"/>
        <item x="494"/>
        <item x="176"/>
        <item x="856"/>
        <item x="1029"/>
        <item x="670"/>
        <item x="22"/>
        <item x="342"/>
        <item x="495"/>
        <item x="177"/>
        <item x="857"/>
        <item x="1030"/>
        <item x="671"/>
        <item x="23"/>
        <item x="343"/>
        <item x="496"/>
        <item x="178"/>
        <item x="858"/>
        <item x="1031"/>
        <item x="672"/>
        <item x="24"/>
        <item x="344"/>
        <item x="497"/>
        <item x="179"/>
        <item x="859"/>
        <item x="1032"/>
        <item x="673"/>
        <item x="25"/>
        <item x="345"/>
        <item x="498"/>
        <item x="180"/>
        <item x="860"/>
        <item x="1033"/>
        <item x="674"/>
        <item x="26"/>
        <item x="346"/>
        <item x="499"/>
        <item x="181"/>
        <item x="861"/>
        <item x="1034"/>
        <item x="675"/>
        <item x="27"/>
        <item x="347"/>
        <item x="500"/>
        <item x="182"/>
        <item x="862"/>
        <item x="1035"/>
        <item x="676"/>
        <item x="28"/>
        <item x="348"/>
        <item x="501"/>
        <item x="183"/>
        <item x="863"/>
        <item x="1036"/>
        <item x="677"/>
        <item x="29"/>
        <item x="349"/>
        <item x="502"/>
        <item x="184"/>
        <item x="864"/>
        <item x="1037"/>
        <item x="678"/>
        <item x="30"/>
        <item x="350"/>
        <item x="503"/>
        <item x="185"/>
        <item x="865"/>
        <item x="1038"/>
        <item x="679"/>
        <item x="351"/>
        <item x="504"/>
        <item x="186"/>
        <item x="866"/>
        <item x="1039"/>
        <item x="680"/>
        <item x="31"/>
        <item x="352"/>
        <item x="505"/>
        <item x="187"/>
        <item x="867"/>
        <item x="1040"/>
        <item x="681"/>
        <item x="32"/>
        <item x="353"/>
        <item x="506"/>
        <item x="188"/>
        <item x="868"/>
        <item x="1041"/>
        <item x="682"/>
        <item x="33"/>
        <item x="354"/>
        <item x="507"/>
        <item x="189"/>
        <item x="869"/>
        <item x="1042"/>
        <item x="683"/>
        <item x="34"/>
        <item x="355"/>
        <item x="508"/>
        <item x="190"/>
        <item x="870"/>
        <item x="1043"/>
        <item x="684"/>
        <item x="35"/>
        <item x="356"/>
        <item x="191"/>
        <item x="871"/>
        <item x="1044"/>
        <item x="685"/>
        <item x="36"/>
        <item x="357"/>
        <item x="509"/>
        <item x="192"/>
        <item x="872"/>
        <item x="1045"/>
        <item x="686"/>
        <item x="37"/>
        <item x="193"/>
        <item x="873"/>
        <item x="1046"/>
        <item x="687"/>
        <item x="38"/>
        <item x="358"/>
        <item x="510"/>
        <item x="194"/>
        <item x="874"/>
        <item x="1047"/>
        <item x="688"/>
        <item x="39"/>
        <item x="359"/>
        <item x="511"/>
        <item x="195"/>
        <item x="875"/>
        <item x="1048"/>
        <item x="689"/>
        <item x="40"/>
        <item x="360"/>
        <item x="512"/>
        <item x="196"/>
        <item x="876"/>
        <item x="1049"/>
        <item x="690"/>
        <item x="41"/>
        <item x="361"/>
        <item x="513"/>
        <item x="197"/>
        <item x="877"/>
        <item x="1050"/>
        <item x="691"/>
        <item x="42"/>
        <item x="362"/>
        <item x="514"/>
        <item x="198"/>
        <item x="878"/>
        <item x="1051"/>
        <item x="692"/>
        <item x="43"/>
        <item x="363"/>
        <item x="515"/>
        <item x="199"/>
        <item x="879"/>
        <item x="1052"/>
        <item x="693"/>
        <item x="44"/>
        <item x="364"/>
        <item x="516"/>
        <item x="200"/>
        <item x="880"/>
        <item x="1053"/>
        <item x="694"/>
        <item x="45"/>
        <item x="365"/>
        <item x="517"/>
        <item x="201"/>
        <item x="881"/>
        <item x="1054"/>
        <item x="695"/>
        <item x="366"/>
        <item x="518"/>
        <item x="202"/>
        <item x="882"/>
        <item x="1055"/>
        <item x="696"/>
        <item x="46"/>
        <item x="367"/>
        <item x="519"/>
        <item x="203"/>
        <item x="883"/>
        <item x="1056"/>
        <item x="697"/>
        <item x="47"/>
        <item x="368"/>
        <item x="520"/>
        <item x="204"/>
        <item x="884"/>
        <item x="1057"/>
        <item x="698"/>
        <item x="48"/>
        <item x="369"/>
        <item x="521"/>
        <item x="205"/>
        <item x="885"/>
        <item x="1058"/>
        <item x="699"/>
        <item x="49"/>
        <item x="370"/>
        <item x="522"/>
        <item x="206"/>
        <item x="886"/>
        <item x="1059"/>
        <item x="700"/>
        <item x="523"/>
        <item x="207"/>
        <item x="887"/>
        <item x="1060"/>
        <item x="701"/>
        <item x="50"/>
        <item x="371"/>
        <item x="524"/>
        <item x="208"/>
        <item x="888"/>
        <item x="1061"/>
        <item x="702"/>
        <item x="51"/>
        <item x="372"/>
        <item x="525"/>
        <item x="209"/>
        <item x="889"/>
        <item x="1062"/>
        <item x="703"/>
        <item x="52"/>
        <item x="373"/>
        <item x="526"/>
        <item x="210"/>
        <item x="890"/>
        <item x="1063"/>
        <item x="704"/>
        <item x="53"/>
        <item x="374"/>
        <item x="527"/>
        <item x="211"/>
        <item x="891"/>
        <item x="1064"/>
        <item x="705"/>
        <item x="212"/>
        <item x="892"/>
        <item x="1065"/>
        <item x="706"/>
        <item x="54"/>
        <item x="375"/>
        <item x="528"/>
        <item x="213"/>
        <item x="893"/>
        <item x="1066"/>
        <item x="707"/>
        <item x="55"/>
        <item x="376"/>
        <item x="529"/>
        <item x="214"/>
        <item x="894"/>
        <item x="1067"/>
        <item x="708"/>
        <item x="56"/>
        <item x="377"/>
        <item x="530"/>
        <item x="215"/>
        <item x="895"/>
        <item x="1068"/>
        <item x="709"/>
        <item x="57"/>
        <item x="378"/>
        <item x="531"/>
        <item x="216"/>
        <item x="896"/>
        <item x="1069"/>
        <item x="710"/>
        <item x="58"/>
        <item x="379"/>
        <item x="532"/>
        <item x="217"/>
        <item x="897"/>
        <item x="1070"/>
        <item x="711"/>
        <item x="59"/>
        <item x="380"/>
        <item x="533"/>
        <item x="218"/>
        <item x="898"/>
        <item x="1071"/>
        <item x="712"/>
        <item x="60"/>
        <item x="381"/>
        <item x="534"/>
        <item x="219"/>
        <item x="899"/>
        <item x="1072"/>
        <item x="713"/>
        <item x="61"/>
        <item x="382"/>
        <item x="535"/>
        <item x="220"/>
        <item x="900"/>
        <item x="1073"/>
        <item x="714"/>
        <item x="62"/>
        <item x="383"/>
        <item x="536"/>
        <item x="221"/>
        <item x="901"/>
        <item x="1074"/>
        <item x="715"/>
        <item x="63"/>
        <item x="384"/>
        <item x="537"/>
        <item x="222"/>
        <item x="902"/>
        <item x="1075"/>
        <item x="716"/>
        <item x="64"/>
        <item x="385"/>
        <item x="538"/>
        <item x="223"/>
        <item x="903"/>
        <item x="1076"/>
        <item x="717"/>
        <item x="65"/>
        <item x="386"/>
        <item x="539"/>
        <item x="224"/>
        <item x="904"/>
        <item x="1077"/>
        <item x="718"/>
        <item x="66"/>
        <item x="387"/>
        <item x="540"/>
        <item x="225"/>
        <item x="905"/>
        <item x="1078"/>
        <item x="719"/>
        <item x="67"/>
        <item x="388"/>
        <item x="541"/>
        <item x="226"/>
        <item x="906"/>
        <item x="1079"/>
        <item x="720"/>
        <item x="68"/>
        <item x="389"/>
        <item x="542"/>
        <item x="227"/>
        <item x="907"/>
        <item x="1080"/>
        <item x="721"/>
        <item x="69"/>
        <item x="390"/>
        <item x="543"/>
        <item x="228"/>
        <item x="908"/>
        <item x="1081"/>
        <item x="722"/>
        <item x="70"/>
        <item x="391"/>
        <item x="544"/>
        <item x="229"/>
        <item x="909"/>
        <item x="1082"/>
        <item x="723"/>
        <item x="71"/>
        <item x="392"/>
        <item x="545"/>
        <item x="230"/>
        <item x="910"/>
        <item x="1083"/>
        <item x="724"/>
        <item x="72"/>
        <item x="393"/>
        <item x="546"/>
        <item x="231"/>
        <item x="911"/>
        <item x="1084"/>
        <item x="725"/>
        <item x="73"/>
        <item x="394"/>
        <item x="547"/>
        <item x="232"/>
        <item x="912"/>
        <item x="1085"/>
        <item x="726"/>
        <item x="74"/>
        <item x="395"/>
        <item x="548"/>
        <item x="233"/>
        <item x="913"/>
        <item x="1086"/>
        <item x="727"/>
        <item x="75"/>
        <item x="396"/>
        <item x="549"/>
        <item x="234"/>
        <item x="914"/>
        <item x="1087"/>
        <item x="728"/>
        <item x="76"/>
        <item x="397"/>
        <item x="550"/>
        <item x="235"/>
        <item x="915"/>
        <item x="1088"/>
        <item x="729"/>
        <item x="77"/>
        <item x="398"/>
        <item x="551"/>
        <item x="236"/>
        <item x="916"/>
        <item x="1089"/>
        <item x="730"/>
        <item x="78"/>
        <item x="399"/>
        <item x="552"/>
        <item x="237"/>
        <item x="917"/>
        <item x="1090"/>
        <item x="731"/>
        <item x="79"/>
        <item x="400"/>
        <item x="553"/>
        <item x="238"/>
        <item x="918"/>
        <item x="1091"/>
        <item x="732"/>
        <item x="80"/>
        <item x="401"/>
        <item x="554"/>
        <item x="239"/>
        <item x="919"/>
        <item x="1092"/>
        <item x="733"/>
        <item x="81"/>
        <item x="402"/>
        <item x="555"/>
        <item x="240"/>
        <item x="920"/>
        <item x="1093"/>
        <item x="734"/>
        <item x="82"/>
        <item x="403"/>
        <item x="556"/>
        <item x="241"/>
        <item x="921"/>
        <item x="1094"/>
        <item x="735"/>
        <item x="83"/>
        <item x="404"/>
        <item x="557"/>
        <item x="242"/>
        <item x="922"/>
        <item x="1095"/>
        <item x="736"/>
        <item x="84"/>
        <item x="405"/>
        <item x="558"/>
        <item x="243"/>
        <item x="923"/>
        <item x="1096"/>
        <item x="737"/>
        <item x="85"/>
        <item x="406"/>
        <item x="559"/>
        <item x="244"/>
        <item x="924"/>
        <item x="1097"/>
        <item x="738"/>
        <item x="86"/>
        <item x="407"/>
        <item x="560"/>
        <item x="245"/>
        <item x="925"/>
        <item x="1098"/>
        <item x="739"/>
        <item x="87"/>
        <item x="408"/>
        <item x="561"/>
        <item x="246"/>
        <item x="926"/>
        <item x="1099"/>
        <item x="740"/>
        <item x="88"/>
        <item x="409"/>
        <item x="562"/>
        <item x="247"/>
        <item x="927"/>
        <item x="1100"/>
        <item x="741"/>
        <item x="89"/>
        <item x="410"/>
        <item x="563"/>
        <item x="248"/>
        <item x="928"/>
        <item x="1101"/>
        <item x="742"/>
        <item x="564"/>
        <item x="249"/>
        <item x="929"/>
        <item x="1102"/>
        <item x="743"/>
        <item x="90"/>
        <item x="411"/>
        <item x="565"/>
        <item x="250"/>
        <item x="930"/>
        <item x="1103"/>
        <item x="744"/>
        <item x="91"/>
        <item x="412"/>
        <item x="566"/>
        <item x="251"/>
        <item x="931"/>
        <item x="1104"/>
        <item x="745"/>
        <item x="92"/>
        <item x="413"/>
        <item x="567"/>
        <item x="252"/>
        <item x="932"/>
        <item x="1105"/>
        <item x="746"/>
        <item x="568"/>
        <item x="253"/>
        <item x="933"/>
        <item x="1106"/>
        <item x="747"/>
        <item x="93"/>
        <item x="414"/>
        <item x="569"/>
        <item x="254"/>
        <item x="934"/>
        <item x="1107"/>
        <item x="748"/>
        <item x="94"/>
        <item x="570"/>
        <item x="255"/>
        <item x="935"/>
        <item x="1108"/>
        <item x="749"/>
        <item x="95"/>
        <item x="415"/>
        <item x="571"/>
        <item x="256"/>
        <item x="936"/>
        <item x="1109"/>
        <item x="750"/>
        <item x="96"/>
        <item x="572"/>
        <item x="257"/>
        <item x="937"/>
        <item x="1110"/>
        <item x="751"/>
        <item x="97"/>
        <item x="416"/>
        <item x="573"/>
        <item x="258"/>
        <item x="938"/>
        <item x="1111"/>
        <item x="752"/>
        <item x="98"/>
        <item x="417"/>
        <item x="574"/>
        <item x="259"/>
        <item x="939"/>
        <item x="1112"/>
        <item x="753"/>
        <item x="99"/>
        <item x="418"/>
        <item x="575"/>
        <item x="260"/>
        <item x="940"/>
        <item x="1113"/>
        <item x="754"/>
        <item x="100"/>
        <item x="576"/>
        <item x="1114"/>
        <item x="755"/>
        <item x="101"/>
        <item x="419"/>
        <item x="261"/>
        <item x="941"/>
        <item x="1115"/>
        <item x="756"/>
        <item x="102"/>
        <item x="420"/>
        <item x="577"/>
        <item x="262"/>
        <item x="942"/>
        <item x="1116"/>
        <item x="757"/>
        <item x="263"/>
        <item x="943"/>
        <item x="1117"/>
        <item x="758"/>
        <item x="103"/>
        <item x="421"/>
        <item x="578"/>
        <item x="264"/>
        <item x="944"/>
        <item x="1118"/>
        <item x="759"/>
        <item x="104"/>
        <item x="422"/>
        <item x="579"/>
        <item x="265"/>
        <item x="945"/>
        <item x="1119"/>
        <item x="760"/>
        <item x="105"/>
        <item x="423"/>
        <item x="580"/>
        <item x="266"/>
        <item x="946"/>
        <item x="1120"/>
        <item x="761"/>
        <item x="106"/>
        <item x="424"/>
        <item x="581"/>
        <item x="267"/>
        <item x="947"/>
        <item x="1121"/>
        <item x="762"/>
        <item x="107"/>
        <item x="582"/>
        <item x="268"/>
        <item x="948"/>
        <item x="1122"/>
        <item x="763"/>
        <item x="108"/>
        <item x="425"/>
        <item x="583"/>
        <item x="269"/>
        <item x="949"/>
        <item x="1123"/>
        <item x="764"/>
        <item x="109"/>
        <item x="426"/>
        <item x="584"/>
        <item x="270"/>
        <item x="950"/>
        <item x="1124"/>
        <item x="765"/>
        <item x="110"/>
        <item x="427"/>
        <item x="585"/>
        <item x="271"/>
        <item x="951"/>
        <item x="1125"/>
        <item x="766"/>
        <item x="111"/>
        <item x="428"/>
        <item x="586"/>
        <item x="272"/>
        <item x="952"/>
        <item x="1126"/>
        <item x="767"/>
        <item x="112"/>
        <item x="429"/>
        <item x="587"/>
        <item x="273"/>
        <item x="953"/>
        <item x="1127"/>
        <item x="768"/>
        <item x="113"/>
        <item x="430"/>
        <item x="588"/>
        <item x="274"/>
        <item x="954"/>
        <item x="1128"/>
        <item x="769"/>
        <item x="114"/>
        <item x="431"/>
        <item x="589"/>
        <item x="275"/>
        <item x="955"/>
        <item x="1129"/>
        <item x="770"/>
        <item x="115"/>
        <item x="432"/>
        <item x="590"/>
        <item x="276"/>
        <item x="956"/>
        <item x="1130"/>
        <item x="771"/>
        <item x="116"/>
        <item x="433"/>
        <item x="591"/>
        <item x="277"/>
        <item x="957"/>
        <item x="1131"/>
        <item x="772"/>
        <item x="117"/>
        <item x="592"/>
        <item x="278"/>
        <item x="958"/>
        <item x="1132"/>
        <item x="773"/>
        <item x="118"/>
        <item x="593"/>
        <item x="959"/>
        <item x="1133"/>
        <item x="774"/>
        <item x="119"/>
        <item x="434"/>
        <item x="279"/>
        <item x="960"/>
        <item x="1134"/>
        <item x="775"/>
        <item x="120"/>
        <item x="435"/>
        <item x="594"/>
        <item x="280"/>
        <item x="961"/>
        <item x="1135"/>
        <item x="776"/>
        <item x="121"/>
        <item x="436"/>
        <item x="595"/>
        <item x="281"/>
        <item x="962"/>
        <item x="1136"/>
        <item x="777"/>
        <item x="437"/>
        <item x="596"/>
        <item x="282"/>
        <item x="963"/>
        <item x="1137"/>
        <item x="778"/>
        <item x="122"/>
        <item x="438"/>
        <item x="597"/>
        <item x="283"/>
        <item x="964"/>
        <item x="1138"/>
        <item x="779"/>
        <item x="439"/>
        <item x="598"/>
        <item x="284"/>
        <item x="1139"/>
        <item x="780"/>
        <item x="123"/>
        <item x="440"/>
        <item x="599"/>
        <item x="285"/>
        <item x="965"/>
        <item x="1140"/>
        <item x="781"/>
        <item x="441"/>
        <item x="600"/>
        <item x="286"/>
        <item x="966"/>
        <item x="1141"/>
        <item x="782"/>
        <item x="124"/>
        <item x="442"/>
        <item x="287"/>
        <item x="967"/>
        <item x="1142"/>
        <item x="783"/>
        <item x="125"/>
        <item x="443"/>
        <item x="288"/>
        <item x="968"/>
        <item x="1143"/>
        <item x="784"/>
        <item x="126"/>
        <item x="444"/>
        <item x="601"/>
        <item x="289"/>
        <item x="969"/>
        <item x="1144"/>
        <item x="785"/>
        <item x="445"/>
        <item x="602"/>
        <item x="290"/>
        <item x="970"/>
        <item x="1145"/>
        <item x="786"/>
        <item x="603"/>
        <item x="291"/>
        <item x="971"/>
        <item x="1146"/>
        <item x="787"/>
        <item x="127"/>
        <item x="446"/>
        <item x="604"/>
        <item x="292"/>
        <item x="1147"/>
        <item x="788"/>
        <item x="447"/>
        <item x="293"/>
        <item x="972"/>
        <item x="1148"/>
        <item x="789"/>
        <item x="128"/>
        <item x="448"/>
        <item x="605"/>
        <item x="294"/>
        <item x="973"/>
        <item x="1149"/>
        <item x="790"/>
        <item x="129"/>
        <item x="449"/>
        <item x="606"/>
        <item x="295"/>
        <item x="974"/>
        <item x="1150"/>
        <item x="791"/>
        <item x="130"/>
        <item x="607"/>
        <item x="296"/>
        <item x="975"/>
        <item x="1151"/>
        <item x="450"/>
        <item x="608"/>
        <item x="297"/>
        <item x="976"/>
        <item x="792"/>
        <item x="451"/>
        <item x="609"/>
        <item x="298"/>
        <item x="977"/>
        <item x="1152"/>
        <item x="793"/>
        <item x="131"/>
        <item x="452"/>
        <item x="610"/>
        <item x="299"/>
        <item x="978"/>
        <item x="1153"/>
        <item x="794"/>
        <item x="132"/>
        <item x="453"/>
        <item x="611"/>
        <item x="300"/>
        <item x="979"/>
        <item x="1154"/>
        <item x="795"/>
        <item x="454"/>
        <item x="612"/>
        <item x="301"/>
        <item x="980"/>
        <item x="1155"/>
        <item x="796"/>
        <item x="133"/>
        <item x="455"/>
        <item x="302"/>
        <item x="981"/>
        <item x="1156"/>
        <item x="797"/>
        <item x="134"/>
        <item x="456"/>
        <item x="613"/>
        <item x="303"/>
        <item x="982"/>
        <item x="1157"/>
        <item x="798"/>
        <item x="135"/>
        <item x="457"/>
        <item x="614"/>
        <item x="304"/>
        <item x="1158"/>
        <item x="799"/>
        <item x="458"/>
        <item x="615"/>
        <item x="305"/>
        <item x="983"/>
        <item x="1159"/>
        <item x="800"/>
        <item x="136"/>
        <item x="459"/>
        <item x="616"/>
        <item x="306"/>
        <item x="984"/>
        <item x="1160"/>
        <item x="801"/>
        <item x="617"/>
        <item x="307"/>
        <item x="985"/>
        <item x="1161"/>
        <item x="802"/>
        <item x="460"/>
        <item x="618"/>
        <item x="308"/>
        <item x="986"/>
        <item x="1162"/>
        <item x="803"/>
        <item x="137"/>
        <item x="461"/>
        <item x="619"/>
        <item x="309"/>
        <item x="987"/>
        <item x="1163"/>
        <item x="804"/>
        <item x="138"/>
        <item x="462"/>
        <item x="620"/>
        <item x="310"/>
        <item x="988"/>
        <item x="1164"/>
        <item x="805"/>
        <item x="139"/>
        <item x="463"/>
        <item x="621"/>
        <item x="311"/>
        <item x="989"/>
        <item x="1165"/>
        <item x="806"/>
        <item x="140"/>
        <item x="464"/>
        <item x="622"/>
        <item x="312"/>
        <item x="990"/>
        <item x="1166"/>
        <item x="807"/>
        <item x="465"/>
        <item x="623"/>
        <item x="313"/>
        <item x="991"/>
        <item x="1167"/>
        <item x="624"/>
        <item x="314"/>
        <item x="992"/>
        <item x="1168"/>
        <item x="808"/>
        <item x="141"/>
        <item x="466"/>
        <item x="625"/>
        <item x="315"/>
        <item x="993"/>
        <item x="1169"/>
        <item x="809"/>
        <item x="142"/>
        <item x="467"/>
        <item x="626"/>
        <item x="316"/>
        <item x="994"/>
        <item x="1170"/>
        <item x="810"/>
        <item x="468"/>
        <item x="627"/>
        <item x="317"/>
        <item x="995"/>
        <item x="1171"/>
        <item x="811"/>
        <item x="628"/>
        <item x="318"/>
        <item x="996"/>
        <item x="1172"/>
        <item x="812"/>
        <item x="143"/>
        <item x="469"/>
        <item x="319"/>
        <item x="997"/>
        <item x="1173"/>
        <item x="813"/>
        <item x="144"/>
        <item x="470"/>
        <item x="629"/>
        <item x="320"/>
        <item x="998"/>
        <item x="1174"/>
        <item x="814"/>
        <item x="145"/>
        <item x="471"/>
        <item x="630"/>
        <item x="321"/>
        <item x="999"/>
        <item x="1175"/>
        <item x="1176"/>
        <item t="default"/>
      </items>
    </pivotField>
    <pivotField dataField="1" showAll="0"/>
    <pivotField axis="axisRow" showAll="0">
      <items count="9">
        <item x="3"/>
        <item x="1"/>
        <item x="5"/>
        <item x="6"/>
        <item x="4"/>
        <item x="0"/>
        <item x="2"/>
        <item x="7"/>
        <item t="default"/>
      </items>
    </pivotField>
    <pivotField showAll="0"/>
    <pivotField showAll="0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</pivotField>
    <pivotField showAll="0">
      <items count="37">
        <item x="32"/>
        <item x="21"/>
        <item x="13"/>
        <item x="3"/>
        <item x="33"/>
        <item x="31"/>
        <item x="1"/>
        <item x="19"/>
        <item x="20"/>
        <item x="7"/>
        <item x="5"/>
        <item x="2"/>
        <item x="23"/>
        <item x="18"/>
        <item x="27"/>
        <item x="24"/>
        <item x="25"/>
        <item x="22"/>
        <item x="9"/>
        <item x="14"/>
        <item x="11"/>
        <item x="12"/>
        <item x="10"/>
        <item x="15"/>
        <item x="0"/>
        <item x="30"/>
        <item x="26"/>
        <item x="29"/>
        <item x="4"/>
        <item x="6"/>
        <item x="17"/>
        <item x="8"/>
        <item x="34"/>
        <item x="28"/>
        <item x="16"/>
        <item x="35"/>
        <item t="default"/>
      </items>
    </pivotField>
    <pivotField showAll="0">
      <items count="14">
        <item x="3"/>
        <item x="10"/>
        <item x="0"/>
        <item x="5"/>
        <item x="9"/>
        <item x="7"/>
        <item x="8"/>
        <item x="1"/>
        <item x="2"/>
        <item x="11"/>
        <item x="6"/>
        <item x="4"/>
        <item x="12"/>
        <item t="default"/>
      </items>
    </pivotField>
    <pivotField showAll="0"/>
    <pivotField showAll="0">
      <items count="791">
        <item x="742"/>
        <item x="725"/>
        <item x="546"/>
        <item x="44"/>
        <item x="741"/>
        <item x="647"/>
        <item x="649"/>
        <item x="43"/>
        <item x="257"/>
        <item x="739"/>
        <item x="309"/>
        <item x="261"/>
        <item x="454"/>
        <item x="425"/>
        <item x="45"/>
        <item x="648"/>
        <item x="348"/>
        <item x="603"/>
        <item x="28"/>
        <item x="669"/>
        <item x="117"/>
        <item x="18"/>
        <item x="519"/>
        <item x="645"/>
        <item x="529"/>
        <item x="558"/>
        <item x="304"/>
        <item x="578"/>
        <item x="389"/>
        <item x="366"/>
        <item x="410"/>
        <item x="217"/>
        <item x="190"/>
        <item x="310"/>
        <item x="51"/>
        <item x="186"/>
        <item x="252"/>
        <item x="154"/>
        <item x="49"/>
        <item x="361"/>
        <item x="71"/>
        <item x="48"/>
        <item x="313"/>
        <item x="160"/>
        <item x="185"/>
        <item x="17"/>
        <item x="551"/>
        <item x="259"/>
        <item x="269"/>
        <item x="1"/>
        <item x="580"/>
        <item x="60"/>
        <item x="473"/>
        <item x="95"/>
        <item x="81"/>
        <item x="712"/>
        <item x="231"/>
        <item x="583"/>
        <item x="100"/>
        <item x="120"/>
        <item x="615"/>
        <item x="75"/>
        <item x="415"/>
        <item x="109"/>
        <item x="737"/>
        <item x="658"/>
        <item x="372"/>
        <item x="68"/>
        <item x="79"/>
        <item x="441"/>
        <item x="380"/>
        <item x="431"/>
        <item x="214"/>
        <item x="442"/>
        <item x="445"/>
        <item x="381"/>
        <item x="711"/>
        <item x="533"/>
        <item x="230"/>
        <item x="421"/>
        <item x="528"/>
        <item x="281"/>
        <item x="653"/>
        <item x="133"/>
        <item x="365"/>
        <item x="118"/>
        <item x="377"/>
        <item x="396"/>
        <item x="622"/>
        <item x="670"/>
        <item x="440"/>
        <item x="352"/>
        <item x="437"/>
        <item x="387"/>
        <item x="403"/>
        <item x="356"/>
        <item x="336"/>
        <item x="4"/>
        <item x="332"/>
        <item x="370"/>
        <item x="210"/>
        <item x="290"/>
        <item x="128"/>
        <item x="98"/>
        <item x="314"/>
        <item x="239"/>
        <item x="388"/>
        <item x="307"/>
        <item x="413"/>
        <item x="475"/>
        <item x="245"/>
        <item x="111"/>
        <item x="15"/>
        <item x="634"/>
        <item x="507"/>
        <item x="692"/>
        <item x="300"/>
        <item x="343"/>
        <item x="192"/>
        <item x="317"/>
        <item x="3"/>
        <item x="306"/>
        <item x="298"/>
        <item x="465"/>
        <item x="398"/>
        <item x="323"/>
        <item x="464"/>
        <item x="151"/>
        <item x="157"/>
        <item x="374"/>
        <item x="66"/>
        <item x="477"/>
        <item x="479"/>
        <item x="229"/>
        <item x="92"/>
        <item x="495"/>
        <item x="718"/>
        <item x="321"/>
        <item x="743"/>
        <item x="147"/>
        <item x="46"/>
        <item x="333"/>
        <item x="242"/>
        <item x="263"/>
        <item x="2"/>
        <item x="746"/>
        <item x="525"/>
        <item x="341"/>
        <item x="723"/>
        <item x="618"/>
        <item x="101"/>
        <item x="34"/>
        <item x="335"/>
        <item x="164"/>
        <item x="417"/>
        <item x="605"/>
        <item x="355"/>
        <item x="320"/>
        <item x="39"/>
        <item x="515"/>
        <item x="590"/>
        <item x="132"/>
        <item x="201"/>
        <item x="108"/>
        <item x="724"/>
        <item x="218"/>
        <item x="666"/>
        <item x="673"/>
        <item x="510"/>
        <item x="248"/>
        <item x="463"/>
        <item x="619"/>
        <item x="436"/>
        <item x="736"/>
        <item x="266"/>
        <item x="735"/>
        <item x="294"/>
        <item x="107"/>
        <item x="208"/>
        <item x="378"/>
        <item x="394"/>
        <item x="178"/>
        <item x="416"/>
        <item x="174"/>
        <item x="788"/>
        <item x="567"/>
        <item x="456"/>
        <item x="397"/>
        <item x="405"/>
        <item x="244"/>
        <item x="784"/>
        <item x="390"/>
        <item x="709"/>
        <item x="119"/>
        <item x="695"/>
        <item x="42"/>
        <item x="637"/>
        <item x="428"/>
        <item x="688"/>
        <item x="55"/>
        <item x="467"/>
        <item x="106"/>
        <item x="211"/>
        <item x="657"/>
        <item x="439"/>
        <item x="126"/>
        <item x="123"/>
        <item x="293"/>
        <item x="199"/>
        <item x="392"/>
        <item x="204"/>
        <item x="240"/>
        <item x="358"/>
        <item x="552"/>
        <item x="143"/>
        <item x="690"/>
        <item x="435"/>
        <item x="232"/>
        <item x="87"/>
        <item x="349"/>
        <item x="286"/>
        <item x="207"/>
        <item x="357"/>
        <item x="273"/>
        <item x="180"/>
        <item x="401"/>
        <item x="249"/>
        <item x="219"/>
        <item x="418"/>
        <item x="678"/>
        <item x="163"/>
        <item x="322"/>
        <item x="250"/>
        <item x="393"/>
        <item x="702"/>
        <item x="176"/>
        <item x="94"/>
        <item x="308"/>
        <item x="65"/>
        <item x="498"/>
        <item x="754"/>
        <item x="697"/>
        <item x="77"/>
        <item x="216"/>
        <item x="641"/>
        <item x="215"/>
        <item x="566"/>
        <item x="254"/>
        <item x="142"/>
        <item x="604"/>
        <item x="624"/>
        <item x="705"/>
        <item x="561"/>
        <item x="710"/>
        <item x="517"/>
        <item x="706"/>
        <item x="753"/>
        <item x="593"/>
        <item x="646"/>
        <item x="451"/>
        <item x="524"/>
        <item x="512"/>
        <item x="555"/>
        <item x="36"/>
        <item x="594"/>
        <item x="518"/>
        <item x="179"/>
        <item x="438"/>
        <item x="203"/>
        <item x="550"/>
        <item x="331"/>
        <item x="774"/>
        <item x="636"/>
        <item x="247"/>
        <item x="480"/>
        <item x="501"/>
        <item x="200"/>
        <item x="659"/>
        <item x="38"/>
        <item x="197"/>
        <item x="62"/>
        <item x="35"/>
        <item x="484"/>
        <item x="285"/>
        <item x="715"/>
        <item x="52"/>
        <item x="115"/>
        <item x="640"/>
        <item x="656"/>
        <item x="32"/>
        <item x="714"/>
        <item x="272"/>
        <item x="112"/>
        <item x="686"/>
        <item x="402"/>
        <item x="635"/>
        <item x="267"/>
        <item x="363"/>
        <item x="165"/>
        <item x="342"/>
        <item x="761"/>
        <item x="600"/>
        <item x="105"/>
        <item x="288"/>
        <item x="681"/>
        <item x="353"/>
        <item x="61"/>
        <item x="225"/>
        <item x="40"/>
        <item x="212"/>
        <item x="88"/>
        <item x="687"/>
        <item x="731"/>
        <item x="478"/>
        <item x="228"/>
        <item x="347"/>
        <item x="787"/>
        <item x="362"/>
        <item x="447"/>
        <item x="482"/>
        <item x="643"/>
        <item x="258"/>
        <item x="494"/>
        <item x="53"/>
        <item x="59"/>
        <item x="540"/>
        <item x="78"/>
        <item x="607"/>
        <item x="67"/>
        <item x="608"/>
        <item x="491"/>
        <item x="489"/>
        <item x="500"/>
        <item x="545"/>
        <item x="430"/>
        <item x="64"/>
        <item x="96"/>
        <item x="450"/>
        <item x="587"/>
        <item x="110"/>
        <item x="708"/>
        <item x="596"/>
        <item x="490"/>
        <item x="198"/>
        <item x="241"/>
        <item x="360"/>
        <item x="560"/>
        <item x="84"/>
        <item x="707"/>
        <item x="338"/>
        <item x="368"/>
        <item x="654"/>
        <item x="29"/>
        <item x="19"/>
        <item x="511"/>
        <item x="642"/>
        <item x="575"/>
        <item x="783"/>
        <item x="535"/>
        <item x="141"/>
        <item x="406"/>
        <item x="514"/>
        <item x="488"/>
        <item x="407"/>
        <item x="104"/>
        <item x="713"/>
        <item x="30"/>
        <item x="194"/>
        <item x="337"/>
        <item x="183"/>
        <item x="458"/>
        <item x="663"/>
        <item x="316"/>
        <item x="693"/>
        <item x="262"/>
        <item x="576"/>
        <item x="506"/>
        <item x="295"/>
        <item x="236"/>
        <item x="609"/>
        <item x="621"/>
        <item x="591"/>
        <item x="584"/>
        <item x="509"/>
        <item x="577"/>
        <item x="747"/>
        <item x="411"/>
        <item x="644"/>
        <item x="177"/>
        <item x="778"/>
        <item x="611"/>
        <item x="150"/>
        <item x="453"/>
        <item x="752"/>
        <item x="720"/>
        <item x="256"/>
        <item x="224"/>
        <item x="227"/>
        <item x="730"/>
        <item x="423"/>
        <item x="289"/>
        <item x="581"/>
        <item x="280"/>
        <item x="327"/>
        <item x="721"/>
        <item x="409"/>
        <item x="80"/>
        <item x="502"/>
        <item x="226"/>
        <item x="487"/>
        <item x="189"/>
        <item x="522"/>
        <item x="612"/>
        <item x="443"/>
        <item x="82"/>
        <item x="297"/>
        <item x="344"/>
        <item x="404"/>
        <item x="268"/>
        <item x="325"/>
        <item x="145"/>
        <item x="220"/>
        <item x="614"/>
        <item x="542"/>
        <item x="391"/>
        <item x="503"/>
        <item x="73"/>
        <item x="134"/>
        <item x="139"/>
        <item x="505"/>
        <item x="531"/>
        <item x="91"/>
        <item x="455"/>
        <item x="468"/>
        <item x="582"/>
        <item x="780"/>
        <item x="472"/>
        <item x="781"/>
        <item x="206"/>
        <item x="701"/>
        <item x="152"/>
        <item x="563"/>
        <item x="433"/>
        <item x="124"/>
        <item x="541"/>
        <item x="526"/>
        <item x="483"/>
        <item x="631"/>
        <item x="628"/>
        <item x="235"/>
        <item x="513"/>
        <item x="627"/>
        <item x="633"/>
        <item x="626"/>
        <item x="623"/>
        <item x="448"/>
        <item x="63"/>
        <item x="660"/>
        <item x="209"/>
        <item x="499"/>
        <item x="748"/>
        <item x="382"/>
        <item x="470"/>
        <item x="193"/>
        <item x="90"/>
        <item x="253"/>
        <item x="86"/>
        <item x="187"/>
        <item x="449"/>
        <item x="279"/>
        <item x="768"/>
        <item x="651"/>
        <item x="432"/>
        <item x="520"/>
        <item x="72"/>
        <item x="125"/>
        <item x="779"/>
        <item x="315"/>
        <item x="671"/>
        <item x="595"/>
        <item x="530"/>
        <item x="699"/>
        <item x="238"/>
        <item x="305"/>
        <item x="620"/>
        <item x="167"/>
        <item x="292"/>
        <item x="704"/>
        <item x="700"/>
        <item x="722"/>
        <item x="698"/>
        <item x="282"/>
        <item x="303"/>
        <item x="172"/>
        <item x="462"/>
        <item x="750"/>
        <item x="434"/>
        <item x="329"/>
        <item x="689"/>
        <item x="652"/>
        <item x="751"/>
        <item x="544"/>
        <item x="76"/>
        <item x="311"/>
        <item x="275"/>
        <item x="772"/>
        <item x="330"/>
        <item x="639"/>
        <item x="113"/>
        <item x="114"/>
        <item x="69"/>
        <item x="276"/>
        <item x="523"/>
        <item x="745"/>
        <item x="485"/>
        <item x="703"/>
        <item x="727"/>
        <item x="170"/>
        <item x="548"/>
        <item x="574"/>
        <item x="318"/>
        <item x="744"/>
        <item x="121"/>
        <item x="223"/>
        <item x="74"/>
        <item x="412"/>
        <item x="493"/>
        <item x="274"/>
        <item x="196"/>
        <item x="539"/>
        <item x="97"/>
        <item x="131"/>
        <item x="184"/>
        <item x="5"/>
        <item x="547"/>
        <item x="426"/>
        <item x="424"/>
        <item x="182"/>
        <item x="610"/>
        <item x="684"/>
        <item x="243"/>
        <item x="606"/>
        <item x="632"/>
        <item x="625"/>
        <item x="504"/>
        <item x="246"/>
        <item x="638"/>
        <item x="359"/>
        <item x="419"/>
        <item x="56"/>
        <item x="422"/>
        <item x="732"/>
        <item x="156"/>
        <item x="31"/>
        <item x="50"/>
        <item x="717"/>
        <item x="733"/>
        <item x="630"/>
        <item x="536"/>
        <item x="328"/>
        <item x="601"/>
        <item x="762"/>
        <item x="661"/>
        <item x="136"/>
        <item x="553"/>
        <item x="662"/>
        <item x="757"/>
        <item x="585"/>
        <item x="691"/>
        <item x="153"/>
        <item x="237"/>
        <item x="508"/>
        <item x="37"/>
        <item x="26"/>
        <item x="759"/>
        <item x="726"/>
        <item x="777"/>
        <item x="41"/>
        <item x="173"/>
        <item x="408"/>
        <item x="379"/>
        <item x="521"/>
        <item x="395"/>
        <item x="386"/>
        <item x="672"/>
        <item x="556"/>
        <item x="532"/>
        <item x="771"/>
        <item x="665"/>
        <item x="559"/>
        <item x="773"/>
        <item x="572"/>
        <item x="538"/>
        <item x="683"/>
        <item x="676"/>
        <item x="568"/>
        <item x="674"/>
        <item x="696"/>
        <item x="460"/>
        <item x="763"/>
        <item x="764"/>
        <item x="680"/>
        <item x="579"/>
        <item x="278"/>
        <item x="144"/>
        <item x="296"/>
        <item x="679"/>
        <item x="277"/>
        <item x="564"/>
        <item x="589"/>
        <item x="570"/>
        <item x="284"/>
        <item x="461"/>
        <item x="775"/>
        <item x="776"/>
        <item x="466"/>
        <item x="786"/>
        <item x="158"/>
        <item x="766"/>
        <item x="571"/>
        <item x="769"/>
        <item x="668"/>
        <item x="159"/>
        <item x="299"/>
        <item x="155"/>
        <item x="569"/>
        <item x="677"/>
        <item x="287"/>
        <item x="312"/>
        <item x="291"/>
        <item x="481"/>
        <item x="655"/>
        <item x="613"/>
        <item x="592"/>
        <item x="471"/>
        <item x="543"/>
        <item x="738"/>
        <item x="12"/>
        <item x="181"/>
        <item x="271"/>
        <item x="588"/>
        <item x="414"/>
        <item x="169"/>
        <item x="729"/>
        <item x="728"/>
        <item x="427"/>
        <item x="191"/>
        <item x="350"/>
        <item x="345"/>
        <item x="562"/>
        <item x="99"/>
        <item x="13"/>
        <item x="171"/>
        <item x="457"/>
        <item x="602"/>
        <item x="0"/>
        <item x="420"/>
        <item x="459"/>
        <item x="573"/>
        <item x="597"/>
        <item x="452"/>
        <item x="265"/>
        <item x="255"/>
        <item x="138"/>
        <item x="486"/>
        <item x="9"/>
        <item x="598"/>
        <item x="162"/>
        <item x="664"/>
        <item x="148"/>
        <item x="130"/>
        <item x="102"/>
        <item x="137"/>
        <item x="586"/>
        <item x="694"/>
        <item x="629"/>
        <item x="557"/>
        <item x="27"/>
        <item x="222"/>
        <item x="260"/>
        <item x="195"/>
        <item x="251"/>
        <item x="85"/>
        <item x="11"/>
        <item x="283"/>
        <item x="682"/>
        <item x="234"/>
        <item x="33"/>
        <item x="168"/>
        <item x="534"/>
        <item x="93"/>
        <item x="14"/>
        <item x="685"/>
        <item x="554"/>
        <item x="371"/>
        <item x="767"/>
        <item x="429"/>
        <item x="351"/>
        <item x="650"/>
        <item x="740"/>
        <item x="135"/>
        <item x="122"/>
        <item x="527"/>
        <item x="756"/>
        <item x="383"/>
        <item x="319"/>
        <item x="146"/>
        <item x="264"/>
        <item x="89"/>
        <item x="10"/>
        <item x="302"/>
        <item x="400"/>
        <item x="6"/>
        <item x="140"/>
        <item x="202"/>
        <item x="166"/>
        <item x="469"/>
        <item x="346"/>
        <item x="213"/>
        <item x="376"/>
        <item x="373"/>
        <item x="188"/>
        <item x="369"/>
        <item x="755"/>
        <item x="616"/>
        <item x="161"/>
        <item x="765"/>
        <item x="716"/>
        <item x="129"/>
        <item x="127"/>
        <item x="474"/>
        <item x="103"/>
        <item x="549"/>
        <item x="175"/>
        <item x="444"/>
        <item x="785"/>
        <item x="384"/>
        <item x="205"/>
        <item x="83"/>
        <item x="54"/>
        <item x="233"/>
        <item x="375"/>
        <item x="8"/>
        <item x="70"/>
        <item x="476"/>
        <item x="364"/>
        <item x="324"/>
        <item x="749"/>
        <item x="617"/>
        <item x="221"/>
        <item x="719"/>
        <item x="446"/>
        <item x="496"/>
        <item x="537"/>
        <item x="58"/>
        <item x="492"/>
        <item x="565"/>
        <item x="116"/>
        <item x="22"/>
        <item x="760"/>
        <item x="667"/>
        <item x="675"/>
        <item x="340"/>
        <item x="497"/>
        <item x="599"/>
        <item x="339"/>
        <item x="334"/>
        <item x="326"/>
        <item x="782"/>
        <item x="47"/>
        <item x="367"/>
        <item x="7"/>
        <item x="23"/>
        <item x="516"/>
        <item x="16"/>
        <item x="24"/>
        <item x="20"/>
        <item x="354"/>
        <item x="758"/>
        <item x="385"/>
        <item x="734"/>
        <item x="25"/>
        <item x="770"/>
        <item x="270"/>
        <item x="149"/>
        <item x="399"/>
        <item x="301"/>
        <item x="21"/>
        <item x="57"/>
        <item x="789"/>
        <item t="default"/>
      </items>
    </pivotField>
    <pivotField dataField="1" showAll="0">
      <items count="3382">
        <item x="1055"/>
        <item x="25"/>
        <item x="2900"/>
        <item x="2864"/>
        <item x="2347"/>
        <item x="392"/>
        <item x="1823"/>
        <item x="2385"/>
        <item x="1828"/>
        <item x="1829"/>
        <item x="2340"/>
        <item x="2339"/>
        <item x="1822"/>
        <item x="1821"/>
        <item x="390"/>
        <item x="1825"/>
        <item x="1824"/>
        <item x="391"/>
        <item x="2338"/>
        <item x="1826"/>
        <item x="2860"/>
        <item x="1827"/>
        <item x="1882"/>
        <item x="1531"/>
        <item x="1"/>
        <item x="447"/>
        <item x="2341"/>
        <item x="2342"/>
        <item x="436"/>
        <item x="2861"/>
        <item x="2343"/>
        <item x="393"/>
        <item x="1830"/>
        <item x="1831"/>
        <item x="394"/>
        <item x="2862"/>
        <item x="2344"/>
        <item x="1426"/>
        <item x="1832"/>
        <item x="27"/>
        <item x="35"/>
        <item x="2496"/>
        <item x="3006"/>
        <item x="2968"/>
        <item x="6"/>
        <item x="2944"/>
        <item x="2126"/>
        <item x="2618"/>
        <item x="3132"/>
        <item x="620"/>
        <item x="807"/>
        <item x="1157"/>
        <item x="40"/>
        <item x="1153"/>
        <item x="21"/>
        <item x="1719"/>
        <item x="546"/>
        <item x="1835"/>
        <item x="1833"/>
        <item x="827"/>
        <item x="2932"/>
        <item x="642"/>
        <item x="3145"/>
        <item x="2521"/>
        <item x="1429"/>
        <item x="0"/>
        <item x="2345"/>
        <item x="1906"/>
        <item x="139"/>
        <item x="401"/>
        <item x="576"/>
        <item x="396"/>
        <item x="588"/>
        <item x="1940"/>
        <item x="571"/>
        <item x="1936"/>
        <item x="43"/>
        <item x="1834"/>
        <item x="3281"/>
        <item x="2346"/>
        <item x="1171"/>
        <item x="221"/>
        <item x="30"/>
        <item x="1836"/>
        <item x="3119"/>
        <item x="2348"/>
        <item x="197"/>
        <item x="3286"/>
        <item x="694"/>
        <item x="244"/>
        <item x="2863"/>
        <item x="1837"/>
        <item x="2349"/>
        <item x="181"/>
        <item x="762"/>
        <item x="1461"/>
        <item x="489"/>
        <item x="1838"/>
        <item x="445"/>
        <item x="2604"/>
        <item x="3255"/>
        <item x="2890"/>
        <item x="1185"/>
        <item x="424"/>
        <item x="3079"/>
        <item x="2915"/>
        <item x="516"/>
        <item x="1168"/>
        <item x="182"/>
        <item x="723"/>
        <item x="1589"/>
        <item x="2499"/>
        <item x="473"/>
        <item x="818"/>
        <item x="1086"/>
        <item x="2627"/>
        <item x="453"/>
        <item x="486"/>
        <item x="1106"/>
        <item x="1588"/>
        <item x="2403"/>
        <item x="2605"/>
        <item x="1839"/>
        <item x="2535"/>
        <item x="1080"/>
        <item x="547"/>
        <item x="1552"/>
        <item x="1565"/>
        <item x="651"/>
        <item x="1079"/>
        <item x="2929"/>
        <item x="2668"/>
        <item x="645"/>
        <item x="2229"/>
        <item x="70"/>
        <item x="1479"/>
        <item x="2897"/>
        <item x="3070"/>
        <item x="2034"/>
        <item x="2941"/>
        <item x="1288"/>
        <item x="1322"/>
        <item x="1594"/>
        <item x="1688"/>
        <item x="2628"/>
        <item x="1646"/>
        <item x="1183"/>
        <item x="2003"/>
        <item x="77"/>
        <item x="2267"/>
        <item x="2350"/>
        <item x="2031"/>
        <item x="395"/>
        <item x="2542"/>
        <item x="3090"/>
        <item x="1469"/>
        <item x="1583"/>
        <item x="3063"/>
        <item x="1342"/>
        <item x="901"/>
        <item x="69"/>
        <item x="880"/>
        <item x="2643"/>
        <item x="661"/>
        <item x="853"/>
        <item x="175"/>
        <item x="2402"/>
        <item x="3074"/>
        <item x="2938"/>
        <item x="2028"/>
        <item x="419"/>
        <item x="1564"/>
        <item x="1580"/>
        <item x="1582"/>
        <item x="1232"/>
        <item x="2525"/>
        <item x="1629"/>
        <item x="3059"/>
        <item x="637"/>
        <item x="631"/>
        <item x="1843"/>
        <item x="2373"/>
        <item x="1900"/>
        <item x="2953"/>
        <item x="796"/>
        <item x="583"/>
        <item x="725"/>
        <item x="2114"/>
        <item x="3028"/>
        <item x="1085"/>
        <item x="3350"/>
        <item x="1563"/>
        <item x="1865"/>
        <item x="2918"/>
        <item x="1842"/>
        <item x="1841"/>
        <item x="3066"/>
        <item x="2872"/>
        <item x="230"/>
        <item x="23"/>
        <item x="1572"/>
        <item x="356"/>
        <item x="1840"/>
        <item x="398"/>
        <item x="512"/>
        <item x="431"/>
        <item x="3302"/>
        <item x="1581"/>
        <item x="52"/>
        <item x="397"/>
        <item x="3179"/>
        <item x="258"/>
        <item x="2359"/>
        <item x="1450"/>
        <item x="2185"/>
        <item x="508"/>
        <item x="1573"/>
        <item x="409"/>
        <item x="421"/>
        <item x="1364"/>
        <item x="2534"/>
        <item x="1181"/>
        <item x="18"/>
        <item x="1211"/>
        <item x="2443"/>
        <item x="1846"/>
        <item x="2037"/>
        <item x="1400"/>
        <item x="1089"/>
        <item x="1848"/>
        <item x="328"/>
        <item x="533"/>
        <item x="1747"/>
        <item x="2865"/>
        <item x="1845"/>
        <item x="2357"/>
        <item x="2873"/>
        <item x="1465"/>
        <item x="2894"/>
        <item x="626"/>
        <item x="2351"/>
        <item x="640"/>
        <item x="5"/>
        <item x="1854"/>
        <item x="1457"/>
        <item x="2356"/>
        <item x="1876"/>
        <item x="1855"/>
        <item x="2355"/>
        <item x="403"/>
        <item x="3141"/>
        <item x="1561"/>
        <item x="400"/>
        <item x="2380"/>
        <item x="2360"/>
        <item x="1176"/>
        <item x="399"/>
        <item x="1394"/>
        <item x="53"/>
        <item x="2792"/>
        <item x="2893"/>
        <item x="2386"/>
        <item x="779"/>
        <item x="1172"/>
        <item x="2866"/>
        <item x="3307"/>
        <item x="154"/>
        <item x="358"/>
        <item x="1384"/>
        <item x="7"/>
        <item x="1391"/>
        <item x="2024"/>
        <item x="3056"/>
        <item x="2524"/>
        <item x="1868"/>
        <item x="927"/>
        <item x="2975"/>
        <item x="2976"/>
        <item x="1947"/>
        <item x="104"/>
        <item x="1132"/>
        <item x="1513"/>
        <item x="523"/>
        <item x="2455"/>
        <item x="2981"/>
        <item x="1950"/>
        <item x="1133"/>
        <item x="1516"/>
        <item x="529"/>
        <item x="2456"/>
        <item x="1952"/>
        <item x="1903"/>
        <item x="1501"/>
        <item x="2923"/>
        <item x="2529"/>
        <item x="3051"/>
        <item x="33"/>
        <item x="652"/>
        <item x="3022"/>
        <item x="99"/>
        <item x="1423"/>
        <item x="520"/>
        <item x="1746"/>
        <item x="1568"/>
        <item x="1493"/>
        <item x="1392"/>
        <item x="1149"/>
        <item x="2996"/>
        <item x="2352"/>
        <item x="599"/>
        <item x="3313"/>
        <item x="2382"/>
        <item x="1869"/>
        <item x="1393"/>
        <item x="2353"/>
        <item x="1071"/>
        <item x="1395"/>
        <item x="2285"/>
        <item x="59"/>
        <item x="2959"/>
        <item x="2922"/>
        <item x="3061"/>
        <item x="1312"/>
        <item x="2376"/>
        <item x="2891"/>
        <item x="50"/>
        <item x="1115"/>
        <item x="1237"/>
        <item x="1505"/>
        <item x="29"/>
        <item x="1895"/>
        <item x="410"/>
        <item x="452"/>
        <item x="2930"/>
        <item x="2432"/>
        <item x="3078"/>
        <item x="1844"/>
        <item x="1575"/>
        <item x="1590"/>
        <item x="1405"/>
        <item x="1924"/>
        <item x="2871"/>
        <item x="1933"/>
        <item x="1061"/>
        <item x="2510"/>
        <item x="2358"/>
        <item x="2928"/>
        <item x="2136"/>
        <item x="162"/>
        <item x="1409"/>
        <item x="1849"/>
        <item x="166"/>
        <item x="1421"/>
        <item x="3358"/>
        <item x="621"/>
        <item x="647"/>
        <item x="734"/>
        <item x="1968"/>
        <item x="1642"/>
        <item x="1542"/>
        <item x="2406"/>
        <item x="1081"/>
        <item x="3322"/>
        <item x="42"/>
        <item x="2426"/>
        <item x="1480"/>
        <item x="3220"/>
        <item x="1768"/>
        <item x="3197"/>
        <item x="1074"/>
        <item x="1398"/>
        <item x="187"/>
        <item x="611"/>
        <item x="171"/>
        <item x="1039"/>
        <item x="49"/>
        <item x="1234"/>
        <item x="2522"/>
        <item x="1935"/>
        <item x="2950"/>
        <item x="2452"/>
        <item x="2624"/>
        <item x="2899"/>
        <item x="96"/>
        <item x="2389"/>
        <item x="2251"/>
        <item x="1567"/>
        <item x="956"/>
        <item x="2354"/>
        <item x="275"/>
        <item x="2384"/>
        <item x="1889"/>
        <item x="1221"/>
        <item x="457"/>
        <item x="1139"/>
        <item x="1908"/>
        <item x="472"/>
        <item x="1851"/>
        <item x="1569"/>
        <item x="429"/>
        <item x="3"/>
        <item x="1209"/>
        <item x="24"/>
        <item x="2906"/>
        <item x="8"/>
        <item x="2902"/>
        <item x="1670"/>
        <item x="306"/>
        <item x="1105"/>
        <item x="1122"/>
        <item x="2396"/>
        <item x="2971"/>
        <item x="1655"/>
        <item x="1886"/>
        <item x="801"/>
        <item x="1866"/>
        <item x="432"/>
        <item x="1530"/>
        <item x="2430"/>
        <item x="1451"/>
        <item x="1031"/>
        <item x="2"/>
        <item x="289"/>
        <item x="407"/>
        <item x="2868"/>
        <item x="2431"/>
        <item x="1897"/>
        <item x="180"/>
        <item x="2027"/>
        <item x="475"/>
        <item x="402"/>
        <item x="3233"/>
        <item x="1942"/>
        <item x="1397"/>
        <item x="1077"/>
        <item x="2606"/>
        <item x="408"/>
        <item x="2867"/>
        <item x="2470"/>
        <item x="413"/>
        <item x="2964"/>
        <item x="1399"/>
        <item x="2898"/>
        <item x="1038"/>
        <item x="1033"/>
        <item x="1034"/>
        <item x="2876"/>
        <item x="1455"/>
        <item x="4"/>
        <item x="434"/>
        <item x="103"/>
        <item x="2916"/>
        <item x="2879"/>
        <item x="2869"/>
        <item x="1525"/>
        <item x="404"/>
        <item x="2977"/>
        <item x="700"/>
        <item x="1035"/>
        <item x="1396"/>
        <item x="1533"/>
        <item x="1446"/>
        <item x="2691"/>
        <item x="1119"/>
        <item x="2400"/>
        <item x="55"/>
        <item x="2870"/>
        <item x="36"/>
        <item x="1037"/>
        <item x="2409"/>
        <item x="859"/>
        <item x="2937"/>
        <item x="1032"/>
        <item x="1881"/>
        <item x="1511"/>
        <item x="3027"/>
        <item x="1861"/>
        <item x="2983"/>
        <item x="38"/>
        <item x="28"/>
        <item x="45"/>
        <item x="2979"/>
        <item x="2370"/>
        <item x="412"/>
        <item x="2874"/>
        <item x="291"/>
        <item x="699"/>
        <item x="405"/>
        <item x="2887"/>
        <item x="406"/>
        <item x="2372"/>
        <item x="1036"/>
        <item x="2367"/>
        <item x="2331"/>
        <item x="1867"/>
        <item x="414"/>
        <item x="420"/>
        <item x="1402"/>
        <item x="1401"/>
        <item x="3034"/>
        <item x="748"/>
        <item x="1625"/>
        <item x="1443"/>
        <item x="1063"/>
        <item x="2880"/>
        <item x="2454"/>
        <item x="1847"/>
        <item x="2984"/>
        <item x="1430"/>
        <item x="1040"/>
        <item x="2361"/>
        <item x="1164"/>
        <item x="1403"/>
        <item x="3174"/>
        <item x="54"/>
        <item x="10"/>
        <item x="1518"/>
        <item x="2974"/>
        <item x="2895"/>
        <item x="1042"/>
        <item x="1428"/>
        <item x="1418"/>
        <item x="115"/>
        <item x="1134"/>
        <item x="2472"/>
        <item x="2029"/>
        <item x="1131"/>
        <item x="411"/>
        <item x="84"/>
        <item x="2875"/>
        <item x="94"/>
        <item x="19"/>
        <item x="2378"/>
        <item x="209"/>
        <item x="13"/>
        <item x="9"/>
        <item x="3187"/>
        <item x="1059"/>
        <item x="1415"/>
        <item x="1623"/>
        <item x="1850"/>
        <item x="1043"/>
        <item x="3040"/>
        <item x="2877"/>
        <item x="11"/>
        <item x="1407"/>
        <item x="1083"/>
        <item x="2363"/>
        <item x="12"/>
        <item x="1427"/>
        <item x="2362"/>
        <item x="2878"/>
        <item x="1052"/>
        <item x="1259"/>
        <item x="433"/>
        <item x="2397"/>
        <item x="1856"/>
        <item x="1437"/>
        <item x="1852"/>
        <item x="1041"/>
        <item x="39"/>
        <item x="1404"/>
        <item x="1853"/>
        <item x="1520"/>
        <item x="2965"/>
        <item x="1389"/>
        <item x="1440"/>
        <item x="1422"/>
        <item x="1872"/>
        <item x="1483"/>
        <item x="1547"/>
        <item x="2364"/>
        <item x="1898"/>
        <item x="1047"/>
        <item x="1060"/>
        <item x="1046"/>
        <item x="1044"/>
        <item x="2881"/>
        <item x="37"/>
        <item x="1406"/>
        <item x="1045"/>
        <item x="1062"/>
        <item x="2882"/>
        <item x="2365"/>
        <item x="415"/>
        <item x="2884"/>
        <item x="1408"/>
        <item x="506"/>
        <item x="14"/>
        <item x="1412"/>
        <item x="147"/>
        <item x="425"/>
        <item x="26"/>
        <item x="417"/>
        <item x="454"/>
        <item x="16"/>
        <item x="2883"/>
        <item x="1048"/>
        <item x="416"/>
        <item x="1424"/>
        <item x="1065"/>
        <item x="465"/>
        <item x="184"/>
        <item x="15"/>
        <item x="2886"/>
        <item x="1050"/>
        <item x="2366"/>
        <item x="1458"/>
        <item x="1414"/>
        <item x="2903"/>
        <item x="2885"/>
        <item x="2449"/>
        <item x="1858"/>
        <item x="1449"/>
        <item x="1410"/>
        <item x="2107"/>
        <item x="2888"/>
        <item x="1411"/>
        <item x="1049"/>
        <item x="418"/>
        <item x="2889"/>
        <item x="459"/>
        <item x="2369"/>
        <item x="2368"/>
        <item x="387"/>
        <item x="1051"/>
        <item x="1413"/>
        <item x="17"/>
        <item x="1053"/>
        <item x="1857"/>
        <item x="462"/>
        <item x="1971"/>
        <item x="177"/>
        <item x="178"/>
        <item x="1159"/>
        <item x="2401"/>
        <item x="1218"/>
        <item x="1219"/>
        <item x="1922"/>
        <item x="484"/>
        <item x="426"/>
        <item x="3143"/>
        <item x="1859"/>
        <item x="3037"/>
        <item x="1056"/>
        <item x="1864"/>
        <item x="422"/>
        <item x="1417"/>
        <item x="1416"/>
        <item x="20"/>
        <item x="1054"/>
        <item x="469"/>
        <item x="1057"/>
        <item x="423"/>
        <item x="2371"/>
        <item x="1420"/>
        <item x="1860"/>
        <item x="1112"/>
        <item x="536"/>
        <item x="604"/>
        <item x="450"/>
        <item x="2543"/>
        <item x="1109"/>
        <item x="22"/>
        <item x="1419"/>
        <item x="31"/>
        <item x="628"/>
        <item x="2901"/>
        <item x="1177"/>
        <item x="468"/>
        <item x="2374"/>
        <item x="2375"/>
        <item x="1135"/>
        <item x="630"/>
        <item x="479"/>
        <item x="1058"/>
        <item x="1863"/>
        <item x="1425"/>
        <item x="595"/>
        <item x="1862"/>
        <item x="2377"/>
        <item x="1871"/>
        <item x="428"/>
        <item x="2896"/>
        <item x="1535"/>
        <item x="2954"/>
        <item x="2892"/>
        <item x="427"/>
        <item x="2379"/>
        <item x="2388"/>
        <item x="1928"/>
        <item x="1870"/>
        <item x="2383"/>
        <item x="444"/>
        <item x="2913"/>
        <item x="2381"/>
        <item x="2008"/>
        <item x="430"/>
        <item x="1300"/>
        <item x="3058"/>
        <item x="1448"/>
        <item x="3112"/>
        <item x="1274"/>
        <item x="569"/>
        <item x="463"/>
        <item x="448"/>
        <item x="1078"/>
        <item x="2390"/>
        <item x="441"/>
        <item x="2921"/>
        <item x="3062"/>
        <item x="437"/>
        <item x="2398"/>
        <item x="2927"/>
        <item x="1064"/>
        <item x="603"/>
        <item x="2482"/>
        <item x="502"/>
        <item x="435"/>
        <item x="2392"/>
        <item x="438"/>
        <item x="1487"/>
        <item x="1431"/>
        <item x="460"/>
        <item x="1887"/>
        <item x="1476"/>
        <item x="1877"/>
        <item x="623"/>
        <item x="1101"/>
        <item x="1875"/>
        <item x="2914"/>
        <item x="1892"/>
        <item x="1068"/>
        <item x="488"/>
        <item x="1116"/>
        <item x="1878"/>
        <item x="32"/>
        <item x="1066"/>
        <item x="2387"/>
        <item x="34"/>
        <item x="442"/>
        <item x="1873"/>
        <item x="66"/>
        <item x="1208"/>
        <item x="1884"/>
        <item x="2910"/>
        <item x="2395"/>
        <item x="1982"/>
        <item x="2462"/>
        <item x="2920"/>
        <item x="1874"/>
        <item x="1965"/>
        <item x="1951"/>
        <item x="849"/>
        <item x="164"/>
        <item x="2137"/>
        <item x="443"/>
        <item x="1432"/>
        <item x="2407"/>
        <item x="57"/>
        <item x="1205"/>
        <item x="2936"/>
        <item x="439"/>
        <item x="1067"/>
        <item x="2999"/>
        <item x="2931"/>
        <item x="2904"/>
        <item x="2032"/>
        <item x="1070"/>
        <item x="1435"/>
        <item x="60"/>
        <item x="1879"/>
        <item x="1436"/>
        <item x="3053"/>
        <item x="1433"/>
        <item x="440"/>
        <item x="1434"/>
        <item x="2908"/>
        <item x="498"/>
        <item x="1445"/>
        <item x="2391"/>
        <item x="87"/>
        <item x="2508"/>
        <item x="1072"/>
        <item x="1883"/>
        <item x="2905"/>
        <item x="2909"/>
        <item x="446"/>
        <item x="1438"/>
        <item x="41"/>
        <item x="1069"/>
        <item x="373"/>
        <item x="2912"/>
        <item x="1441"/>
        <item x="1082"/>
        <item x="2394"/>
        <item x="47"/>
        <item x="474"/>
        <item x="1444"/>
        <item x="1095"/>
        <item x="1073"/>
        <item x="44"/>
        <item x="2907"/>
        <item x="1442"/>
        <item x="46"/>
        <item x="1090"/>
        <item x="1439"/>
        <item x="48"/>
        <item x="787"/>
        <item x="449"/>
        <item x="1075"/>
        <item x="451"/>
        <item x="2291"/>
        <item x="2911"/>
        <item x="56"/>
        <item x="2410"/>
        <item x="2919"/>
        <item x="2393"/>
        <item x="2961"/>
        <item x="1094"/>
        <item x="1447"/>
        <item x="1880"/>
        <item x="455"/>
        <item x="1076"/>
        <item x="1909"/>
        <item x="117"/>
        <item x="303"/>
        <item x="1885"/>
        <item x="1084"/>
        <item x="81"/>
        <item x="127"/>
        <item x="51"/>
        <item x="64"/>
        <item x="1152"/>
        <item x="2956"/>
        <item x="1893"/>
        <item x="1514"/>
        <item x="1201"/>
        <item x="458"/>
        <item x="3054"/>
        <item x="61"/>
        <item x="467"/>
        <item x="1891"/>
        <item x="1541"/>
        <item x="118"/>
        <item x="1087"/>
        <item x="2424"/>
        <item x="2404"/>
        <item x="456"/>
        <item x="1546"/>
        <item x="2960"/>
        <item x="1454"/>
        <item x="1888"/>
        <item x="2256"/>
        <item x="1948"/>
        <item x="2047"/>
        <item x="464"/>
        <item x="466"/>
        <item x="461"/>
        <item x="2399"/>
        <item x="1890"/>
        <item x="1923"/>
        <item x="1587"/>
        <item x="2917"/>
        <item x="1462"/>
        <item x="555"/>
        <item x="2436"/>
        <item x="234"/>
        <item x="2963"/>
        <item x="1943"/>
        <item x="1509"/>
        <item x="1551"/>
        <item x="1102"/>
        <item x="100"/>
        <item x="1088"/>
        <item x="1656"/>
        <item x="1093"/>
        <item x="1096"/>
        <item x="1550"/>
        <item x="1896"/>
        <item x="1453"/>
        <item x="494"/>
        <item x="1091"/>
        <item x="1894"/>
        <item x="1907"/>
        <item x="1558"/>
        <item x="1686"/>
        <item x="85"/>
        <item x="1562"/>
        <item x="2949"/>
        <item x="58"/>
        <item x="361"/>
        <item x="1899"/>
        <item x="1092"/>
        <item x="470"/>
        <item x="2995"/>
        <item x="2435"/>
        <item x="1452"/>
        <item x="1467"/>
        <item x="2408"/>
        <item x="2405"/>
        <item x="2779"/>
        <item x="522"/>
        <item x="71"/>
        <item x="1902"/>
        <item x="1488"/>
        <item x="1904"/>
        <item x="1901"/>
        <item x="481"/>
        <item x="1456"/>
        <item x="1107"/>
        <item x="2012"/>
        <item x="1494"/>
        <item x="2481"/>
        <item x="101"/>
        <item x="2924"/>
        <item x="1475"/>
        <item x="2417"/>
        <item x="2925"/>
        <item x="1912"/>
        <item x="1460"/>
        <item x="1097"/>
        <item x="2412"/>
        <item x="1495"/>
        <item x="1937"/>
        <item x="1459"/>
        <item x="1464"/>
        <item x="1463"/>
        <item x="2926"/>
        <item x="1491"/>
        <item x="1920"/>
        <item x="3064"/>
        <item x="471"/>
        <item x="2951"/>
        <item x="2411"/>
        <item x="1466"/>
        <item x="1762"/>
        <item x="564"/>
        <item x="644"/>
        <item x="1930"/>
        <item x="2419"/>
        <item x="1905"/>
        <item x="62"/>
        <item x="63"/>
        <item x="2943"/>
        <item x="499"/>
        <item x="1098"/>
        <item x="477"/>
        <item x="1471"/>
        <item x="2992"/>
        <item x="1099"/>
        <item x="2415"/>
        <item x="1470"/>
        <item x="2423"/>
        <item x="2413"/>
        <item x="1489"/>
        <item x="1578"/>
        <item x="2414"/>
        <item x="478"/>
        <item x="925"/>
        <item x="1929"/>
        <item x="2934"/>
        <item x="517"/>
        <item x="1473"/>
        <item x="74"/>
        <item x="1910"/>
        <item x="1608"/>
        <item x="2416"/>
        <item x="1979"/>
        <item x="1468"/>
        <item x="476"/>
        <item x="1104"/>
        <item x="1229"/>
        <item x="2933"/>
        <item x="1548"/>
        <item x="480"/>
        <item x="1474"/>
        <item x="1100"/>
        <item x="487"/>
        <item x="3023"/>
        <item x="482"/>
        <item x="2939"/>
        <item x="2418"/>
        <item x="68"/>
        <item x="65"/>
        <item x="2204"/>
        <item x="483"/>
        <item x="1545"/>
        <item x="2935"/>
        <item x="72"/>
        <item x="1111"/>
        <item x="1477"/>
        <item x="2420"/>
        <item x="1472"/>
        <item x="2421"/>
        <item x="751"/>
        <item x="1913"/>
        <item x="2422"/>
        <item x="1911"/>
        <item x="2442"/>
        <item x="1103"/>
        <item x="2972"/>
        <item x="2428"/>
        <item x="2446"/>
        <item x="493"/>
        <item x="135"/>
        <item x="1492"/>
        <item x="1984"/>
        <item x="1117"/>
        <item x="2429"/>
        <item x="2942"/>
        <item x="2425"/>
        <item x="1914"/>
        <item x="1478"/>
        <item x="1110"/>
        <item x="67"/>
        <item x="485"/>
        <item x="83"/>
        <item x="2819"/>
        <item x="2438"/>
        <item x="2794"/>
        <item x="1962"/>
        <item x="2940"/>
        <item x="2427"/>
        <item x="2946"/>
        <item x="2945"/>
        <item x="124"/>
        <item x="1108"/>
        <item x="1485"/>
        <item x="1577"/>
        <item x="82"/>
        <item x="76"/>
        <item x="1915"/>
        <item x="172"/>
        <item x="2445"/>
        <item x="75"/>
        <item x="1925"/>
        <item x="1916"/>
        <item x="1481"/>
        <item x="1503"/>
        <item x="1927"/>
        <item x="78"/>
        <item x="2947"/>
        <item x="1510"/>
        <item x="1919"/>
        <item x="1114"/>
        <item x="490"/>
        <item x="552"/>
        <item x="2433"/>
        <item x="1917"/>
        <item x="757"/>
        <item x="513"/>
        <item x="3111"/>
        <item x="491"/>
        <item x="2485"/>
        <item x="73"/>
        <item x="129"/>
        <item x="80"/>
        <item x="1113"/>
        <item x="3008"/>
        <item x="495"/>
        <item x="2439"/>
        <item x="79"/>
        <item x="1918"/>
        <item x="515"/>
        <item x="297"/>
        <item x="492"/>
        <item x="2441"/>
        <item x="1946"/>
        <item x="1486"/>
        <item x="500"/>
        <item x="2969"/>
        <item x="2966"/>
        <item x="1484"/>
        <item x="3325"/>
        <item x="2558"/>
        <item x="92"/>
        <item x="1761"/>
        <item x="3075"/>
        <item x="1931"/>
        <item x="1482"/>
        <item x="2948"/>
        <item x="3003"/>
        <item x="3060"/>
        <item x="2434"/>
        <item x="2005"/>
        <item x="496"/>
        <item x="1994"/>
        <item x="1490"/>
        <item x="86"/>
        <item x="2437"/>
        <item x="1921"/>
        <item x="497"/>
        <item x="2565"/>
        <item x="95"/>
        <item x="2486"/>
        <item x="93"/>
        <item x="89"/>
        <item x="2952"/>
        <item x="503"/>
        <item x="1118"/>
        <item x="501"/>
        <item x="830"/>
        <item x="2440"/>
        <item x="504"/>
        <item x="1498"/>
        <item x="548"/>
        <item x="141"/>
        <item x="505"/>
        <item x="2955"/>
        <item x="521"/>
        <item x="2515"/>
        <item x="3012"/>
        <item x="1120"/>
        <item x="88"/>
        <item x="2451"/>
        <item x="1996"/>
        <item x="1958"/>
        <item x="625"/>
        <item x="2463"/>
        <item x="578"/>
        <item x="2958"/>
        <item x="2572"/>
        <item x="90"/>
        <item x="509"/>
        <item x="1277"/>
        <item x="1926"/>
        <item x="2957"/>
        <item x="1976"/>
        <item x="1124"/>
        <item x="121"/>
        <item x="507"/>
        <item x="510"/>
        <item x="511"/>
        <item x="3038"/>
        <item x="1500"/>
        <item x="1136"/>
        <item x="1121"/>
        <item x="1497"/>
        <item x="91"/>
        <item x="2009"/>
        <item x="1496"/>
        <item x="815"/>
        <item x="261"/>
        <item x="2483"/>
        <item x="549"/>
        <item x="1554"/>
        <item x="2962"/>
        <item x="2444"/>
        <item x="2471"/>
        <item x="1123"/>
        <item x="3049"/>
        <item x="1939"/>
        <item x="1932"/>
        <item x="1125"/>
        <item x="1934"/>
        <item x="543"/>
        <item x="3106"/>
        <item x="2448"/>
        <item x="1499"/>
        <item x="618"/>
        <item x="2450"/>
        <item x="526"/>
        <item x="1945"/>
        <item x="2980"/>
        <item x="137"/>
        <item x="111"/>
        <item x="1949"/>
        <item x="514"/>
        <item x="2805"/>
        <item x="2447"/>
        <item x="2982"/>
        <item x="1127"/>
        <item x="2978"/>
        <item x="1130"/>
        <item x="1504"/>
        <item x="1512"/>
        <item x="2505"/>
        <item x="97"/>
        <item x="98"/>
        <item x="2464"/>
        <item x="2018"/>
        <item x="537"/>
        <item x="1639"/>
        <item x="1502"/>
        <item x="1126"/>
        <item x="624"/>
        <item x="1507"/>
        <item x="2991"/>
        <item x="1155"/>
        <item x="1506"/>
        <item x="1508"/>
        <item x="1938"/>
        <item x="1247"/>
        <item x="151"/>
        <item x="2468"/>
        <item x="2967"/>
        <item x="2098"/>
        <item x="1967"/>
        <item x="2970"/>
        <item x="518"/>
        <item x="1160"/>
        <item x="542"/>
        <item x="823"/>
        <item x="519"/>
        <item x="1128"/>
        <item x="2461"/>
        <item x="1995"/>
        <item x="102"/>
        <item x="2487"/>
        <item x="2985"/>
        <item x="1137"/>
        <item x="2459"/>
        <item x="1941"/>
        <item x="2497"/>
        <item x="2065"/>
        <item x="2973"/>
        <item x="2503"/>
        <item x="1601"/>
        <item x="3026"/>
        <item x="541"/>
        <item x="1154"/>
        <item x="531"/>
        <item x="527"/>
        <item x="573"/>
        <item x="2453"/>
        <item x="109"/>
        <item x="1953"/>
        <item x="1944"/>
        <item x="525"/>
        <item x="1129"/>
        <item x="538"/>
        <item x="110"/>
        <item x="534"/>
        <item x="130"/>
        <item x="1216"/>
        <item x="2465"/>
        <item x="106"/>
        <item x="528"/>
        <item x="2685"/>
        <item x="1553"/>
        <item x="131"/>
        <item x="2988"/>
        <item x="1574"/>
        <item x="1249"/>
        <item x="1992"/>
        <item x="682"/>
        <item x="524"/>
        <item x="1955"/>
        <item x="1543"/>
        <item x="1956"/>
        <item x="1517"/>
        <item x="1515"/>
        <item x="592"/>
        <item x="105"/>
        <item x="2513"/>
        <item x="2458"/>
        <item x="1147"/>
        <item x="551"/>
        <item x="107"/>
        <item x="3033"/>
        <item x="3057"/>
        <item x="532"/>
        <item x="2630"/>
        <item x="3000"/>
        <item x="2457"/>
        <item x="1540"/>
        <item x="108"/>
        <item x="1957"/>
        <item x="2460"/>
        <item x="2055"/>
        <item x="2730"/>
        <item x="530"/>
        <item x="2528"/>
        <item x="791"/>
        <item x="1997"/>
        <item x="2987"/>
        <item x="3039"/>
        <item x="535"/>
        <item x="112"/>
        <item x="1954"/>
        <item x="1140"/>
        <item x="1348"/>
        <item x="539"/>
        <item x="574"/>
        <item x="1959"/>
        <item x="2993"/>
        <item x="540"/>
        <item x="1807"/>
        <item x="1138"/>
        <item x="844"/>
        <item x="2038"/>
        <item x="581"/>
        <item x="276"/>
        <item x="150"/>
        <item x="1961"/>
        <item x="113"/>
        <item x="3030"/>
        <item x="1522"/>
        <item x="149"/>
        <item x="114"/>
        <item x="1973"/>
        <item x="2000"/>
        <item x="2989"/>
        <item x="572"/>
        <item x="1963"/>
        <item x="2986"/>
        <item x="2531"/>
        <item x="2734"/>
        <item x="2990"/>
        <item x="1519"/>
        <item x="568"/>
        <item x="119"/>
        <item x="1162"/>
        <item x="1960"/>
        <item x="2467"/>
        <item x="2022"/>
        <item x="1586"/>
        <item x="2146"/>
        <item x="545"/>
        <item x="2466"/>
        <item x="2479"/>
        <item x="544"/>
        <item x="610"/>
        <item x="1966"/>
        <item x="1523"/>
        <item x="1141"/>
        <item x="116"/>
        <item x="565"/>
        <item x="1148"/>
        <item x="1964"/>
        <item x="1975"/>
        <item x="2490"/>
        <item x="1173"/>
        <item x="3171"/>
        <item x="1532"/>
        <item x="2469"/>
        <item x="550"/>
        <item x="820"/>
        <item x="596"/>
        <item x="2473"/>
        <item x="590"/>
        <item x="591"/>
        <item x="1199"/>
        <item x="2994"/>
        <item x="1985"/>
        <item x="575"/>
        <item x="3065"/>
        <item x="2507"/>
        <item x="580"/>
        <item x="1556"/>
        <item x="3009"/>
        <item x="2054"/>
        <item x="2476"/>
        <item x="123"/>
        <item x="1981"/>
        <item x="1527"/>
        <item x="2997"/>
        <item x="1521"/>
        <item x="553"/>
        <item x="122"/>
        <item x="554"/>
        <item x="2474"/>
        <item x="2001"/>
        <item x="1980"/>
        <item x="126"/>
        <item x="560"/>
        <item x="1143"/>
        <item x="2475"/>
        <item x="558"/>
        <item x="557"/>
        <item x="1145"/>
        <item x="1142"/>
        <item x="142"/>
        <item x="120"/>
        <item x="597"/>
        <item x="1369"/>
        <item x="2741"/>
        <item x="2514"/>
        <item x="1969"/>
        <item x="1150"/>
        <item x="1524"/>
        <item x="1534"/>
        <item x="3001"/>
        <item x="2477"/>
        <item x="2478"/>
        <item x="3019"/>
        <item x="3014"/>
        <item x="2296"/>
        <item x="2495"/>
        <item x="3330"/>
        <item x="1970"/>
        <item x="2998"/>
        <item x="3002"/>
        <item x="1144"/>
        <item x="3036"/>
        <item x="125"/>
        <item x="1146"/>
        <item x="1990"/>
        <item x="559"/>
        <item x="136"/>
        <item x="1526"/>
        <item x="602"/>
        <item x="617"/>
        <item x="556"/>
        <item x="3011"/>
        <item x="561"/>
        <item x="1972"/>
        <item x="1978"/>
        <item x="1977"/>
        <item x="3005"/>
        <item x="2480"/>
        <item x="1974"/>
        <item x="2578"/>
        <item x="2840"/>
        <item x="566"/>
        <item x="144"/>
        <item x="128"/>
        <item x="134"/>
        <item x="1151"/>
        <item x="1559"/>
        <item x="1528"/>
        <item x="562"/>
        <item x="563"/>
        <item x="196"/>
        <item x="133"/>
        <item x="1988"/>
        <item x="1983"/>
        <item x="3004"/>
        <item x="2764"/>
        <item x="1537"/>
        <item x="201"/>
        <item x="2484"/>
        <item x="3007"/>
        <item x="1536"/>
        <item x="132"/>
        <item x="567"/>
        <item x="3029"/>
        <item x="3043"/>
        <item x="1529"/>
        <item x="1166"/>
        <item x="3013"/>
        <item x="1170"/>
        <item x="2078"/>
        <item x="1987"/>
        <item x="570"/>
        <item x="613"/>
        <item x="152"/>
        <item x="3017"/>
        <item x="2488"/>
        <item x="1163"/>
        <item x="143"/>
        <item x="2658"/>
        <item x="1248"/>
        <item x="1538"/>
        <item x="586"/>
        <item x="2492"/>
        <item x="2489"/>
        <item x="1592"/>
        <item x="3010"/>
        <item x="312"/>
        <item x="1991"/>
        <item x="612"/>
        <item x="158"/>
        <item x="1156"/>
        <item x="577"/>
        <item x="2491"/>
        <item x="1986"/>
        <item x="3015"/>
        <item x="1989"/>
        <item x="3018"/>
        <item x="3016"/>
        <item x="1766"/>
        <item x="582"/>
        <item x="3046"/>
        <item x="1539"/>
        <item x="2060"/>
        <item x="2002"/>
        <item x="639"/>
        <item x="140"/>
        <item x="600"/>
        <item x="2493"/>
        <item x="579"/>
        <item x="138"/>
        <item x="2666"/>
        <item x="2130"/>
        <item x="605"/>
        <item x="2855"/>
        <item x="193"/>
        <item x="3020"/>
        <item x="584"/>
        <item x="2498"/>
        <item x="2501"/>
        <item x="372"/>
        <item x="587"/>
        <item x="2494"/>
        <item x="3021"/>
        <item x="1549"/>
        <item x="1993"/>
        <item x="2504"/>
        <item x="3024"/>
        <item x="606"/>
        <item x="1203"/>
        <item x="747"/>
        <item x="609"/>
        <item x="1161"/>
        <item x="2517"/>
        <item x="585"/>
        <item x="3025"/>
        <item x="615"/>
        <item x="589"/>
        <item x="2615"/>
        <item x="3042"/>
        <item x="2502"/>
        <item x="2519"/>
        <item x="3047"/>
        <item x="2500"/>
        <item x="1158"/>
        <item x="1555"/>
        <item x="1998"/>
        <item x="1999"/>
        <item x="2506"/>
        <item x="909"/>
        <item x="1341"/>
        <item x="145"/>
        <item x="1649"/>
        <item x="1544"/>
        <item x="2509"/>
        <item x="146"/>
        <item x="148"/>
        <item x="2006"/>
        <item x="593"/>
        <item x="3044"/>
        <item x="159"/>
        <item x="594"/>
        <item x="3052"/>
        <item x="2021"/>
        <item x="614"/>
        <item x="601"/>
        <item x="1165"/>
        <item x="251"/>
        <item x="3031"/>
        <item x="2004"/>
        <item x="2556"/>
        <item x="2511"/>
        <item x="669"/>
        <item x="2512"/>
        <item x="648"/>
        <item x="607"/>
        <item x="598"/>
        <item x="2007"/>
        <item x="2516"/>
        <item x="167"/>
        <item x="3032"/>
        <item x="3035"/>
        <item x="173"/>
        <item x="153"/>
        <item x="2520"/>
        <item x="160"/>
        <item x="1169"/>
        <item x="1167"/>
        <item x="608"/>
        <item x="155"/>
        <item x="157"/>
        <item x="632"/>
        <item x="2650"/>
        <item x="662"/>
        <item x="3041"/>
        <item x="2564"/>
        <item x="1557"/>
        <item x="3230"/>
        <item x="619"/>
        <item x="156"/>
        <item x="253"/>
        <item x="2010"/>
        <item x="165"/>
        <item x="622"/>
        <item x="1598"/>
        <item x="3277"/>
        <item x="1560"/>
        <item x="831"/>
        <item x="616"/>
        <item x="1584"/>
        <item x="1187"/>
        <item x="2011"/>
        <item x="2518"/>
        <item x="2014"/>
        <item x="161"/>
        <item x="3045"/>
        <item x="2013"/>
        <item x="3073"/>
        <item x="638"/>
        <item x="2015"/>
        <item x="1178"/>
        <item x="1182"/>
        <item x="2030"/>
        <item x="2017"/>
        <item x="3050"/>
        <item x="1184"/>
        <item x="2033"/>
        <item x="163"/>
        <item x="350"/>
        <item x="3069"/>
        <item x="3048"/>
        <item x="2020"/>
        <item x="1174"/>
        <item x="646"/>
        <item x="2063"/>
        <item x="634"/>
        <item x="2016"/>
        <item x="202"/>
        <item x="2019"/>
        <item x="1566"/>
        <item x="1571"/>
        <item x="753"/>
        <item x="2527"/>
        <item x="1193"/>
        <item x="2200"/>
        <item x="1619"/>
        <item x="1180"/>
        <item x="2056"/>
        <item x="2523"/>
        <item x="2025"/>
        <item x="1175"/>
        <item x="627"/>
        <item x="3055"/>
        <item x="629"/>
        <item x="2023"/>
        <item x="1179"/>
        <item x="2536"/>
        <item x="168"/>
        <item x="2541"/>
        <item x="664"/>
        <item x="169"/>
        <item x="1570"/>
        <item x="1198"/>
        <item x="3068"/>
        <item x="2026"/>
        <item x="3087"/>
        <item x="2052"/>
        <item x="2035"/>
        <item x="1235"/>
        <item x="174"/>
        <item x="1576"/>
        <item x="3091"/>
        <item x="3085"/>
        <item x="636"/>
        <item x="2557"/>
        <item x="1579"/>
        <item x="170"/>
        <item x="641"/>
        <item x="1689"/>
        <item x="319"/>
        <item x="676"/>
        <item x="183"/>
        <item x="635"/>
        <item x="2526"/>
        <item x="1591"/>
        <item x="633"/>
        <item x="2549"/>
        <item x="1186"/>
        <item x="3092"/>
        <item x="3080"/>
        <item x="3235"/>
        <item x="1616"/>
        <item x="2087"/>
        <item x="1621"/>
        <item x="1210"/>
        <item x="2532"/>
        <item x="176"/>
        <item x="179"/>
        <item x="1600"/>
        <item x="2043"/>
        <item x="643"/>
        <item x="2530"/>
        <item x="3083"/>
        <item x="2568"/>
        <item x="1189"/>
        <item x="771"/>
        <item x="1603"/>
        <item x="2533"/>
        <item x="1585"/>
        <item x="3077"/>
        <item x="2202"/>
        <item x="190"/>
        <item x="1196"/>
        <item x="660"/>
        <item x="2554"/>
        <item x="2075"/>
        <item x="800"/>
        <item x="1609"/>
        <item x="670"/>
        <item x="3109"/>
        <item x="3067"/>
        <item x="1194"/>
        <item x="1593"/>
        <item x="656"/>
        <item x="1192"/>
        <item x="2544"/>
        <item x="2537"/>
        <item x="2540"/>
        <item x="206"/>
        <item x="3071"/>
        <item x="1626"/>
        <item x="2036"/>
        <item x="1604"/>
        <item x="1195"/>
        <item x="2072"/>
        <item x="1188"/>
        <item x="1607"/>
        <item x="2049"/>
        <item x="2539"/>
        <item x="3093"/>
        <item x="1190"/>
        <item x="2538"/>
        <item x="2737"/>
        <item x="650"/>
        <item x="2069"/>
        <item x="1595"/>
        <item x="1599"/>
        <item x="3082"/>
        <item x="649"/>
        <item x="684"/>
        <item x="668"/>
        <item x="188"/>
        <item x="3076"/>
        <item x="1596"/>
        <item x="195"/>
        <item x="653"/>
        <item x="2064"/>
        <item x="2551"/>
        <item x="3072"/>
        <item x="778"/>
        <item x="2560"/>
        <item x="3081"/>
        <item x="2040"/>
        <item x="2039"/>
        <item x="186"/>
        <item x="185"/>
        <item x="2547"/>
        <item x="701"/>
        <item x="2101"/>
        <item x="2581"/>
        <item x="2183"/>
        <item x="1597"/>
        <item x="1615"/>
        <item x="1614"/>
        <item x="1191"/>
        <item x="1602"/>
        <item x="2546"/>
        <item x="2076"/>
        <item x="2545"/>
        <item x="655"/>
        <item x="2548"/>
        <item x="2041"/>
        <item x="211"/>
        <item x="191"/>
        <item x="189"/>
        <item x="671"/>
        <item x="192"/>
        <item x="1605"/>
        <item x="654"/>
        <item x="658"/>
        <item x="982"/>
        <item x="3084"/>
        <item x="665"/>
        <item x="657"/>
        <item x="659"/>
        <item x="3086"/>
        <item x="215"/>
        <item x="2672"/>
        <item x="2552"/>
        <item x="2045"/>
        <item x="2550"/>
        <item x="2575"/>
        <item x="2042"/>
        <item x="674"/>
        <item x="663"/>
        <item x="3128"/>
        <item x="667"/>
        <item x="673"/>
        <item x="2046"/>
        <item x="3094"/>
        <item x="2553"/>
        <item x="1200"/>
        <item x="2044"/>
        <item x="3088"/>
        <item x="1202"/>
        <item x="672"/>
        <item x="194"/>
        <item x="1197"/>
        <item x="2099"/>
        <item x="1606"/>
        <item x="3089"/>
        <item x="1230"/>
        <item x="2584"/>
        <item x="2589"/>
        <item x="2048"/>
        <item x="198"/>
        <item x="2067"/>
        <item x="2657"/>
        <item x="199"/>
        <item x="3114"/>
        <item x="666"/>
        <item x="1610"/>
        <item x="217"/>
        <item x="1611"/>
        <item x="3096"/>
        <item x="3124"/>
        <item x="3095"/>
        <item x="1612"/>
        <item x="2050"/>
        <item x="711"/>
        <item x="2555"/>
        <item x="2051"/>
        <item x="678"/>
        <item x="2151"/>
        <item x="226"/>
        <item x="3100"/>
        <item x="765"/>
        <item x="732"/>
        <item x="318"/>
        <item x="677"/>
        <item x="3097"/>
        <item x="2563"/>
        <item x="200"/>
        <item x="1204"/>
        <item x="675"/>
        <item x="3102"/>
        <item x="714"/>
        <item x="3099"/>
        <item x="2561"/>
        <item x="2676"/>
        <item x="2053"/>
        <item x="3098"/>
        <item x="1618"/>
        <item x="1206"/>
        <item x="3105"/>
        <item x="2559"/>
        <item x="2562"/>
        <item x="690"/>
        <item x="203"/>
        <item x="2194"/>
        <item x="205"/>
        <item x="207"/>
        <item x="1617"/>
        <item x="2061"/>
        <item x="204"/>
        <item x="2570"/>
        <item x="2128"/>
        <item x="3101"/>
        <item x="2567"/>
        <item x="1631"/>
        <item x="223"/>
        <item x="680"/>
        <item x="208"/>
        <item x="698"/>
        <item x="1613"/>
        <item x="679"/>
        <item x="3107"/>
        <item x="1207"/>
        <item x="2566"/>
        <item x="681"/>
        <item x="685"/>
        <item x="683"/>
        <item x="3104"/>
        <item x="3103"/>
        <item x="687"/>
        <item x="2059"/>
        <item x="220"/>
        <item x="2062"/>
        <item x="743"/>
        <item x="2057"/>
        <item x="1622"/>
        <item x="695"/>
        <item x="2058"/>
        <item x="3117"/>
        <item x="1652"/>
        <item x="688"/>
        <item x="1645"/>
        <item x="1620"/>
        <item x="2571"/>
        <item x="689"/>
        <item x="686"/>
        <item x="802"/>
        <item x="2066"/>
        <item x="1624"/>
        <item x="746"/>
        <item x="692"/>
        <item x="3110"/>
        <item x="210"/>
        <item x="2569"/>
        <item x="1212"/>
        <item x="3115"/>
        <item x="2071"/>
        <item x="730"/>
        <item x="1214"/>
        <item x="3108"/>
        <item x="693"/>
        <item x="1243"/>
        <item x="2068"/>
        <item x="212"/>
        <item x="2573"/>
        <item x="691"/>
        <item x="1213"/>
        <item x="213"/>
        <item x="1215"/>
        <item x="2094"/>
        <item x="1228"/>
        <item x="2224"/>
        <item x="3126"/>
        <item x="1634"/>
        <item x="1217"/>
        <item x="696"/>
        <item x="229"/>
        <item x="1644"/>
        <item x="2088"/>
        <item x="219"/>
        <item x="697"/>
        <item x="2070"/>
        <item x="214"/>
        <item x="2574"/>
        <item x="721"/>
        <item x="2587"/>
        <item x="2073"/>
        <item x="3113"/>
        <item x="1287"/>
        <item x="731"/>
        <item x="2100"/>
        <item x="1633"/>
        <item x="2074"/>
        <item x="1627"/>
        <item x="2576"/>
        <item x="719"/>
        <item x="2579"/>
        <item x="703"/>
        <item x="717"/>
        <item x="2577"/>
        <item x="702"/>
        <item x="1628"/>
        <item x="2181"/>
        <item x="2152"/>
        <item x="2178"/>
        <item x="1220"/>
        <item x="2085"/>
        <item x="216"/>
        <item x="3116"/>
        <item x="2593"/>
        <item x="715"/>
        <item x="2077"/>
        <item x="252"/>
        <item x="2580"/>
        <item x="2084"/>
        <item x="3118"/>
        <item x="705"/>
        <item x="1223"/>
        <item x="218"/>
        <item x="1222"/>
        <item x="1227"/>
        <item x="704"/>
        <item x="3131"/>
        <item x="707"/>
        <item x="706"/>
        <item x="222"/>
        <item x="2093"/>
        <item x="2080"/>
        <item x="233"/>
        <item x="2082"/>
        <item x="726"/>
        <item x="227"/>
        <item x="1224"/>
        <item x="720"/>
        <item x="224"/>
        <item x="3121"/>
        <item x="2189"/>
        <item x="2583"/>
        <item x="737"/>
        <item x="2079"/>
        <item x="295"/>
        <item x="1226"/>
        <item x="3120"/>
        <item x="3208"/>
        <item x="248"/>
        <item x="2585"/>
        <item x="264"/>
        <item x="2102"/>
        <item x="1630"/>
        <item x="1301"/>
        <item x="2582"/>
        <item x="2653"/>
        <item x="728"/>
        <item x="709"/>
        <item x="2081"/>
        <item x="3125"/>
        <item x="710"/>
        <item x="2588"/>
        <item x="708"/>
        <item x="3123"/>
        <item x="2586"/>
        <item x="2089"/>
        <item x="3122"/>
        <item x="2599"/>
        <item x="3211"/>
        <item x="1238"/>
        <item x="1632"/>
        <item x="2083"/>
        <item x="1225"/>
        <item x="713"/>
        <item x="2698"/>
        <item x="2086"/>
        <item x="712"/>
        <item x="1337"/>
        <item x="225"/>
        <item x="2686"/>
        <item x="1233"/>
        <item x="716"/>
        <item x="2590"/>
        <item x="733"/>
        <item x="2591"/>
        <item x="2595"/>
        <item x="2625"/>
        <item x="2096"/>
        <item x="235"/>
        <item x="228"/>
        <item x="232"/>
        <item x="2592"/>
        <item x="718"/>
        <item x="739"/>
        <item x="2090"/>
        <item x="3129"/>
        <item x="2092"/>
        <item x="3130"/>
        <item x="2162"/>
        <item x="1635"/>
        <item x="3127"/>
        <item x="1640"/>
        <item x="1231"/>
        <item x="2608"/>
        <item x="2091"/>
        <item x="2597"/>
        <item x="735"/>
        <item x="724"/>
        <item x="2600"/>
        <item x="239"/>
        <item x="2104"/>
        <item x="3134"/>
        <item x="294"/>
        <item x="729"/>
        <item x="2594"/>
        <item x="727"/>
        <item x="722"/>
        <item x="2596"/>
        <item x="2649"/>
        <item x="1638"/>
        <item x="2598"/>
        <item x="279"/>
        <item x="1641"/>
        <item x="1023"/>
        <item x="255"/>
        <item x="3135"/>
        <item x="284"/>
        <item x="241"/>
        <item x="741"/>
        <item x="742"/>
        <item x="3133"/>
        <item x="3147"/>
        <item x="1643"/>
        <item x="2095"/>
        <item x="3139"/>
        <item x="2611"/>
        <item x="2601"/>
        <item x="3152"/>
        <item x="3136"/>
        <item x="1637"/>
        <item x="1636"/>
        <item x="2602"/>
        <item x="236"/>
        <item x="2603"/>
        <item x="3137"/>
        <item x="2097"/>
        <item x="2119"/>
        <item x="2111"/>
        <item x="3138"/>
        <item x="2103"/>
        <item x="740"/>
        <item x="2120"/>
        <item x="237"/>
        <item x="749"/>
        <item x="2621"/>
        <item x="2616"/>
        <item x="736"/>
        <item x="2619"/>
        <item x="2106"/>
        <item x="738"/>
        <item x="3150"/>
        <item x="773"/>
        <item x="3146"/>
        <item x="3166"/>
        <item x="2609"/>
        <item x="744"/>
        <item x="1240"/>
        <item x="3142"/>
        <item x="238"/>
        <item x="2607"/>
        <item x="769"/>
        <item x="761"/>
        <item x="246"/>
        <item x="3144"/>
        <item x="3249"/>
        <item x="1242"/>
        <item x="2610"/>
        <item x="2112"/>
        <item x="3140"/>
        <item x="756"/>
        <item x="1800"/>
        <item x="943"/>
        <item x="2105"/>
        <item x="745"/>
        <item x="240"/>
        <item x="2113"/>
        <item x="1740"/>
        <item x="2613"/>
        <item x="3153"/>
        <item x="2612"/>
        <item x="2614"/>
        <item x="3148"/>
        <item x="1236"/>
        <item x="243"/>
        <item x="2108"/>
        <item x="3149"/>
        <item x="2110"/>
        <item x="1244"/>
        <item x="2124"/>
        <item x="2109"/>
        <item x="828"/>
        <item x="3151"/>
        <item x="2617"/>
        <item x="242"/>
        <item x="1648"/>
        <item x="1239"/>
        <item x="1647"/>
        <item x="2115"/>
        <item x="3154"/>
        <item x="750"/>
        <item x="3362"/>
        <item x="1241"/>
        <item x="1650"/>
        <item x="2116"/>
        <item x="2646"/>
        <item x="245"/>
        <item x="247"/>
        <item x="2208"/>
        <item x="2622"/>
        <item x="2620"/>
        <item x="1651"/>
        <item x="752"/>
        <item x="3155"/>
        <item x="2117"/>
        <item x="2623"/>
        <item x="2214"/>
        <item x="3157"/>
        <item x="2118"/>
        <item x="3156"/>
        <item x="3161"/>
        <item x="2121"/>
        <item x="3162"/>
        <item x="3163"/>
        <item x="249"/>
        <item x="3160"/>
        <item x="3159"/>
        <item x="754"/>
        <item x="3158"/>
        <item x="2122"/>
        <item x="2631"/>
        <item x="1653"/>
        <item x="2626"/>
        <item x="755"/>
        <item x="2144"/>
        <item x="2123"/>
        <item x="250"/>
        <item x="2125"/>
        <item x="3172"/>
        <item x="2161"/>
        <item x="2127"/>
        <item x="254"/>
        <item x="256"/>
        <item x="1654"/>
        <item x="2153"/>
        <item x="758"/>
        <item x="772"/>
        <item x="783"/>
        <item x="759"/>
        <item x="2629"/>
        <item x="3164"/>
        <item x="2636"/>
        <item x="3165"/>
        <item x="259"/>
        <item x="3186"/>
        <item x="265"/>
        <item x="2129"/>
        <item x="841"/>
        <item x="257"/>
        <item x="770"/>
        <item x="2168"/>
        <item x="2131"/>
        <item x="1658"/>
        <item x="2150"/>
        <item x="760"/>
        <item x="1659"/>
        <item x="2138"/>
        <item x="2147"/>
        <item x="1245"/>
        <item x="777"/>
        <item x="2133"/>
        <item x="2135"/>
        <item x="2634"/>
        <item x="1657"/>
        <item x="2132"/>
        <item x="763"/>
        <item x="3169"/>
        <item x="2633"/>
        <item x="3168"/>
        <item x="809"/>
        <item x="2134"/>
        <item x="2632"/>
        <item x="3170"/>
        <item x="3167"/>
        <item x="278"/>
        <item x="1662"/>
        <item x="1246"/>
        <item x="2139"/>
        <item x="1665"/>
        <item x="292"/>
        <item x="766"/>
        <item x="764"/>
        <item x="2637"/>
        <item x="262"/>
        <item x="1661"/>
        <item x="1711"/>
        <item x="977"/>
        <item x="3207"/>
        <item x="1660"/>
        <item x="2635"/>
        <item x="3176"/>
        <item x="3178"/>
        <item x="260"/>
        <item x="767"/>
        <item x="776"/>
        <item x="2143"/>
        <item x="1664"/>
        <item x="3173"/>
        <item x="263"/>
        <item x="3175"/>
        <item x="3221"/>
        <item x="2186"/>
        <item x="2140"/>
        <item x="267"/>
        <item x="2141"/>
        <item x="2148"/>
        <item x="2164"/>
        <item x="274"/>
        <item x="2638"/>
        <item x="3180"/>
        <item x="768"/>
        <item x="268"/>
        <item x="2163"/>
        <item x="2142"/>
        <item x="3177"/>
        <item x="2639"/>
        <item x="2145"/>
        <item x="2829"/>
        <item x="2671"/>
        <item x="775"/>
        <item x="774"/>
        <item x="266"/>
        <item x="2149"/>
        <item x="3188"/>
        <item x="2656"/>
        <item x="1663"/>
        <item x="795"/>
        <item x="310"/>
        <item x="2640"/>
        <item x="3194"/>
        <item x="3181"/>
        <item x="2642"/>
        <item x="2159"/>
        <item x="1666"/>
        <item x="781"/>
        <item x="1667"/>
        <item x="3182"/>
        <item x="270"/>
        <item x="2670"/>
        <item x="2154"/>
        <item x="269"/>
        <item x="780"/>
        <item x="1713"/>
        <item x="788"/>
        <item x="2641"/>
        <item x="2213"/>
        <item x="3212"/>
        <item x="3183"/>
        <item x="3184"/>
        <item x="3185"/>
        <item x="1671"/>
        <item x="2157"/>
        <item x="1668"/>
        <item x="285"/>
        <item x="790"/>
        <item x="1273"/>
        <item x="2173"/>
        <item x="2165"/>
        <item x="2158"/>
        <item x="794"/>
        <item x="782"/>
        <item x="786"/>
        <item x="2155"/>
        <item x="2644"/>
        <item x="2156"/>
        <item x="2645"/>
        <item x="785"/>
        <item x="1669"/>
        <item x="271"/>
        <item x="1682"/>
        <item x="810"/>
        <item x="1698"/>
        <item x="1250"/>
        <item x="2167"/>
        <item x="1710"/>
        <item x="1672"/>
        <item x="784"/>
        <item x="2648"/>
        <item x="3193"/>
        <item x="2652"/>
        <item x="273"/>
        <item x="2647"/>
        <item x="3192"/>
        <item x="272"/>
        <item x="1717"/>
        <item x="2160"/>
        <item x="994"/>
        <item x="3200"/>
        <item x="286"/>
        <item x="798"/>
        <item x="2651"/>
        <item x="1673"/>
        <item x="2179"/>
        <item x="789"/>
        <item x="1253"/>
        <item x="3189"/>
        <item x="2166"/>
        <item x="1674"/>
        <item x="314"/>
        <item x="2284"/>
        <item x="792"/>
        <item x="2171"/>
        <item x="793"/>
        <item x="799"/>
        <item x="2169"/>
        <item x="2661"/>
        <item x="1676"/>
        <item x="3252"/>
        <item x="3191"/>
        <item x="1251"/>
        <item x="3190"/>
        <item x="2170"/>
        <item x="277"/>
        <item x="1252"/>
        <item x="2655"/>
        <item x="1675"/>
        <item x="1677"/>
        <item x="3196"/>
        <item x="282"/>
        <item x="797"/>
        <item x="3195"/>
        <item x="1291"/>
        <item x="2654"/>
        <item x="1678"/>
        <item x="3206"/>
        <item x="3205"/>
        <item x="2172"/>
        <item x="2675"/>
        <item x="1684"/>
        <item x="3236"/>
        <item x="334"/>
        <item x="848"/>
        <item x="803"/>
        <item x="805"/>
        <item x="1254"/>
        <item x="3209"/>
        <item x="2659"/>
        <item x="302"/>
        <item x="1683"/>
        <item x="3201"/>
        <item x="280"/>
        <item x="3198"/>
        <item x="806"/>
        <item x="804"/>
        <item x="2174"/>
        <item x="1680"/>
        <item x="281"/>
        <item x="2176"/>
        <item x="2660"/>
        <item x="1679"/>
        <item x="3199"/>
        <item x="2175"/>
        <item x="331"/>
        <item x="1702"/>
        <item x="1681"/>
        <item x="2199"/>
        <item x="2177"/>
        <item x="283"/>
        <item x="808"/>
        <item x="1700"/>
        <item x="3203"/>
        <item x="2182"/>
        <item x="1256"/>
        <item x="2663"/>
        <item x="1712"/>
        <item x="862"/>
        <item x="1687"/>
        <item x="1699"/>
        <item x="3202"/>
        <item x="3213"/>
        <item x="2195"/>
        <item x="1374"/>
        <item x="2712"/>
        <item x="2180"/>
        <item x="2705"/>
        <item x="2225"/>
        <item x="832"/>
        <item x="1728"/>
        <item x="2197"/>
        <item x="1696"/>
        <item x="2667"/>
        <item x="2673"/>
        <item x="1255"/>
        <item x="1257"/>
        <item x="3248"/>
        <item x="811"/>
        <item x="2662"/>
        <item x="1275"/>
        <item x="824"/>
        <item x="1685"/>
        <item x="890"/>
        <item x="1269"/>
        <item x="2334"/>
        <item x="1697"/>
        <item x="1276"/>
        <item x="2669"/>
        <item x="1258"/>
        <item x="287"/>
        <item x="1262"/>
        <item x="304"/>
        <item x="2187"/>
        <item x="2665"/>
        <item x="1279"/>
        <item x="3210"/>
        <item x="3246"/>
        <item x="2664"/>
        <item x="2184"/>
        <item x="1703"/>
        <item x="325"/>
        <item x="1695"/>
        <item x="821"/>
        <item x="2706"/>
        <item x="1270"/>
        <item x="1263"/>
        <item x="2679"/>
        <item x="822"/>
        <item x="3242"/>
        <item x="2708"/>
        <item x="812"/>
        <item x="1261"/>
        <item x="323"/>
        <item x="814"/>
        <item x="1260"/>
        <item x="2211"/>
        <item x="1693"/>
        <item x="288"/>
        <item x="1690"/>
        <item x="315"/>
        <item x="2188"/>
        <item x="1691"/>
        <item x="293"/>
        <item x="2190"/>
        <item x="1268"/>
        <item x="3214"/>
        <item x="813"/>
        <item x="3215"/>
        <item x="889"/>
        <item x="2677"/>
        <item x="838"/>
        <item x="2678"/>
        <item x="1265"/>
        <item x="290"/>
        <item x="2674"/>
        <item x="816"/>
        <item x="1692"/>
        <item x="3216"/>
        <item x="3238"/>
        <item x="2680"/>
        <item x="3218"/>
        <item x="2700"/>
        <item x="3227"/>
        <item x="3217"/>
        <item x="2746"/>
        <item x="1266"/>
        <item x="3222"/>
        <item x="1264"/>
        <item x="3223"/>
        <item x="3225"/>
        <item x="836"/>
        <item x="1694"/>
        <item x="2681"/>
        <item x="817"/>
        <item x="819"/>
        <item x="3219"/>
        <item x="311"/>
        <item x="2196"/>
        <item x="1267"/>
        <item x="2682"/>
        <item x="3224"/>
        <item x="826"/>
        <item x="825"/>
        <item x="3226"/>
        <item x="301"/>
        <item x="2192"/>
        <item x="2191"/>
        <item x="2683"/>
        <item x="2699"/>
        <item x="910"/>
        <item x="2727"/>
        <item x="1272"/>
        <item x="2201"/>
        <item x="835"/>
        <item x="2697"/>
        <item x="837"/>
        <item x="1327"/>
        <item x="2687"/>
        <item x="2684"/>
        <item x="1704"/>
        <item x="299"/>
        <item x="1733"/>
        <item x="3228"/>
        <item x="2193"/>
        <item x="3237"/>
        <item x="863"/>
        <item x="2688"/>
        <item x="3229"/>
        <item x="3239"/>
        <item x="2692"/>
        <item x="3234"/>
        <item x="3231"/>
        <item x="829"/>
        <item x="833"/>
        <item x="296"/>
        <item x="298"/>
        <item x="1271"/>
        <item x="1280"/>
        <item x="3232"/>
        <item x="2198"/>
        <item x="2690"/>
        <item x="300"/>
        <item x="2689"/>
        <item x="305"/>
        <item x="3250"/>
        <item x="1701"/>
        <item x="834"/>
        <item x="2693"/>
        <item x="839"/>
        <item x="2754"/>
        <item x="2717"/>
        <item x="3240"/>
        <item x="2203"/>
        <item x="3241"/>
        <item x="307"/>
        <item x="2210"/>
        <item x="1705"/>
        <item x="321"/>
        <item x="313"/>
        <item x="864"/>
        <item x="2695"/>
        <item x="840"/>
        <item x="2696"/>
        <item x="330"/>
        <item x="2220"/>
        <item x="338"/>
        <item x="2694"/>
        <item x="2230"/>
        <item x="3272"/>
        <item x="952"/>
        <item x="1707"/>
        <item x="1315"/>
        <item x="308"/>
        <item x="2292"/>
        <item x="2709"/>
        <item x="3243"/>
        <item x="843"/>
        <item x="3244"/>
        <item x="1706"/>
        <item x="309"/>
        <item x="1714"/>
        <item x="2710"/>
        <item x="316"/>
        <item x="842"/>
        <item x="1724"/>
        <item x="2702"/>
        <item x="2207"/>
        <item x="1281"/>
        <item x="2701"/>
        <item x="1003"/>
        <item x="2703"/>
        <item x="1708"/>
        <item x="3245"/>
        <item x="845"/>
        <item x="2205"/>
        <item x="2752"/>
        <item x="2215"/>
        <item x="1278"/>
        <item x="2724"/>
        <item x="2715"/>
        <item x="856"/>
        <item x="2206"/>
        <item x="2704"/>
        <item x="2714"/>
        <item x="2217"/>
        <item x="3258"/>
        <item x="2793"/>
        <item x="847"/>
        <item x="2209"/>
        <item x="317"/>
        <item x="2707"/>
        <item x="1282"/>
        <item x="986"/>
        <item x="846"/>
        <item x="2758"/>
        <item x="322"/>
        <item x="1709"/>
        <item x="1718"/>
        <item x="3247"/>
        <item x="1284"/>
        <item x="2711"/>
        <item x="850"/>
        <item x="1716"/>
        <item x="855"/>
        <item x="1715"/>
        <item x="2212"/>
        <item x="320"/>
        <item x="3204"/>
        <item x="2216"/>
        <item x="2722"/>
        <item x="1283"/>
        <item x="327"/>
        <item x="2713"/>
        <item x="2718"/>
        <item x="2716"/>
        <item x="2719"/>
        <item x="3251"/>
        <item x="324"/>
        <item x="1285"/>
        <item x="2732"/>
        <item x="2221"/>
        <item x="3254"/>
        <item x="852"/>
        <item x="1311"/>
        <item x="851"/>
        <item x="1720"/>
        <item x="3253"/>
        <item x="326"/>
        <item x="1298"/>
        <item x="2721"/>
        <item x="1292"/>
        <item x="1295"/>
        <item x="3263"/>
        <item x="1293"/>
        <item x="2720"/>
        <item x="1286"/>
        <item x="347"/>
        <item x="854"/>
        <item x="1289"/>
        <item x="2245"/>
        <item x="332"/>
        <item x="2723"/>
        <item x="1290"/>
        <item x="2218"/>
        <item x="860"/>
        <item x="329"/>
        <item x="857"/>
        <item x="3352"/>
        <item x="2756"/>
        <item x="336"/>
        <item x="2728"/>
        <item x="884"/>
        <item x="3256"/>
        <item x="858"/>
        <item x="3257"/>
        <item x="2219"/>
        <item x="2223"/>
        <item x="2725"/>
        <item x="2227"/>
        <item x="871"/>
        <item x="2729"/>
        <item x="2222"/>
        <item x="339"/>
        <item x="861"/>
        <item x="333"/>
        <item x="881"/>
        <item x="335"/>
        <item x="874"/>
        <item x="2226"/>
        <item x="1729"/>
        <item x="918"/>
        <item x="899"/>
        <item x="1294"/>
        <item x="2726"/>
        <item x="1304"/>
        <item x="1721"/>
        <item x="3259"/>
        <item x="340"/>
        <item x="3260"/>
        <item x="2731"/>
        <item x="1723"/>
        <item x="1730"/>
        <item x="868"/>
        <item x="1299"/>
        <item x="1722"/>
        <item x="865"/>
        <item x="337"/>
        <item x="2745"/>
        <item x="879"/>
        <item x="2242"/>
        <item x="866"/>
        <item x="1764"/>
        <item x="341"/>
        <item x="2733"/>
        <item x="1296"/>
        <item x="2736"/>
        <item x="343"/>
        <item x="2228"/>
        <item x="2739"/>
        <item x="1726"/>
        <item x="1725"/>
        <item x="2738"/>
        <item x="1297"/>
        <item x="1736"/>
        <item x="2753"/>
        <item x="878"/>
        <item x="1351"/>
        <item x="1390"/>
        <item x="2735"/>
        <item x="344"/>
        <item x="342"/>
        <item x="3261"/>
        <item x="2231"/>
        <item x="2740"/>
        <item x="2755"/>
        <item x="2742"/>
        <item x="867"/>
        <item x="2232"/>
        <item x="1307"/>
        <item x="2743"/>
        <item x="3265"/>
        <item x="352"/>
        <item x="3274"/>
        <item x="3268"/>
        <item x="969"/>
        <item x="2234"/>
        <item x="870"/>
        <item x="3262"/>
        <item x="345"/>
        <item x="2235"/>
        <item x="869"/>
        <item x="2233"/>
        <item x="872"/>
        <item x="3264"/>
        <item x="1739"/>
        <item x="348"/>
        <item x="2236"/>
        <item x="1731"/>
        <item x="1302"/>
        <item x="902"/>
        <item x="2744"/>
        <item x="3273"/>
        <item x="1303"/>
        <item x="911"/>
        <item x="2747"/>
        <item x="1329"/>
        <item x="1727"/>
        <item x="2749"/>
        <item x="1321"/>
        <item x="873"/>
        <item x="2238"/>
        <item x="876"/>
        <item x="3266"/>
        <item x="2239"/>
        <item x="1743"/>
        <item x="1324"/>
        <item x="2237"/>
        <item x="883"/>
        <item x="875"/>
        <item x="2289"/>
        <item x="885"/>
        <item x="346"/>
        <item x="2750"/>
        <item x="2748"/>
        <item x="3267"/>
        <item x="365"/>
        <item x="877"/>
        <item x="2751"/>
        <item x="3270"/>
        <item x="1305"/>
        <item x="2240"/>
        <item x="3280"/>
        <item x="1732"/>
        <item x="3320"/>
        <item x="882"/>
        <item x="1306"/>
        <item x="1735"/>
        <item x="1734"/>
        <item x="3269"/>
        <item x="3283"/>
        <item x="2257"/>
        <item x="887"/>
        <item x="349"/>
        <item x="888"/>
        <item x="1742"/>
        <item x="2241"/>
        <item x="1737"/>
        <item x="886"/>
        <item x="1738"/>
        <item x="1308"/>
        <item x="3271"/>
        <item x="1769"/>
        <item x="2273"/>
        <item x="893"/>
        <item x="922"/>
        <item x="2243"/>
        <item x="2757"/>
        <item x="2287"/>
        <item x="1741"/>
        <item x="360"/>
        <item x="2776"/>
        <item x="2247"/>
        <item x="2244"/>
        <item x="1317"/>
        <item x="2248"/>
        <item x="932"/>
        <item x="1310"/>
        <item x="1309"/>
        <item x="351"/>
        <item x="906"/>
        <item x="1333"/>
        <item x="2246"/>
        <item x="1318"/>
        <item x="3279"/>
        <item x="3276"/>
        <item x="2759"/>
        <item x="1323"/>
        <item x="1313"/>
        <item x="2249"/>
        <item x="2811"/>
        <item x="3345"/>
        <item x="1744"/>
        <item x="2253"/>
        <item x="2760"/>
        <item x="3275"/>
        <item x="891"/>
        <item x="892"/>
        <item x="917"/>
        <item x="940"/>
        <item x="2761"/>
        <item x="2255"/>
        <item x="2798"/>
        <item x="894"/>
        <item x="2276"/>
        <item x="2252"/>
        <item x="2250"/>
        <item x="1314"/>
        <item x="2254"/>
        <item x="3312"/>
        <item x="1316"/>
        <item x="2766"/>
        <item x="895"/>
        <item x="2763"/>
        <item x="1745"/>
        <item x="2789"/>
        <item x="2278"/>
        <item x="1763"/>
        <item x="367"/>
        <item x="2783"/>
        <item x="1332"/>
        <item x="2762"/>
        <item x="2768"/>
        <item x="3278"/>
        <item x="2270"/>
        <item x="3354"/>
        <item x="353"/>
        <item x="3284"/>
        <item x="921"/>
        <item x="2264"/>
        <item x="1320"/>
        <item x="354"/>
        <item x="3288"/>
        <item x="2765"/>
        <item x="2263"/>
        <item x="2260"/>
        <item x="3315"/>
        <item x="3289"/>
        <item x="1343"/>
        <item x="896"/>
        <item x="3285"/>
        <item x="2265"/>
        <item x="2767"/>
        <item x="3282"/>
        <item x="1319"/>
        <item x="2258"/>
        <item x="3378"/>
        <item x="3290"/>
        <item x="3292"/>
        <item x="2262"/>
        <item x="898"/>
        <item x="2772"/>
        <item x="3318"/>
        <item x="2769"/>
        <item x="897"/>
        <item x="3327"/>
        <item x="2261"/>
        <item x="2770"/>
        <item x="3287"/>
        <item x="355"/>
        <item x="2259"/>
        <item x="2775"/>
        <item x="958"/>
        <item x="900"/>
        <item x="2302"/>
        <item x="2774"/>
        <item x="3294"/>
        <item x="2771"/>
        <item x="3291"/>
        <item x="2266"/>
        <item x="935"/>
        <item x="2782"/>
        <item x="1339"/>
        <item x="1370"/>
        <item x="359"/>
        <item x="1328"/>
        <item x="3299"/>
        <item x="3310"/>
        <item x="2788"/>
        <item x="3305"/>
        <item x="1331"/>
        <item x="937"/>
        <item x="903"/>
        <item x="3296"/>
        <item x="2784"/>
        <item x="2773"/>
        <item x="3304"/>
        <item x="3293"/>
        <item x="1748"/>
        <item x="3334"/>
        <item x="3295"/>
        <item x="2268"/>
        <item x="905"/>
        <item x="2275"/>
        <item x="2269"/>
        <item x="976"/>
        <item x="2283"/>
        <item x="904"/>
        <item x="2777"/>
        <item x="1780"/>
        <item x="1753"/>
        <item x="1325"/>
        <item x="368"/>
        <item x="2290"/>
        <item x="2778"/>
        <item x="924"/>
        <item x="907"/>
        <item x="3301"/>
        <item x="2274"/>
        <item x="3297"/>
        <item x="915"/>
        <item x="908"/>
        <item x="2780"/>
        <item x="931"/>
        <item x="941"/>
        <item x="2272"/>
        <item x="1749"/>
        <item x="2271"/>
        <item x="2786"/>
        <item x="912"/>
        <item x="3300"/>
        <item x="2279"/>
        <item x="919"/>
        <item x="3298"/>
        <item x="2277"/>
        <item x="923"/>
        <item x="1326"/>
        <item x="913"/>
        <item x="3317"/>
        <item x="914"/>
        <item x="2781"/>
        <item x="1767"/>
        <item x="1751"/>
        <item x="2301"/>
        <item x="1330"/>
        <item x="916"/>
        <item x="930"/>
        <item x="3342"/>
        <item x="3308"/>
        <item x="1750"/>
        <item x="964"/>
        <item x="357"/>
        <item x="2785"/>
        <item x="2818"/>
        <item x="920"/>
        <item x="1752"/>
        <item x="364"/>
        <item x="1754"/>
        <item x="3303"/>
        <item x="928"/>
        <item x="362"/>
        <item x="3321"/>
        <item x="1350"/>
        <item x="2299"/>
        <item x="2837"/>
        <item x="3349"/>
        <item x="3339"/>
        <item x="1340"/>
        <item x="1338"/>
        <item x="385"/>
        <item x="2280"/>
        <item x="3309"/>
        <item x="934"/>
        <item x="2787"/>
        <item x="2281"/>
        <item x="3306"/>
        <item x="2282"/>
        <item x="2797"/>
        <item x="363"/>
        <item x="2830"/>
        <item x="966"/>
        <item x="1755"/>
        <item x="1777"/>
        <item x="1335"/>
        <item x="1758"/>
        <item x="2309"/>
        <item x="1756"/>
        <item x="929"/>
        <item x="3311"/>
        <item x="1334"/>
        <item x="1774"/>
        <item x="1757"/>
        <item x="3316"/>
        <item x="2288"/>
        <item x="926"/>
        <item x="3328"/>
        <item x="2790"/>
        <item x="3353"/>
        <item x="933"/>
        <item x="1793"/>
        <item x="1759"/>
        <item x="2795"/>
        <item x="938"/>
        <item x="936"/>
        <item x="957"/>
        <item x="2791"/>
        <item x="1336"/>
        <item x="3344"/>
        <item x="944"/>
        <item x="3314"/>
        <item x="1760"/>
        <item x="369"/>
        <item x="2317"/>
        <item x="3319"/>
        <item x="955"/>
        <item x="939"/>
        <item x="3326"/>
        <item x="2286"/>
        <item x="971"/>
        <item x="2832"/>
        <item x="1344"/>
        <item x="3323"/>
        <item x="1765"/>
        <item x="366"/>
        <item x="947"/>
        <item x="1359"/>
        <item x="2806"/>
        <item x="1772"/>
        <item x="965"/>
        <item x="1347"/>
        <item x="949"/>
        <item x="942"/>
        <item x="1770"/>
        <item x="945"/>
        <item x="1000"/>
        <item x="2300"/>
        <item x="3324"/>
        <item x="2801"/>
        <item x="948"/>
        <item x="1776"/>
        <item x="959"/>
        <item x="1773"/>
        <item x="954"/>
        <item x="1771"/>
        <item x="1345"/>
        <item x="371"/>
        <item x="3346"/>
        <item x="1021"/>
        <item x="946"/>
        <item x="950"/>
        <item x="2293"/>
        <item x="951"/>
        <item x="2295"/>
        <item x="370"/>
        <item x="1346"/>
        <item x="2294"/>
        <item x="953"/>
        <item x="2813"/>
        <item x="2325"/>
        <item x="2799"/>
        <item x="1775"/>
        <item x="1349"/>
        <item x="961"/>
        <item x="2796"/>
        <item x="2856"/>
        <item x="962"/>
        <item x="960"/>
        <item x="2800"/>
        <item x="1353"/>
        <item x="3329"/>
        <item x="1357"/>
        <item x="2305"/>
        <item x="2849"/>
        <item x="1352"/>
        <item x="3332"/>
        <item x="2803"/>
        <item x="2298"/>
        <item x="963"/>
        <item x="2297"/>
        <item x="1779"/>
        <item x="1792"/>
        <item x="3333"/>
        <item x="2807"/>
        <item x="3331"/>
        <item x="2802"/>
        <item x="970"/>
        <item x="1354"/>
        <item x="3337"/>
        <item x="1783"/>
        <item x="1781"/>
        <item x="1778"/>
        <item x="3336"/>
        <item x="1019"/>
        <item x="3338"/>
        <item x="2810"/>
        <item x="2303"/>
        <item x="374"/>
        <item x="2804"/>
        <item x="2808"/>
        <item x="2304"/>
        <item x="1015"/>
        <item x="2307"/>
        <item x="2306"/>
        <item x="1786"/>
        <item x="3363"/>
        <item x="1782"/>
        <item x="1797"/>
        <item x="1355"/>
        <item x="2311"/>
        <item x="968"/>
        <item x="1790"/>
        <item x="967"/>
        <item x="974"/>
        <item x="981"/>
        <item x="996"/>
        <item x="3335"/>
        <item x="2310"/>
        <item x="973"/>
        <item x="1794"/>
        <item x="1784"/>
        <item x="1356"/>
        <item x="1358"/>
        <item x="2308"/>
        <item x="990"/>
        <item x="972"/>
        <item x="975"/>
        <item x="1789"/>
        <item x="2328"/>
        <item x="1388"/>
        <item x="1788"/>
        <item x="2816"/>
        <item x="3341"/>
        <item x="3340"/>
        <item x="2834"/>
        <item x="978"/>
        <item x="2312"/>
        <item x="979"/>
        <item x="1787"/>
        <item x="2848"/>
        <item x="1785"/>
        <item x="1791"/>
        <item x="1365"/>
        <item x="1796"/>
        <item x="3365"/>
        <item x="2809"/>
        <item x="1360"/>
        <item x="3355"/>
        <item x="2812"/>
        <item x="3343"/>
        <item x="2313"/>
        <item x="983"/>
        <item x="375"/>
        <item x="1361"/>
        <item x="2820"/>
        <item x="2327"/>
        <item x="1012"/>
        <item x="3356"/>
        <item x="380"/>
        <item x="2815"/>
        <item x="1805"/>
        <item x="980"/>
        <item x="2814"/>
        <item x="3348"/>
        <item x="1367"/>
        <item x="1811"/>
        <item x="2329"/>
        <item x="3347"/>
        <item x="2314"/>
        <item x="3361"/>
        <item x="1795"/>
        <item x="376"/>
        <item x="985"/>
        <item x="987"/>
        <item x="377"/>
        <item x="1362"/>
        <item x="984"/>
        <item x="1380"/>
        <item x="1366"/>
        <item x="2817"/>
        <item x="988"/>
        <item x="3351"/>
        <item x="3359"/>
        <item x="1371"/>
        <item x="378"/>
        <item x="1022"/>
        <item x="2315"/>
        <item x="1006"/>
        <item x="2835"/>
        <item x="379"/>
        <item x="1363"/>
        <item x="1803"/>
        <item x="2316"/>
        <item x="991"/>
        <item x="989"/>
        <item x="2821"/>
        <item x="1798"/>
        <item x="1368"/>
        <item x="992"/>
        <item x="1808"/>
        <item x="993"/>
        <item x="1372"/>
        <item x="381"/>
        <item x="2822"/>
        <item x="2321"/>
        <item x="1809"/>
        <item x="3357"/>
        <item x="1799"/>
        <item x="1004"/>
        <item x="1801"/>
        <item x="3380"/>
        <item x="1806"/>
        <item x="1804"/>
        <item x="2318"/>
        <item x="1373"/>
        <item x="1376"/>
        <item x="1377"/>
        <item x="1375"/>
        <item x="2825"/>
        <item x="2841"/>
        <item x="1007"/>
        <item x="1802"/>
        <item x="998"/>
        <item x="995"/>
        <item x="2823"/>
        <item x="2827"/>
        <item x="1378"/>
        <item x="2857"/>
        <item x="3360"/>
        <item x="2826"/>
        <item x="2824"/>
        <item x="999"/>
        <item x="1002"/>
        <item x="3370"/>
        <item x="997"/>
        <item x="1381"/>
        <item x="1382"/>
        <item x="1383"/>
        <item x="2319"/>
        <item x="383"/>
        <item x="384"/>
        <item x="382"/>
        <item x="1005"/>
        <item x="2828"/>
        <item x="1010"/>
        <item x="388"/>
        <item x="1001"/>
        <item x="1386"/>
        <item x="2851"/>
        <item x="1812"/>
        <item x="2326"/>
        <item x="2320"/>
        <item x="3364"/>
        <item x="2831"/>
        <item x="3367"/>
        <item x="1008"/>
        <item x="2833"/>
        <item x="3366"/>
        <item x="386"/>
        <item x="3369"/>
        <item x="1387"/>
        <item x="1379"/>
        <item x="2846"/>
        <item x="2842"/>
        <item x="1810"/>
        <item x="1817"/>
        <item x="3368"/>
        <item x="1009"/>
        <item x="2836"/>
        <item x="1813"/>
        <item x="1818"/>
        <item x="3377"/>
        <item x="3371"/>
        <item x="1011"/>
        <item x="2324"/>
        <item x="2322"/>
        <item x="2323"/>
        <item x="2839"/>
        <item x="2838"/>
        <item x="1013"/>
        <item x="1014"/>
        <item x="1016"/>
        <item x="3372"/>
        <item x="2847"/>
        <item x="3373"/>
        <item x="2843"/>
        <item x="2845"/>
        <item x="1385"/>
        <item x="1018"/>
        <item x="1814"/>
        <item x="2844"/>
        <item x="2330"/>
        <item x="1017"/>
        <item x="2332"/>
        <item x="2854"/>
        <item x="1020"/>
        <item x="3374"/>
        <item x="2852"/>
        <item x="1026"/>
        <item x="2850"/>
        <item x="3376"/>
        <item x="3375"/>
        <item x="2335"/>
        <item x="2333"/>
        <item x="2336"/>
        <item x="1815"/>
        <item x="2853"/>
        <item x="1819"/>
        <item x="1816"/>
        <item x="1024"/>
        <item x="1025"/>
        <item x="389"/>
        <item x="3379"/>
        <item x="2858"/>
        <item x="2337"/>
        <item x="1029"/>
        <item x="1820"/>
        <item x="1028"/>
        <item x="1027"/>
        <item x="1030"/>
        <item x="2859"/>
        <item x="231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Class Timestamp" fld="10" subtotal="count" baseField="0" baseItem="0"/>
    <dataField name="Sum of Distance (mi)" fld="16" baseField="0" baseItem="0"/>
    <dataField name="Count of Time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B3AE14-0D9D-4429-95EF-E45CF4827C43}" name="PivotTable14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3" firstHeaderRow="1" firstDataRow="1" firstDataCol="1"/>
  <pivotFields count="6">
    <pivotField dataField="1" showAll="0"/>
    <pivotField showAll="0"/>
    <pivotField showAll="0"/>
    <pivotField showAll="0"/>
    <pivotField showAll="0"/>
    <pivotField axis="axisRow" showAll="0" sortType="descending">
      <items count="70">
        <item x="55"/>
        <item x="16"/>
        <item x="48"/>
        <item x="57"/>
        <item x="37"/>
        <item x="51"/>
        <item x="38"/>
        <item x="39"/>
        <item x="0"/>
        <item x="26"/>
        <item x="13"/>
        <item x="49"/>
        <item x="60"/>
        <item x="2"/>
        <item x="4"/>
        <item x="65"/>
        <item x="29"/>
        <item x="24"/>
        <item x="36"/>
        <item x="53"/>
        <item x="25"/>
        <item x="47"/>
        <item x="9"/>
        <item x="63"/>
        <item x="17"/>
        <item x="64"/>
        <item x="33"/>
        <item x="14"/>
        <item x="7"/>
        <item x="1"/>
        <item x="68"/>
        <item x="8"/>
        <item x="18"/>
        <item x="45"/>
        <item x="50"/>
        <item x="67"/>
        <item x="15"/>
        <item x="11"/>
        <item x="54"/>
        <item x="43"/>
        <item x="46"/>
        <item x="42"/>
        <item x="28"/>
        <item x="56"/>
        <item x="40"/>
        <item x="23"/>
        <item x="22"/>
        <item x="35"/>
        <item x="61"/>
        <item x="44"/>
        <item x="32"/>
        <item x="59"/>
        <item x="6"/>
        <item x="66"/>
        <item x="21"/>
        <item x="30"/>
        <item x="58"/>
        <item x="5"/>
        <item x="27"/>
        <item x="41"/>
        <item x="31"/>
        <item x="20"/>
        <item x="19"/>
        <item x="10"/>
        <item x="62"/>
        <item x="3"/>
        <item x="52"/>
        <item x="12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5"/>
  </rowFields>
  <rowItems count="70">
    <i>
      <x v="52"/>
    </i>
    <i>
      <x v="28"/>
    </i>
    <i>
      <x v="1"/>
    </i>
    <i>
      <x v="10"/>
    </i>
    <i>
      <x v="62"/>
    </i>
    <i>
      <x v="45"/>
    </i>
    <i>
      <x v="29"/>
    </i>
    <i>
      <x v="20"/>
    </i>
    <i>
      <x v="14"/>
    </i>
    <i>
      <x v="42"/>
    </i>
    <i>
      <x v="67"/>
    </i>
    <i>
      <x v="17"/>
    </i>
    <i>
      <x v="57"/>
    </i>
    <i>
      <x v="68"/>
    </i>
    <i>
      <x v="8"/>
    </i>
    <i>
      <x v="60"/>
    </i>
    <i>
      <x v="22"/>
    </i>
    <i>
      <x v="37"/>
    </i>
    <i>
      <x v="31"/>
    </i>
    <i>
      <x v="4"/>
    </i>
    <i>
      <x v="61"/>
    </i>
    <i>
      <x v="24"/>
    </i>
    <i>
      <x v="16"/>
    </i>
    <i>
      <x v="36"/>
    </i>
    <i>
      <x v="9"/>
    </i>
    <i>
      <x v="54"/>
    </i>
    <i>
      <x v="46"/>
    </i>
    <i>
      <x v="32"/>
    </i>
    <i>
      <x v="47"/>
    </i>
    <i>
      <x v="65"/>
    </i>
    <i>
      <x v="63"/>
    </i>
    <i>
      <x v="18"/>
    </i>
    <i>
      <x v="6"/>
    </i>
    <i>
      <x v="7"/>
    </i>
    <i>
      <x v="50"/>
    </i>
    <i>
      <x v="41"/>
    </i>
    <i>
      <x v="39"/>
    </i>
    <i>
      <x v="40"/>
    </i>
    <i>
      <x v="13"/>
    </i>
    <i>
      <x v="19"/>
    </i>
    <i>
      <x v="44"/>
    </i>
    <i>
      <x v="38"/>
    </i>
    <i>
      <x v="33"/>
    </i>
    <i>
      <x v="58"/>
    </i>
    <i>
      <x v="11"/>
    </i>
    <i>
      <x v="34"/>
    </i>
    <i>
      <x v="55"/>
    </i>
    <i>
      <x v="49"/>
    </i>
    <i>
      <x v="26"/>
    </i>
    <i>
      <x v="66"/>
    </i>
    <i>
      <x v="27"/>
    </i>
    <i>
      <x v="35"/>
    </i>
    <i>
      <x v="51"/>
    </i>
    <i>
      <x v="59"/>
    </i>
    <i>
      <x v="2"/>
    </i>
    <i>
      <x/>
    </i>
    <i>
      <x v="25"/>
    </i>
    <i>
      <x v="53"/>
    </i>
    <i>
      <x v="48"/>
    </i>
    <i>
      <x v="23"/>
    </i>
    <i>
      <x v="3"/>
    </i>
    <i>
      <x v="43"/>
    </i>
    <i>
      <x v="64"/>
    </i>
    <i>
      <x v="5"/>
    </i>
    <i>
      <x v="21"/>
    </i>
    <i>
      <x v="30"/>
    </i>
    <i>
      <x v="15"/>
    </i>
    <i>
      <x v="56"/>
    </i>
    <i>
      <x v="12"/>
    </i>
    <i t="grand">
      <x/>
    </i>
  </rowItems>
  <colItems count="1">
    <i/>
  </colItems>
  <dataFields count="1">
    <dataField name="Count of Workout Timestam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0000000-0013-0000-FFFF-FFFF01000000}" sourceName="Date">
  <pivotTables>
    <pivotTable tabId="2" name="PivotTable3"/>
    <pivotTable tabId="2" name="PivotTable4"/>
    <pivotTable tabId="2" name="PivotTable5"/>
    <pivotTable tabId="4" name="PivotTable2"/>
    <pivotTable tabId="4" name="PivotTable5"/>
    <pivotTable tabId="4" name="PivotTable6"/>
    <pivotTable tabId="4" name="PivotTable7"/>
    <pivotTable tabId="4" name="PivotTable15"/>
    <pivotTable tabId="4" name="PivotTable16"/>
  </pivotTables>
  <state minimalRefreshVersion="6" lastRefreshVersion="6" pivotCacheId="2066524637" filterType="unknown">
    <bounds startDate="2018-01-01T00:00:00" endDate="2030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00000000-0014-0000-FFFF-FFFF01000000}" cache="NativeTimeline_Date" caption="Date" level="0" selectionLevel="0" scrollPosition="2018-01-01T00:00:00"/>
</timeline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microsoft.com/office/2011/relationships/timeline" Target="../timelines/timeline1.xm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O15"/>
  <sheetViews>
    <sheetView tabSelected="1" workbookViewId="0">
      <selection activeCell="AA14" sqref="AA14"/>
    </sheetView>
  </sheetViews>
  <sheetFormatPr defaultRowHeight="15" x14ac:dyDescent="0.25"/>
  <cols>
    <col min="1" max="4" width="9.140625" style="6"/>
    <col min="5" max="5" width="9.140625" style="6" customWidth="1"/>
    <col min="6" max="9" width="9.140625" style="6"/>
    <col min="10" max="10" width="9.140625" style="6" customWidth="1"/>
    <col min="11" max="14" width="9.140625" style="6"/>
    <col min="15" max="15" width="9.140625" style="6" customWidth="1"/>
    <col min="16" max="18" width="9.140625" style="6"/>
    <col min="19" max="19" width="9.140625" style="6" customWidth="1"/>
    <col min="20" max="16384" width="9.140625" style="6"/>
  </cols>
  <sheetData>
    <row r="15" spans="15:15" x14ac:dyDescent="0.25">
      <c r="O15" s="7"/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E75C2-346F-4A09-BB61-5B6244981498}">
  <dimension ref="A1:M33"/>
  <sheetViews>
    <sheetView workbookViewId="0">
      <selection activeCell="E1" sqref="E1"/>
    </sheetView>
  </sheetViews>
  <sheetFormatPr defaultRowHeight="15" x14ac:dyDescent="0.25"/>
  <cols>
    <col min="1" max="1" width="13.42578125" bestFit="1" customWidth="1"/>
    <col min="2" max="2" width="25.140625" bestFit="1" customWidth="1"/>
    <col min="3" max="3" width="6.28515625" customWidth="1"/>
    <col min="4" max="4" width="13.42578125" bestFit="1" customWidth="1"/>
    <col min="5" max="5" width="25.140625" bestFit="1" customWidth="1"/>
    <col min="6" max="6" width="7.28515625" customWidth="1"/>
    <col min="7" max="7" width="13.42578125" bestFit="1" customWidth="1"/>
    <col min="8" max="8" width="25.140625" bestFit="1" customWidth="1"/>
    <col min="11" max="13" width="13.7109375" bestFit="1" customWidth="1"/>
  </cols>
  <sheetData>
    <row r="1" spans="1:13" x14ac:dyDescent="0.25">
      <c r="A1" s="4" t="s">
        <v>10585</v>
      </c>
      <c r="B1" t="s">
        <v>10600</v>
      </c>
      <c r="D1" s="4" t="s">
        <v>10585</v>
      </c>
      <c r="E1" t="s">
        <v>10598</v>
      </c>
      <c r="G1" s="4" t="s">
        <v>10585</v>
      </c>
      <c r="H1" t="s">
        <v>10599</v>
      </c>
    </row>
    <row r="3" spans="1:13" x14ac:dyDescent="0.25">
      <c r="A3" s="4" t="s">
        <v>10570</v>
      </c>
      <c r="B3" t="s">
        <v>10572</v>
      </c>
      <c r="D3" s="4" t="s">
        <v>10570</v>
      </c>
      <c r="E3" t="s">
        <v>10572</v>
      </c>
      <c r="G3" s="4" t="s">
        <v>10570</v>
      </c>
      <c r="H3" t="s">
        <v>10572</v>
      </c>
      <c r="J3" t="s">
        <v>10601</v>
      </c>
      <c r="K3" t="s">
        <v>10602</v>
      </c>
      <c r="L3" t="s">
        <v>10603</v>
      </c>
      <c r="M3" t="s">
        <v>10604</v>
      </c>
    </row>
    <row r="4" spans="1:13" x14ac:dyDescent="0.25">
      <c r="A4" s="5" t="s">
        <v>10586</v>
      </c>
      <c r="B4">
        <v>81</v>
      </c>
      <c r="D4" s="5" t="s">
        <v>10586</v>
      </c>
      <c r="E4">
        <v>164</v>
      </c>
      <c r="G4" s="5" t="s">
        <v>10586</v>
      </c>
      <c r="H4">
        <v>113</v>
      </c>
      <c r="J4" t="s">
        <v>10586</v>
      </c>
      <c r="K4">
        <f>GETPIVOTDATA("Class Timestamp",$A$3,"Months (Date)",A4)</f>
        <v>81</v>
      </c>
      <c r="L4">
        <f>GETPIVOTDATA("Class Timestamp",$D$3,"Months (Date)",D4)</f>
        <v>164</v>
      </c>
      <c r="M4">
        <f>GETPIVOTDATA("Class Timestamp",$G$3,"Months (Date)",G4)</f>
        <v>113</v>
      </c>
    </row>
    <row r="5" spans="1:13" x14ac:dyDescent="0.25">
      <c r="A5" s="5" t="s">
        <v>10591</v>
      </c>
      <c r="B5">
        <v>81</v>
      </c>
      <c r="D5" s="5" t="s">
        <v>10591</v>
      </c>
      <c r="E5">
        <v>138</v>
      </c>
      <c r="G5" s="5" t="s">
        <v>10591</v>
      </c>
      <c r="H5">
        <v>86</v>
      </c>
      <c r="J5" t="s">
        <v>10591</v>
      </c>
      <c r="K5">
        <f t="shared" ref="K5:K15" si="0">GETPIVOTDATA("Class Timestamp",$A$3,"Months (Date)",A5)</f>
        <v>81</v>
      </c>
      <c r="L5">
        <f t="shared" ref="L5:L15" si="1">GETPIVOTDATA("Class Timestamp",$D$3,"Months (Date)",D5)</f>
        <v>138</v>
      </c>
      <c r="M5">
        <f t="shared" ref="M5:M15" si="2">GETPIVOTDATA("Class Timestamp",$G$3,"Months (Date)",G5)</f>
        <v>86</v>
      </c>
    </row>
    <row r="6" spans="1:13" x14ac:dyDescent="0.25">
      <c r="A6" s="5" t="s">
        <v>10592</v>
      </c>
      <c r="B6">
        <v>103</v>
      </c>
      <c r="D6" s="5" t="s">
        <v>10592</v>
      </c>
      <c r="E6">
        <v>158</v>
      </c>
      <c r="G6" s="5" t="s">
        <v>10592</v>
      </c>
      <c r="H6">
        <v>105</v>
      </c>
      <c r="J6" t="s">
        <v>10592</v>
      </c>
      <c r="K6">
        <f t="shared" si="0"/>
        <v>103</v>
      </c>
      <c r="L6">
        <f t="shared" si="1"/>
        <v>158</v>
      </c>
      <c r="M6">
        <f t="shared" si="2"/>
        <v>105</v>
      </c>
    </row>
    <row r="7" spans="1:13" x14ac:dyDescent="0.25">
      <c r="A7" s="5" t="s">
        <v>10593</v>
      </c>
      <c r="B7">
        <v>93</v>
      </c>
      <c r="D7" s="5" t="s">
        <v>10593</v>
      </c>
      <c r="E7">
        <v>137</v>
      </c>
      <c r="G7" s="5" t="s">
        <v>10593</v>
      </c>
      <c r="H7">
        <v>89</v>
      </c>
      <c r="J7" t="s">
        <v>10593</v>
      </c>
      <c r="K7">
        <f t="shared" si="0"/>
        <v>93</v>
      </c>
      <c r="L7">
        <f t="shared" si="1"/>
        <v>137</v>
      </c>
      <c r="M7">
        <f t="shared" si="2"/>
        <v>89</v>
      </c>
    </row>
    <row r="8" spans="1:13" x14ac:dyDescent="0.25">
      <c r="A8" s="5" t="s">
        <v>10594</v>
      </c>
      <c r="B8">
        <v>112</v>
      </c>
      <c r="D8" s="5" t="s">
        <v>10594</v>
      </c>
      <c r="E8">
        <v>131</v>
      </c>
      <c r="G8" s="5" t="s">
        <v>10594</v>
      </c>
      <c r="H8">
        <v>75</v>
      </c>
      <c r="J8" t="s">
        <v>10594</v>
      </c>
      <c r="K8">
        <f t="shared" si="0"/>
        <v>112</v>
      </c>
      <c r="L8">
        <f t="shared" si="1"/>
        <v>131</v>
      </c>
      <c r="M8">
        <f t="shared" si="2"/>
        <v>75</v>
      </c>
    </row>
    <row r="9" spans="1:13" x14ac:dyDescent="0.25">
      <c r="A9" s="5" t="s">
        <v>10595</v>
      </c>
      <c r="B9">
        <v>109</v>
      </c>
      <c r="D9" s="5" t="s">
        <v>10595</v>
      </c>
      <c r="E9">
        <v>118</v>
      </c>
      <c r="G9" s="5" t="s">
        <v>10595</v>
      </c>
      <c r="H9">
        <v>58</v>
      </c>
      <c r="J9" t="s">
        <v>10595</v>
      </c>
      <c r="K9">
        <f t="shared" si="0"/>
        <v>109</v>
      </c>
      <c r="L9">
        <f t="shared" si="1"/>
        <v>118</v>
      </c>
      <c r="M9">
        <f t="shared" si="2"/>
        <v>58</v>
      </c>
    </row>
    <row r="10" spans="1:13" x14ac:dyDescent="0.25">
      <c r="A10" s="5" t="s">
        <v>10587</v>
      </c>
      <c r="B10">
        <v>114</v>
      </c>
      <c r="D10" s="5" t="s">
        <v>10587</v>
      </c>
      <c r="E10">
        <v>125</v>
      </c>
      <c r="G10" s="5" t="s">
        <v>10587</v>
      </c>
      <c r="H10">
        <v>84</v>
      </c>
      <c r="J10" t="s">
        <v>10587</v>
      </c>
      <c r="K10">
        <f t="shared" si="0"/>
        <v>114</v>
      </c>
      <c r="L10">
        <f t="shared" si="1"/>
        <v>125</v>
      </c>
      <c r="M10">
        <f t="shared" si="2"/>
        <v>84</v>
      </c>
    </row>
    <row r="11" spans="1:13" x14ac:dyDescent="0.25">
      <c r="A11" s="5" t="s">
        <v>10596</v>
      </c>
      <c r="B11">
        <v>105</v>
      </c>
      <c r="D11" s="5" t="s">
        <v>10596</v>
      </c>
      <c r="E11">
        <v>107</v>
      </c>
      <c r="G11" s="5" t="s">
        <v>10596</v>
      </c>
      <c r="H11">
        <v>95</v>
      </c>
      <c r="J11" t="s">
        <v>10596</v>
      </c>
      <c r="K11">
        <f t="shared" si="0"/>
        <v>105</v>
      </c>
      <c r="L11">
        <f t="shared" si="1"/>
        <v>107</v>
      </c>
      <c r="M11">
        <f t="shared" si="2"/>
        <v>95</v>
      </c>
    </row>
    <row r="12" spans="1:13" x14ac:dyDescent="0.25">
      <c r="A12" s="5" t="s">
        <v>10597</v>
      </c>
      <c r="B12">
        <v>124</v>
      </c>
      <c r="D12" s="5" t="s">
        <v>10597</v>
      </c>
      <c r="E12">
        <v>98</v>
      </c>
      <c r="G12" s="5" t="s">
        <v>10597</v>
      </c>
      <c r="H12">
        <v>85</v>
      </c>
      <c r="J12" t="s">
        <v>10597</v>
      </c>
      <c r="K12">
        <f t="shared" si="0"/>
        <v>124</v>
      </c>
      <c r="L12">
        <f t="shared" si="1"/>
        <v>98</v>
      </c>
      <c r="M12">
        <f t="shared" si="2"/>
        <v>85</v>
      </c>
    </row>
    <row r="13" spans="1:13" x14ac:dyDescent="0.25">
      <c r="A13" s="5" t="s">
        <v>10588</v>
      </c>
      <c r="B13">
        <v>117</v>
      </c>
      <c r="D13" s="5" t="s">
        <v>10588</v>
      </c>
      <c r="E13">
        <v>95</v>
      </c>
      <c r="G13" s="5" t="s">
        <v>10588</v>
      </c>
      <c r="H13">
        <v>87</v>
      </c>
      <c r="J13" t="s">
        <v>10588</v>
      </c>
      <c r="K13">
        <f t="shared" si="0"/>
        <v>117</v>
      </c>
      <c r="L13">
        <f t="shared" si="1"/>
        <v>95</v>
      </c>
      <c r="M13">
        <f t="shared" si="2"/>
        <v>87</v>
      </c>
    </row>
    <row r="14" spans="1:13" x14ac:dyDescent="0.25">
      <c r="A14" s="5" t="s">
        <v>10589</v>
      </c>
      <c r="B14">
        <v>129</v>
      </c>
      <c r="D14" s="5" t="s">
        <v>10589</v>
      </c>
      <c r="E14">
        <v>71</v>
      </c>
      <c r="G14" s="5" t="s">
        <v>10589</v>
      </c>
      <c r="H14">
        <v>84</v>
      </c>
      <c r="J14" t="s">
        <v>10589</v>
      </c>
      <c r="K14">
        <f t="shared" si="0"/>
        <v>129</v>
      </c>
      <c r="L14">
        <f t="shared" si="1"/>
        <v>71</v>
      </c>
      <c r="M14">
        <f t="shared" si="2"/>
        <v>84</v>
      </c>
    </row>
    <row r="15" spans="1:13" x14ac:dyDescent="0.25">
      <c r="A15" s="5" t="s">
        <v>10590</v>
      </c>
      <c r="B15">
        <v>168</v>
      </c>
      <c r="D15" s="5" t="s">
        <v>10590</v>
      </c>
      <c r="E15">
        <v>125</v>
      </c>
      <c r="G15" s="5" t="s">
        <v>10590</v>
      </c>
      <c r="H15">
        <v>91</v>
      </c>
      <c r="J15" t="s">
        <v>10590</v>
      </c>
      <c r="K15">
        <f t="shared" si="0"/>
        <v>168</v>
      </c>
      <c r="L15">
        <f t="shared" si="1"/>
        <v>125</v>
      </c>
      <c r="M15">
        <f t="shared" si="2"/>
        <v>91</v>
      </c>
    </row>
    <row r="16" spans="1:13" x14ac:dyDescent="0.25">
      <c r="A16" s="5" t="s">
        <v>10571</v>
      </c>
      <c r="B16">
        <v>1336</v>
      </c>
      <c r="D16" s="5" t="s">
        <v>10571</v>
      </c>
      <c r="E16">
        <v>1467</v>
      </c>
      <c r="G16" s="5" t="s">
        <v>10571</v>
      </c>
      <c r="H16">
        <v>1052</v>
      </c>
    </row>
    <row r="18" spans="1:13" x14ac:dyDescent="0.25">
      <c r="A18" s="4" t="s">
        <v>10585</v>
      </c>
      <c r="B18" t="s">
        <v>10600</v>
      </c>
      <c r="D18" s="4" t="s">
        <v>10585</v>
      </c>
      <c r="E18" t="s">
        <v>10598</v>
      </c>
      <c r="G18" s="4" t="s">
        <v>10585</v>
      </c>
      <c r="H18" t="s">
        <v>10599</v>
      </c>
    </row>
    <row r="20" spans="1:13" x14ac:dyDescent="0.25">
      <c r="A20" s="4" t="s">
        <v>10570</v>
      </c>
      <c r="B20" t="s">
        <v>10605</v>
      </c>
      <c r="D20" s="4" t="s">
        <v>10570</v>
      </c>
      <c r="E20" t="s">
        <v>10605</v>
      </c>
      <c r="G20" s="4" t="s">
        <v>10570</v>
      </c>
      <c r="H20" t="s">
        <v>10605</v>
      </c>
      <c r="J20" t="s">
        <v>10601</v>
      </c>
      <c r="K20" t="s">
        <v>10606</v>
      </c>
      <c r="L20" t="s">
        <v>10607</v>
      </c>
      <c r="M20" t="s">
        <v>10608</v>
      </c>
    </row>
    <row r="21" spans="1:13" x14ac:dyDescent="0.25">
      <c r="A21" s="5" t="s">
        <v>10586</v>
      </c>
      <c r="B21">
        <v>1945</v>
      </c>
      <c r="D21" s="5" t="s">
        <v>10586</v>
      </c>
      <c r="E21">
        <v>3280</v>
      </c>
      <c r="G21" s="5" t="s">
        <v>10586</v>
      </c>
      <c r="H21">
        <v>2438</v>
      </c>
      <c r="J21" t="s">
        <v>10586</v>
      </c>
      <c r="K21">
        <f>GETPIVOTDATA("Length (minutes)",$A$20,"Months (Date)",A21)</f>
        <v>1945</v>
      </c>
      <c r="L21">
        <f>GETPIVOTDATA("Length (minutes)",$D$20,"Months (Date)",D21)</f>
        <v>3280</v>
      </c>
      <c r="M21">
        <f>GETPIVOTDATA("Length (minutes)",$G$20,"Months (Date)",G21)</f>
        <v>2438</v>
      </c>
    </row>
    <row r="22" spans="1:13" x14ac:dyDescent="0.25">
      <c r="A22" s="5" t="s">
        <v>10591</v>
      </c>
      <c r="B22">
        <v>1530</v>
      </c>
      <c r="D22" s="5" t="s">
        <v>10591</v>
      </c>
      <c r="E22">
        <v>2740</v>
      </c>
      <c r="G22" s="5" t="s">
        <v>10591</v>
      </c>
      <c r="H22">
        <v>2007</v>
      </c>
      <c r="J22" t="s">
        <v>10591</v>
      </c>
      <c r="K22">
        <f t="shared" ref="K22:K32" si="3">GETPIVOTDATA("Length (minutes)",$A$20,"Months (Date)",A22)</f>
        <v>1530</v>
      </c>
      <c r="L22">
        <f t="shared" ref="L22:L32" si="4">GETPIVOTDATA("Length (minutes)",$D$20,"Months (Date)",D22)</f>
        <v>2740</v>
      </c>
      <c r="M22">
        <f t="shared" ref="M22:M32" si="5">GETPIVOTDATA("Length (minutes)",$G$20,"Months (Date)",G22)</f>
        <v>2007</v>
      </c>
    </row>
    <row r="23" spans="1:13" x14ac:dyDescent="0.25">
      <c r="A23" s="5" t="s">
        <v>10592</v>
      </c>
      <c r="B23">
        <v>2275</v>
      </c>
      <c r="D23" s="5" t="s">
        <v>10592</v>
      </c>
      <c r="E23">
        <v>3085</v>
      </c>
      <c r="G23" s="5" t="s">
        <v>10592</v>
      </c>
      <c r="H23">
        <v>2276</v>
      </c>
      <c r="J23" t="s">
        <v>10592</v>
      </c>
      <c r="K23">
        <f t="shared" si="3"/>
        <v>2275</v>
      </c>
      <c r="L23">
        <f t="shared" si="4"/>
        <v>3085</v>
      </c>
      <c r="M23">
        <f t="shared" si="5"/>
        <v>2276</v>
      </c>
    </row>
    <row r="24" spans="1:13" x14ac:dyDescent="0.25">
      <c r="A24" s="5" t="s">
        <v>10593</v>
      </c>
      <c r="B24">
        <v>2055</v>
      </c>
      <c r="D24" s="5" t="s">
        <v>10593</v>
      </c>
      <c r="E24">
        <v>2670</v>
      </c>
      <c r="G24" s="5" t="s">
        <v>10593</v>
      </c>
      <c r="H24">
        <v>2141</v>
      </c>
      <c r="J24" t="s">
        <v>10593</v>
      </c>
      <c r="K24">
        <f t="shared" si="3"/>
        <v>2055</v>
      </c>
      <c r="L24">
        <f t="shared" si="4"/>
        <v>2670</v>
      </c>
      <c r="M24">
        <f t="shared" si="5"/>
        <v>2141</v>
      </c>
    </row>
    <row r="25" spans="1:13" x14ac:dyDescent="0.25">
      <c r="A25" s="5" t="s">
        <v>10594</v>
      </c>
      <c r="B25">
        <v>2395</v>
      </c>
      <c r="D25" s="5" t="s">
        <v>10594</v>
      </c>
      <c r="E25">
        <v>2695</v>
      </c>
      <c r="G25" s="5" t="s">
        <v>10594</v>
      </c>
      <c r="H25">
        <v>1930</v>
      </c>
      <c r="J25" t="s">
        <v>10594</v>
      </c>
      <c r="K25">
        <f t="shared" si="3"/>
        <v>2395</v>
      </c>
      <c r="L25">
        <f t="shared" si="4"/>
        <v>2695</v>
      </c>
      <c r="M25">
        <f t="shared" si="5"/>
        <v>1930</v>
      </c>
    </row>
    <row r="26" spans="1:13" x14ac:dyDescent="0.25">
      <c r="A26" s="5" t="s">
        <v>10595</v>
      </c>
      <c r="B26">
        <v>2110</v>
      </c>
      <c r="D26" s="5" t="s">
        <v>10595</v>
      </c>
      <c r="E26">
        <v>2281</v>
      </c>
      <c r="G26" s="5" t="s">
        <v>10595</v>
      </c>
      <c r="H26">
        <v>1463</v>
      </c>
      <c r="J26" t="s">
        <v>10595</v>
      </c>
      <c r="K26">
        <f t="shared" si="3"/>
        <v>2110</v>
      </c>
      <c r="L26">
        <f t="shared" si="4"/>
        <v>2281</v>
      </c>
      <c r="M26">
        <f t="shared" si="5"/>
        <v>1463</v>
      </c>
    </row>
    <row r="27" spans="1:13" x14ac:dyDescent="0.25">
      <c r="A27" s="5" t="s">
        <v>10587</v>
      </c>
      <c r="B27">
        <v>2175</v>
      </c>
      <c r="D27" s="5" t="s">
        <v>10587</v>
      </c>
      <c r="E27">
        <v>2324</v>
      </c>
      <c r="G27" s="5" t="s">
        <v>10587</v>
      </c>
      <c r="H27">
        <v>2075</v>
      </c>
      <c r="J27" t="s">
        <v>10587</v>
      </c>
      <c r="K27">
        <f t="shared" si="3"/>
        <v>2175</v>
      </c>
      <c r="L27">
        <f t="shared" si="4"/>
        <v>2324</v>
      </c>
      <c r="M27">
        <f t="shared" si="5"/>
        <v>2075</v>
      </c>
    </row>
    <row r="28" spans="1:13" x14ac:dyDescent="0.25">
      <c r="A28" s="5" t="s">
        <v>10596</v>
      </c>
      <c r="B28">
        <v>2340</v>
      </c>
      <c r="D28" s="5" t="s">
        <v>10596</v>
      </c>
      <c r="E28">
        <v>2136</v>
      </c>
      <c r="G28" s="5" t="s">
        <v>10596</v>
      </c>
      <c r="H28">
        <v>2016</v>
      </c>
      <c r="J28" t="s">
        <v>10596</v>
      </c>
      <c r="K28">
        <f t="shared" si="3"/>
        <v>2340</v>
      </c>
      <c r="L28">
        <f t="shared" si="4"/>
        <v>2136</v>
      </c>
      <c r="M28">
        <f t="shared" si="5"/>
        <v>2016</v>
      </c>
    </row>
    <row r="29" spans="1:13" x14ac:dyDescent="0.25">
      <c r="A29" s="5" t="s">
        <v>10597</v>
      </c>
      <c r="B29">
        <v>2340</v>
      </c>
      <c r="D29" s="5" t="s">
        <v>10597</v>
      </c>
      <c r="E29">
        <v>2013</v>
      </c>
      <c r="G29" s="5" t="s">
        <v>10597</v>
      </c>
      <c r="H29">
        <v>1702</v>
      </c>
      <c r="J29" t="s">
        <v>10597</v>
      </c>
      <c r="K29">
        <f t="shared" si="3"/>
        <v>2340</v>
      </c>
      <c r="L29">
        <f t="shared" si="4"/>
        <v>2013</v>
      </c>
      <c r="M29">
        <f t="shared" si="5"/>
        <v>1702</v>
      </c>
    </row>
    <row r="30" spans="1:13" x14ac:dyDescent="0.25">
      <c r="A30" s="5" t="s">
        <v>10588</v>
      </c>
      <c r="B30">
        <v>2320</v>
      </c>
      <c r="D30" s="5" t="s">
        <v>10588</v>
      </c>
      <c r="E30">
        <v>2188</v>
      </c>
      <c r="G30" s="5" t="s">
        <v>10588</v>
      </c>
      <c r="H30">
        <v>1605</v>
      </c>
      <c r="J30" t="s">
        <v>10588</v>
      </c>
      <c r="K30">
        <f t="shared" si="3"/>
        <v>2320</v>
      </c>
      <c r="L30">
        <f t="shared" si="4"/>
        <v>2188</v>
      </c>
      <c r="M30">
        <f t="shared" si="5"/>
        <v>1605</v>
      </c>
    </row>
    <row r="31" spans="1:13" x14ac:dyDescent="0.25">
      <c r="A31" s="5" t="s">
        <v>10589</v>
      </c>
      <c r="B31">
        <v>2355</v>
      </c>
      <c r="D31" s="5" t="s">
        <v>10589</v>
      </c>
      <c r="E31">
        <v>1410</v>
      </c>
      <c r="G31" s="5" t="s">
        <v>10589</v>
      </c>
      <c r="H31">
        <v>1629</v>
      </c>
      <c r="J31" t="s">
        <v>10589</v>
      </c>
      <c r="K31">
        <f t="shared" si="3"/>
        <v>2355</v>
      </c>
      <c r="L31">
        <f t="shared" si="4"/>
        <v>1410</v>
      </c>
      <c r="M31">
        <f t="shared" si="5"/>
        <v>1629</v>
      </c>
    </row>
    <row r="32" spans="1:13" x14ac:dyDescent="0.25">
      <c r="A32" s="5" t="s">
        <v>10590</v>
      </c>
      <c r="B32">
        <v>3045</v>
      </c>
      <c r="D32" s="5" t="s">
        <v>10590</v>
      </c>
      <c r="E32">
        <v>2504</v>
      </c>
      <c r="G32" s="5" t="s">
        <v>10590</v>
      </c>
      <c r="H32">
        <v>1705</v>
      </c>
      <c r="J32" t="s">
        <v>10590</v>
      </c>
      <c r="K32">
        <f t="shared" si="3"/>
        <v>3045</v>
      </c>
      <c r="L32">
        <f t="shared" si="4"/>
        <v>2504</v>
      </c>
      <c r="M32">
        <f t="shared" si="5"/>
        <v>1705</v>
      </c>
    </row>
    <row r="33" spans="1:8" x14ac:dyDescent="0.25">
      <c r="A33" s="5" t="s">
        <v>10571</v>
      </c>
      <c r="B33">
        <v>26885</v>
      </c>
      <c r="D33" s="5" t="s">
        <v>10571</v>
      </c>
      <c r="E33">
        <v>29326</v>
      </c>
      <c r="G33" s="5" t="s">
        <v>10571</v>
      </c>
      <c r="H33">
        <v>22987</v>
      </c>
    </row>
  </sheetData>
  <phoneticPr fontId="18" type="noConversion"/>
  <pageMargins left="0.7" right="0.7" top="0.75" bottom="0.75" header="0.3" footer="0.3"/>
  <pageSetup orientation="portrait" horizontalDpi="360" verticalDpi="360" r:id="rId7"/>
  <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K68"/>
  <sheetViews>
    <sheetView topLeftCell="A25" workbookViewId="0">
      <selection activeCell="B42" sqref="B42"/>
    </sheetView>
  </sheetViews>
  <sheetFormatPr defaultRowHeight="15" x14ac:dyDescent="0.25"/>
  <cols>
    <col min="1" max="1" width="13.42578125" bestFit="1" customWidth="1"/>
    <col min="2" max="2" width="25.140625" bestFit="1" customWidth="1"/>
    <col min="3" max="3" width="20.140625" bestFit="1" customWidth="1"/>
    <col min="4" max="4" width="13.85546875" bestFit="1" customWidth="1"/>
    <col min="5" max="23" width="20.85546875" bestFit="1" customWidth="1"/>
    <col min="24" max="25" width="20.28515625" bestFit="1" customWidth="1"/>
    <col min="26" max="26" width="20.85546875" bestFit="1" customWidth="1"/>
    <col min="27" max="27" width="20.28515625" bestFit="1" customWidth="1"/>
    <col min="28" max="42" width="20.85546875" bestFit="1" customWidth="1"/>
    <col min="43" max="44" width="20.28515625" bestFit="1" customWidth="1"/>
    <col min="45" max="46" width="20.85546875" bestFit="1" customWidth="1"/>
    <col min="47" max="49" width="20.28515625" bestFit="1" customWidth="1"/>
    <col min="50" max="51" width="20.85546875" bestFit="1" customWidth="1"/>
    <col min="52" max="52" width="20.28515625" bestFit="1" customWidth="1"/>
    <col min="53" max="53" width="20.85546875" bestFit="1" customWidth="1"/>
    <col min="54" max="55" width="20.28515625" bestFit="1" customWidth="1"/>
    <col min="56" max="56" width="20.85546875" bestFit="1" customWidth="1"/>
    <col min="57" max="58" width="20.28515625" bestFit="1" customWidth="1"/>
    <col min="59" max="60" width="20.85546875" bestFit="1" customWidth="1"/>
    <col min="61" max="62" width="20.28515625" bestFit="1" customWidth="1"/>
    <col min="63" max="68" width="20.85546875" bestFit="1" customWidth="1"/>
    <col min="69" max="70" width="20.28515625" bestFit="1" customWidth="1"/>
    <col min="71" max="71" width="20.85546875" bestFit="1" customWidth="1"/>
    <col min="72" max="72" width="20.28515625" bestFit="1" customWidth="1"/>
    <col min="73" max="73" width="20.85546875" bestFit="1" customWidth="1"/>
    <col min="74" max="74" width="20.28515625" bestFit="1" customWidth="1"/>
    <col min="75" max="75" width="20.85546875" bestFit="1" customWidth="1"/>
    <col min="76" max="77" width="20.28515625" bestFit="1" customWidth="1"/>
    <col min="78" max="79" width="20.85546875" bestFit="1" customWidth="1"/>
    <col min="80" max="80" width="20.28515625" bestFit="1" customWidth="1"/>
    <col min="81" max="85" width="20.85546875" bestFit="1" customWidth="1"/>
    <col min="86" max="86" width="20.28515625" bestFit="1" customWidth="1"/>
    <col min="87" max="87" width="20.85546875" bestFit="1" customWidth="1"/>
    <col min="88" max="91" width="20.28515625" bestFit="1" customWidth="1"/>
    <col min="92" max="95" width="20.85546875" bestFit="1" customWidth="1"/>
    <col min="96" max="96" width="20.28515625" bestFit="1" customWidth="1"/>
    <col min="97" max="97" width="20.85546875" bestFit="1" customWidth="1"/>
    <col min="98" max="98" width="20.28515625" bestFit="1" customWidth="1"/>
    <col min="99" max="99" width="20.85546875" bestFit="1" customWidth="1"/>
    <col min="100" max="100" width="20.28515625" bestFit="1" customWidth="1"/>
    <col min="101" max="101" width="20.85546875" bestFit="1" customWidth="1"/>
    <col min="102" max="103" width="20.28515625" bestFit="1" customWidth="1"/>
    <col min="104" max="105" width="20.85546875" bestFit="1" customWidth="1"/>
    <col min="106" max="108" width="20.28515625" bestFit="1" customWidth="1"/>
    <col min="109" max="112" width="20.85546875" bestFit="1" customWidth="1"/>
    <col min="113" max="116" width="20.28515625" bestFit="1" customWidth="1"/>
    <col min="117" max="117" width="20.85546875" bestFit="1" customWidth="1"/>
    <col min="118" max="120" width="20.28515625" bestFit="1" customWidth="1"/>
    <col min="121" max="121" width="20.85546875" bestFit="1" customWidth="1"/>
    <col min="122" max="122" width="20.28515625" bestFit="1" customWidth="1"/>
    <col min="123" max="124" width="20.85546875" bestFit="1" customWidth="1"/>
    <col min="125" max="128" width="20.28515625" bestFit="1" customWidth="1"/>
    <col min="129" max="130" width="20.85546875" bestFit="1" customWidth="1"/>
    <col min="131" max="133" width="20.28515625" bestFit="1" customWidth="1"/>
    <col min="134" max="134" width="20.85546875" bestFit="1" customWidth="1"/>
    <col min="135" max="137" width="20.28515625" bestFit="1" customWidth="1"/>
    <col min="138" max="140" width="20.85546875" bestFit="1" customWidth="1"/>
    <col min="141" max="142" width="20.28515625" bestFit="1" customWidth="1"/>
    <col min="143" max="148" width="20.85546875" bestFit="1" customWidth="1"/>
    <col min="149" max="150" width="20.28515625" bestFit="1" customWidth="1"/>
    <col min="151" max="155" width="20.85546875" bestFit="1" customWidth="1"/>
    <col min="156" max="157" width="20.28515625" bestFit="1" customWidth="1"/>
    <col min="158" max="162" width="20.85546875" bestFit="1" customWidth="1"/>
    <col min="163" max="166" width="20.28515625" bestFit="1" customWidth="1"/>
    <col min="167" max="168" width="20.85546875" bestFit="1" customWidth="1"/>
    <col min="169" max="170" width="20.28515625" bestFit="1" customWidth="1"/>
    <col min="171" max="182" width="20.85546875" bestFit="1" customWidth="1"/>
    <col min="183" max="184" width="20.28515625" bestFit="1" customWidth="1"/>
    <col min="185" max="185" width="20.85546875" bestFit="1" customWidth="1"/>
    <col min="186" max="186" width="20.28515625" bestFit="1" customWidth="1"/>
    <col min="187" max="187" width="20.85546875" bestFit="1" customWidth="1"/>
    <col min="188" max="190" width="20.28515625" bestFit="1" customWidth="1"/>
    <col min="191" max="191" width="20.85546875" bestFit="1" customWidth="1"/>
    <col min="192" max="192" width="20.28515625" bestFit="1" customWidth="1"/>
    <col min="193" max="193" width="20.85546875" bestFit="1" customWidth="1"/>
    <col min="194" max="195" width="20.28515625" bestFit="1" customWidth="1"/>
    <col min="196" max="197" width="20.85546875" bestFit="1" customWidth="1"/>
    <col min="198" max="198" width="20.28515625" bestFit="1" customWidth="1"/>
    <col min="199" max="200" width="20.85546875" bestFit="1" customWidth="1"/>
    <col min="201" max="201" width="20.28515625" bestFit="1" customWidth="1"/>
    <col min="202" max="207" width="20.85546875" bestFit="1" customWidth="1"/>
    <col min="208" max="208" width="20.28515625" bestFit="1" customWidth="1"/>
    <col min="209" max="211" width="20.85546875" bestFit="1" customWidth="1"/>
    <col min="212" max="212" width="20.28515625" bestFit="1" customWidth="1"/>
    <col min="213" max="215" width="20.85546875" bestFit="1" customWidth="1"/>
    <col min="216" max="216" width="20.28515625" bestFit="1" customWidth="1"/>
    <col min="217" max="220" width="20.85546875" bestFit="1" customWidth="1"/>
    <col min="221" max="221" width="20.28515625" bestFit="1" customWidth="1"/>
    <col min="222" max="224" width="20.85546875" bestFit="1" customWidth="1"/>
    <col min="225" max="225" width="20.28515625" bestFit="1" customWidth="1"/>
    <col min="226" max="227" width="20.85546875" bestFit="1" customWidth="1"/>
    <col min="228" max="228" width="20.28515625" bestFit="1" customWidth="1"/>
    <col min="229" max="229" width="20.85546875" bestFit="1" customWidth="1"/>
    <col min="230" max="230" width="20.28515625" bestFit="1" customWidth="1"/>
    <col min="231" max="231" width="20.85546875" bestFit="1" customWidth="1"/>
    <col min="232" max="233" width="20.28515625" bestFit="1" customWidth="1"/>
    <col min="234" max="234" width="21.42578125" bestFit="1" customWidth="1"/>
    <col min="235" max="238" width="20.85546875" bestFit="1" customWidth="1"/>
    <col min="239" max="240" width="20.28515625" bestFit="1" customWidth="1"/>
    <col min="241" max="242" width="20.85546875" bestFit="1" customWidth="1"/>
    <col min="243" max="243" width="20.28515625" bestFit="1" customWidth="1"/>
    <col min="244" max="245" width="20.85546875" bestFit="1" customWidth="1"/>
    <col min="246" max="246" width="20.28515625" bestFit="1" customWidth="1"/>
    <col min="247" max="247" width="20.85546875" bestFit="1" customWidth="1"/>
    <col min="248" max="248" width="20.28515625" bestFit="1" customWidth="1"/>
    <col min="249" max="254" width="20.85546875" bestFit="1" customWidth="1"/>
    <col min="255" max="255" width="20.28515625" bestFit="1" customWidth="1"/>
    <col min="256" max="261" width="20.85546875" bestFit="1" customWidth="1"/>
    <col min="262" max="262" width="20.28515625" bestFit="1" customWidth="1"/>
    <col min="263" max="263" width="20.85546875" bestFit="1" customWidth="1"/>
    <col min="264" max="264" width="20.28515625" bestFit="1" customWidth="1"/>
    <col min="265" max="266" width="20.85546875" bestFit="1" customWidth="1"/>
    <col min="267" max="269" width="20.28515625" bestFit="1" customWidth="1"/>
    <col min="270" max="275" width="20.85546875" bestFit="1" customWidth="1"/>
    <col min="276" max="277" width="20.28515625" bestFit="1" customWidth="1"/>
    <col min="278" max="292" width="20.85546875" bestFit="1" customWidth="1"/>
    <col min="293" max="293" width="20.28515625" bestFit="1" customWidth="1"/>
    <col min="294" max="294" width="20.85546875" bestFit="1" customWidth="1"/>
    <col min="295" max="295" width="20.28515625" bestFit="1" customWidth="1"/>
    <col min="296" max="301" width="20.85546875" bestFit="1" customWidth="1"/>
    <col min="302" max="302" width="20.28515625" bestFit="1" customWidth="1"/>
    <col min="303" max="307" width="20.85546875" bestFit="1" customWidth="1"/>
    <col min="308" max="308" width="20.28515625" bestFit="1" customWidth="1"/>
    <col min="309" max="310" width="20.85546875" bestFit="1" customWidth="1"/>
    <col min="311" max="312" width="20.28515625" bestFit="1" customWidth="1"/>
    <col min="313" max="316" width="20.85546875" bestFit="1" customWidth="1"/>
    <col min="317" max="317" width="20.28515625" bestFit="1" customWidth="1"/>
    <col min="318" max="323" width="20.85546875" bestFit="1" customWidth="1"/>
    <col min="324" max="327" width="20.28515625" bestFit="1" customWidth="1"/>
    <col min="328" max="328" width="20.85546875" bestFit="1" customWidth="1"/>
    <col min="329" max="330" width="20.28515625" bestFit="1" customWidth="1"/>
    <col min="331" max="331" width="20.85546875" bestFit="1" customWidth="1"/>
    <col min="332" max="332" width="20.28515625" bestFit="1" customWidth="1"/>
    <col min="333" max="334" width="20.85546875" bestFit="1" customWidth="1"/>
    <col min="335" max="336" width="20.28515625" bestFit="1" customWidth="1"/>
    <col min="337" max="339" width="20.85546875" bestFit="1" customWidth="1"/>
    <col min="340" max="340" width="20.28515625" bestFit="1" customWidth="1"/>
    <col min="341" max="343" width="20.85546875" bestFit="1" customWidth="1"/>
    <col min="344" max="344" width="20.28515625" bestFit="1" customWidth="1"/>
    <col min="345" max="345" width="20.85546875" bestFit="1" customWidth="1"/>
    <col min="346" max="346" width="20.28515625" bestFit="1" customWidth="1"/>
    <col min="347" max="348" width="20.85546875" bestFit="1" customWidth="1"/>
    <col min="349" max="349" width="20.28515625" bestFit="1" customWidth="1"/>
    <col min="350" max="353" width="20.85546875" bestFit="1" customWidth="1"/>
    <col min="354" max="355" width="20.28515625" bestFit="1" customWidth="1"/>
    <col min="356" max="356" width="20.85546875" bestFit="1" customWidth="1"/>
    <col min="357" max="359" width="20.28515625" bestFit="1" customWidth="1"/>
    <col min="360" max="362" width="20.85546875" bestFit="1" customWidth="1"/>
    <col min="363" max="363" width="20.28515625" bestFit="1" customWidth="1"/>
    <col min="364" max="364" width="20.85546875" bestFit="1" customWidth="1"/>
    <col min="365" max="368" width="20.28515625" bestFit="1" customWidth="1"/>
    <col min="369" max="369" width="20.85546875" bestFit="1" customWidth="1"/>
    <col min="370" max="370" width="20.28515625" bestFit="1" customWidth="1"/>
    <col min="371" max="373" width="20.85546875" bestFit="1" customWidth="1"/>
    <col min="374" max="374" width="20.28515625" bestFit="1" customWidth="1"/>
    <col min="375" max="376" width="20.85546875" bestFit="1" customWidth="1"/>
    <col min="377" max="377" width="20.28515625" bestFit="1" customWidth="1"/>
    <col min="378" max="378" width="20.85546875" bestFit="1" customWidth="1"/>
    <col min="379" max="380" width="20.28515625" bestFit="1" customWidth="1"/>
    <col min="381" max="383" width="20.85546875" bestFit="1" customWidth="1"/>
    <col min="384" max="384" width="20.28515625" bestFit="1" customWidth="1"/>
    <col min="385" max="385" width="20.85546875" bestFit="1" customWidth="1"/>
    <col min="386" max="387" width="20.28515625" bestFit="1" customWidth="1"/>
    <col min="388" max="390" width="20.85546875" bestFit="1" customWidth="1"/>
    <col min="391" max="391" width="20.28515625" bestFit="1" customWidth="1"/>
    <col min="392" max="392" width="20.85546875" bestFit="1" customWidth="1"/>
    <col min="393" max="396" width="20.28515625" bestFit="1" customWidth="1"/>
    <col min="397" max="399" width="20.85546875" bestFit="1" customWidth="1"/>
    <col min="400" max="401" width="20.28515625" bestFit="1" customWidth="1"/>
    <col min="402" max="402" width="20.85546875" bestFit="1" customWidth="1"/>
    <col min="403" max="405" width="20.28515625" bestFit="1" customWidth="1"/>
    <col min="406" max="406" width="20.85546875" bestFit="1" customWidth="1"/>
    <col min="407" max="408" width="20.28515625" bestFit="1" customWidth="1"/>
    <col min="409" max="411" width="20.85546875" bestFit="1" customWidth="1"/>
    <col min="412" max="412" width="20.28515625" bestFit="1" customWidth="1"/>
    <col min="413" max="415" width="20.85546875" bestFit="1" customWidth="1"/>
    <col min="416" max="417" width="20.28515625" bestFit="1" customWidth="1"/>
    <col min="418" max="418" width="20.85546875" bestFit="1" customWidth="1"/>
    <col min="419" max="419" width="20.28515625" bestFit="1" customWidth="1"/>
    <col min="420" max="426" width="20.85546875" bestFit="1" customWidth="1"/>
    <col min="427" max="427" width="20.28515625" bestFit="1" customWidth="1"/>
    <col min="428" max="430" width="20.85546875" bestFit="1" customWidth="1"/>
    <col min="431" max="431" width="20.28515625" bestFit="1" customWidth="1"/>
    <col min="432" max="441" width="20.85546875" bestFit="1" customWidth="1"/>
    <col min="442" max="442" width="20.28515625" bestFit="1" customWidth="1"/>
    <col min="443" max="443" width="20.85546875" bestFit="1" customWidth="1"/>
    <col min="444" max="444" width="20.28515625" bestFit="1" customWidth="1"/>
    <col min="445" max="452" width="20.85546875" bestFit="1" customWidth="1"/>
    <col min="453" max="453" width="20.28515625" bestFit="1" customWidth="1"/>
    <col min="454" max="461" width="20.85546875" bestFit="1" customWidth="1"/>
    <col min="462" max="464" width="20.28515625" bestFit="1" customWidth="1"/>
    <col min="465" max="465" width="20.85546875" bestFit="1" customWidth="1"/>
    <col min="466" max="466" width="20.28515625" bestFit="1" customWidth="1"/>
    <col min="467" max="468" width="20.85546875" bestFit="1" customWidth="1"/>
    <col min="469" max="469" width="20.28515625" bestFit="1" customWidth="1"/>
    <col min="470" max="471" width="20.85546875" bestFit="1" customWidth="1"/>
    <col min="472" max="473" width="20.28515625" bestFit="1" customWidth="1"/>
    <col min="474" max="475" width="20.85546875" bestFit="1" customWidth="1"/>
    <col min="476" max="477" width="20.28515625" bestFit="1" customWidth="1"/>
    <col min="478" max="478" width="20.85546875" bestFit="1" customWidth="1"/>
    <col min="479" max="480" width="20.28515625" bestFit="1" customWidth="1"/>
    <col min="481" max="481" width="20.85546875" bestFit="1" customWidth="1"/>
    <col min="482" max="483" width="20.28515625" bestFit="1" customWidth="1"/>
    <col min="484" max="486" width="20.85546875" bestFit="1" customWidth="1"/>
    <col min="487" max="487" width="20.28515625" bestFit="1" customWidth="1"/>
    <col min="488" max="495" width="20.85546875" bestFit="1" customWidth="1"/>
    <col min="496" max="496" width="20.28515625" bestFit="1" customWidth="1"/>
    <col min="497" max="500" width="20.85546875" bestFit="1" customWidth="1"/>
    <col min="501" max="502" width="20.28515625" bestFit="1" customWidth="1"/>
    <col min="503" max="508" width="20.85546875" bestFit="1" customWidth="1"/>
    <col min="509" max="509" width="20.28515625" bestFit="1" customWidth="1"/>
    <col min="510" max="514" width="20.85546875" bestFit="1" customWidth="1"/>
    <col min="515" max="515" width="20.28515625" bestFit="1" customWidth="1"/>
    <col min="516" max="518" width="20.85546875" bestFit="1" customWidth="1"/>
    <col min="519" max="519" width="20.28515625" bestFit="1" customWidth="1"/>
    <col min="520" max="524" width="20.85546875" bestFit="1" customWidth="1"/>
    <col min="525" max="526" width="20.28515625" bestFit="1" customWidth="1"/>
    <col min="527" max="527" width="20.85546875" bestFit="1" customWidth="1"/>
    <col min="528" max="528" width="20.28515625" bestFit="1" customWidth="1"/>
    <col min="529" max="529" width="20.85546875" bestFit="1" customWidth="1"/>
    <col min="530" max="530" width="20.28515625" bestFit="1" customWidth="1"/>
    <col min="531" max="537" width="20.85546875" bestFit="1" customWidth="1"/>
    <col min="538" max="538" width="20.28515625" bestFit="1" customWidth="1"/>
    <col min="539" max="543" width="20.85546875" bestFit="1" customWidth="1"/>
    <col min="544" max="544" width="20.28515625" bestFit="1" customWidth="1"/>
    <col min="545" max="554" width="20.85546875" bestFit="1" customWidth="1"/>
    <col min="555" max="555" width="20.28515625" bestFit="1" customWidth="1"/>
    <col min="556" max="566" width="20.85546875" bestFit="1" customWidth="1"/>
    <col min="567" max="569" width="20.28515625" bestFit="1" customWidth="1"/>
    <col min="570" max="571" width="20.85546875" bestFit="1" customWidth="1"/>
    <col min="572" max="572" width="20.28515625" bestFit="1" customWidth="1"/>
    <col min="573" max="573" width="20.85546875" bestFit="1" customWidth="1"/>
    <col min="574" max="574" width="20.28515625" bestFit="1" customWidth="1"/>
    <col min="575" max="579" width="20.85546875" bestFit="1" customWidth="1"/>
    <col min="580" max="580" width="20.28515625" bestFit="1" customWidth="1"/>
    <col min="581" max="591" width="20.85546875" bestFit="1" customWidth="1"/>
    <col min="592" max="592" width="20.28515625" bestFit="1" customWidth="1"/>
    <col min="593" max="593" width="20.85546875" bestFit="1" customWidth="1"/>
    <col min="594" max="594" width="20.28515625" bestFit="1" customWidth="1"/>
    <col min="595" max="595" width="20.85546875" bestFit="1" customWidth="1"/>
    <col min="596" max="596" width="20.28515625" bestFit="1" customWidth="1"/>
    <col min="597" max="600" width="20.85546875" bestFit="1" customWidth="1"/>
    <col min="601" max="601" width="20.28515625" bestFit="1" customWidth="1"/>
    <col min="602" max="603" width="20.85546875" bestFit="1" customWidth="1"/>
    <col min="604" max="604" width="20.28515625" bestFit="1" customWidth="1"/>
    <col min="605" max="608" width="20.85546875" bestFit="1" customWidth="1"/>
    <col min="609" max="609" width="20.28515625" bestFit="1" customWidth="1"/>
    <col min="610" max="610" width="20.85546875" bestFit="1" customWidth="1"/>
    <col min="611" max="611" width="20.28515625" bestFit="1" customWidth="1"/>
    <col min="612" max="612" width="20.85546875" bestFit="1" customWidth="1"/>
    <col min="613" max="613" width="20.28515625" bestFit="1" customWidth="1"/>
    <col min="614" max="616" width="20.85546875" bestFit="1" customWidth="1"/>
    <col min="617" max="617" width="20.28515625" bestFit="1" customWidth="1"/>
    <col min="618" max="622" width="20.85546875" bestFit="1" customWidth="1"/>
    <col min="623" max="623" width="20.28515625" bestFit="1" customWidth="1"/>
    <col min="624" max="633" width="20.85546875" bestFit="1" customWidth="1"/>
    <col min="634" max="636" width="20.28515625" bestFit="1" customWidth="1"/>
    <col min="637" max="637" width="20.85546875" bestFit="1" customWidth="1"/>
    <col min="638" max="639" width="20.28515625" bestFit="1" customWidth="1"/>
    <col min="640" max="641" width="20.85546875" bestFit="1" customWidth="1"/>
    <col min="642" max="643" width="20.28515625" bestFit="1" customWidth="1"/>
    <col min="644" max="646" width="20.85546875" bestFit="1" customWidth="1"/>
    <col min="647" max="647" width="20.28515625" bestFit="1" customWidth="1"/>
    <col min="648" max="652" width="20.85546875" bestFit="1" customWidth="1"/>
    <col min="653" max="653" width="20.28515625" bestFit="1" customWidth="1"/>
    <col min="654" max="658" width="20.85546875" bestFit="1" customWidth="1"/>
    <col min="659" max="659" width="20.28515625" bestFit="1" customWidth="1"/>
    <col min="660" max="668" width="20.85546875" bestFit="1" customWidth="1"/>
    <col min="669" max="672" width="20.28515625" bestFit="1" customWidth="1"/>
    <col min="673" max="673" width="20.85546875" bestFit="1" customWidth="1"/>
    <col min="674" max="676" width="20.28515625" bestFit="1" customWidth="1"/>
    <col min="677" max="678" width="20.85546875" bestFit="1" customWidth="1"/>
    <col min="679" max="679" width="20.28515625" bestFit="1" customWidth="1"/>
    <col min="680" max="681" width="20.85546875" bestFit="1" customWidth="1"/>
    <col min="682" max="682" width="20.28515625" bestFit="1" customWidth="1"/>
    <col min="683" max="685" width="20.85546875" bestFit="1" customWidth="1"/>
    <col min="686" max="686" width="20.28515625" bestFit="1" customWidth="1"/>
    <col min="687" max="695" width="20.85546875" bestFit="1" customWidth="1"/>
    <col min="696" max="698" width="20.28515625" bestFit="1" customWidth="1"/>
    <col min="699" max="699" width="20.85546875" bestFit="1" customWidth="1"/>
    <col min="700" max="701" width="20.28515625" bestFit="1" customWidth="1"/>
    <col min="702" max="702" width="20.85546875" bestFit="1" customWidth="1"/>
    <col min="703" max="703" width="20.28515625" bestFit="1" customWidth="1"/>
    <col min="704" max="704" width="20.85546875" bestFit="1" customWidth="1"/>
    <col min="705" max="707" width="20.28515625" bestFit="1" customWidth="1"/>
    <col min="708" max="708" width="20.85546875" bestFit="1" customWidth="1"/>
    <col min="709" max="709" width="20.28515625" bestFit="1" customWidth="1"/>
    <col min="710" max="711" width="20.85546875" bestFit="1" customWidth="1"/>
    <col min="712" max="712" width="20.28515625" bestFit="1" customWidth="1"/>
    <col min="713" max="713" width="20.85546875" bestFit="1" customWidth="1"/>
    <col min="714" max="714" width="20.28515625" bestFit="1" customWidth="1"/>
    <col min="715" max="717" width="20.85546875" bestFit="1" customWidth="1"/>
    <col min="718" max="719" width="20.28515625" bestFit="1" customWidth="1"/>
    <col min="720" max="720" width="20.85546875" bestFit="1" customWidth="1"/>
    <col min="721" max="721" width="20.28515625" bestFit="1" customWidth="1"/>
    <col min="722" max="725" width="20.85546875" bestFit="1" customWidth="1"/>
    <col min="726" max="726" width="20.28515625" bestFit="1" customWidth="1"/>
    <col min="727" max="727" width="20.85546875" bestFit="1" customWidth="1"/>
    <col min="728" max="728" width="20.28515625" bestFit="1" customWidth="1"/>
    <col min="729" max="729" width="20.85546875" bestFit="1" customWidth="1"/>
    <col min="730" max="731" width="20.28515625" bestFit="1" customWidth="1"/>
    <col min="732" max="736" width="20.85546875" bestFit="1" customWidth="1"/>
    <col min="737" max="737" width="20.28515625" bestFit="1" customWidth="1"/>
    <col min="738" max="745" width="20.85546875" bestFit="1" customWidth="1"/>
    <col min="746" max="746" width="20.28515625" bestFit="1" customWidth="1"/>
    <col min="747" max="747" width="20.85546875" bestFit="1" customWidth="1"/>
    <col min="748" max="749" width="20.28515625" bestFit="1" customWidth="1"/>
    <col min="750" max="750" width="20.85546875" bestFit="1" customWidth="1"/>
    <col min="751" max="751" width="20.28515625" bestFit="1" customWidth="1"/>
    <col min="752" max="754" width="20.85546875" bestFit="1" customWidth="1"/>
    <col min="755" max="757" width="20.28515625" bestFit="1" customWidth="1"/>
    <col min="758" max="759" width="20.85546875" bestFit="1" customWidth="1"/>
    <col min="760" max="761" width="20.28515625" bestFit="1" customWidth="1"/>
    <col min="762" max="764" width="20.85546875" bestFit="1" customWidth="1"/>
    <col min="765" max="765" width="20.28515625" bestFit="1" customWidth="1"/>
    <col min="766" max="767" width="20.85546875" bestFit="1" customWidth="1"/>
    <col min="768" max="772" width="20.28515625" bestFit="1" customWidth="1"/>
    <col min="773" max="773" width="20.85546875" bestFit="1" customWidth="1"/>
    <col min="774" max="774" width="20.28515625" bestFit="1" customWidth="1"/>
    <col min="775" max="778" width="20.85546875" bestFit="1" customWidth="1"/>
    <col min="779" max="781" width="20.28515625" bestFit="1" customWidth="1"/>
    <col min="782" max="784" width="20.85546875" bestFit="1" customWidth="1"/>
    <col min="785" max="786" width="20.28515625" bestFit="1" customWidth="1"/>
    <col min="787" max="787" width="20.85546875" bestFit="1" customWidth="1"/>
    <col min="788" max="789" width="20.28515625" bestFit="1" customWidth="1"/>
    <col min="790" max="792" width="20.85546875" bestFit="1" customWidth="1"/>
    <col min="793" max="793" width="21.42578125" bestFit="1" customWidth="1"/>
    <col min="794" max="798" width="20.28515625" bestFit="1" customWidth="1"/>
    <col min="799" max="801" width="20.85546875" bestFit="1" customWidth="1"/>
    <col min="802" max="803" width="20.28515625" bestFit="1" customWidth="1"/>
    <col min="804" max="805" width="20.85546875" bestFit="1" customWidth="1"/>
    <col min="806" max="807" width="20.28515625" bestFit="1" customWidth="1"/>
    <col min="808" max="809" width="20.85546875" bestFit="1" customWidth="1"/>
    <col min="810" max="810" width="20.28515625" bestFit="1" customWidth="1"/>
    <col min="811" max="813" width="20.85546875" bestFit="1" customWidth="1"/>
    <col min="814" max="814" width="20.28515625" bestFit="1" customWidth="1"/>
    <col min="815" max="816" width="20.85546875" bestFit="1" customWidth="1"/>
    <col min="817" max="817" width="20.28515625" bestFit="1" customWidth="1"/>
    <col min="818" max="819" width="20.85546875" bestFit="1" customWidth="1"/>
    <col min="820" max="820" width="20.28515625" bestFit="1" customWidth="1"/>
    <col min="821" max="823" width="20.85546875" bestFit="1" customWidth="1"/>
    <col min="824" max="824" width="20.28515625" bestFit="1" customWidth="1"/>
    <col min="825" max="825" width="20.85546875" bestFit="1" customWidth="1"/>
    <col min="826" max="826" width="20.28515625" bestFit="1" customWidth="1"/>
    <col min="827" max="827" width="20.85546875" bestFit="1" customWidth="1"/>
    <col min="828" max="829" width="20.28515625" bestFit="1" customWidth="1"/>
    <col min="830" max="831" width="20.85546875" bestFit="1" customWidth="1"/>
    <col min="832" max="832" width="20.28515625" bestFit="1" customWidth="1"/>
    <col min="833" max="834" width="20.85546875" bestFit="1" customWidth="1"/>
    <col min="835" max="836" width="20.28515625" bestFit="1" customWidth="1"/>
    <col min="837" max="837" width="20.85546875" bestFit="1" customWidth="1"/>
    <col min="838" max="842" width="20.28515625" bestFit="1" customWidth="1"/>
    <col min="843" max="843" width="20.85546875" bestFit="1" customWidth="1"/>
    <col min="844" max="850" width="20.28515625" bestFit="1" customWidth="1"/>
    <col min="851" max="851" width="20.85546875" bestFit="1" customWidth="1"/>
    <col min="852" max="853" width="20.28515625" bestFit="1" customWidth="1"/>
    <col min="854" max="854" width="20.85546875" bestFit="1" customWidth="1"/>
    <col min="855" max="856" width="20.28515625" bestFit="1" customWidth="1"/>
    <col min="857" max="857" width="20.85546875" bestFit="1" customWidth="1"/>
    <col min="858" max="859" width="20.28515625" bestFit="1" customWidth="1"/>
    <col min="860" max="860" width="20.85546875" bestFit="1" customWidth="1"/>
    <col min="861" max="865" width="20.28515625" bestFit="1" customWidth="1"/>
    <col min="866" max="867" width="20.85546875" bestFit="1" customWidth="1"/>
    <col min="868" max="877" width="20.28515625" bestFit="1" customWidth="1"/>
    <col min="878" max="881" width="20.85546875" bestFit="1" customWidth="1"/>
    <col min="882" max="882" width="20.28515625" bestFit="1" customWidth="1"/>
    <col min="883" max="883" width="20.85546875" bestFit="1" customWidth="1"/>
    <col min="884" max="886" width="20.28515625" bestFit="1" customWidth="1"/>
    <col min="887" max="888" width="20.85546875" bestFit="1" customWidth="1"/>
    <col min="889" max="889" width="20.28515625" bestFit="1" customWidth="1"/>
    <col min="890" max="892" width="20.85546875" bestFit="1" customWidth="1"/>
    <col min="893" max="894" width="20.28515625" bestFit="1" customWidth="1"/>
    <col min="895" max="895" width="20.85546875" bestFit="1" customWidth="1"/>
    <col min="896" max="896" width="20.28515625" bestFit="1" customWidth="1"/>
    <col min="897" max="897" width="20.85546875" bestFit="1" customWidth="1"/>
    <col min="898" max="898" width="20.28515625" bestFit="1" customWidth="1"/>
    <col min="899" max="899" width="20.85546875" bestFit="1" customWidth="1"/>
    <col min="900" max="901" width="20.28515625" bestFit="1" customWidth="1"/>
    <col min="902" max="902" width="20.85546875" bestFit="1" customWidth="1"/>
    <col min="903" max="904" width="20.28515625" bestFit="1" customWidth="1"/>
    <col min="905" max="906" width="20.85546875" bestFit="1" customWidth="1"/>
    <col min="907" max="908" width="20.28515625" bestFit="1" customWidth="1"/>
    <col min="909" max="909" width="20.85546875" bestFit="1" customWidth="1"/>
    <col min="910" max="910" width="20.28515625" bestFit="1" customWidth="1"/>
    <col min="911" max="911" width="20.85546875" bestFit="1" customWidth="1"/>
    <col min="912" max="912" width="20.28515625" bestFit="1" customWidth="1"/>
    <col min="913" max="915" width="20.85546875" bestFit="1" customWidth="1"/>
    <col min="916" max="919" width="20.28515625" bestFit="1" customWidth="1"/>
    <col min="920" max="920" width="20.85546875" bestFit="1" customWidth="1"/>
    <col min="921" max="921" width="20.28515625" bestFit="1" customWidth="1"/>
    <col min="922" max="923" width="20.85546875" bestFit="1" customWidth="1"/>
    <col min="924" max="924" width="20.28515625" bestFit="1" customWidth="1"/>
    <col min="925" max="925" width="20.85546875" bestFit="1" customWidth="1"/>
    <col min="926" max="926" width="20.28515625" bestFit="1" customWidth="1"/>
    <col min="927" max="930" width="20.85546875" bestFit="1" customWidth="1"/>
    <col min="931" max="931" width="20.28515625" bestFit="1" customWidth="1"/>
    <col min="932" max="934" width="20.85546875" bestFit="1" customWidth="1"/>
    <col min="935" max="935" width="20.28515625" bestFit="1" customWidth="1"/>
    <col min="936" max="936" width="20.85546875" bestFit="1" customWidth="1"/>
    <col min="937" max="937" width="20.28515625" bestFit="1" customWidth="1"/>
    <col min="938" max="938" width="20.85546875" bestFit="1" customWidth="1"/>
    <col min="939" max="939" width="20.28515625" bestFit="1" customWidth="1"/>
    <col min="940" max="940" width="20.85546875" bestFit="1" customWidth="1"/>
    <col min="941" max="942" width="20.28515625" bestFit="1" customWidth="1"/>
    <col min="943" max="943" width="20.85546875" bestFit="1" customWidth="1"/>
    <col min="944" max="945" width="20.28515625" bestFit="1" customWidth="1"/>
    <col min="946" max="946" width="20.85546875" bestFit="1" customWidth="1"/>
    <col min="947" max="947" width="20.28515625" bestFit="1" customWidth="1"/>
    <col min="948" max="950" width="20.85546875" bestFit="1" customWidth="1"/>
    <col min="951" max="951" width="20.28515625" bestFit="1" customWidth="1"/>
    <col min="952" max="953" width="20.85546875" bestFit="1" customWidth="1"/>
    <col min="954" max="957" width="20.28515625" bestFit="1" customWidth="1"/>
    <col min="958" max="961" width="20.85546875" bestFit="1" customWidth="1"/>
    <col min="962" max="962" width="20.28515625" bestFit="1" customWidth="1"/>
    <col min="963" max="963" width="20.85546875" bestFit="1" customWidth="1"/>
    <col min="964" max="966" width="20.28515625" bestFit="1" customWidth="1"/>
    <col min="967" max="971" width="20.85546875" bestFit="1" customWidth="1"/>
    <col min="972" max="972" width="20.28515625" bestFit="1" customWidth="1"/>
    <col min="973" max="973" width="20.85546875" bestFit="1" customWidth="1"/>
    <col min="974" max="978" width="20.28515625" bestFit="1" customWidth="1"/>
    <col min="979" max="980" width="20.85546875" bestFit="1" customWidth="1"/>
    <col min="981" max="981" width="20.28515625" bestFit="1" customWidth="1"/>
    <col min="982" max="983" width="20.85546875" bestFit="1" customWidth="1"/>
    <col min="984" max="984" width="20.28515625" bestFit="1" customWidth="1"/>
    <col min="985" max="988" width="20.85546875" bestFit="1" customWidth="1"/>
    <col min="989" max="989" width="20.28515625" bestFit="1" customWidth="1"/>
    <col min="990" max="990" width="20.85546875" bestFit="1" customWidth="1"/>
    <col min="991" max="991" width="20.28515625" bestFit="1" customWidth="1"/>
    <col min="992" max="993" width="20.85546875" bestFit="1" customWidth="1"/>
    <col min="994" max="994" width="20.28515625" bestFit="1" customWidth="1"/>
    <col min="995" max="996" width="20.85546875" bestFit="1" customWidth="1"/>
    <col min="997" max="997" width="20.28515625" bestFit="1" customWidth="1"/>
    <col min="998" max="998" width="20.85546875" bestFit="1" customWidth="1"/>
    <col min="999" max="1005" width="20.28515625" bestFit="1" customWidth="1"/>
    <col min="1006" max="1007" width="20.85546875" bestFit="1" customWidth="1"/>
    <col min="1008" max="1010" width="20.28515625" bestFit="1" customWidth="1"/>
    <col min="1011" max="1013" width="20.85546875" bestFit="1" customWidth="1"/>
    <col min="1014" max="1014" width="20.28515625" bestFit="1" customWidth="1"/>
    <col min="1015" max="1017" width="20.85546875" bestFit="1" customWidth="1"/>
    <col min="1018" max="1021" width="20.28515625" bestFit="1" customWidth="1"/>
    <col min="1022" max="1024" width="20.85546875" bestFit="1" customWidth="1"/>
    <col min="1025" max="1030" width="20.28515625" bestFit="1" customWidth="1"/>
    <col min="1031" max="1031" width="20.85546875" bestFit="1" customWidth="1"/>
    <col min="1032" max="1032" width="20.28515625" bestFit="1" customWidth="1"/>
    <col min="1033" max="1034" width="20.85546875" bestFit="1" customWidth="1"/>
    <col min="1035" max="1039" width="20.28515625" bestFit="1" customWidth="1"/>
    <col min="1040" max="1041" width="20.85546875" bestFit="1" customWidth="1"/>
    <col min="1042" max="1045" width="20.28515625" bestFit="1" customWidth="1"/>
    <col min="1046" max="1046" width="20.85546875" bestFit="1" customWidth="1"/>
    <col min="1047" max="1047" width="20.28515625" bestFit="1" customWidth="1"/>
    <col min="1048" max="1048" width="20.85546875" bestFit="1" customWidth="1"/>
    <col min="1049" max="1051" width="20.28515625" bestFit="1" customWidth="1"/>
    <col min="1052" max="1052" width="20.85546875" bestFit="1" customWidth="1"/>
    <col min="1053" max="1054" width="20.28515625" bestFit="1" customWidth="1"/>
    <col min="1055" max="1056" width="20.85546875" bestFit="1" customWidth="1"/>
    <col min="1057" max="1060" width="20.28515625" bestFit="1" customWidth="1"/>
    <col min="1061" max="1061" width="20.85546875" bestFit="1" customWidth="1"/>
    <col min="1062" max="1064" width="20.28515625" bestFit="1" customWidth="1"/>
    <col min="1065" max="1066" width="20.85546875" bestFit="1" customWidth="1"/>
    <col min="1067" max="1068" width="20.28515625" bestFit="1" customWidth="1"/>
    <col min="1069" max="1069" width="20.85546875" bestFit="1" customWidth="1"/>
    <col min="1070" max="1071" width="20.28515625" bestFit="1" customWidth="1"/>
    <col min="1072" max="1074" width="20.85546875" bestFit="1" customWidth="1"/>
    <col min="1075" max="1075" width="20.28515625" bestFit="1" customWidth="1"/>
    <col min="1076" max="1076" width="20.85546875" bestFit="1" customWidth="1"/>
    <col min="1077" max="1077" width="20.28515625" bestFit="1" customWidth="1"/>
    <col min="1078" max="1079" width="20.85546875" bestFit="1" customWidth="1"/>
    <col min="1080" max="1081" width="20.28515625" bestFit="1" customWidth="1"/>
    <col min="1082" max="1082" width="20.85546875" bestFit="1" customWidth="1"/>
    <col min="1083" max="1083" width="20.28515625" bestFit="1" customWidth="1"/>
    <col min="1084" max="1085" width="20.85546875" bestFit="1" customWidth="1"/>
    <col min="1086" max="1086" width="20.28515625" bestFit="1" customWidth="1"/>
    <col min="1087" max="1087" width="20.85546875" bestFit="1" customWidth="1"/>
    <col min="1088" max="1088" width="20.28515625" bestFit="1" customWidth="1"/>
    <col min="1089" max="1089" width="20.85546875" bestFit="1" customWidth="1"/>
    <col min="1090" max="1091" width="20.28515625" bestFit="1" customWidth="1"/>
    <col min="1092" max="1093" width="20.85546875" bestFit="1" customWidth="1"/>
    <col min="1094" max="1095" width="20.28515625" bestFit="1" customWidth="1"/>
    <col min="1096" max="1097" width="20.85546875" bestFit="1" customWidth="1"/>
    <col min="1098" max="1102" width="20.28515625" bestFit="1" customWidth="1"/>
    <col min="1103" max="1106" width="20.85546875" bestFit="1" customWidth="1"/>
    <col min="1107" max="1108" width="20.28515625" bestFit="1" customWidth="1"/>
    <col min="1109" max="1110" width="20.85546875" bestFit="1" customWidth="1"/>
    <col min="1111" max="1113" width="20.28515625" bestFit="1" customWidth="1"/>
    <col min="1114" max="1115" width="20.85546875" bestFit="1" customWidth="1"/>
    <col min="1116" max="1116" width="20.28515625" bestFit="1" customWidth="1"/>
    <col min="1117" max="1117" width="20.85546875" bestFit="1" customWidth="1"/>
    <col min="1118" max="1121" width="20.28515625" bestFit="1" customWidth="1"/>
    <col min="1122" max="1123" width="20.85546875" bestFit="1" customWidth="1"/>
    <col min="1124" max="1124" width="20.28515625" bestFit="1" customWidth="1"/>
    <col min="1125" max="1125" width="20.85546875" bestFit="1" customWidth="1"/>
    <col min="1126" max="1126" width="20.28515625" bestFit="1" customWidth="1"/>
    <col min="1127" max="1127" width="20.85546875" bestFit="1" customWidth="1"/>
    <col min="1128" max="1131" width="20.28515625" bestFit="1" customWidth="1"/>
    <col min="1132" max="1133" width="20.85546875" bestFit="1" customWidth="1"/>
    <col min="1134" max="1134" width="20.28515625" bestFit="1" customWidth="1"/>
    <col min="1135" max="1135" width="20.85546875" bestFit="1" customWidth="1"/>
    <col min="1136" max="1138" width="20.28515625" bestFit="1" customWidth="1"/>
    <col min="1139" max="1141" width="20.85546875" bestFit="1" customWidth="1"/>
    <col min="1142" max="1142" width="20.28515625" bestFit="1" customWidth="1"/>
    <col min="1143" max="1143" width="20.85546875" bestFit="1" customWidth="1"/>
    <col min="1144" max="1147" width="20.28515625" bestFit="1" customWidth="1"/>
    <col min="1148" max="1150" width="20.85546875" bestFit="1" customWidth="1"/>
    <col min="1151" max="1153" width="20.28515625" bestFit="1" customWidth="1"/>
    <col min="1154" max="1155" width="20.85546875" bestFit="1" customWidth="1"/>
    <col min="1156" max="1156" width="20.28515625" bestFit="1" customWidth="1"/>
    <col min="1157" max="1157" width="20.85546875" bestFit="1" customWidth="1"/>
    <col min="1158" max="1159" width="20.28515625" bestFit="1" customWidth="1"/>
    <col min="1160" max="1160" width="20.85546875" bestFit="1" customWidth="1"/>
    <col min="1161" max="1168" width="20.28515625" bestFit="1" customWidth="1"/>
    <col min="1169" max="1170" width="20.85546875" bestFit="1" customWidth="1"/>
    <col min="1171" max="1171" width="20.28515625" bestFit="1" customWidth="1"/>
    <col min="1172" max="1172" width="20.85546875" bestFit="1" customWidth="1"/>
    <col min="1173" max="1173" width="20.28515625" bestFit="1" customWidth="1"/>
    <col min="1174" max="1174" width="20.85546875" bestFit="1" customWidth="1"/>
    <col min="1175" max="1176" width="20.28515625" bestFit="1" customWidth="1"/>
    <col min="1177" max="1177" width="20.85546875" bestFit="1" customWidth="1"/>
    <col min="1178" max="1179" width="20.28515625" bestFit="1" customWidth="1"/>
    <col min="1180" max="1181" width="20.85546875" bestFit="1" customWidth="1"/>
    <col min="1182" max="1185" width="20.28515625" bestFit="1" customWidth="1"/>
    <col min="1186" max="1187" width="20.85546875" bestFit="1" customWidth="1"/>
    <col min="1188" max="1188" width="20.28515625" bestFit="1" customWidth="1"/>
    <col min="1189" max="1196" width="20.85546875" bestFit="1" customWidth="1"/>
    <col min="1197" max="1197" width="20.28515625" bestFit="1" customWidth="1"/>
    <col min="1198" max="1200" width="20.85546875" bestFit="1" customWidth="1"/>
    <col min="1201" max="1201" width="20.28515625" bestFit="1" customWidth="1"/>
    <col min="1202" max="1203" width="20.85546875" bestFit="1" customWidth="1"/>
    <col min="1204" max="1205" width="20.28515625" bestFit="1" customWidth="1"/>
    <col min="1206" max="1207" width="20.85546875" bestFit="1" customWidth="1"/>
    <col min="1208" max="1209" width="20.28515625" bestFit="1" customWidth="1"/>
    <col min="1210" max="1210" width="20.85546875" bestFit="1" customWidth="1"/>
    <col min="1211" max="1211" width="20.28515625" bestFit="1" customWidth="1"/>
    <col min="1212" max="1212" width="20.85546875" bestFit="1" customWidth="1"/>
    <col min="1213" max="1213" width="20.28515625" bestFit="1" customWidth="1"/>
    <col min="1214" max="1217" width="20.85546875" bestFit="1" customWidth="1"/>
    <col min="1218" max="1218" width="20.28515625" bestFit="1" customWidth="1"/>
    <col min="1219" max="1219" width="20.85546875" bestFit="1" customWidth="1"/>
    <col min="1220" max="1220" width="20.28515625" bestFit="1" customWidth="1"/>
    <col min="1221" max="1222" width="20.85546875" bestFit="1" customWidth="1"/>
    <col min="1223" max="1223" width="20.28515625" bestFit="1" customWidth="1"/>
    <col min="1224" max="1224" width="20.85546875" bestFit="1" customWidth="1"/>
    <col min="1225" max="1226" width="20.28515625" bestFit="1" customWidth="1"/>
    <col min="1227" max="1228" width="20.85546875" bestFit="1" customWidth="1"/>
    <col min="1229" max="1230" width="20.28515625" bestFit="1" customWidth="1"/>
    <col min="1231" max="1231" width="20.85546875" bestFit="1" customWidth="1"/>
    <col min="1232" max="1233" width="20.28515625" bestFit="1" customWidth="1"/>
    <col min="1234" max="1234" width="20.85546875" bestFit="1" customWidth="1"/>
    <col min="1235" max="1235" width="20.28515625" bestFit="1" customWidth="1"/>
    <col min="1236" max="1236" width="20.85546875" bestFit="1" customWidth="1"/>
    <col min="1237" max="1240" width="20.28515625" bestFit="1" customWidth="1"/>
    <col min="1241" max="1243" width="20.85546875" bestFit="1" customWidth="1"/>
    <col min="1244" max="1244" width="20.28515625" bestFit="1" customWidth="1"/>
    <col min="1245" max="1246" width="20.85546875" bestFit="1" customWidth="1"/>
    <col min="1247" max="1248" width="20.28515625" bestFit="1" customWidth="1"/>
    <col min="1249" max="1249" width="20.85546875" bestFit="1" customWidth="1"/>
    <col min="1250" max="1252" width="20.28515625" bestFit="1" customWidth="1"/>
    <col min="1253" max="1254" width="20.85546875" bestFit="1" customWidth="1"/>
    <col min="1255" max="1256" width="20.28515625" bestFit="1" customWidth="1"/>
    <col min="1257" max="1260" width="20.85546875" bestFit="1" customWidth="1"/>
    <col min="1261" max="1262" width="20.28515625" bestFit="1" customWidth="1"/>
    <col min="1263" max="1263" width="20.85546875" bestFit="1" customWidth="1"/>
    <col min="1264" max="1264" width="20.28515625" bestFit="1" customWidth="1"/>
    <col min="1265" max="1265" width="20.85546875" bestFit="1" customWidth="1"/>
    <col min="1266" max="1266" width="20.28515625" bestFit="1" customWidth="1"/>
    <col min="1267" max="1267" width="20.85546875" bestFit="1" customWidth="1"/>
    <col min="1268" max="1269" width="20.28515625" bestFit="1" customWidth="1"/>
    <col min="1270" max="1270" width="20.85546875" bestFit="1" customWidth="1"/>
    <col min="1271" max="1273" width="20.28515625" bestFit="1" customWidth="1"/>
    <col min="1274" max="1274" width="20.85546875" bestFit="1" customWidth="1"/>
    <col min="1275" max="1279" width="20.28515625" bestFit="1" customWidth="1"/>
    <col min="1280" max="1281" width="20.85546875" bestFit="1" customWidth="1"/>
    <col min="1282" max="1283" width="20.28515625" bestFit="1" customWidth="1"/>
    <col min="1284" max="1284" width="20.85546875" bestFit="1" customWidth="1"/>
    <col min="1285" max="1288" width="20.28515625" bestFit="1" customWidth="1"/>
    <col min="1289" max="1291" width="20.85546875" bestFit="1" customWidth="1"/>
    <col min="1292" max="1295" width="20.28515625" bestFit="1" customWidth="1"/>
    <col min="1296" max="1298" width="20.85546875" bestFit="1" customWidth="1"/>
    <col min="1299" max="1300" width="20.28515625" bestFit="1" customWidth="1"/>
    <col min="1301" max="1304" width="20.85546875" bestFit="1" customWidth="1"/>
    <col min="1305" max="1310" width="20.28515625" bestFit="1" customWidth="1"/>
    <col min="1311" max="1312" width="20.85546875" bestFit="1" customWidth="1"/>
    <col min="1313" max="1314" width="20.28515625" bestFit="1" customWidth="1"/>
    <col min="1315" max="1318" width="20.85546875" bestFit="1" customWidth="1"/>
    <col min="1319" max="1320" width="20.28515625" bestFit="1" customWidth="1"/>
    <col min="1321" max="1322" width="20.85546875" bestFit="1" customWidth="1"/>
    <col min="1323" max="1323" width="20.28515625" bestFit="1" customWidth="1"/>
    <col min="1324" max="1324" width="20.85546875" bestFit="1" customWidth="1"/>
    <col min="1325" max="1327" width="20.28515625" bestFit="1" customWidth="1"/>
    <col min="1328" max="1329" width="20.85546875" bestFit="1" customWidth="1"/>
    <col min="1330" max="1333" width="20.28515625" bestFit="1" customWidth="1"/>
    <col min="1334" max="1334" width="20.85546875" bestFit="1" customWidth="1"/>
    <col min="1335" max="1335" width="20.28515625" bestFit="1" customWidth="1"/>
    <col min="1336" max="1337" width="20.85546875" bestFit="1" customWidth="1"/>
    <col min="1338" max="1338" width="20.28515625" bestFit="1" customWidth="1"/>
    <col min="1339" max="1341" width="20.85546875" bestFit="1" customWidth="1"/>
    <col min="1342" max="1342" width="20.28515625" bestFit="1" customWidth="1"/>
    <col min="1343" max="1343" width="20.85546875" bestFit="1" customWidth="1"/>
    <col min="1344" max="1345" width="20.28515625" bestFit="1" customWidth="1"/>
    <col min="1346" max="1347" width="20.85546875" bestFit="1" customWidth="1"/>
    <col min="1348" max="1349" width="20.28515625" bestFit="1" customWidth="1"/>
    <col min="1350" max="1350" width="20.85546875" bestFit="1" customWidth="1"/>
    <col min="1351" max="1351" width="20.28515625" bestFit="1" customWidth="1"/>
    <col min="1352" max="1353" width="20.85546875" bestFit="1" customWidth="1"/>
    <col min="1354" max="1354" width="20.28515625" bestFit="1" customWidth="1"/>
    <col min="1355" max="1355" width="20.85546875" bestFit="1" customWidth="1"/>
    <col min="1356" max="1357" width="20.28515625" bestFit="1" customWidth="1"/>
    <col min="1358" max="1359" width="20.85546875" bestFit="1" customWidth="1"/>
    <col min="1360" max="1360" width="21.42578125" bestFit="1" customWidth="1"/>
    <col min="1361" max="1363" width="20.85546875" bestFit="1" customWidth="1"/>
    <col min="1364" max="1364" width="20.28515625" bestFit="1" customWidth="1"/>
    <col min="1365" max="1367" width="20.85546875" bestFit="1" customWidth="1"/>
    <col min="1368" max="1368" width="20.28515625" bestFit="1" customWidth="1"/>
    <col min="1369" max="1370" width="20.85546875" bestFit="1" customWidth="1"/>
    <col min="1371" max="1372" width="20.28515625" bestFit="1" customWidth="1"/>
    <col min="1373" max="1374" width="20.85546875" bestFit="1" customWidth="1"/>
    <col min="1375" max="1375" width="20.28515625" bestFit="1" customWidth="1"/>
    <col min="1376" max="1377" width="20.85546875" bestFit="1" customWidth="1"/>
    <col min="1378" max="1379" width="20.28515625" bestFit="1" customWidth="1"/>
    <col min="1380" max="1381" width="20.85546875" bestFit="1" customWidth="1"/>
    <col min="1382" max="1382" width="20.28515625" bestFit="1" customWidth="1"/>
    <col min="1383" max="1383" width="20.85546875" bestFit="1" customWidth="1"/>
    <col min="1384" max="1385" width="20.28515625" bestFit="1" customWidth="1"/>
    <col min="1386" max="1387" width="20.85546875" bestFit="1" customWidth="1"/>
    <col min="1388" max="1392" width="20.28515625" bestFit="1" customWidth="1"/>
    <col min="1393" max="1394" width="20.85546875" bestFit="1" customWidth="1"/>
    <col min="1395" max="1395" width="20.28515625" bestFit="1" customWidth="1"/>
    <col min="1396" max="1400" width="20.85546875" bestFit="1" customWidth="1"/>
    <col min="1401" max="1402" width="20.28515625" bestFit="1" customWidth="1"/>
    <col min="1403" max="1404" width="20.85546875" bestFit="1" customWidth="1"/>
    <col min="1405" max="1405" width="20.28515625" bestFit="1" customWidth="1"/>
    <col min="1406" max="1406" width="20.85546875" bestFit="1" customWidth="1"/>
    <col min="1407" max="1407" width="20.28515625" bestFit="1" customWidth="1"/>
    <col min="1408" max="1411" width="20.85546875" bestFit="1" customWidth="1"/>
    <col min="1412" max="1412" width="20.28515625" bestFit="1" customWidth="1"/>
    <col min="1413" max="1413" width="20.85546875" bestFit="1" customWidth="1"/>
    <col min="1414" max="1415" width="20.28515625" bestFit="1" customWidth="1"/>
    <col min="1416" max="1416" width="20.85546875" bestFit="1" customWidth="1"/>
    <col min="1417" max="1417" width="20.28515625" bestFit="1" customWidth="1"/>
    <col min="1418" max="1418" width="20.85546875" bestFit="1" customWidth="1"/>
    <col min="1419" max="1419" width="20.28515625" bestFit="1" customWidth="1"/>
    <col min="1420" max="1425" width="20.85546875" bestFit="1" customWidth="1"/>
    <col min="1426" max="1426" width="20.28515625" bestFit="1" customWidth="1"/>
    <col min="1427" max="1427" width="20.85546875" bestFit="1" customWidth="1"/>
    <col min="1428" max="1428" width="20.28515625" bestFit="1" customWidth="1"/>
    <col min="1429" max="1429" width="20.85546875" bestFit="1" customWidth="1"/>
    <col min="1430" max="1431" width="20.28515625" bestFit="1" customWidth="1"/>
    <col min="1432" max="1432" width="20.85546875" bestFit="1" customWidth="1"/>
    <col min="1433" max="1433" width="20.28515625" bestFit="1" customWidth="1"/>
    <col min="1434" max="1435" width="20.85546875" bestFit="1" customWidth="1"/>
    <col min="1436" max="1436" width="20.28515625" bestFit="1" customWidth="1"/>
    <col min="1437" max="1438" width="20.85546875" bestFit="1" customWidth="1"/>
    <col min="1439" max="1439" width="20.28515625" bestFit="1" customWidth="1"/>
    <col min="1440" max="1443" width="20.85546875" bestFit="1" customWidth="1"/>
    <col min="1444" max="1444" width="20.28515625" bestFit="1" customWidth="1"/>
    <col min="1445" max="1445" width="20.85546875" bestFit="1" customWidth="1"/>
    <col min="1446" max="1448" width="20.28515625" bestFit="1" customWidth="1"/>
    <col min="1449" max="1452" width="20.85546875" bestFit="1" customWidth="1"/>
    <col min="1453" max="1453" width="20.28515625" bestFit="1" customWidth="1"/>
    <col min="1454" max="1456" width="20.85546875" bestFit="1" customWidth="1"/>
    <col min="1457" max="1457" width="20.28515625" bestFit="1" customWidth="1"/>
    <col min="1458" max="1459" width="20.85546875" bestFit="1" customWidth="1"/>
    <col min="1460" max="1462" width="20.28515625" bestFit="1" customWidth="1"/>
    <col min="1463" max="1463" width="20.85546875" bestFit="1" customWidth="1"/>
    <col min="1464" max="1464" width="20.28515625" bestFit="1" customWidth="1"/>
    <col min="1465" max="1467" width="20.85546875" bestFit="1" customWidth="1"/>
    <col min="1468" max="1468" width="20.28515625" bestFit="1" customWidth="1"/>
    <col min="1469" max="1469" width="20.85546875" bestFit="1" customWidth="1"/>
    <col min="1470" max="1470" width="20.28515625" bestFit="1" customWidth="1"/>
    <col min="1471" max="1473" width="20.85546875" bestFit="1" customWidth="1"/>
    <col min="1474" max="1476" width="20.28515625" bestFit="1" customWidth="1"/>
    <col min="1477" max="1477" width="20.85546875" bestFit="1" customWidth="1"/>
    <col min="1478" max="1478" width="20.28515625" bestFit="1" customWidth="1"/>
    <col min="1479" max="1479" width="20.85546875" bestFit="1" customWidth="1"/>
    <col min="1480" max="1480" width="20.28515625" bestFit="1" customWidth="1"/>
    <col min="1481" max="1481" width="20.85546875" bestFit="1" customWidth="1"/>
    <col min="1482" max="1482" width="20.28515625" bestFit="1" customWidth="1"/>
    <col min="1483" max="1484" width="20.85546875" bestFit="1" customWidth="1"/>
    <col min="1485" max="1485" width="20.28515625" bestFit="1" customWidth="1"/>
    <col min="1486" max="1486" width="20.85546875" bestFit="1" customWidth="1"/>
    <col min="1487" max="1488" width="20.28515625" bestFit="1" customWidth="1"/>
    <col min="1489" max="1490" width="20.85546875" bestFit="1" customWidth="1"/>
    <col min="1491" max="1491" width="20.28515625" bestFit="1" customWidth="1"/>
    <col min="1492" max="1492" width="20.85546875" bestFit="1" customWidth="1"/>
    <col min="1493" max="1493" width="20.28515625" bestFit="1" customWidth="1"/>
    <col min="1494" max="1495" width="20.85546875" bestFit="1" customWidth="1"/>
    <col min="1496" max="1496" width="20.28515625" bestFit="1" customWidth="1"/>
    <col min="1497" max="1500" width="20.85546875" bestFit="1" customWidth="1"/>
    <col min="1501" max="1503" width="20.28515625" bestFit="1" customWidth="1"/>
    <col min="1504" max="1504" width="20.85546875" bestFit="1" customWidth="1"/>
    <col min="1505" max="1505" width="20.28515625" bestFit="1" customWidth="1"/>
    <col min="1506" max="1512" width="20.85546875" bestFit="1" customWidth="1"/>
    <col min="1513" max="1513" width="20.28515625" bestFit="1" customWidth="1"/>
    <col min="1514" max="1517" width="20.85546875" bestFit="1" customWidth="1"/>
    <col min="1518" max="1519" width="20.28515625" bestFit="1" customWidth="1"/>
    <col min="1520" max="1520" width="20.85546875" bestFit="1" customWidth="1"/>
    <col min="1521" max="1521" width="20.28515625" bestFit="1" customWidth="1"/>
    <col min="1522" max="1527" width="20.85546875" bestFit="1" customWidth="1"/>
    <col min="1528" max="1529" width="20.28515625" bestFit="1" customWidth="1"/>
    <col min="1530" max="1532" width="20.85546875" bestFit="1" customWidth="1"/>
    <col min="1533" max="1533" width="20.28515625" bestFit="1" customWidth="1"/>
    <col min="1534" max="1534" width="20.85546875" bestFit="1" customWidth="1"/>
    <col min="1535" max="1535" width="20.28515625" bestFit="1" customWidth="1"/>
    <col min="1536" max="1541" width="20.85546875" bestFit="1" customWidth="1"/>
    <col min="1542" max="1542" width="20.28515625" bestFit="1" customWidth="1"/>
    <col min="1543" max="1543" width="20.85546875" bestFit="1" customWidth="1"/>
    <col min="1544" max="1551" width="20.28515625" bestFit="1" customWidth="1"/>
    <col min="1552" max="1552" width="20.85546875" bestFit="1" customWidth="1"/>
    <col min="1553" max="1553" width="20.28515625" bestFit="1" customWidth="1"/>
    <col min="1554" max="1556" width="20.85546875" bestFit="1" customWidth="1"/>
    <col min="1557" max="1560" width="20.28515625" bestFit="1" customWidth="1"/>
    <col min="1561" max="1563" width="20.85546875" bestFit="1" customWidth="1"/>
    <col min="1564" max="1564" width="20.28515625" bestFit="1" customWidth="1"/>
    <col min="1565" max="1566" width="20.85546875" bestFit="1" customWidth="1"/>
    <col min="1567" max="1568" width="20.28515625" bestFit="1" customWidth="1"/>
    <col min="1569" max="1572" width="20.85546875" bestFit="1" customWidth="1"/>
    <col min="1573" max="1575" width="20.28515625" bestFit="1" customWidth="1"/>
    <col min="1576" max="1576" width="20.85546875" bestFit="1" customWidth="1"/>
    <col min="1577" max="1577" width="20.28515625" bestFit="1" customWidth="1"/>
    <col min="1578" max="1578" width="20.85546875" bestFit="1" customWidth="1"/>
    <col min="1579" max="1580" width="20.28515625" bestFit="1" customWidth="1"/>
    <col min="1581" max="1582" width="20.85546875" bestFit="1" customWidth="1"/>
    <col min="1583" max="1583" width="20.28515625" bestFit="1" customWidth="1"/>
    <col min="1584" max="1587" width="20.85546875" bestFit="1" customWidth="1"/>
    <col min="1588" max="1588" width="20.28515625" bestFit="1" customWidth="1"/>
    <col min="1589" max="1590" width="20.85546875" bestFit="1" customWidth="1"/>
    <col min="1591" max="1592" width="20.28515625" bestFit="1" customWidth="1"/>
    <col min="1593" max="1594" width="20.85546875" bestFit="1" customWidth="1"/>
    <col min="1595" max="1595" width="20.28515625" bestFit="1" customWidth="1"/>
    <col min="1596" max="1596" width="20.85546875" bestFit="1" customWidth="1"/>
    <col min="1597" max="1597" width="20.28515625" bestFit="1" customWidth="1"/>
    <col min="1598" max="1598" width="20.85546875" bestFit="1" customWidth="1"/>
    <col min="1599" max="1599" width="20.28515625" bestFit="1" customWidth="1"/>
    <col min="1600" max="1600" width="20.85546875" bestFit="1" customWidth="1"/>
    <col min="1601" max="1603" width="20.28515625" bestFit="1" customWidth="1"/>
    <col min="1604" max="1604" width="20.85546875" bestFit="1" customWidth="1"/>
    <col min="1605" max="1605" width="20.28515625" bestFit="1" customWidth="1"/>
    <col min="1606" max="1606" width="20.85546875" bestFit="1" customWidth="1"/>
    <col min="1607" max="1607" width="20.28515625" bestFit="1" customWidth="1"/>
    <col min="1608" max="1609" width="20.85546875" bestFit="1" customWidth="1"/>
    <col min="1610" max="1610" width="20.28515625" bestFit="1" customWidth="1"/>
    <col min="1611" max="1611" width="20.85546875" bestFit="1" customWidth="1"/>
    <col min="1612" max="1613" width="20.28515625" bestFit="1" customWidth="1"/>
    <col min="1614" max="1624" width="20.85546875" bestFit="1" customWidth="1"/>
    <col min="1625" max="1625" width="20.28515625" bestFit="1" customWidth="1"/>
    <col min="1626" max="1626" width="20.85546875" bestFit="1" customWidth="1"/>
    <col min="1627" max="1629" width="20.28515625" bestFit="1" customWidth="1"/>
    <col min="1630" max="1630" width="20.85546875" bestFit="1" customWidth="1"/>
    <col min="1631" max="1631" width="20.28515625" bestFit="1" customWidth="1"/>
    <col min="1632" max="1633" width="20.85546875" bestFit="1" customWidth="1"/>
    <col min="1634" max="1634" width="20.28515625" bestFit="1" customWidth="1"/>
    <col min="1635" max="1635" width="20.85546875" bestFit="1" customWidth="1"/>
    <col min="1636" max="1637" width="20.28515625" bestFit="1" customWidth="1"/>
    <col min="1638" max="1639" width="20.85546875" bestFit="1" customWidth="1"/>
    <col min="1640" max="1640" width="20.28515625" bestFit="1" customWidth="1"/>
    <col min="1641" max="1643" width="20.85546875" bestFit="1" customWidth="1"/>
    <col min="1644" max="1644" width="20.28515625" bestFit="1" customWidth="1"/>
    <col min="1645" max="1645" width="20.85546875" bestFit="1" customWidth="1"/>
    <col min="1646" max="1647" width="20.28515625" bestFit="1" customWidth="1"/>
    <col min="1648" max="1648" width="20.85546875" bestFit="1" customWidth="1"/>
    <col min="1649" max="1649" width="20.28515625" bestFit="1" customWidth="1"/>
    <col min="1650" max="1651" width="20.85546875" bestFit="1" customWidth="1"/>
    <col min="1652" max="1652" width="20.28515625" bestFit="1" customWidth="1"/>
    <col min="1653" max="1653" width="20.85546875" bestFit="1" customWidth="1"/>
    <col min="1654" max="1655" width="20.28515625" bestFit="1" customWidth="1"/>
    <col min="1656" max="1656" width="20.85546875" bestFit="1" customWidth="1"/>
    <col min="1657" max="1657" width="20.28515625" bestFit="1" customWidth="1"/>
    <col min="1658" max="1658" width="20.85546875" bestFit="1" customWidth="1"/>
    <col min="1659" max="1659" width="20.28515625" bestFit="1" customWidth="1"/>
    <col min="1660" max="1662" width="20.85546875" bestFit="1" customWidth="1"/>
    <col min="1663" max="1664" width="20.28515625" bestFit="1" customWidth="1"/>
    <col min="1665" max="1665" width="20.85546875" bestFit="1" customWidth="1"/>
    <col min="1666" max="1667" width="20.28515625" bestFit="1" customWidth="1"/>
    <col min="1668" max="1669" width="20.85546875" bestFit="1" customWidth="1"/>
    <col min="1670" max="1670" width="20.28515625" bestFit="1" customWidth="1"/>
    <col min="1671" max="1675" width="20.85546875" bestFit="1" customWidth="1"/>
    <col min="1676" max="1676" width="20.28515625" bestFit="1" customWidth="1"/>
    <col min="1677" max="1680" width="20.85546875" bestFit="1" customWidth="1"/>
    <col min="1681" max="1681" width="20.28515625" bestFit="1" customWidth="1"/>
    <col min="1682" max="1683" width="20.85546875" bestFit="1" customWidth="1"/>
    <col min="1684" max="1685" width="20.28515625" bestFit="1" customWidth="1"/>
    <col min="1686" max="1686" width="20.85546875" bestFit="1" customWidth="1"/>
    <col min="1687" max="1687" width="20.28515625" bestFit="1" customWidth="1"/>
    <col min="1688" max="1692" width="20.85546875" bestFit="1" customWidth="1"/>
    <col min="1693" max="1693" width="20.28515625" bestFit="1" customWidth="1"/>
    <col min="1694" max="1694" width="20.85546875" bestFit="1" customWidth="1"/>
    <col min="1695" max="1695" width="20.28515625" bestFit="1" customWidth="1"/>
    <col min="1696" max="1696" width="20.85546875" bestFit="1" customWidth="1"/>
    <col min="1697" max="1698" width="20.28515625" bestFit="1" customWidth="1"/>
    <col min="1699" max="1702" width="20.85546875" bestFit="1" customWidth="1"/>
    <col min="1703" max="1703" width="20.28515625" bestFit="1" customWidth="1"/>
    <col min="1704" max="1704" width="20.85546875" bestFit="1" customWidth="1"/>
    <col min="1705" max="1705" width="20.28515625" bestFit="1" customWidth="1"/>
    <col min="1706" max="1707" width="20.85546875" bestFit="1" customWidth="1"/>
    <col min="1708" max="1708" width="20.28515625" bestFit="1" customWidth="1"/>
    <col min="1709" max="1713" width="20.85546875" bestFit="1" customWidth="1"/>
    <col min="1714" max="1714" width="20.28515625" bestFit="1" customWidth="1"/>
    <col min="1715" max="1716" width="20.85546875" bestFit="1" customWidth="1"/>
    <col min="1717" max="1717" width="20.28515625" bestFit="1" customWidth="1"/>
    <col min="1718" max="1720" width="20.85546875" bestFit="1" customWidth="1"/>
    <col min="1721" max="1724" width="20.28515625" bestFit="1" customWidth="1"/>
    <col min="1725" max="1726" width="20.85546875" bestFit="1" customWidth="1"/>
    <col min="1727" max="1727" width="20.28515625" bestFit="1" customWidth="1"/>
    <col min="1728" max="1731" width="20.85546875" bestFit="1" customWidth="1"/>
    <col min="1732" max="1732" width="20.28515625" bestFit="1" customWidth="1"/>
    <col min="1733" max="1733" width="20.85546875" bestFit="1" customWidth="1"/>
    <col min="1734" max="1736" width="20.28515625" bestFit="1" customWidth="1"/>
    <col min="1737" max="1737" width="20.85546875" bestFit="1" customWidth="1"/>
    <col min="1738" max="1738" width="20.28515625" bestFit="1" customWidth="1"/>
    <col min="1739" max="1739" width="20.85546875" bestFit="1" customWidth="1"/>
    <col min="1740" max="1741" width="20.28515625" bestFit="1" customWidth="1"/>
    <col min="1742" max="1742" width="20.85546875" bestFit="1" customWidth="1"/>
    <col min="1743" max="1743" width="20.28515625" bestFit="1" customWidth="1"/>
    <col min="1744" max="1746" width="20.85546875" bestFit="1" customWidth="1"/>
    <col min="1747" max="1747" width="20.28515625" bestFit="1" customWidth="1"/>
    <col min="1748" max="1749" width="20.85546875" bestFit="1" customWidth="1"/>
    <col min="1750" max="1751" width="20.28515625" bestFit="1" customWidth="1"/>
    <col min="1752" max="1753" width="20.85546875" bestFit="1" customWidth="1"/>
    <col min="1754" max="1754" width="20.28515625" bestFit="1" customWidth="1"/>
    <col min="1755" max="1759" width="20.85546875" bestFit="1" customWidth="1"/>
    <col min="1760" max="1760" width="20.28515625" bestFit="1" customWidth="1"/>
    <col min="1761" max="1763" width="20.85546875" bestFit="1" customWidth="1"/>
    <col min="1764" max="1766" width="20.28515625" bestFit="1" customWidth="1"/>
    <col min="1767" max="1767" width="20.85546875" bestFit="1" customWidth="1"/>
    <col min="1768" max="1768" width="20.28515625" bestFit="1" customWidth="1"/>
    <col min="1769" max="1769" width="20.85546875" bestFit="1" customWidth="1"/>
    <col min="1770" max="1770" width="20.28515625" bestFit="1" customWidth="1"/>
    <col min="1771" max="1771" width="20.85546875" bestFit="1" customWidth="1"/>
    <col min="1772" max="1773" width="20.28515625" bestFit="1" customWidth="1"/>
    <col min="1774" max="1778" width="20.85546875" bestFit="1" customWidth="1"/>
    <col min="1779" max="1780" width="20.28515625" bestFit="1" customWidth="1"/>
    <col min="1781" max="1781" width="20.85546875" bestFit="1" customWidth="1"/>
    <col min="1782" max="1782" width="20.28515625" bestFit="1" customWidth="1"/>
    <col min="1783" max="1784" width="20.85546875" bestFit="1" customWidth="1"/>
    <col min="1785" max="1786" width="20.28515625" bestFit="1" customWidth="1"/>
    <col min="1787" max="1789" width="20.85546875" bestFit="1" customWidth="1"/>
    <col min="1790" max="1790" width="20.28515625" bestFit="1" customWidth="1"/>
    <col min="1791" max="1791" width="20.85546875" bestFit="1" customWidth="1"/>
    <col min="1792" max="1792" width="20.28515625" bestFit="1" customWidth="1"/>
    <col min="1793" max="1799" width="20.85546875" bestFit="1" customWidth="1"/>
    <col min="1800" max="1801" width="20.28515625" bestFit="1" customWidth="1"/>
    <col min="1802" max="1806" width="20.85546875" bestFit="1" customWidth="1"/>
    <col min="1807" max="1807" width="20.28515625" bestFit="1" customWidth="1"/>
    <col min="1808" max="1808" width="20.85546875" bestFit="1" customWidth="1"/>
    <col min="1809" max="1809" width="20.28515625" bestFit="1" customWidth="1"/>
    <col min="1810" max="1810" width="20.85546875" bestFit="1" customWidth="1"/>
    <col min="1811" max="1811" width="20.28515625" bestFit="1" customWidth="1"/>
    <col min="1812" max="1817" width="20.85546875" bestFit="1" customWidth="1"/>
    <col min="1818" max="1818" width="20.28515625" bestFit="1" customWidth="1"/>
    <col min="1819" max="1820" width="20.85546875" bestFit="1" customWidth="1"/>
    <col min="1821" max="1824" width="20.28515625" bestFit="1" customWidth="1"/>
    <col min="1825" max="1826" width="20.85546875" bestFit="1" customWidth="1"/>
    <col min="1827" max="1827" width="20.28515625" bestFit="1" customWidth="1"/>
    <col min="1828" max="1828" width="20.85546875" bestFit="1" customWidth="1"/>
    <col min="1829" max="1829" width="20.28515625" bestFit="1" customWidth="1"/>
    <col min="1830" max="1830" width="20.85546875" bestFit="1" customWidth="1"/>
    <col min="1831" max="1831" width="20.28515625" bestFit="1" customWidth="1"/>
    <col min="1832" max="1832" width="20.85546875" bestFit="1" customWidth="1"/>
    <col min="1833" max="1835" width="20.28515625" bestFit="1" customWidth="1"/>
    <col min="1836" max="1836" width="20.85546875" bestFit="1" customWidth="1"/>
    <col min="1837" max="1837" width="20.28515625" bestFit="1" customWidth="1"/>
    <col min="1838" max="1844" width="20.85546875" bestFit="1" customWidth="1"/>
    <col min="1845" max="1851" width="20.28515625" bestFit="1" customWidth="1"/>
    <col min="1852" max="1852" width="20.85546875" bestFit="1" customWidth="1"/>
    <col min="1853" max="1853" width="20.28515625" bestFit="1" customWidth="1"/>
    <col min="1854" max="1855" width="20.85546875" bestFit="1" customWidth="1"/>
    <col min="1856" max="1856" width="20.28515625" bestFit="1" customWidth="1"/>
    <col min="1857" max="1860" width="20.85546875" bestFit="1" customWidth="1"/>
    <col min="1861" max="1861" width="20.28515625" bestFit="1" customWidth="1"/>
    <col min="1862" max="1862" width="20.85546875" bestFit="1" customWidth="1"/>
    <col min="1863" max="1864" width="20.28515625" bestFit="1" customWidth="1"/>
    <col min="1865" max="1865" width="20.85546875" bestFit="1" customWidth="1"/>
    <col min="1866" max="1866" width="20.28515625" bestFit="1" customWidth="1"/>
    <col min="1867" max="1869" width="20.85546875" bestFit="1" customWidth="1"/>
    <col min="1870" max="1870" width="20.28515625" bestFit="1" customWidth="1"/>
    <col min="1871" max="1871" width="20.85546875" bestFit="1" customWidth="1"/>
    <col min="1872" max="1873" width="20.28515625" bestFit="1" customWidth="1"/>
    <col min="1874" max="1875" width="20.85546875" bestFit="1" customWidth="1"/>
    <col min="1876" max="1877" width="20.28515625" bestFit="1" customWidth="1"/>
    <col min="1878" max="1879" width="20.85546875" bestFit="1" customWidth="1"/>
    <col min="1880" max="1880" width="20.28515625" bestFit="1" customWidth="1"/>
    <col min="1881" max="1882" width="20.85546875" bestFit="1" customWidth="1"/>
    <col min="1883" max="1884" width="20.28515625" bestFit="1" customWidth="1"/>
    <col min="1885" max="1885" width="20.85546875" bestFit="1" customWidth="1"/>
    <col min="1886" max="1887" width="20.28515625" bestFit="1" customWidth="1"/>
    <col min="1888" max="1888" width="20.85546875" bestFit="1" customWidth="1"/>
    <col min="1889" max="1889" width="20.28515625" bestFit="1" customWidth="1"/>
    <col min="1890" max="1893" width="20.85546875" bestFit="1" customWidth="1"/>
    <col min="1894" max="1895" width="20.28515625" bestFit="1" customWidth="1"/>
    <col min="1896" max="1896" width="20.85546875" bestFit="1" customWidth="1"/>
    <col min="1897" max="1898" width="20.28515625" bestFit="1" customWidth="1"/>
    <col min="1899" max="1899" width="20.85546875" bestFit="1" customWidth="1"/>
    <col min="1900" max="1900" width="20.28515625" bestFit="1" customWidth="1"/>
    <col min="1901" max="1905" width="20.85546875" bestFit="1" customWidth="1"/>
    <col min="1906" max="1906" width="20.28515625" bestFit="1" customWidth="1"/>
    <col min="1907" max="1908" width="20.85546875" bestFit="1" customWidth="1"/>
    <col min="1909" max="1909" width="20.28515625" bestFit="1" customWidth="1"/>
    <col min="1910" max="1910" width="20.85546875" bestFit="1" customWidth="1"/>
    <col min="1911" max="1911" width="20.28515625" bestFit="1" customWidth="1"/>
    <col min="1912" max="1916" width="20.85546875" bestFit="1" customWidth="1"/>
    <col min="1917" max="1917" width="20.28515625" bestFit="1" customWidth="1"/>
    <col min="1918" max="1924" width="20.85546875" bestFit="1" customWidth="1"/>
    <col min="1925" max="1925" width="20.28515625" bestFit="1" customWidth="1"/>
    <col min="1926" max="1927" width="20.85546875" bestFit="1" customWidth="1"/>
    <col min="1928" max="1929" width="20.28515625" bestFit="1" customWidth="1"/>
    <col min="1930" max="1932" width="20.85546875" bestFit="1" customWidth="1"/>
    <col min="1933" max="1933" width="20.28515625" bestFit="1" customWidth="1"/>
    <col min="1934" max="1934" width="20.85546875" bestFit="1" customWidth="1"/>
    <col min="1935" max="1935" width="20.28515625" bestFit="1" customWidth="1"/>
    <col min="1936" max="1936" width="20.85546875" bestFit="1" customWidth="1"/>
    <col min="1937" max="1937" width="20.28515625" bestFit="1" customWidth="1"/>
    <col min="1938" max="1942" width="20.85546875" bestFit="1" customWidth="1"/>
    <col min="1943" max="1945" width="20.28515625" bestFit="1" customWidth="1"/>
    <col min="1946" max="1946" width="20.85546875" bestFit="1" customWidth="1"/>
    <col min="1947" max="1947" width="20.28515625" bestFit="1" customWidth="1"/>
    <col min="1948" max="1949" width="20.85546875" bestFit="1" customWidth="1"/>
    <col min="1950" max="1950" width="20.28515625" bestFit="1" customWidth="1"/>
    <col min="1951" max="1951" width="20.85546875" bestFit="1" customWidth="1"/>
    <col min="1952" max="1952" width="20.28515625" bestFit="1" customWidth="1"/>
    <col min="1953" max="1953" width="20.85546875" bestFit="1" customWidth="1"/>
    <col min="1954" max="1956" width="20.28515625" bestFit="1" customWidth="1"/>
    <col min="1957" max="1957" width="20.85546875" bestFit="1" customWidth="1"/>
    <col min="1958" max="1958" width="20.28515625" bestFit="1" customWidth="1"/>
    <col min="1959" max="1960" width="20.85546875" bestFit="1" customWidth="1"/>
    <col min="1961" max="1961" width="20.28515625" bestFit="1" customWidth="1"/>
    <col min="1962" max="1962" width="20.85546875" bestFit="1" customWidth="1"/>
    <col min="1963" max="1963" width="20.28515625" bestFit="1" customWidth="1"/>
    <col min="1964" max="1968" width="20.85546875" bestFit="1" customWidth="1"/>
    <col min="1969" max="1970" width="20.28515625" bestFit="1" customWidth="1"/>
    <col min="1971" max="1972" width="20.85546875" bestFit="1" customWidth="1"/>
    <col min="1973" max="1973" width="20.28515625" bestFit="1" customWidth="1"/>
    <col min="1974" max="1974" width="20.85546875" bestFit="1" customWidth="1"/>
    <col min="1975" max="1976" width="20.28515625" bestFit="1" customWidth="1"/>
    <col min="1977" max="1977" width="20.85546875" bestFit="1" customWidth="1"/>
    <col min="1978" max="1978" width="20.28515625" bestFit="1" customWidth="1"/>
    <col min="1979" max="1979" width="20.85546875" bestFit="1" customWidth="1"/>
    <col min="1980" max="1980" width="20.28515625" bestFit="1" customWidth="1"/>
    <col min="1981" max="1982" width="20.85546875" bestFit="1" customWidth="1"/>
    <col min="1983" max="1984" width="20.28515625" bestFit="1" customWidth="1"/>
    <col min="1985" max="1985" width="20.85546875" bestFit="1" customWidth="1"/>
    <col min="1986" max="1987" width="20.28515625" bestFit="1" customWidth="1"/>
    <col min="1988" max="1988" width="20.85546875" bestFit="1" customWidth="1"/>
    <col min="1989" max="1989" width="20.28515625" bestFit="1" customWidth="1"/>
    <col min="1990" max="1990" width="20.85546875" bestFit="1" customWidth="1"/>
    <col min="1991" max="1991" width="20.28515625" bestFit="1" customWidth="1"/>
    <col min="1992" max="1993" width="20.85546875" bestFit="1" customWidth="1"/>
    <col min="1994" max="1995" width="20.28515625" bestFit="1" customWidth="1"/>
    <col min="1996" max="1997" width="20.85546875" bestFit="1" customWidth="1"/>
    <col min="1998" max="1998" width="20.28515625" bestFit="1" customWidth="1"/>
    <col min="1999" max="1999" width="20.85546875" bestFit="1" customWidth="1"/>
    <col min="2000" max="2002" width="20.28515625" bestFit="1" customWidth="1"/>
    <col min="2003" max="2003" width="20.85546875" bestFit="1" customWidth="1"/>
    <col min="2004" max="2005" width="20.28515625" bestFit="1" customWidth="1"/>
    <col min="2006" max="2006" width="20.85546875" bestFit="1" customWidth="1"/>
    <col min="2007" max="2007" width="20.28515625" bestFit="1" customWidth="1"/>
    <col min="2008" max="2010" width="20.85546875" bestFit="1" customWidth="1"/>
    <col min="2011" max="2011" width="20.28515625" bestFit="1" customWidth="1"/>
    <col min="2012" max="2014" width="20.85546875" bestFit="1" customWidth="1"/>
    <col min="2015" max="2015" width="20.28515625" bestFit="1" customWidth="1"/>
    <col min="2016" max="2020" width="20.85546875" bestFit="1" customWidth="1"/>
    <col min="2021" max="2022" width="20.28515625" bestFit="1" customWidth="1"/>
    <col min="2023" max="2027" width="20.85546875" bestFit="1" customWidth="1"/>
    <col min="2028" max="2028" width="20.28515625" bestFit="1" customWidth="1"/>
    <col min="2029" max="2029" width="20.85546875" bestFit="1" customWidth="1"/>
    <col min="2030" max="2031" width="20.28515625" bestFit="1" customWidth="1"/>
    <col min="2032" max="2033" width="20.85546875" bestFit="1" customWidth="1"/>
    <col min="2034" max="2034" width="20.28515625" bestFit="1" customWidth="1"/>
    <col min="2035" max="2035" width="20.85546875" bestFit="1" customWidth="1"/>
    <col min="2036" max="2037" width="20.28515625" bestFit="1" customWidth="1"/>
    <col min="2038" max="2039" width="20.85546875" bestFit="1" customWidth="1"/>
    <col min="2040" max="2044" width="20.28515625" bestFit="1" customWidth="1"/>
    <col min="2045" max="2047" width="20.85546875" bestFit="1" customWidth="1"/>
    <col min="2048" max="2050" width="20.28515625" bestFit="1" customWidth="1"/>
    <col min="2051" max="2052" width="20.85546875" bestFit="1" customWidth="1"/>
    <col min="2053" max="2055" width="20.28515625" bestFit="1" customWidth="1"/>
    <col min="2056" max="2056" width="20.85546875" bestFit="1" customWidth="1"/>
    <col min="2057" max="2057" width="20.28515625" bestFit="1" customWidth="1"/>
    <col min="2058" max="2058" width="20.85546875" bestFit="1" customWidth="1"/>
    <col min="2059" max="2062" width="20.28515625" bestFit="1" customWidth="1"/>
    <col min="2063" max="2063" width="20.85546875" bestFit="1" customWidth="1"/>
    <col min="2064" max="2065" width="20.28515625" bestFit="1" customWidth="1"/>
    <col min="2066" max="2067" width="20.85546875" bestFit="1" customWidth="1"/>
    <col min="2068" max="2068" width="20.28515625" bestFit="1" customWidth="1"/>
    <col min="2069" max="2069" width="20.85546875" bestFit="1" customWidth="1"/>
    <col min="2070" max="2070" width="20.28515625" bestFit="1" customWidth="1"/>
    <col min="2071" max="2071" width="20.85546875" bestFit="1" customWidth="1"/>
    <col min="2072" max="2072" width="20.28515625" bestFit="1" customWidth="1"/>
    <col min="2073" max="2073" width="20.85546875" bestFit="1" customWidth="1"/>
    <col min="2074" max="2074" width="20.28515625" bestFit="1" customWidth="1"/>
    <col min="2075" max="2076" width="20.85546875" bestFit="1" customWidth="1"/>
    <col min="2077" max="2077" width="20.28515625" bestFit="1" customWidth="1"/>
    <col min="2078" max="2079" width="20.85546875" bestFit="1" customWidth="1"/>
    <col min="2080" max="2080" width="20.28515625" bestFit="1" customWidth="1"/>
    <col min="2081" max="2083" width="20.85546875" bestFit="1" customWidth="1"/>
    <col min="2084" max="2086" width="20.28515625" bestFit="1" customWidth="1"/>
    <col min="2087" max="2089" width="20.85546875" bestFit="1" customWidth="1"/>
    <col min="2090" max="2090" width="20.28515625" bestFit="1" customWidth="1"/>
    <col min="2091" max="2091" width="20.85546875" bestFit="1" customWidth="1"/>
    <col min="2092" max="2093" width="20.28515625" bestFit="1" customWidth="1"/>
    <col min="2094" max="2096" width="20.85546875" bestFit="1" customWidth="1"/>
    <col min="2097" max="2097" width="20.28515625" bestFit="1" customWidth="1"/>
    <col min="2098" max="2098" width="20.85546875" bestFit="1" customWidth="1"/>
    <col min="2099" max="2099" width="20.28515625" bestFit="1" customWidth="1"/>
    <col min="2100" max="2101" width="20.85546875" bestFit="1" customWidth="1"/>
    <col min="2102" max="2103" width="20.28515625" bestFit="1" customWidth="1"/>
    <col min="2104" max="2107" width="20.85546875" bestFit="1" customWidth="1"/>
    <col min="2108" max="2108" width="20.28515625" bestFit="1" customWidth="1"/>
    <col min="2109" max="2109" width="20.85546875" bestFit="1" customWidth="1"/>
    <col min="2110" max="2110" width="20.28515625" bestFit="1" customWidth="1"/>
    <col min="2111" max="2114" width="20.85546875" bestFit="1" customWidth="1"/>
    <col min="2115" max="2117" width="20.28515625" bestFit="1" customWidth="1"/>
    <col min="2118" max="2118" width="20.85546875" bestFit="1" customWidth="1"/>
    <col min="2119" max="2119" width="20.28515625" bestFit="1" customWidth="1"/>
    <col min="2120" max="2121" width="20.85546875" bestFit="1" customWidth="1"/>
    <col min="2122" max="2123" width="20.28515625" bestFit="1" customWidth="1"/>
    <col min="2124" max="2124" width="20.85546875" bestFit="1" customWidth="1"/>
    <col min="2125" max="2127" width="20.28515625" bestFit="1" customWidth="1"/>
    <col min="2128" max="2128" width="20.85546875" bestFit="1" customWidth="1"/>
    <col min="2129" max="2130" width="20.28515625" bestFit="1" customWidth="1"/>
    <col min="2131" max="2131" width="20.85546875" bestFit="1" customWidth="1"/>
    <col min="2132" max="2132" width="20.28515625" bestFit="1" customWidth="1"/>
    <col min="2133" max="2134" width="20.85546875" bestFit="1" customWidth="1"/>
    <col min="2135" max="2136" width="20.28515625" bestFit="1" customWidth="1"/>
    <col min="2137" max="2137" width="20.85546875" bestFit="1" customWidth="1"/>
    <col min="2138" max="2138" width="20.28515625" bestFit="1" customWidth="1"/>
    <col min="2139" max="2140" width="20.85546875" bestFit="1" customWidth="1"/>
    <col min="2141" max="2141" width="20.28515625" bestFit="1" customWidth="1"/>
    <col min="2142" max="2142" width="20.85546875" bestFit="1" customWidth="1"/>
    <col min="2143" max="2143" width="20.28515625" bestFit="1" customWidth="1"/>
    <col min="2144" max="2145" width="20.85546875" bestFit="1" customWidth="1"/>
    <col min="2146" max="2146" width="20.28515625" bestFit="1" customWidth="1"/>
    <col min="2147" max="2149" width="20.85546875" bestFit="1" customWidth="1"/>
    <col min="2150" max="2151" width="20.28515625" bestFit="1" customWidth="1"/>
    <col min="2152" max="2152" width="20.85546875" bestFit="1" customWidth="1"/>
    <col min="2153" max="2154" width="20.28515625" bestFit="1" customWidth="1"/>
    <col min="2155" max="2157" width="20.85546875" bestFit="1" customWidth="1"/>
    <col min="2158" max="2158" width="20.28515625" bestFit="1" customWidth="1"/>
    <col min="2159" max="2160" width="20.85546875" bestFit="1" customWidth="1"/>
    <col min="2161" max="2162" width="20.28515625" bestFit="1" customWidth="1"/>
    <col min="2163" max="2163" width="20.85546875" bestFit="1" customWidth="1"/>
    <col min="2164" max="2164" width="20.28515625" bestFit="1" customWidth="1"/>
    <col min="2165" max="2170" width="20.85546875" bestFit="1" customWidth="1"/>
    <col min="2171" max="2171" width="20.28515625" bestFit="1" customWidth="1"/>
    <col min="2172" max="2172" width="20.85546875" bestFit="1" customWidth="1"/>
    <col min="2173" max="2174" width="20.28515625" bestFit="1" customWidth="1"/>
    <col min="2175" max="2177" width="20.85546875" bestFit="1" customWidth="1"/>
    <col min="2178" max="2180" width="20.28515625" bestFit="1" customWidth="1"/>
    <col min="2181" max="2183" width="20.85546875" bestFit="1" customWidth="1"/>
    <col min="2184" max="2185" width="20.28515625" bestFit="1" customWidth="1"/>
    <col min="2186" max="2186" width="20.85546875" bestFit="1" customWidth="1"/>
    <col min="2187" max="2187" width="20.28515625" bestFit="1" customWidth="1"/>
    <col min="2188" max="2188" width="20.85546875" bestFit="1" customWidth="1"/>
    <col min="2189" max="2189" width="20.28515625" bestFit="1" customWidth="1"/>
    <col min="2190" max="2190" width="20.85546875" bestFit="1" customWidth="1"/>
    <col min="2191" max="2192" width="20.28515625" bestFit="1" customWidth="1"/>
    <col min="2193" max="2194" width="20.85546875" bestFit="1" customWidth="1"/>
    <col min="2195" max="2196" width="20.28515625" bestFit="1" customWidth="1"/>
    <col min="2197" max="2198" width="20.85546875" bestFit="1" customWidth="1"/>
    <col min="2199" max="2200" width="20.28515625" bestFit="1" customWidth="1"/>
    <col min="2201" max="2204" width="20.85546875" bestFit="1" customWidth="1"/>
    <col min="2205" max="2206" width="20.28515625" bestFit="1" customWidth="1"/>
    <col min="2207" max="2207" width="20.85546875" bestFit="1" customWidth="1"/>
    <col min="2208" max="2208" width="20.28515625" bestFit="1" customWidth="1"/>
    <col min="2209" max="2211" width="20.85546875" bestFit="1" customWidth="1"/>
    <col min="2212" max="2212" width="20.28515625" bestFit="1" customWidth="1"/>
    <col min="2213" max="2215" width="20.85546875" bestFit="1" customWidth="1"/>
    <col min="2216" max="2219" width="20.28515625" bestFit="1" customWidth="1"/>
    <col min="2220" max="2221" width="20.85546875" bestFit="1" customWidth="1"/>
    <col min="2222" max="2223" width="20.28515625" bestFit="1" customWidth="1"/>
    <col min="2224" max="2225" width="20.85546875" bestFit="1" customWidth="1"/>
    <col min="2226" max="2226" width="20.28515625" bestFit="1" customWidth="1"/>
    <col min="2227" max="2227" width="20.85546875" bestFit="1" customWidth="1"/>
    <col min="2228" max="2229" width="20.28515625" bestFit="1" customWidth="1"/>
    <col min="2230" max="2232" width="20.85546875" bestFit="1" customWidth="1"/>
    <col min="2233" max="2235" width="20.28515625" bestFit="1" customWidth="1"/>
    <col min="2236" max="2236" width="20.85546875" bestFit="1" customWidth="1"/>
    <col min="2237" max="2238" width="20.28515625" bestFit="1" customWidth="1"/>
    <col min="2239" max="2239" width="20.85546875" bestFit="1" customWidth="1"/>
    <col min="2240" max="2240" width="20.28515625" bestFit="1" customWidth="1"/>
    <col min="2241" max="2244" width="20.85546875" bestFit="1" customWidth="1"/>
    <col min="2245" max="2247" width="20.28515625" bestFit="1" customWidth="1"/>
    <col min="2248" max="2249" width="20.85546875" bestFit="1" customWidth="1"/>
    <col min="2250" max="2252" width="20.28515625" bestFit="1" customWidth="1"/>
    <col min="2253" max="2254" width="20.85546875" bestFit="1" customWidth="1"/>
    <col min="2255" max="2256" width="20.28515625" bestFit="1" customWidth="1"/>
    <col min="2257" max="2262" width="20.85546875" bestFit="1" customWidth="1"/>
    <col min="2263" max="2263" width="20.28515625" bestFit="1" customWidth="1"/>
    <col min="2264" max="2266" width="20.85546875" bestFit="1" customWidth="1"/>
    <col min="2267" max="2268" width="20.28515625" bestFit="1" customWidth="1"/>
    <col min="2269" max="2269" width="20.85546875" bestFit="1" customWidth="1"/>
    <col min="2270" max="2270" width="20.28515625" bestFit="1" customWidth="1"/>
    <col min="2271" max="2271" width="20.85546875" bestFit="1" customWidth="1"/>
    <col min="2272" max="2276" width="20.28515625" bestFit="1" customWidth="1"/>
    <col min="2277" max="2280" width="20.85546875" bestFit="1" customWidth="1"/>
    <col min="2281" max="2281" width="20.28515625" bestFit="1" customWidth="1"/>
    <col min="2282" max="2283" width="20.85546875" bestFit="1" customWidth="1"/>
    <col min="2284" max="2284" width="20.28515625" bestFit="1" customWidth="1"/>
    <col min="2285" max="2285" width="20.85546875" bestFit="1" customWidth="1"/>
    <col min="2286" max="2287" width="20.28515625" bestFit="1" customWidth="1"/>
    <col min="2288" max="2291" width="20.85546875" bestFit="1" customWidth="1"/>
    <col min="2292" max="2294" width="20.28515625" bestFit="1" customWidth="1"/>
    <col min="2295" max="2297" width="20.85546875" bestFit="1" customWidth="1"/>
    <col min="2298" max="2298" width="20.28515625" bestFit="1" customWidth="1"/>
    <col min="2299" max="2299" width="20.85546875" bestFit="1" customWidth="1"/>
    <col min="2300" max="2303" width="20.28515625" bestFit="1" customWidth="1"/>
    <col min="2304" max="2304" width="20.85546875" bestFit="1" customWidth="1"/>
    <col min="2305" max="2306" width="20.28515625" bestFit="1" customWidth="1"/>
    <col min="2307" max="2312" width="20.85546875" bestFit="1" customWidth="1"/>
    <col min="2313" max="2314" width="20.28515625" bestFit="1" customWidth="1"/>
    <col min="2315" max="2318" width="20.85546875" bestFit="1" customWidth="1"/>
    <col min="2319" max="2320" width="20.28515625" bestFit="1" customWidth="1"/>
    <col min="2321" max="2322" width="20.85546875" bestFit="1" customWidth="1"/>
    <col min="2323" max="2323" width="20.28515625" bestFit="1" customWidth="1"/>
    <col min="2324" max="2324" width="21.7109375" bestFit="1" customWidth="1"/>
    <col min="2325" max="2326" width="20.85546875" bestFit="1" customWidth="1"/>
    <col min="2327" max="2327" width="20.28515625" bestFit="1" customWidth="1"/>
    <col min="2328" max="2328" width="20.85546875" bestFit="1" customWidth="1"/>
    <col min="2329" max="2331" width="20.28515625" bestFit="1" customWidth="1"/>
    <col min="2332" max="2333" width="20.85546875" bestFit="1" customWidth="1"/>
    <col min="2334" max="2334" width="20.28515625" bestFit="1" customWidth="1"/>
    <col min="2335" max="2335" width="20.85546875" bestFit="1" customWidth="1"/>
    <col min="2336" max="2337" width="20.28515625" bestFit="1" customWidth="1"/>
    <col min="2338" max="2340" width="20.85546875" bestFit="1" customWidth="1"/>
    <col min="2341" max="2342" width="20.28515625" bestFit="1" customWidth="1"/>
    <col min="2343" max="2346" width="20.85546875" bestFit="1" customWidth="1"/>
    <col min="2347" max="2347" width="20.28515625" bestFit="1" customWidth="1"/>
    <col min="2348" max="2348" width="20.85546875" bestFit="1" customWidth="1"/>
    <col min="2349" max="2349" width="20.28515625" bestFit="1" customWidth="1"/>
    <col min="2350" max="2352" width="20.85546875" bestFit="1" customWidth="1"/>
    <col min="2353" max="2356" width="20.28515625" bestFit="1" customWidth="1"/>
    <col min="2357" max="2362" width="20.85546875" bestFit="1" customWidth="1"/>
    <col min="2363" max="2364" width="20.28515625" bestFit="1" customWidth="1"/>
    <col min="2365" max="2365" width="20.85546875" bestFit="1" customWidth="1"/>
    <col min="2366" max="2366" width="20.28515625" bestFit="1" customWidth="1"/>
    <col min="2367" max="2367" width="20.85546875" bestFit="1" customWidth="1"/>
    <col min="2368" max="2368" width="20.28515625" bestFit="1" customWidth="1"/>
    <col min="2369" max="2372" width="20.85546875" bestFit="1" customWidth="1"/>
    <col min="2373" max="2373" width="20.28515625" bestFit="1" customWidth="1"/>
    <col min="2374" max="2374" width="20.85546875" bestFit="1" customWidth="1"/>
    <col min="2375" max="2375" width="20.28515625" bestFit="1" customWidth="1"/>
    <col min="2376" max="2379" width="20.85546875" bestFit="1" customWidth="1"/>
    <col min="2380" max="2380" width="20.28515625" bestFit="1" customWidth="1"/>
    <col min="2381" max="2382" width="20.85546875" bestFit="1" customWidth="1"/>
    <col min="2383" max="2383" width="21.7109375" bestFit="1" customWidth="1"/>
    <col min="2384" max="2386" width="20.28515625" bestFit="1" customWidth="1"/>
    <col min="2387" max="2387" width="20.85546875" bestFit="1" customWidth="1"/>
    <col min="2388" max="2389" width="21.7109375" bestFit="1" customWidth="1"/>
    <col min="2390" max="2390" width="20.28515625" bestFit="1" customWidth="1"/>
    <col min="2391" max="2391" width="20.85546875" bestFit="1" customWidth="1"/>
    <col min="2392" max="2392" width="20.28515625" bestFit="1" customWidth="1"/>
    <col min="2393" max="2393" width="21.7109375" bestFit="1" customWidth="1"/>
    <col min="2394" max="2395" width="20.28515625" bestFit="1" customWidth="1"/>
    <col min="2396" max="2397" width="20.85546875" bestFit="1" customWidth="1"/>
    <col min="2398" max="2400" width="21.7109375" bestFit="1" customWidth="1"/>
    <col min="2401" max="2401" width="20.28515625" bestFit="1" customWidth="1"/>
    <col min="2402" max="2406" width="21.7109375" bestFit="1" customWidth="1"/>
    <col min="2407" max="2407" width="20.28515625" bestFit="1" customWidth="1"/>
    <col min="2408" max="2408" width="20.85546875" bestFit="1" customWidth="1"/>
    <col min="2409" max="2409" width="21.7109375" bestFit="1" customWidth="1"/>
    <col min="2410" max="2410" width="20.85546875" bestFit="1" customWidth="1"/>
    <col min="2411" max="2411" width="20.28515625" bestFit="1" customWidth="1"/>
    <col min="2412" max="2412" width="21.7109375" bestFit="1" customWidth="1"/>
    <col min="2413" max="2414" width="20.85546875" bestFit="1" customWidth="1"/>
    <col min="2415" max="2415" width="20.28515625" bestFit="1" customWidth="1"/>
    <col min="2416" max="2418" width="20.85546875" bestFit="1" customWidth="1"/>
    <col min="2419" max="2419" width="20.28515625" bestFit="1" customWidth="1"/>
    <col min="2420" max="2422" width="20.85546875" bestFit="1" customWidth="1"/>
    <col min="2423" max="2424" width="20.28515625" bestFit="1" customWidth="1"/>
    <col min="2425" max="2425" width="20.85546875" bestFit="1" customWidth="1"/>
    <col min="2426" max="2427" width="20.28515625" bestFit="1" customWidth="1"/>
    <col min="2428" max="2429" width="20.85546875" bestFit="1" customWidth="1"/>
    <col min="2430" max="2432" width="20.28515625" bestFit="1" customWidth="1"/>
    <col min="2433" max="2438" width="20.85546875" bestFit="1" customWidth="1"/>
    <col min="2439" max="2439" width="20.28515625" bestFit="1" customWidth="1"/>
    <col min="2440" max="2441" width="20.85546875" bestFit="1" customWidth="1"/>
    <col min="2442" max="2443" width="20.28515625" bestFit="1" customWidth="1"/>
    <col min="2444" max="2444" width="20.85546875" bestFit="1" customWidth="1"/>
    <col min="2445" max="2445" width="20.28515625" bestFit="1" customWidth="1"/>
    <col min="2446" max="2446" width="20.85546875" bestFit="1" customWidth="1"/>
    <col min="2447" max="2447" width="20.28515625" bestFit="1" customWidth="1"/>
    <col min="2448" max="2448" width="20.85546875" bestFit="1" customWidth="1"/>
    <col min="2449" max="2450" width="20.28515625" bestFit="1" customWidth="1"/>
    <col min="2451" max="2456" width="20.85546875" bestFit="1" customWidth="1"/>
    <col min="2457" max="2457" width="20.28515625" bestFit="1" customWidth="1"/>
    <col min="2458" max="2458" width="20.85546875" bestFit="1" customWidth="1"/>
    <col min="2459" max="2459" width="20.28515625" bestFit="1" customWidth="1"/>
    <col min="2460" max="2461" width="20.85546875" bestFit="1" customWidth="1"/>
    <col min="2462" max="2463" width="20.28515625" bestFit="1" customWidth="1"/>
    <col min="2464" max="2465" width="20.85546875" bestFit="1" customWidth="1"/>
    <col min="2466" max="2466" width="20.28515625" bestFit="1" customWidth="1"/>
    <col min="2467" max="2468" width="20.85546875" bestFit="1" customWidth="1"/>
    <col min="2469" max="2472" width="20.28515625" bestFit="1" customWidth="1"/>
    <col min="2473" max="2473" width="20.85546875" bestFit="1" customWidth="1"/>
    <col min="2474" max="2479" width="20.28515625" bestFit="1" customWidth="1"/>
    <col min="2480" max="2481" width="20.85546875" bestFit="1" customWidth="1"/>
    <col min="2482" max="2484" width="20.28515625" bestFit="1" customWidth="1"/>
    <col min="2485" max="2490" width="20.85546875" bestFit="1" customWidth="1"/>
    <col min="2491" max="2494" width="20.28515625" bestFit="1" customWidth="1"/>
    <col min="2495" max="2495" width="20.85546875" bestFit="1" customWidth="1"/>
    <col min="2496" max="2496" width="20.28515625" bestFit="1" customWidth="1"/>
    <col min="2497" max="2497" width="20.85546875" bestFit="1" customWidth="1"/>
    <col min="2498" max="2501" width="20.28515625" bestFit="1" customWidth="1"/>
    <col min="2502" max="2503" width="20.85546875" bestFit="1" customWidth="1"/>
    <col min="2504" max="2505" width="20.28515625" bestFit="1" customWidth="1"/>
    <col min="2506" max="2506" width="20.85546875" bestFit="1" customWidth="1"/>
    <col min="2507" max="2507" width="20.28515625" bestFit="1" customWidth="1"/>
    <col min="2508" max="2508" width="20.85546875" bestFit="1" customWidth="1"/>
    <col min="2509" max="2509" width="20.28515625" bestFit="1" customWidth="1"/>
    <col min="2510" max="2515" width="20.85546875" bestFit="1" customWidth="1"/>
    <col min="2516" max="2519" width="20.28515625" bestFit="1" customWidth="1"/>
    <col min="2520" max="2524" width="20.85546875" bestFit="1" customWidth="1"/>
    <col min="2525" max="2525" width="20.28515625" bestFit="1" customWidth="1"/>
    <col min="2526" max="2526" width="20.85546875" bestFit="1" customWidth="1"/>
    <col min="2527" max="2527" width="20.28515625" bestFit="1" customWidth="1"/>
    <col min="2528" max="2532" width="20.85546875" bestFit="1" customWidth="1"/>
    <col min="2533" max="2533" width="20.28515625" bestFit="1" customWidth="1"/>
    <col min="2534" max="2534" width="20.85546875" bestFit="1" customWidth="1"/>
    <col min="2535" max="2535" width="20.28515625" bestFit="1" customWidth="1"/>
    <col min="2536" max="2536" width="20.85546875" bestFit="1" customWidth="1"/>
    <col min="2537" max="2538" width="20.28515625" bestFit="1" customWidth="1"/>
    <col min="2539" max="2539" width="20.85546875" bestFit="1" customWidth="1"/>
    <col min="2540" max="2540" width="20.28515625" bestFit="1" customWidth="1"/>
    <col min="2541" max="2541" width="20.85546875" bestFit="1" customWidth="1"/>
    <col min="2542" max="2545" width="20.28515625" bestFit="1" customWidth="1"/>
    <col min="2546" max="2546" width="20.85546875" bestFit="1" customWidth="1"/>
    <col min="2547" max="2548" width="20.28515625" bestFit="1" customWidth="1"/>
    <col min="2549" max="2550" width="20.85546875" bestFit="1" customWidth="1"/>
    <col min="2551" max="2552" width="20.28515625" bestFit="1" customWidth="1"/>
    <col min="2553" max="2554" width="20.85546875" bestFit="1" customWidth="1"/>
    <col min="2555" max="2555" width="20.28515625" bestFit="1" customWidth="1"/>
    <col min="2556" max="2557" width="20.85546875" bestFit="1" customWidth="1"/>
    <col min="2558" max="2558" width="20.28515625" bestFit="1" customWidth="1"/>
    <col min="2559" max="2559" width="20.85546875" bestFit="1" customWidth="1"/>
    <col min="2560" max="2560" width="20.28515625" bestFit="1" customWidth="1"/>
    <col min="2561" max="2565" width="20.85546875" bestFit="1" customWidth="1"/>
    <col min="2566" max="2567" width="20.28515625" bestFit="1" customWidth="1"/>
    <col min="2568" max="2570" width="20.85546875" bestFit="1" customWidth="1"/>
    <col min="2571" max="2571" width="20.28515625" bestFit="1" customWidth="1"/>
    <col min="2572" max="2572" width="20.85546875" bestFit="1" customWidth="1"/>
    <col min="2573" max="2573" width="20.28515625" bestFit="1" customWidth="1"/>
    <col min="2574" max="2577" width="20.85546875" bestFit="1" customWidth="1"/>
    <col min="2578" max="2578" width="20.28515625" bestFit="1" customWidth="1"/>
    <col min="2579" max="2580" width="20.85546875" bestFit="1" customWidth="1"/>
    <col min="2581" max="2582" width="20.28515625" bestFit="1" customWidth="1"/>
    <col min="2583" max="2584" width="20.85546875" bestFit="1" customWidth="1"/>
    <col min="2585" max="2586" width="20.28515625" bestFit="1" customWidth="1"/>
    <col min="2587" max="2587" width="20.85546875" bestFit="1" customWidth="1"/>
    <col min="2588" max="2588" width="20.28515625" bestFit="1" customWidth="1"/>
    <col min="2589" max="2589" width="20.85546875" bestFit="1" customWidth="1"/>
    <col min="2590" max="2590" width="20.28515625" bestFit="1" customWidth="1"/>
    <col min="2591" max="2591" width="20.85546875" bestFit="1" customWidth="1"/>
    <col min="2592" max="2592" width="20.28515625" bestFit="1" customWidth="1"/>
    <col min="2593" max="2593" width="20.85546875" bestFit="1" customWidth="1"/>
    <col min="2594" max="2594" width="20.28515625" bestFit="1" customWidth="1"/>
    <col min="2595" max="2595" width="20.85546875" bestFit="1" customWidth="1"/>
    <col min="2596" max="2596" width="20.28515625" bestFit="1" customWidth="1"/>
    <col min="2597" max="2602" width="20.85546875" bestFit="1" customWidth="1"/>
    <col min="2603" max="2603" width="20.28515625" bestFit="1" customWidth="1"/>
    <col min="2604" max="2604" width="20.85546875" bestFit="1" customWidth="1"/>
    <col min="2605" max="2605" width="20.28515625" bestFit="1" customWidth="1"/>
    <col min="2606" max="2606" width="20.85546875" bestFit="1" customWidth="1"/>
    <col min="2607" max="2609" width="20.28515625" bestFit="1" customWidth="1"/>
    <col min="2610" max="2610" width="20.85546875" bestFit="1" customWidth="1"/>
    <col min="2611" max="2612" width="20.28515625" bestFit="1" customWidth="1"/>
    <col min="2613" max="2618" width="20.85546875" bestFit="1" customWidth="1"/>
    <col min="2619" max="2619" width="20.28515625" bestFit="1" customWidth="1"/>
    <col min="2620" max="2621" width="20.85546875" bestFit="1" customWidth="1"/>
    <col min="2622" max="2623" width="20.28515625" bestFit="1" customWidth="1"/>
    <col min="2624" max="2625" width="20.85546875" bestFit="1" customWidth="1"/>
    <col min="2626" max="2626" width="20.28515625" bestFit="1" customWidth="1"/>
    <col min="2627" max="2627" width="20.85546875" bestFit="1" customWidth="1"/>
    <col min="2628" max="2628" width="20.28515625" bestFit="1" customWidth="1"/>
    <col min="2629" max="2630" width="20.85546875" bestFit="1" customWidth="1"/>
    <col min="2631" max="2633" width="20.28515625" bestFit="1" customWidth="1"/>
    <col min="2634" max="2634" width="20.85546875" bestFit="1" customWidth="1"/>
    <col min="2635" max="2635" width="20.28515625" bestFit="1" customWidth="1"/>
    <col min="2636" max="2636" width="20.85546875" bestFit="1" customWidth="1"/>
    <col min="2637" max="2637" width="20.28515625" bestFit="1" customWidth="1"/>
    <col min="2638" max="2644" width="20.85546875" bestFit="1" customWidth="1"/>
    <col min="2645" max="2646" width="20.28515625" bestFit="1" customWidth="1"/>
    <col min="2647" max="2647" width="20.85546875" bestFit="1" customWidth="1"/>
    <col min="2648" max="2650" width="20.28515625" bestFit="1" customWidth="1"/>
    <col min="2651" max="2654" width="20.85546875" bestFit="1" customWidth="1"/>
    <col min="2655" max="2656" width="20.28515625" bestFit="1" customWidth="1"/>
    <col min="2657" max="2657" width="20.85546875" bestFit="1" customWidth="1"/>
    <col min="2658" max="2658" width="20.28515625" bestFit="1" customWidth="1"/>
    <col min="2659" max="2659" width="20.85546875" bestFit="1" customWidth="1"/>
    <col min="2660" max="2660" width="20.28515625" bestFit="1" customWidth="1"/>
    <col min="2661" max="2661" width="20.85546875" bestFit="1" customWidth="1"/>
    <col min="2662" max="2663" width="20.28515625" bestFit="1" customWidth="1"/>
    <col min="2664" max="2665" width="20.85546875" bestFit="1" customWidth="1"/>
    <col min="2666" max="2666" width="20.28515625" bestFit="1" customWidth="1"/>
    <col min="2667" max="2669" width="20.85546875" bestFit="1" customWidth="1"/>
    <col min="2670" max="2670" width="20.28515625" bestFit="1" customWidth="1"/>
    <col min="2671" max="2671" width="20.85546875" bestFit="1" customWidth="1"/>
    <col min="2672" max="2674" width="20.28515625" bestFit="1" customWidth="1"/>
    <col min="2675" max="2676" width="20.85546875" bestFit="1" customWidth="1"/>
    <col min="2677" max="2677" width="20.28515625" bestFit="1" customWidth="1"/>
    <col min="2678" max="2678" width="20.85546875" bestFit="1" customWidth="1"/>
    <col min="2679" max="2679" width="20.28515625" bestFit="1" customWidth="1"/>
    <col min="2680" max="2680" width="20.85546875" bestFit="1" customWidth="1"/>
    <col min="2681" max="2683" width="20.28515625" bestFit="1" customWidth="1"/>
    <col min="2684" max="2686" width="20.85546875" bestFit="1" customWidth="1"/>
    <col min="2687" max="2687" width="20.28515625" bestFit="1" customWidth="1"/>
    <col min="2688" max="2688" width="20.85546875" bestFit="1" customWidth="1"/>
    <col min="2689" max="2690" width="20.28515625" bestFit="1" customWidth="1"/>
    <col min="2691" max="2692" width="20.85546875" bestFit="1" customWidth="1"/>
    <col min="2693" max="2693" width="20.28515625" bestFit="1" customWidth="1"/>
    <col min="2694" max="2694" width="20.85546875" bestFit="1" customWidth="1"/>
    <col min="2695" max="2695" width="20.28515625" bestFit="1" customWidth="1"/>
    <col min="2696" max="2696" width="20.85546875" bestFit="1" customWidth="1"/>
    <col min="2697" max="2697" width="20.28515625" bestFit="1" customWidth="1"/>
    <col min="2698" max="2700" width="20.85546875" bestFit="1" customWidth="1"/>
    <col min="2701" max="2702" width="20.28515625" bestFit="1" customWidth="1"/>
    <col min="2703" max="2704" width="20.85546875" bestFit="1" customWidth="1"/>
    <col min="2705" max="2705" width="20.28515625" bestFit="1" customWidth="1"/>
    <col min="2706" max="2706" width="20.85546875" bestFit="1" customWidth="1"/>
    <col min="2707" max="2708" width="20.28515625" bestFit="1" customWidth="1"/>
    <col min="2709" max="2709" width="20.85546875" bestFit="1" customWidth="1"/>
    <col min="2710" max="2710" width="20.28515625" bestFit="1" customWidth="1"/>
    <col min="2711" max="2711" width="20.85546875" bestFit="1" customWidth="1"/>
    <col min="2712" max="2714" width="20.28515625" bestFit="1" customWidth="1"/>
    <col min="2715" max="2716" width="20.85546875" bestFit="1" customWidth="1"/>
    <col min="2717" max="2717" width="20.28515625" bestFit="1" customWidth="1"/>
    <col min="2718" max="2719" width="20.85546875" bestFit="1" customWidth="1"/>
    <col min="2720" max="2720" width="20.28515625" bestFit="1" customWidth="1"/>
    <col min="2721" max="2721" width="20.85546875" bestFit="1" customWidth="1"/>
    <col min="2722" max="2724" width="20.28515625" bestFit="1" customWidth="1"/>
    <col min="2725" max="2725" width="20.85546875" bestFit="1" customWidth="1"/>
    <col min="2726" max="2726" width="20.28515625" bestFit="1" customWidth="1"/>
    <col min="2727" max="2727" width="20.85546875" bestFit="1" customWidth="1"/>
    <col min="2728" max="2728" width="20.28515625" bestFit="1" customWidth="1"/>
    <col min="2729" max="2729" width="20.85546875" bestFit="1" customWidth="1"/>
    <col min="2730" max="2730" width="20.28515625" bestFit="1" customWidth="1"/>
    <col min="2731" max="2731" width="20.85546875" bestFit="1" customWidth="1"/>
    <col min="2732" max="2732" width="20.28515625" bestFit="1" customWidth="1"/>
    <col min="2733" max="2733" width="20.85546875" bestFit="1" customWidth="1"/>
    <col min="2734" max="2734" width="20.28515625" bestFit="1" customWidth="1"/>
    <col min="2735" max="2736" width="20.85546875" bestFit="1" customWidth="1"/>
    <col min="2737" max="2738" width="20.28515625" bestFit="1" customWidth="1"/>
    <col min="2739" max="2741" width="20.85546875" bestFit="1" customWidth="1"/>
    <col min="2742" max="2743" width="20.28515625" bestFit="1" customWidth="1"/>
    <col min="2744" max="2744" width="20.85546875" bestFit="1" customWidth="1"/>
    <col min="2745" max="2746" width="20.28515625" bestFit="1" customWidth="1"/>
    <col min="2747" max="2750" width="20.85546875" bestFit="1" customWidth="1"/>
    <col min="2751" max="2751" width="20.28515625" bestFit="1" customWidth="1"/>
    <col min="2752" max="2754" width="20.85546875" bestFit="1" customWidth="1"/>
    <col min="2755" max="2756" width="20.28515625" bestFit="1" customWidth="1"/>
    <col min="2757" max="2757" width="20.85546875" bestFit="1" customWidth="1"/>
    <col min="2758" max="2758" width="20.28515625" bestFit="1" customWidth="1"/>
    <col min="2759" max="2760" width="20.85546875" bestFit="1" customWidth="1"/>
    <col min="2761" max="2761" width="20.28515625" bestFit="1" customWidth="1"/>
    <col min="2762" max="2766" width="20.85546875" bestFit="1" customWidth="1"/>
    <col min="2767" max="2767" width="20.28515625" bestFit="1" customWidth="1"/>
    <col min="2768" max="2768" width="20.85546875" bestFit="1" customWidth="1"/>
    <col min="2769" max="2769" width="20.28515625" bestFit="1" customWidth="1"/>
    <col min="2770" max="2774" width="20.85546875" bestFit="1" customWidth="1"/>
    <col min="2775" max="2775" width="20.28515625" bestFit="1" customWidth="1"/>
    <col min="2776" max="2776" width="20.85546875" bestFit="1" customWidth="1"/>
    <col min="2777" max="2779" width="20.28515625" bestFit="1" customWidth="1"/>
    <col min="2780" max="2780" width="20.85546875" bestFit="1" customWidth="1"/>
    <col min="2781" max="2782" width="20.28515625" bestFit="1" customWidth="1"/>
    <col min="2783" max="2783" width="20.85546875" bestFit="1" customWidth="1"/>
    <col min="2784" max="2784" width="20.28515625" bestFit="1" customWidth="1"/>
    <col min="2785" max="2785" width="20.85546875" bestFit="1" customWidth="1"/>
    <col min="2786" max="2786" width="20.28515625" bestFit="1" customWidth="1"/>
    <col min="2787" max="2787" width="20.85546875" bestFit="1" customWidth="1"/>
    <col min="2788" max="2788" width="20.28515625" bestFit="1" customWidth="1"/>
    <col min="2789" max="2789" width="20.85546875" bestFit="1" customWidth="1"/>
    <col min="2790" max="2791" width="20.28515625" bestFit="1" customWidth="1"/>
    <col min="2792" max="2792" width="20.85546875" bestFit="1" customWidth="1"/>
    <col min="2793" max="2794" width="20.28515625" bestFit="1" customWidth="1"/>
    <col min="2795" max="2796" width="20.85546875" bestFit="1" customWidth="1"/>
    <col min="2797" max="2799" width="20.28515625" bestFit="1" customWidth="1"/>
    <col min="2800" max="2800" width="20.85546875" bestFit="1" customWidth="1"/>
    <col min="2801" max="2803" width="20.28515625" bestFit="1" customWidth="1"/>
    <col min="2804" max="2804" width="20.85546875" bestFit="1" customWidth="1"/>
    <col min="2805" max="2805" width="20.28515625" bestFit="1" customWidth="1"/>
    <col min="2806" max="2807" width="20.85546875" bestFit="1" customWidth="1"/>
    <col min="2808" max="2809" width="20.28515625" bestFit="1" customWidth="1"/>
    <col min="2810" max="2811" width="20.85546875" bestFit="1" customWidth="1"/>
    <col min="2812" max="2812" width="20.28515625" bestFit="1" customWidth="1"/>
    <col min="2813" max="2813" width="20.85546875" bestFit="1" customWidth="1"/>
    <col min="2814" max="2814" width="20.28515625" bestFit="1" customWidth="1"/>
    <col min="2815" max="2815" width="20.85546875" bestFit="1" customWidth="1"/>
    <col min="2816" max="2818" width="20.28515625" bestFit="1" customWidth="1"/>
    <col min="2819" max="2824" width="20.85546875" bestFit="1" customWidth="1"/>
    <col min="2825" max="2827" width="20.28515625" bestFit="1" customWidth="1"/>
    <col min="2828" max="2828" width="20.85546875" bestFit="1" customWidth="1"/>
    <col min="2829" max="2830" width="20.28515625" bestFit="1" customWidth="1"/>
    <col min="2831" max="2833" width="20.85546875" bestFit="1" customWidth="1"/>
    <col min="2834" max="2834" width="20.28515625" bestFit="1" customWidth="1"/>
    <col min="2835" max="2835" width="20.85546875" bestFit="1" customWidth="1"/>
    <col min="2836" max="2838" width="20.28515625" bestFit="1" customWidth="1"/>
    <col min="2839" max="2839" width="20.85546875" bestFit="1" customWidth="1"/>
    <col min="2840" max="2845" width="20.28515625" bestFit="1" customWidth="1"/>
    <col min="2846" max="2846" width="20.85546875" bestFit="1" customWidth="1"/>
    <col min="2847" max="2848" width="20.28515625" bestFit="1" customWidth="1"/>
    <col min="2849" max="2851" width="20.85546875" bestFit="1" customWidth="1"/>
    <col min="2852" max="2852" width="20.28515625" bestFit="1" customWidth="1"/>
    <col min="2853" max="2853" width="20.85546875" bestFit="1" customWidth="1"/>
    <col min="2854" max="2854" width="20.28515625" bestFit="1" customWidth="1"/>
    <col min="2855" max="2856" width="20.85546875" bestFit="1" customWidth="1"/>
    <col min="2857" max="2858" width="20.28515625" bestFit="1" customWidth="1"/>
    <col min="2859" max="2859" width="21.42578125" bestFit="1" customWidth="1"/>
    <col min="2860" max="2861" width="20.85546875" bestFit="1" customWidth="1"/>
    <col min="2862" max="2863" width="20.28515625" bestFit="1" customWidth="1"/>
    <col min="2864" max="2864" width="20.85546875" bestFit="1" customWidth="1"/>
    <col min="2865" max="2865" width="20.28515625" bestFit="1" customWidth="1"/>
    <col min="2866" max="2866" width="20.85546875" bestFit="1" customWidth="1"/>
    <col min="2867" max="2867" width="20.28515625" bestFit="1" customWidth="1"/>
    <col min="2868" max="2868" width="20.85546875" bestFit="1" customWidth="1"/>
    <col min="2869" max="2869" width="20.28515625" bestFit="1" customWidth="1"/>
    <col min="2870" max="2872" width="20.85546875" bestFit="1" customWidth="1"/>
    <col min="2873" max="2874" width="20.28515625" bestFit="1" customWidth="1"/>
    <col min="2875" max="2875" width="20.85546875" bestFit="1" customWidth="1"/>
    <col min="2876" max="2877" width="20.28515625" bestFit="1" customWidth="1"/>
    <col min="2878" max="2878" width="20.85546875" bestFit="1" customWidth="1"/>
    <col min="2879" max="2879" width="20.28515625" bestFit="1" customWidth="1"/>
    <col min="2880" max="2881" width="20.85546875" bestFit="1" customWidth="1"/>
    <col min="2882" max="2883" width="20.28515625" bestFit="1" customWidth="1"/>
    <col min="2884" max="2886" width="20.85546875" bestFit="1" customWidth="1"/>
    <col min="2887" max="2887" width="20.28515625" bestFit="1" customWidth="1"/>
    <col min="2888" max="2888" width="20.85546875" bestFit="1" customWidth="1"/>
    <col min="2889" max="2889" width="20.28515625" bestFit="1" customWidth="1"/>
    <col min="2890" max="2890" width="20.85546875" bestFit="1" customWidth="1"/>
    <col min="2891" max="2891" width="20.28515625" bestFit="1" customWidth="1"/>
    <col min="2892" max="2893" width="20.85546875" bestFit="1" customWidth="1"/>
    <col min="2894" max="2896" width="20.28515625" bestFit="1" customWidth="1"/>
    <col min="2897" max="2900" width="20.85546875" bestFit="1" customWidth="1"/>
    <col min="2901" max="2902" width="20.28515625" bestFit="1" customWidth="1"/>
    <col min="2903" max="2904" width="20.85546875" bestFit="1" customWidth="1"/>
    <col min="2905" max="2906" width="20.28515625" bestFit="1" customWidth="1"/>
    <col min="2907" max="2908" width="20.85546875" bestFit="1" customWidth="1"/>
    <col min="2909" max="2910" width="20.28515625" bestFit="1" customWidth="1"/>
    <col min="2911" max="2911" width="20.85546875" bestFit="1" customWidth="1"/>
    <col min="2912" max="2912" width="20.28515625" bestFit="1" customWidth="1"/>
    <col min="2913" max="2914" width="20.85546875" bestFit="1" customWidth="1"/>
    <col min="2915" max="2916" width="20.28515625" bestFit="1" customWidth="1"/>
    <col min="2917" max="2917" width="20.85546875" bestFit="1" customWidth="1"/>
    <col min="2918" max="2919" width="20.28515625" bestFit="1" customWidth="1"/>
    <col min="2920" max="2920" width="20.85546875" bestFit="1" customWidth="1"/>
    <col min="2921" max="2921" width="20.28515625" bestFit="1" customWidth="1"/>
    <col min="2922" max="2923" width="20.85546875" bestFit="1" customWidth="1"/>
    <col min="2924" max="2924" width="20.28515625" bestFit="1" customWidth="1"/>
    <col min="2925" max="2926" width="20.85546875" bestFit="1" customWidth="1"/>
    <col min="2927" max="2928" width="20.28515625" bestFit="1" customWidth="1"/>
    <col min="2929" max="2929" width="20.85546875" bestFit="1" customWidth="1"/>
    <col min="2930" max="2930" width="20.28515625" bestFit="1" customWidth="1"/>
    <col min="2931" max="2932" width="20.85546875" bestFit="1" customWidth="1"/>
    <col min="2933" max="2934" width="20.28515625" bestFit="1" customWidth="1"/>
    <col min="2935" max="2935" width="20.85546875" bestFit="1" customWidth="1"/>
    <col min="2936" max="2937" width="20.28515625" bestFit="1" customWidth="1"/>
    <col min="2938" max="2939" width="20.85546875" bestFit="1" customWidth="1"/>
    <col min="2940" max="2940" width="20.28515625" bestFit="1" customWidth="1"/>
    <col min="2941" max="2941" width="20.85546875" bestFit="1" customWidth="1"/>
    <col min="2942" max="2943" width="20.28515625" bestFit="1" customWidth="1"/>
    <col min="2944" max="2944" width="20.85546875" bestFit="1" customWidth="1"/>
    <col min="2945" max="2947" width="20.28515625" bestFit="1" customWidth="1"/>
    <col min="2948" max="2952" width="20.85546875" bestFit="1" customWidth="1"/>
    <col min="2953" max="2954" width="20.28515625" bestFit="1" customWidth="1"/>
    <col min="2955" max="2955" width="20.85546875" bestFit="1" customWidth="1"/>
    <col min="2956" max="2956" width="20.28515625" bestFit="1" customWidth="1"/>
    <col min="2957" max="2957" width="20.85546875" bestFit="1" customWidth="1"/>
    <col min="2958" max="2958" width="20.28515625" bestFit="1" customWidth="1"/>
    <col min="2959" max="2960" width="20.85546875" bestFit="1" customWidth="1"/>
    <col min="2961" max="2963" width="20.28515625" bestFit="1" customWidth="1"/>
    <col min="2964" max="2964" width="20.85546875" bestFit="1" customWidth="1"/>
    <col min="2965" max="2965" width="20.28515625" bestFit="1" customWidth="1"/>
    <col min="2966" max="2968" width="20.85546875" bestFit="1" customWidth="1"/>
    <col min="2969" max="2972" width="20.28515625" bestFit="1" customWidth="1"/>
    <col min="2973" max="2973" width="20.85546875" bestFit="1" customWidth="1"/>
    <col min="2974" max="2974" width="20.28515625" bestFit="1" customWidth="1"/>
    <col min="2975" max="2976" width="20.85546875" bestFit="1" customWidth="1"/>
    <col min="2977" max="2978" width="20.28515625" bestFit="1" customWidth="1"/>
    <col min="2979" max="2979" width="20.85546875" bestFit="1" customWidth="1"/>
    <col min="2980" max="2981" width="20.28515625" bestFit="1" customWidth="1"/>
    <col min="2982" max="2982" width="20.85546875" bestFit="1" customWidth="1"/>
    <col min="2983" max="2984" width="20.28515625" bestFit="1" customWidth="1"/>
    <col min="2985" max="2988" width="20.85546875" bestFit="1" customWidth="1"/>
    <col min="2989" max="2991" width="20.28515625" bestFit="1" customWidth="1"/>
    <col min="2992" max="2992" width="20.85546875" bestFit="1" customWidth="1"/>
    <col min="2993" max="2994" width="20.28515625" bestFit="1" customWidth="1"/>
    <col min="2995" max="2996" width="20.85546875" bestFit="1" customWidth="1"/>
    <col min="2997" max="2997" width="20.28515625" bestFit="1" customWidth="1"/>
    <col min="2998" max="2998" width="20.85546875" bestFit="1" customWidth="1"/>
    <col min="2999" max="2999" width="20.28515625" bestFit="1" customWidth="1"/>
    <col min="3000" max="3000" width="20.85546875" bestFit="1" customWidth="1"/>
    <col min="3001" max="3002" width="20.28515625" bestFit="1" customWidth="1"/>
    <col min="3003" max="3005" width="20.85546875" bestFit="1" customWidth="1"/>
    <col min="3006" max="3006" width="20.28515625" bestFit="1" customWidth="1"/>
    <col min="3007" max="3009" width="20.85546875" bestFit="1" customWidth="1"/>
    <col min="3010" max="3010" width="20.28515625" bestFit="1" customWidth="1"/>
    <col min="3011" max="3014" width="20.85546875" bestFit="1" customWidth="1"/>
    <col min="3015" max="3015" width="20.28515625" bestFit="1" customWidth="1"/>
    <col min="3016" max="3018" width="20.85546875" bestFit="1" customWidth="1"/>
    <col min="3019" max="3023" width="20.28515625" bestFit="1" customWidth="1"/>
    <col min="3024" max="3025" width="20.85546875" bestFit="1" customWidth="1"/>
    <col min="3026" max="3026" width="20.28515625" bestFit="1" customWidth="1"/>
    <col min="3027" max="3031" width="20.85546875" bestFit="1" customWidth="1"/>
    <col min="3032" max="3034" width="20.28515625" bestFit="1" customWidth="1"/>
    <col min="3035" max="3035" width="20.85546875" bestFit="1" customWidth="1"/>
    <col min="3036" max="3041" width="20.28515625" bestFit="1" customWidth="1"/>
    <col min="3042" max="3042" width="20.85546875" bestFit="1" customWidth="1"/>
    <col min="3043" max="3044" width="20.28515625" bestFit="1" customWidth="1"/>
    <col min="3045" max="3045" width="20.85546875" bestFit="1" customWidth="1"/>
    <col min="3046" max="3048" width="20.28515625" bestFit="1" customWidth="1"/>
    <col min="3049" max="3052" width="20.85546875" bestFit="1" customWidth="1"/>
    <col min="3053" max="3057" width="20.28515625" bestFit="1" customWidth="1"/>
    <col min="3058" max="3058" width="20.85546875" bestFit="1" customWidth="1"/>
    <col min="3059" max="3061" width="20.28515625" bestFit="1" customWidth="1"/>
    <col min="3062" max="3063" width="20.85546875" bestFit="1" customWidth="1"/>
    <col min="3064" max="3064" width="20.28515625" bestFit="1" customWidth="1"/>
    <col min="3065" max="3065" width="20.85546875" bestFit="1" customWidth="1"/>
    <col min="3066" max="3066" width="20.28515625" bestFit="1" customWidth="1"/>
    <col min="3067" max="3068" width="20.85546875" bestFit="1" customWidth="1"/>
    <col min="3069" max="3070" width="20.28515625" bestFit="1" customWidth="1"/>
    <col min="3071" max="3072" width="20.85546875" bestFit="1" customWidth="1"/>
    <col min="3073" max="3073" width="20.28515625" bestFit="1" customWidth="1"/>
    <col min="3074" max="3074" width="20.85546875" bestFit="1" customWidth="1"/>
    <col min="3075" max="3075" width="20.28515625" bestFit="1" customWidth="1"/>
    <col min="3076" max="3076" width="20.85546875" bestFit="1" customWidth="1"/>
    <col min="3077" max="3077" width="20.28515625" bestFit="1" customWidth="1"/>
    <col min="3078" max="3078" width="20.85546875" bestFit="1" customWidth="1"/>
    <col min="3079" max="3080" width="20.28515625" bestFit="1" customWidth="1"/>
    <col min="3081" max="3081" width="20.85546875" bestFit="1" customWidth="1"/>
    <col min="3082" max="3084" width="20.28515625" bestFit="1" customWidth="1"/>
    <col min="3085" max="3085" width="20.85546875" bestFit="1" customWidth="1"/>
    <col min="3086" max="3088" width="20.28515625" bestFit="1" customWidth="1"/>
    <col min="3089" max="3089" width="20.85546875" bestFit="1" customWidth="1"/>
    <col min="3090" max="3090" width="20.28515625" bestFit="1" customWidth="1"/>
    <col min="3091" max="3091" width="20.85546875" bestFit="1" customWidth="1"/>
    <col min="3092" max="3094" width="20.28515625" bestFit="1" customWidth="1"/>
    <col min="3095" max="3097" width="20.85546875" bestFit="1" customWidth="1"/>
    <col min="3098" max="3102" width="20.28515625" bestFit="1" customWidth="1"/>
    <col min="3103" max="3103" width="20.85546875" bestFit="1" customWidth="1"/>
    <col min="3104" max="3106" width="20.28515625" bestFit="1" customWidth="1"/>
    <col min="3107" max="3107" width="20.85546875" bestFit="1" customWidth="1"/>
    <col min="3108" max="3108" width="20.28515625" bestFit="1" customWidth="1"/>
    <col min="3109" max="3109" width="20.85546875" bestFit="1" customWidth="1"/>
    <col min="3110" max="3110" width="20.28515625" bestFit="1" customWidth="1"/>
    <col min="3111" max="3111" width="20.85546875" bestFit="1" customWidth="1"/>
    <col min="3112" max="3112" width="20.28515625" bestFit="1" customWidth="1"/>
    <col min="3113" max="3113" width="20.85546875" bestFit="1" customWidth="1"/>
    <col min="3114" max="3114" width="20.28515625" bestFit="1" customWidth="1"/>
    <col min="3115" max="3115" width="20.85546875" bestFit="1" customWidth="1"/>
    <col min="3116" max="3116" width="20.28515625" bestFit="1" customWidth="1"/>
    <col min="3117" max="3117" width="20.85546875" bestFit="1" customWidth="1"/>
    <col min="3118" max="3119" width="20.28515625" bestFit="1" customWidth="1"/>
    <col min="3120" max="3120" width="20.85546875" bestFit="1" customWidth="1"/>
    <col min="3121" max="3122" width="20.28515625" bestFit="1" customWidth="1"/>
    <col min="3123" max="3123" width="20.85546875" bestFit="1" customWidth="1"/>
    <col min="3124" max="3124" width="20.28515625" bestFit="1" customWidth="1"/>
    <col min="3125" max="3127" width="20.85546875" bestFit="1" customWidth="1"/>
    <col min="3128" max="3128" width="20.28515625" bestFit="1" customWidth="1"/>
    <col min="3129" max="3129" width="20.85546875" bestFit="1" customWidth="1"/>
    <col min="3130" max="3130" width="21.42578125" bestFit="1" customWidth="1"/>
    <col min="3131" max="3131" width="20.85546875" bestFit="1" customWidth="1"/>
    <col min="3132" max="3134" width="20.28515625" bestFit="1" customWidth="1"/>
    <col min="3135" max="3135" width="21.42578125" bestFit="1" customWidth="1"/>
    <col min="3136" max="3138" width="20.28515625" bestFit="1" customWidth="1"/>
    <col min="3139" max="3139" width="21.42578125" bestFit="1" customWidth="1"/>
    <col min="3140" max="3142" width="20.28515625" bestFit="1" customWidth="1"/>
    <col min="3143" max="3144" width="20.85546875" bestFit="1" customWidth="1"/>
    <col min="3145" max="3146" width="20.28515625" bestFit="1" customWidth="1"/>
    <col min="3147" max="3148" width="20.85546875" bestFit="1" customWidth="1"/>
    <col min="3149" max="3149" width="20.28515625" bestFit="1" customWidth="1"/>
    <col min="3150" max="3150" width="20.85546875" bestFit="1" customWidth="1"/>
    <col min="3151" max="3153" width="20.28515625" bestFit="1" customWidth="1"/>
    <col min="3154" max="3156" width="20.85546875" bestFit="1" customWidth="1"/>
    <col min="3157" max="3157" width="20.28515625" bestFit="1" customWidth="1"/>
    <col min="3158" max="3160" width="20.85546875" bestFit="1" customWidth="1"/>
    <col min="3161" max="3162" width="20.28515625" bestFit="1" customWidth="1"/>
    <col min="3163" max="3163" width="20.85546875" bestFit="1" customWidth="1"/>
    <col min="3164" max="3168" width="20.28515625" bestFit="1" customWidth="1"/>
    <col min="3169" max="3169" width="20.85546875" bestFit="1" customWidth="1"/>
    <col min="3170" max="3174" width="20.28515625" bestFit="1" customWidth="1"/>
    <col min="3175" max="3176" width="20.85546875" bestFit="1" customWidth="1"/>
    <col min="3177" max="3179" width="20.28515625" bestFit="1" customWidth="1"/>
    <col min="3180" max="3182" width="20.85546875" bestFit="1" customWidth="1"/>
    <col min="3183" max="3186" width="20.28515625" bestFit="1" customWidth="1"/>
    <col min="3187" max="3188" width="20.85546875" bestFit="1" customWidth="1"/>
    <col min="3189" max="3189" width="20.28515625" bestFit="1" customWidth="1"/>
    <col min="3190" max="3191" width="20.85546875" bestFit="1" customWidth="1"/>
    <col min="3192" max="3195" width="20.28515625" bestFit="1" customWidth="1"/>
    <col min="3196" max="3198" width="20.85546875" bestFit="1" customWidth="1"/>
    <col min="3199" max="3203" width="20.28515625" bestFit="1" customWidth="1"/>
    <col min="3204" max="3206" width="20.85546875" bestFit="1" customWidth="1"/>
    <col min="3207" max="3207" width="20.28515625" bestFit="1" customWidth="1"/>
    <col min="3208" max="3208" width="20.85546875" bestFit="1" customWidth="1"/>
    <col min="3209" max="3209" width="20.28515625" bestFit="1" customWidth="1"/>
    <col min="3210" max="3211" width="20.85546875" bestFit="1" customWidth="1"/>
    <col min="3212" max="3212" width="20.28515625" bestFit="1" customWidth="1"/>
    <col min="3213" max="3213" width="20.85546875" bestFit="1" customWidth="1"/>
    <col min="3214" max="3217" width="20.28515625" bestFit="1" customWidth="1"/>
    <col min="3218" max="3219" width="20.85546875" bestFit="1" customWidth="1"/>
    <col min="3220" max="3221" width="20.28515625" bestFit="1" customWidth="1"/>
    <col min="3222" max="3224" width="20.85546875" bestFit="1" customWidth="1"/>
    <col min="3225" max="3228" width="20.28515625" bestFit="1" customWidth="1"/>
    <col min="3229" max="3233" width="20.85546875" bestFit="1" customWidth="1"/>
    <col min="3234" max="3234" width="20.28515625" bestFit="1" customWidth="1"/>
    <col min="3235" max="3237" width="20.85546875" bestFit="1" customWidth="1"/>
    <col min="3238" max="3239" width="20.28515625" bestFit="1" customWidth="1"/>
    <col min="3240" max="3240" width="20.85546875" bestFit="1" customWidth="1"/>
    <col min="3241" max="3241" width="20.28515625" bestFit="1" customWidth="1"/>
    <col min="3242" max="3242" width="20.85546875" bestFit="1" customWidth="1"/>
    <col min="3243" max="3245" width="20.28515625" bestFit="1" customWidth="1"/>
    <col min="3246" max="3248" width="20.85546875" bestFit="1" customWidth="1"/>
    <col min="3249" max="3251" width="20.28515625" bestFit="1" customWidth="1"/>
    <col min="3252" max="3252" width="20.85546875" bestFit="1" customWidth="1"/>
    <col min="3253" max="3254" width="20.28515625" bestFit="1" customWidth="1"/>
    <col min="3255" max="3256" width="20.85546875" bestFit="1" customWidth="1"/>
    <col min="3257" max="3259" width="20.28515625" bestFit="1" customWidth="1"/>
    <col min="3260" max="3261" width="20.85546875" bestFit="1" customWidth="1"/>
    <col min="3262" max="3262" width="20.28515625" bestFit="1" customWidth="1"/>
    <col min="3263" max="3264" width="20.85546875" bestFit="1" customWidth="1"/>
    <col min="3265" max="3265" width="20.28515625" bestFit="1" customWidth="1"/>
    <col min="3266" max="3268" width="20.85546875" bestFit="1" customWidth="1"/>
    <col min="3269" max="3272" width="20.28515625" bestFit="1" customWidth="1"/>
    <col min="3273" max="3275" width="20.85546875" bestFit="1" customWidth="1"/>
    <col min="3276" max="3276" width="20.28515625" bestFit="1" customWidth="1"/>
    <col min="3277" max="3277" width="20.85546875" bestFit="1" customWidth="1"/>
    <col min="3278" max="3278" width="20.28515625" bestFit="1" customWidth="1"/>
    <col min="3279" max="3280" width="20.85546875" bestFit="1" customWidth="1"/>
    <col min="3281" max="3282" width="20.28515625" bestFit="1" customWidth="1"/>
    <col min="3283" max="3283" width="20.85546875" bestFit="1" customWidth="1"/>
    <col min="3284" max="3284" width="20.28515625" bestFit="1" customWidth="1"/>
    <col min="3285" max="3285" width="20.85546875" bestFit="1" customWidth="1"/>
    <col min="3286" max="3286" width="20.28515625" bestFit="1" customWidth="1"/>
    <col min="3287" max="3287" width="20.85546875" bestFit="1" customWidth="1"/>
    <col min="3288" max="3288" width="20.28515625" bestFit="1" customWidth="1"/>
    <col min="3289" max="3292" width="20.85546875" bestFit="1" customWidth="1"/>
    <col min="3293" max="3294" width="20.28515625" bestFit="1" customWidth="1"/>
    <col min="3295" max="3295" width="20.85546875" bestFit="1" customWidth="1"/>
    <col min="3296" max="3298" width="20.28515625" bestFit="1" customWidth="1"/>
    <col min="3299" max="3302" width="20.85546875" bestFit="1" customWidth="1"/>
    <col min="3303" max="3304" width="20.28515625" bestFit="1" customWidth="1"/>
    <col min="3305" max="3306" width="20.85546875" bestFit="1" customWidth="1"/>
    <col min="3307" max="3310" width="20.28515625" bestFit="1" customWidth="1"/>
    <col min="3311" max="3312" width="20.85546875" bestFit="1" customWidth="1"/>
    <col min="3313" max="3313" width="20.28515625" bestFit="1" customWidth="1"/>
    <col min="3314" max="3315" width="20.85546875" bestFit="1" customWidth="1"/>
    <col min="3316" max="3317" width="20.28515625" bestFit="1" customWidth="1"/>
    <col min="3318" max="3319" width="20.85546875" bestFit="1" customWidth="1"/>
    <col min="3320" max="3322" width="20.28515625" bestFit="1" customWidth="1"/>
    <col min="3323" max="3323" width="20.85546875" bestFit="1" customWidth="1"/>
    <col min="3324" max="3324" width="20.28515625" bestFit="1" customWidth="1"/>
    <col min="3325" max="3325" width="20.85546875" bestFit="1" customWidth="1"/>
    <col min="3326" max="3327" width="20.28515625" bestFit="1" customWidth="1"/>
    <col min="3328" max="3330" width="20.85546875" bestFit="1" customWidth="1"/>
    <col min="3331" max="3332" width="20.28515625" bestFit="1" customWidth="1"/>
    <col min="3333" max="3334" width="20.85546875" bestFit="1" customWidth="1"/>
    <col min="3335" max="3341" width="20.28515625" bestFit="1" customWidth="1"/>
    <col min="3342" max="3343" width="20.85546875" bestFit="1" customWidth="1"/>
    <col min="3344" max="3344" width="20.28515625" bestFit="1" customWidth="1"/>
    <col min="3345" max="3345" width="20.85546875" bestFit="1" customWidth="1"/>
    <col min="3346" max="3346" width="20.28515625" bestFit="1" customWidth="1"/>
    <col min="3347" max="3347" width="20.85546875" bestFit="1" customWidth="1"/>
    <col min="3348" max="3349" width="20.28515625" bestFit="1" customWidth="1"/>
    <col min="3350" max="3350" width="20.85546875" bestFit="1" customWidth="1"/>
    <col min="3351" max="3353" width="20.28515625" bestFit="1" customWidth="1"/>
    <col min="3354" max="3356" width="20.85546875" bestFit="1" customWidth="1"/>
    <col min="3357" max="3358" width="20.28515625" bestFit="1" customWidth="1"/>
    <col min="3359" max="3360" width="20.85546875" bestFit="1" customWidth="1"/>
    <col min="3361" max="3364" width="20.28515625" bestFit="1" customWidth="1"/>
    <col min="3365" max="3365" width="20.85546875" bestFit="1" customWidth="1"/>
    <col min="3366" max="3367" width="20.28515625" bestFit="1" customWidth="1"/>
    <col min="3368" max="3368" width="20.85546875" bestFit="1" customWidth="1"/>
    <col min="3369" max="3371" width="20.28515625" bestFit="1" customWidth="1"/>
    <col min="3372" max="3373" width="20.85546875" bestFit="1" customWidth="1"/>
    <col min="3374" max="3374" width="20.28515625" bestFit="1" customWidth="1"/>
    <col min="3375" max="3375" width="20.85546875" bestFit="1" customWidth="1"/>
    <col min="3376" max="3376" width="20.28515625" bestFit="1" customWidth="1"/>
    <col min="3377" max="3377" width="20.85546875" bestFit="1" customWidth="1"/>
    <col min="3378" max="3379" width="20.28515625" bestFit="1" customWidth="1"/>
    <col min="3380" max="3381" width="20.85546875" bestFit="1" customWidth="1"/>
    <col min="3382" max="3382" width="7.28515625" bestFit="1" customWidth="1"/>
    <col min="3383" max="3383" width="11.28515625" bestFit="1" customWidth="1"/>
  </cols>
  <sheetData>
    <row r="3" spans="1:3" x14ac:dyDescent="0.25">
      <c r="A3" s="4" t="s">
        <v>10570</v>
      </c>
      <c r="B3" t="s">
        <v>10572</v>
      </c>
      <c r="C3" t="s">
        <v>10573</v>
      </c>
    </row>
    <row r="4" spans="1:3" x14ac:dyDescent="0.25">
      <c r="A4" s="5" t="s">
        <v>605</v>
      </c>
      <c r="B4">
        <v>16</v>
      </c>
      <c r="C4">
        <v>92.820000000000007</v>
      </c>
    </row>
    <row r="5" spans="1:3" x14ac:dyDescent="0.25">
      <c r="A5" s="5" t="s">
        <v>6502</v>
      </c>
      <c r="B5">
        <v>1</v>
      </c>
    </row>
    <row r="6" spans="1:3" x14ac:dyDescent="0.25">
      <c r="A6" s="5" t="s">
        <v>26</v>
      </c>
      <c r="B6">
        <v>1093</v>
      </c>
      <c r="C6">
        <v>8740.9899999999834</v>
      </c>
    </row>
    <row r="7" spans="1:3" x14ac:dyDescent="0.25">
      <c r="A7" s="5" t="s">
        <v>464</v>
      </c>
      <c r="B7">
        <v>996</v>
      </c>
    </row>
    <row r="8" spans="1:3" x14ac:dyDescent="0.25">
      <c r="A8" s="5" t="s">
        <v>7750</v>
      </c>
      <c r="B8">
        <v>12</v>
      </c>
      <c r="C8">
        <v>31.8</v>
      </c>
    </row>
    <row r="9" spans="1:3" x14ac:dyDescent="0.25">
      <c r="A9" s="5" t="s">
        <v>7562</v>
      </c>
      <c r="B9">
        <v>41</v>
      </c>
      <c r="C9">
        <v>86.589999999999989</v>
      </c>
    </row>
    <row r="10" spans="1:3" x14ac:dyDescent="0.25">
      <c r="A10" s="5" t="s">
        <v>6420</v>
      </c>
      <c r="B10">
        <v>5</v>
      </c>
      <c r="C10">
        <v>2.4499999999999997</v>
      </c>
    </row>
    <row r="11" spans="1:3" x14ac:dyDescent="0.25">
      <c r="A11" s="5" t="s">
        <v>194</v>
      </c>
      <c r="B11">
        <v>757</v>
      </c>
    </row>
    <row r="12" spans="1:3" x14ac:dyDescent="0.25">
      <c r="A12" s="5" t="s">
        <v>49</v>
      </c>
      <c r="B12">
        <v>419</v>
      </c>
    </row>
    <row r="13" spans="1:3" x14ac:dyDescent="0.25">
      <c r="A13" s="5" t="s">
        <v>9935</v>
      </c>
      <c r="B13">
        <v>1</v>
      </c>
      <c r="C13">
        <v>1.35</v>
      </c>
    </row>
    <row r="14" spans="1:3" x14ac:dyDescent="0.25">
      <c r="A14" s="5" t="s">
        <v>1856</v>
      </c>
      <c r="B14">
        <v>135</v>
      </c>
      <c r="C14">
        <v>249.1099999999999</v>
      </c>
    </row>
    <row r="15" spans="1:3" x14ac:dyDescent="0.25">
      <c r="A15" s="5" t="s">
        <v>188</v>
      </c>
      <c r="B15">
        <v>660</v>
      </c>
    </row>
    <row r="16" spans="1:3" x14ac:dyDescent="0.25">
      <c r="A16" s="5" t="s">
        <v>10584</v>
      </c>
    </row>
    <row r="17" spans="1:11" x14ac:dyDescent="0.25">
      <c r="A17" s="5" t="s">
        <v>10571</v>
      </c>
      <c r="B17">
        <v>4136</v>
      </c>
      <c r="C17">
        <v>9205.1099999999878</v>
      </c>
    </row>
    <row r="19" spans="1:11" x14ac:dyDescent="0.25">
      <c r="A19" s="4" t="s">
        <v>10570</v>
      </c>
      <c r="B19" t="s">
        <v>10572</v>
      </c>
      <c r="C19" t="s">
        <v>10573</v>
      </c>
      <c r="D19" t="s">
        <v>10574</v>
      </c>
    </row>
    <row r="20" spans="1:11" x14ac:dyDescent="0.25">
      <c r="A20" s="5" t="s">
        <v>259</v>
      </c>
      <c r="B20">
        <v>515</v>
      </c>
      <c r="C20">
        <v>1014.4699999999999</v>
      </c>
      <c r="D20">
        <v>520</v>
      </c>
    </row>
    <row r="21" spans="1:11" x14ac:dyDescent="0.25">
      <c r="A21" s="5" t="s">
        <v>63</v>
      </c>
      <c r="B21">
        <v>745</v>
      </c>
      <c r="C21">
        <v>1786.9899999999991</v>
      </c>
      <c r="D21">
        <v>755</v>
      </c>
    </row>
    <row r="22" spans="1:11" x14ac:dyDescent="0.25">
      <c r="A22" s="5" t="s">
        <v>23</v>
      </c>
      <c r="B22">
        <v>679</v>
      </c>
      <c r="C22">
        <v>1436.7900000000009</v>
      </c>
      <c r="D22">
        <v>693</v>
      </c>
    </row>
    <row r="23" spans="1:11" x14ac:dyDescent="0.25">
      <c r="A23" s="5" t="s">
        <v>78</v>
      </c>
      <c r="B23">
        <v>699</v>
      </c>
      <c r="C23">
        <v>1504.6800000000005</v>
      </c>
      <c r="D23">
        <v>716</v>
      </c>
    </row>
    <row r="24" spans="1:11" x14ac:dyDescent="0.25">
      <c r="A24" s="5" t="s">
        <v>32</v>
      </c>
      <c r="B24">
        <v>655</v>
      </c>
      <c r="C24">
        <v>1413.4899999999998</v>
      </c>
      <c r="D24">
        <v>676</v>
      </c>
    </row>
    <row r="25" spans="1:11" x14ac:dyDescent="0.25">
      <c r="A25" s="5" t="s">
        <v>145</v>
      </c>
      <c r="B25">
        <v>423</v>
      </c>
      <c r="C25">
        <v>1092.82</v>
      </c>
      <c r="D25">
        <v>430</v>
      </c>
    </row>
    <row r="26" spans="1:11" x14ac:dyDescent="0.25">
      <c r="A26" s="5" t="s">
        <v>341</v>
      </c>
      <c r="B26">
        <v>420</v>
      </c>
      <c r="C26">
        <v>955.87</v>
      </c>
      <c r="D26">
        <v>429</v>
      </c>
    </row>
    <row r="27" spans="1:11" x14ac:dyDescent="0.25">
      <c r="A27" s="5" t="s">
        <v>10584</v>
      </c>
    </row>
    <row r="28" spans="1:11" x14ac:dyDescent="0.25">
      <c r="A28" s="5" t="s">
        <v>10571</v>
      </c>
      <c r="B28">
        <v>4136</v>
      </c>
      <c r="C28">
        <v>9205.1099999999951</v>
      </c>
      <c r="D28">
        <v>4219</v>
      </c>
    </row>
    <row r="31" spans="1:11" x14ac:dyDescent="0.25">
      <c r="A31" s="4" t="s">
        <v>10570</v>
      </c>
      <c r="B31" t="s">
        <v>10573</v>
      </c>
      <c r="C31" t="s">
        <v>10572</v>
      </c>
    </row>
    <row r="32" spans="1:11" x14ac:dyDescent="0.25">
      <c r="A32" s="5">
        <v>1</v>
      </c>
      <c r="B32">
        <v>7.0000000000000007E-2</v>
      </c>
      <c r="F32" t="s">
        <v>10579</v>
      </c>
      <c r="G32" t="s">
        <v>10580</v>
      </c>
      <c r="H32" t="s">
        <v>10583</v>
      </c>
      <c r="I32" t="s">
        <v>10581</v>
      </c>
      <c r="J32" t="s">
        <v>10582</v>
      </c>
      <c r="K32" t="s">
        <v>10583</v>
      </c>
    </row>
    <row r="33" spans="1:11" x14ac:dyDescent="0.25">
      <c r="A33" s="5">
        <v>3</v>
      </c>
      <c r="B33">
        <v>0.33999999999999997</v>
      </c>
      <c r="E33" t="s">
        <v>10575</v>
      </c>
      <c r="F33">
        <f>GETPIVOTDATA("Count of Class Timestamp",$A$31,"Length (minutes)",5)+GETPIVOTDATA("Count of Class Timestamp",$A$31,"Length (minutes)",10)+GETPIVOTDATA("Count of Class Timestamp",$A$31,"Length (minutes)",15)</f>
        <v>2337</v>
      </c>
      <c r="G33" s="8">
        <f>F33/GETPIVOTDATA("Count of Class Timestamp",$A$31)</f>
        <v>0.56503868471953578</v>
      </c>
      <c r="H33" s="2">
        <f>1-G33</f>
        <v>0.43496131528046422</v>
      </c>
      <c r="I33">
        <f>GETPIVOTDATA("Count of Class Timestamp",$A$31,"Length (minutes)",5)*5+GETPIVOTDATA("Count of Class Timestamp",$A$31,"Length (minutes)",10)*10+GETPIVOTDATA("Count of Class Timestamp",$A$31,"Length (minutes)",15)*15</f>
        <v>20730</v>
      </c>
      <c r="J33" s="8">
        <f>I33/$I$37</f>
        <v>0.25274323335771764</v>
      </c>
      <c r="K33" s="8">
        <f>($I$37-I33)/$I$37</f>
        <v>0.74725676664228236</v>
      </c>
    </row>
    <row r="34" spans="1:11" x14ac:dyDescent="0.25">
      <c r="A34" s="5">
        <v>4</v>
      </c>
      <c r="B34">
        <v>0.18</v>
      </c>
      <c r="E34" t="s">
        <v>10577</v>
      </c>
      <c r="F34">
        <f>GETPIVOTDATA("Count of Class Timestamp",$A$31,"Length (minutes)",20)+GETPIVOTDATA("Count of Class Timestamp",$A$31,"Length (minutes)",30)</f>
        <v>1162</v>
      </c>
      <c r="G34" s="8">
        <f t="shared" ref="G34:G36" si="0">F34/GETPIVOTDATA("Count of Class Timestamp",$A$31)</f>
        <v>0.28094777562862672</v>
      </c>
      <c r="H34" s="2">
        <f t="shared" ref="H34:H36" si="1">1-G34</f>
        <v>0.71905222437137328</v>
      </c>
      <c r="I34">
        <f>GETPIVOTDATA("Count of Class Timestamp",$A$31,"Length (minutes)",20)*20+GETPIVOTDATA("Count of Class Timestamp",$A$31,"Length (minutes)",30)*30</f>
        <v>30390</v>
      </c>
      <c r="J34" s="8">
        <f t="shared" ref="J34:J36" si="2">I34/$I$37</f>
        <v>0.37051938551572788</v>
      </c>
      <c r="K34" s="8">
        <f t="shared" ref="K34:K36" si="3">($I$37-I34)/$I$37</f>
        <v>0.62948061448427217</v>
      </c>
    </row>
    <row r="35" spans="1:11" x14ac:dyDescent="0.25">
      <c r="A35" s="5">
        <v>5</v>
      </c>
      <c r="B35">
        <v>277.41000000000008</v>
      </c>
      <c r="C35">
        <v>796</v>
      </c>
      <c r="E35" t="s">
        <v>10576</v>
      </c>
      <c r="F35">
        <f>GETPIVOTDATA("Count of Class Timestamp",$A$31,"Length (minutes)",60)+GETPIVOTDATA("Count of Class Timestamp",$A$31,"Length (minutes)",45)</f>
        <v>606</v>
      </c>
      <c r="G35" s="8">
        <f t="shared" si="0"/>
        <v>0.14651837524177949</v>
      </c>
      <c r="H35" s="2">
        <f t="shared" si="1"/>
        <v>0.85348162475822054</v>
      </c>
      <c r="I35">
        <f>GETPIVOTDATA("Count of Class Timestamp",$A$31,"Length (minutes)",45)*45+GETPIVOTDATA("Count of Class Timestamp",$A$31,"Length (minutes)",60)*60</f>
        <v>29595</v>
      </c>
      <c r="J35" s="8">
        <f t="shared" si="2"/>
        <v>0.36082662765179224</v>
      </c>
      <c r="K35" s="8">
        <f t="shared" si="3"/>
        <v>0.6391733723482077</v>
      </c>
    </row>
    <row r="36" spans="1:11" x14ac:dyDescent="0.25">
      <c r="A36" s="5">
        <v>8</v>
      </c>
      <c r="B36">
        <v>0.43</v>
      </c>
      <c r="E36" t="s">
        <v>10578</v>
      </c>
      <c r="F36">
        <f>GETPIVOTDATA("Count of Class Timestamp",$A$31,"Length (minutes)",75)+GETPIVOTDATA("Count of Class Timestamp",$A$31,"Length (minutes)",90)</f>
        <v>31</v>
      </c>
      <c r="G36" s="8">
        <f t="shared" si="0"/>
        <v>7.4951644100580269E-3</v>
      </c>
      <c r="H36" s="2">
        <f t="shared" si="1"/>
        <v>0.99250483558994196</v>
      </c>
      <c r="I36">
        <f>GETPIVOTDATA("Count of Class Timestamp",$A$31,"Length (minutes)",75)*75+GETPIVOTDATA("Count of Class Timestamp",$A$31,"Length (minutes)",90)+90</f>
        <v>1305</v>
      </c>
      <c r="J36" s="8">
        <f t="shared" si="2"/>
        <v>1.5910753474762254E-2</v>
      </c>
      <c r="K36" s="8">
        <f t="shared" si="3"/>
        <v>0.98408924652523777</v>
      </c>
    </row>
    <row r="37" spans="1:11" x14ac:dyDescent="0.25">
      <c r="A37" s="5">
        <v>9</v>
      </c>
      <c r="B37">
        <v>0.52</v>
      </c>
      <c r="F37">
        <f>SUM(F33:F36)</f>
        <v>4136</v>
      </c>
      <c r="I37">
        <f>SUM(I33:I36)</f>
        <v>82020</v>
      </c>
    </row>
    <row r="38" spans="1:11" x14ac:dyDescent="0.25">
      <c r="A38" s="5">
        <v>10</v>
      </c>
      <c r="B38">
        <v>285.12999999999994</v>
      </c>
      <c r="C38">
        <v>1273</v>
      </c>
    </row>
    <row r="39" spans="1:11" x14ac:dyDescent="0.25">
      <c r="A39" s="5">
        <v>11</v>
      </c>
      <c r="B39">
        <v>0.49</v>
      </c>
    </row>
    <row r="40" spans="1:11" x14ac:dyDescent="0.25">
      <c r="A40" s="5">
        <v>12</v>
      </c>
      <c r="B40">
        <v>0.6</v>
      </c>
    </row>
    <row r="41" spans="1:11" x14ac:dyDescent="0.25">
      <c r="A41" s="5">
        <v>15</v>
      </c>
      <c r="B41">
        <v>98.28</v>
      </c>
      <c r="C41">
        <v>268</v>
      </c>
    </row>
    <row r="42" spans="1:11" x14ac:dyDescent="0.25">
      <c r="A42" s="5">
        <v>20</v>
      </c>
      <c r="B42">
        <v>300.1699999999999</v>
      </c>
      <c r="C42">
        <v>447</v>
      </c>
    </row>
    <row r="43" spans="1:11" x14ac:dyDescent="0.25">
      <c r="A43" s="5">
        <v>30</v>
      </c>
      <c r="B43">
        <v>1546.4600000000005</v>
      </c>
      <c r="C43">
        <v>715</v>
      </c>
    </row>
    <row r="44" spans="1:11" x14ac:dyDescent="0.25">
      <c r="A44" s="5">
        <v>31</v>
      </c>
      <c r="B44">
        <v>2</v>
      </c>
    </row>
    <row r="45" spans="1:11" x14ac:dyDescent="0.25">
      <c r="A45" s="5">
        <v>33</v>
      </c>
      <c r="B45">
        <v>8.23</v>
      </c>
    </row>
    <row r="46" spans="1:11" x14ac:dyDescent="0.25">
      <c r="A46" s="5">
        <v>34</v>
      </c>
      <c r="B46">
        <v>3.5999999999999996</v>
      </c>
    </row>
    <row r="47" spans="1:11" x14ac:dyDescent="0.25">
      <c r="A47" s="5">
        <v>36</v>
      </c>
      <c r="B47">
        <v>3.83</v>
      </c>
    </row>
    <row r="48" spans="1:11" x14ac:dyDescent="0.25">
      <c r="A48" s="5">
        <v>37</v>
      </c>
      <c r="B48">
        <v>9.74</v>
      </c>
    </row>
    <row r="49" spans="1:3" x14ac:dyDescent="0.25">
      <c r="A49" s="5">
        <v>38</v>
      </c>
      <c r="B49">
        <v>11.57</v>
      </c>
    </row>
    <row r="50" spans="1:3" x14ac:dyDescent="0.25">
      <c r="A50" s="5">
        <v>39</v>
      </c>
      <c r="B50">
        <v>15.84</v>
      </c>
    </row>
    <row r="51" spans="1:3" x14ac:dyDescent="0.25">
      <c r="A51" s="5">
        <v>40</v>
      </c>
      <c r="B51">
        <v>16.07</v>
      </c>
    </row>
    <row r="52" spans="1:3" x14ac:dyDescent="0.25">
      <c r="A52" s="5">
        <v>41</v>
      </c>
      <c r="B52">
        <v>12.179999999999998</v>
      </c>
    </row>
    <row r="53" spans="1:3" x14ac:dyDescent="0.25">
      <c r="A53" s="5">
        <v>42</v>
      </c>
      <c r="B53">
        <v>4.04</v>
      </c>
    </row>
    <row r="54" spans="1:3" x14ac:dyDescent="0.25">
      <c r="A54" s="5">
        <v>43</v>
      </c>
      <c r="B54">
        <v>4.1099999999999994</v>
      </c>
    </row>
    <row r="55" spans="1:3" x14ac:dyDescent="0.25">
      <c r="A55" s="5">
        <v>44</v>
      </c>
      <c r="B55">
        <v>6.08</v>
      </c>
    </row>
    <row r="56" spans="1:3" x14ac:dyDescent="0.25">
      <c r="A56" s="5">
        <v>45</v>
      </c>
      <c r="B56">
        <v>3851.7299999999977</v>
      </c>
      <c r="C56">
        <v>451</v>
      </c>
    </row>
    <row r="57" spans="1:3" x14ac:dyDescent="0.25">
      <c r="A57" s="5">
        <v>46</v>
      </c>
      <c r="B57">
        <v>1.95</v>
      </c>
    </row>
    <row r="58" spans="1:3" x14ac:dyDescent="0.25">
      <c r="A58" s="5">
        <v>48</v>
      </c>
      <c r="B58">
        <v>2.58</v>
      </c>
    </row>
    <row r="59" spans="1:3" x14ac:dyDescent="0.25">
      <c r="A59" s="5">
        <v>52</v>
      </c>
      <c r="B59">
        <v>1.97</v>
      </c>
    </row>
    <row r="60" spans="1:3" x14ac:dyDescent="0.25">
      <c r="A60" s="5">
        <v>60</v>
      </c>
      <c r="B60">
        <v>2057.6500000000005</v>
      </c>
      <c r="C60">
        <v>155</v>
      </c>
    </row>
    <row r="61" spans="1:3" x14ac:dyDescent="0.25">
      <c r="A61" s="5">
        <v>75</v>
      </c>
      <c r="B61">
        <v>259.44000000000005</v>
      </c>
      <c r="C61">
        <v>16</v>
      </c>
    </row>
    <row r="62" spans="1:3" x14ac:dyDescent="0.25">
      <c r="A62" s="5">
        <v>80</v>
      </c>
      <c r="B62">
        <v>18.78</v>
      </c>
    </row>
    <row r="63" spans="1:3" x14ac:dyDescent="0.25">
      <c r="A63" s="5">
        <v>90</v>
      </c>
      <c r="B63">
        <v>361.91999999999996</v>
      </c>
      <c r="C63">
        <v>15</v>
      </c>
    </row>
    <row r="64" spans="1:3" x14ac:dyDescent="0.25">
      <c r="A64" s="5">
        <v>99</v>
      </c>
      <c r="B64">
        <v>18.34</v>
      </c>
    </row>
    <row r="65" spans="1:3" x14ac:dyDescent="0.25">
      <c r="A65" s="5">
        <v>101</v>
      </c>
      <c r="B65">
        <v>20.270000000000003</v>
      </c>
    </row>
    <row r="66" spans="1:3" x14ac:dyDescent="0.25">
      <c r="A66" s="5" t="s">
        <v>5758</v>
      </c>
      <c r="B66">
        <v>3.11</v>
      </c>
    </row>
    <row r="67" spans="1:3" x14ac:dyDescent="0.25">
      <c r="A67" s="5" t="s">
        <v>10584</v>
      </c>
    </row>
    <row r="68" spans="1:3" x14ac:dyDescent="0.25">
      <c r="A68" s="5" t="s">
        <v>10571</v>
      </c>
      <c r="B68">
        <v>9205.1099999999915</v>
      </c>
      <c r="C68">
        <v>4136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CEC36-AEBB-4AA2-95AC-E8E3591FFD1A}">
  <dimension ref="A3:E73"/>
  <sheetViews>
    <sheetView workbookViewId="0">
      <selection activeCell="S16" sqref="S16"/>
    </sheetView>
  </sheetViews>
  <sheetFormatPr defaultRowHeight="15" x14ac:dyDescent="0.25"/>
  <cols>
    <col min="1" max="1" width="23.140625" bestFit="1" customWidth="1"/>
    <col min="2" max="2" width="28" bestFit="1" customWidth="1"/>
    <col min="4" max="4" width="23.140625" bestFit="1" customWidth="1"/>
    <col min="5" max="5" width="13.140625" bestFit="1" customWidth="1"/>
  </cols>
  <sheetData>
    <row r="3" spans="1:5" x14ac:dyDescent="0.25">
      <c r="A3" s="4" t="s">
        <v>10570</v>
      </c>
      <c r="B3" t="s">
        <v>10609</v>
      </c>
      <c r="D3" t="s">
        <v>10610</v>
      </c>
      <c r="E3" t="s">
        <v>10611</v>
      </c>
    </row>
    <row r="4" spans="1:5" x14ac:dyDescent="0.25">
      <c r="A4" s="5" t="s">
        <v>323</v>
      </c>
      <c r="B4">
        <v>580</v>
      </c>
      <c r="D4" t="str">
        <f>A4</f>
        <v>Matt Wilpers</v>
      </c>
      <c r="E4">
        <f>GETPIVOTDATA("Workout Timestamp",$A$3,"Instructor Name",A4)</f>
        <v>580</v>
      </c>
    </row>
    <row r="5" spans="1:5" x14ac:dyDescent="0.25">
      <c r="A5" s="5" t="s">
        <v>243</v>
      </c>
      <c r="B5">
        <v>429</v>
      </c>
      <c r="D5" t="str">
        <f t="shared" ref="D5:D14" si="0">A5</f>
        <v>Denis Morton</v>
      </c>
      <c r="E5">
        <f t="shared" ref="E5:E14" si="1">GETPIVOTDATA("Workout Timestamp",$A$3,"Instructor Name",A5)</f>
        <v>429</v>
      </c>
    </row>
    <row r="6" spans="1:5" x14ac:dyDescent="0.25">
      <c r="A6" s="5" t="s">
        <v>215</v>
      </c>
      <c r="B6">
        <v>367</v>
      </c>
      <c r="D6" t="str">
        <f t="shared" si="0"/>
        <v>Aditi Shah</v>
      </c>
      <c r="E6">
        <f t="shared" si="1"/>
        <v>367</v>
      </c>
    </row>
    <row r="7" spans="1:5" x14ac:dyDescent="0.25">
      <c r="A7" s="5" t="s">
        <v>200</v>
      </c>
      <c r="B7">
        <v>278</v>
      </c>
      <c r="D7" t="str">
        <f t="shared" si="0"/>
        <v>Anna Greenberg</v>
      </c>
      <c r="E7">
        <f t="shared" si="1"/>
        <v>278</v>
      </c>
    </row>
    <row r="8" spans="1:5" x14ac:dyDescent="0.25">
      <c r="A8" s="5" t="s">
        <v>208</v>
      </c>
      <c r="B8">
        <v>255</v>
      </c>
      <c r="D8" t="str">
        <f t="shared" si="0"/>
        <v>Ross Rayburn</v>
      </c>
      <c r="E8">
        <f t="shared" si="1"/>
        <v>255</v>
      </c>
    </row>
    <row r="9" spans="1:5" x14ac:dyDescent="0.25">
      <c r="A9" s="5" t="s">
        <v>237</v>
      </c>
      <c r="B9">
        <v>223</v>
      </c>
      <c r="D9" t="str">
        <f t="shared" si="0"/>
        <v>Kristin McGee</v>
      </c>
      <c r="E9">
        <f t="shared" si="1"/>
        <v>223</v>
      </c>
    </row>
    <row r="10" spans="1:5" x14ac:dyDescent="0.25">
      <c r="A10" s="5" t="s">
        <v>180</v>
      </c>
      <c r="B10">
        <v>210</v>
      </c>
      <c r="D10" t="str">
        <f t="shared" si="0"/>
        <v>Emma Lovewell</v>
      </c>
      <c r="E10">
        <f t="shared" si="1"/>
        <v>210</v>
      </c>
    </row>
    <row r="11" spans="1:5" x14ac:dyDescent="0.25">
      <c r="A11" s="5" t="s">
        <v>459</v>
      </c>
      <c r="B11">
        <v>173</v>
      </c>
      <c r="D11" t="str">
        <f t="shared" si="0"/>
        <v>Chelsea Jackson Roberts</v>
      </c>
      <c r="E11">
        <f t="shared" si="1"/>
        <v>173</v>
      </c>
    </row>
    <row r="12" spans="1:5" x14ac:dyDescent="0.25">
      <c r="A12" s="5" t="s">
        <v>335</v>
      </c>
      <c r="B12">
        <v>171</v>
      </c>
      <c r="D12" t="str">
        <f t="shared" si="0"/>
        <v>Ben Alldis</v>
      </c>
      <c r="E12">
        <f t="shared" si="1"/>
        <v>171</v>
      </c>
    </row>
    <row r="13" spans="1:5" x14ac:dyDescent="0.25">
      <c r="A13" s="5" t="s">
        <v>2708</v>
      </c>
      <c r="B13">
        <v>133</v>
      </c>
      <c r="D13" t="str">
        <f t="shared" si="0"/>
        <v>Kirra Michel</v>
      </c>
      <c r="E13">
        <f t="shared" si="1"/>
        <v>133</v>
      </c>
    </row>
    <row r="14" spans="1:5" x14ac:dyDescent="0.25">
      <c r="A14" s="5" t="s">
        <v>354</v>
      </c>
      <c r="B14">
        <v>100</v>
      </c>
      <c r="D14" t="str">
        <f t="shared" si="0"/>
        <v>Tunde Oyeneyin</v>
      </c>
      <c r="E14">
        <f t="shared" si="1"/>
        <v>100</v>
      </c>
    </row>
    <row r="15" spans="1:5" x14ac:dyDescent="0.25">
      <c r="A15" s="5" t="s">
        <v>2256</v>
      </c>
      <c r="B15">
        <v>92</v>
      </c>
    </row>
    <row r="16" spans="1:5" x14ac:dyDescent="0.25">
      <c r="A16" s="5" t="s">
        <v>328</v>
      </c>
      <c r="B16">
        <v>89</v>
      </c>
    </row>
    <row r="17" spans="1:2" x14ac:dyDescent="0.25">
      <c r="A17" s="5" t="s">
        <v>10584</v>
      </c>
      <c r="B17">
        <v>83</v>
      </c>
    </row>
    <row r="18" spans="1:2" x14ac:dyDescent="0.25">
      <c r="A18" s="5" t="s">
        <v>25</v>
      </c>
      <c r="B18">
        <v>76</v>
      </c>
    </row>
    <row r="19" spans="1:2" x14ac:dyDescent="0.25">
      <c r="A19" s="5" t="s">
        <v>231</v>
      </c>
      <c r="B19">
        <v>72</v>
      </c>
    </row>
    <row r="20" spans="1:2" x14ac:dyDescent="0.25">
      <c r="A20" s="5" t="s">
        <v>33</v>
      </c>
      <c r="B20">
        <v>67</v>
      </c>
    </row>
    <row r="21" spans="1:2" x14ac:dyDescent="0.25">
      <c r="A21" s="5" t="s">
        <v>292</v>
      </c>
      <c r="B21">
        <v>67</v>
      </c>
    </row>
    <row r="22" spans="1:2" x14ac:dyDescent="0.25">
      <c r="A22" s="5" t="s">
        <v>554</v>
      </c>
      <c r="B22">
        <v>61</v>
      </c>
    </row>
    <row r="23" spans="1:2" x14ac:dyDescent="0.25">
      <c r="A23" s="5" t="s">
        <v>297</v>
      </c>
      <c r="B23">
        <v>59</v>
      </c>
    </row>
    <row r="24" spans="1:2" x14ac:dyDescent="0.25">
      <c r="A24" s="5" t="s">
        <v>170</v>
      </c>
      <c r="B24">
        <v>57</v>
      </c>
    </row>
    <row r="25" spans="1:2" x14ac:dyDescent="0.25">
      <c r="A25" s="5" t="s">
        <v>768</v>
      </c>
      <c r="B25">
        <v>51</v>
      </c>
    </row>
    <row r="26" spans="1:2" x14ac:dyDescent="0.25">
      <c r="A26" s="5" t="s">
        <v>2833</v>
      </c>
      <c r="B26">
        <v>49</v>
      </c>
    </row>
    <row r="27" spans="1:2" x14ac:dyDescent="0.25">
      <c r="A27" s="5" t="s">
        <v>490</v>
      </c>
      <c r="B27">
        <v>49</v>
      </c>
    </row>
    <row r="28" spans="1:2" x14ac:dyDescent="0.25">
      <c r="A28" s="5" t="s">
        <v>305</v>
      </c>
      <c r="B28">
        <v>48</v>
      </c>
    </row>
    <row r="29" spans="1:2" x14ac:dyDescent="0.25">
      <c r="A29" s="5" t="s">
        <v>1203</v>
      </c>
      <c r="B29">
        <v>48</v>
      </c>
    </row>
    <row r="30" spans="1:2" x14ac:dyDescent="0.25">
      <c r="A30" s="5" t="s">
        <v>660</v>
      </c>
      <c r="B30">
        <v>39</v>
      </c>
    </row>
    <row r="31" spans="1:2" x14ac:dyDescent="0.25">
      <c r="A31" s="5" t="s">
        <v>747</v>
      </c>
      <c r="B31">
        <v>38</v>
      </c>
    </row>
    <row r="32" spans="1:2" x14ac:dyDescent="0.25">
      <c r="A32" s="5" t="s">
        <v>6030</v>
      </c>
      <c r="B32">
        <v>27</v>
      </c>
    </row>
    <row r="33" spans="1:2" x14ac:dyDescent="0.25">
      <c r="A33" s="5" t="s">
        <v>314</v>
      </c>
      <c r="B33">
        <v>26</v>
      </c>
    </row>
    <row r="34" spans="1:2" x14ac:dyDescent="0.25">
      <c r="A34" s="5" t="s">
        <v>590</v>
      </c>
      <c r="B34">
        <v>24</v>
      </c>
    </row>
    <row r="35" spans="1:2" x14ac:dyDescent="0.25">
      <c r="A35" s="5" t="s">
        <v>3250</v>
      </c>
      <c r="B35">
        <v>20</v>
      </c>
    </row>
    <row r="36" spans="1:2" x14ac:dyDescent="0.25">
      <c r="A36" s="5" t="s">
        <v>7754</v>
      </c>
      <c r="B36">
        <v>18</v>
      </c>
    </row>
    <row r="37" spans="1:2" x14ac:dyDescent="0.25">
      <c r="A37" s="5" t="s">
        <v>905</v>
      </c>
      <c r="B37">
        <v>13</v>
      </c>
    </row>
    <row r="38" spans="1:2" x14ac:dyDescent="0.25">
      <c r="A38" s="5" t="s">
        <v>1987</v>
      </c>
      <c r="B38">
        <v>12</v>
      </c>
    </row>
    <row r="39" spans="1:2" x14ac:dyDescent="0.25">
      <c r="A39" s="5" t="s">
        <v>2876</v>
      </c>
      <c r="B39">
        <v>12</v>
      </c>
    </row>
    <row r="40" spans="1:2" x14ac:dyDescent="0.25">
      <c r="A40" s="5" t="s">
        <v>5394</v>
      </c>
      <c r="B40">
        <v>10</v>
      </c>
    </row>
    <row r="41" spans="1:2" x14ac:dyDescent="0.25">
      <c r="A41" s="5" t="s">
        <v>7777</v>
      </c>
      <c r="B41">
        <v>8</v>
      </c>
    </row>
    <row r="42" spans="1:2" x14ac:dyDescent="0.25">
      <c r="A42" s="5" t="s">
        <v>309</v>
      </c>
      <c r="B42">
        <v>8</v>
      </c>
    </row>
    <row r="43" spans="1:2" x14ac:dyDescent="0.25">
      <c r="A43" s="5" t="s">
        <v>895</v>
      </c>
      <c r="B43">
        <v>8</v>
      </c>
    </row>
    <row r="44" spans="1:2" x14ac:dyDescent="0.25">
      <c r="A44" s="5" t="s">
        <v>3955</v>
      </c>
      <c r="B44">
        <v>7</v>
      </c>
    </row>
    <row r="45" spans="1:2" x14ac:dyDescent="0.25">
      <c r="A45" s="5" t="s">
        <v>6276</v>
      </c>
      <c r="B45">
        <v>7</v>
      </c>
    </row>
    <row r="46" spans="1:2" x14ac:dyDescent="0.25">
      <c r="A46" s="5" t="s">
        <v>2595</v>
      </c>
      <c r="B46">
        <v>6</v>
      </c>
    </row>
    <row r="47" spans="1:2" x14ac:dyDescent="0.25">
      <c r="A47" s="5" t="s">
        <v>2501</v>
      </c>
      <c r="B47">
        <v>5</v>
      </c>
    </row>
    <row r="48" spans="1:2" x14ac:dyDescent="0.25">
      <c r="A48" s="5" t="s">
        <v>9324</v>
      </c>
      <c r="B48">
        <v>5</v>
      </c>
    </row>
    <row r="49" spans="1:2" x14ac:dyDescent="0.25">
      <c r="A49" s="5" t="s">
        <v>5142</v>
      </c>
      <c r="B49">
        <v>5</v>
      </c>
    </row>
    <row r="50" spans="1:2" x14ac:dyDescent="0.25">
      <c r="A50" s="5" t="s">
        <v>5014</v>
      </c>
      <c r="B50">
        <v>4</v>
      </c>
    </row>
    <row r="51" spans="1:2" x14ac:dyDescent="0.25">
      <c r="A51" s="5" t="s">
        <v>6812</v>
      </c>
      <c r="B51">
        <v>3</v>
      </c>
    </row>
    <row r="52" spans="1:2" x14ac:dyDescent="0.25">
      <c r="A52" s="5" t="s">
        <v>5567</v>
      </c>
      <c r="B52">
        <v>3</v>
      </c>
    </row>
    <row r="53" spans="1:2" x14ac:dyDescent="0.25">
      <c r="A53" s="5" t="s">
        <v>4915</v>
      </c>
      <c r="B53">
        <v>3</v>
      </c>
    </row>
    <row r="54" spans="1:2" x14ac:dyDescent="0.25">
      <c r="A54" s="5" t="s">
        <v>855</v>
      </c>
      <c r="B54">
        <v>2</v>
      </c>
    </row>
    <row r="55" spans="1:2" x14ac:dyDescent="0.25">
      <c r="A55" s="5" t="s">
        <v>5865</v>
      </c>
      <c r="B55">
        <v>2</v>
      </c>
    </row>
    <row r="56" spans="1:2" x14ac:dyDescent="0.25">
      <c r="A56" s="5" t="s">
        <v>5309</v>
      </c>
      <c r="B56">
        <v>1</v>
      </c>
    </row>
    <row r="57" spans="1:2" x14ac:dyDescent="0.25">
      <c r="A57" s="5" t="s">
        <v>5545</v>
      </c>
      <c r="B57">
        <v>1</v>
      </c>
    </row>
    <row r="58" spans="1:2" x14ac:dyDescent="0.25">
      <c r="A58" s="5" t="s">
        <v>9433</v>
      </c>
      <c r="B58">
        <v>1</v>
      </c>
    </row>
    <row r="59" spans="1:2" x14ac:dyDescent="0.25">
      <c r="A59" s="5" t="s">
        <v>5253</v>
      </c>
      <c r="B59">
        <v>1</v>
      </c>
    </row>
    <row r="60" spans="1:2" x14ac:dyDescent="0.25">
      <c r="A60" s="5" t="s">
        <v>187</v>
      </c>
      <c r="B60">
        <v>1</v>
      </c>
    </row>
    <row r="61" spans="1:2" x14ac:dyDescent="0.25">
      <c r="A61" s="5" t="s">
        <v>5237</v>
      </c>
      <c r="B61">
        <v>1</v>
      </c>
    </row>
    <row r="62" spans="1:2" x14ac:dyDescent="0.25">
      <c r="A62" s="5" t="s">
        <v>5561</v>
      </c>
      <c r="B62">
        <v>1</v>
      </c>
    </row>
    <row r="63" spans="1:2" x14ac:dyDescent="0.25">
      <c r="A63" s="5" t="s">
        <v>6877</v>
      </c>
      <c r="B63">
        <v>1</v>
      </c>
    </row>
    <row r="64" spans="1:2" x14ac:dyDescent="0.25">
      <c r="A64" s="5" t="s">
        <v>5042</v>
      </c>
      <c r="B64">
        <v>1</v>
      </c>
    </row>
    <row r="65" spans="1:2" x14ac:dyDescent="0.25">
      <c r="A65" s="5" t="s">
        <v>5666</v>
      </c>
      <c r="B65">
        <v>1</v>
      </c>
    </row>
    <row r="66" spans="1:2" x14ac:dyDescent="0.25">
      <c r="A66" s="5" t="s">
        <v>5709</v>
      </c>
      <c r="B66">
        <v>1</v>
      </c>
    </row>
    <row r="67" spans="1:2" x14ac:dyDescent="0.25">
      <c r="A67" s="5" t="s">
        <v>448</v>
      </c>
      <c r="B67">
        <v>1</v>
      </c>
    </row>
    <row r="68" spans="1:2" x14ac:dyDescent="0.25">
      <c r="A68" s="5" t="s">
        <v>8738</v>
      </c>
      <c r="B68">
        <v>1</v>
      </c>
    </row>
    <row r="69" spans="1:2" x14ac:dyDescent="0.25">
      <c r="A69" s="5" t="s">
        <v>8176</v>
      </c>
      <c r="B69">
        <v>1</v>
      </c>
    </row>
    <row r="70" spans="1:2" x14ac:dyDescent="0.25">
      <c r="A70" s="5" t="s">
        <v>3821</v>
      </c>
      <c r="B70">
        <v>1</v>
      </c>
    </row>
    <row r="71" spans="1:2" x14ac:dyDescent="0.25">
      <c r="A71" s="5" t="s">
        <v>5135</v>
      </c>
      <c r="B71">
        <v>1</v>
      </c>
    </row>
    <row r="72" spans="1:2" x14ac:dyDescent="0.25">
      <c r="A72" s="5" t="s">
        <v>5368</v>
      </c>
      <c r="B72">
        <v>1</v>
      </c>
    </row>
    <row r="73" spans="1:2" x14ac:dyDescent="0.25">
      <c r="A73" s="5" t="s">
        <v>10571</v>
      </c>
      <c r="B73">
        <v>4219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U4220"/>
  <sheetViews>
    <sheetView workbookViewId="0">
      <selection sqref="A1:F1048576"/>
    </sheetView>
  </sheetViews>
  <sheetFormatPr defaultColWidth="22.7109375" defaultRowHeight="15" x14ac:dyDescent="0.25"/>
  <sheetData>
    <row r="1" spans="1:2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</row>
    <row r="2" spans="1:21" x14ac:dyDescent="0.25">
      <c r="A2" t="s">
        <v>143</v>
      </c>
      <c r="B2" s="1">
        <v>43630</v>
      </c>
      <c r="C2" t="s">
        <v>144</v>
      </c>
      <c r="D2" t="s">
        <v>145</v>
      </c>
      <c r="E2" t="s">
        <v>24</v>
      </c>
      <c r="F2" t="s">
        <v>25</v>
      </c>
      <c r="G2">
        <v>45</v>
      </c>
      <c r="H2" t="s">
        <v>26</v>
      </c>
      <c r="I2" t="s">
        <v>126</v>
      </c>
      <c r="J2" t="s">
        <v>146</v>
      </c>
      <c r="K2" t="s">
        <v>147</v>
      </c>
      <c r="L2">
        <v>202</v>
      </c>
      <c r="M2">
        <v>75</v>
      </c>
      <c r="N2" s="2">
        <v>0.4</v>
      </c>
      <c r="O2">
        <v>58</v>
      </c>
      <c r="P2">
        <v>12.13</v>
      </c>
      <c r="Q2">
        <v>9.09</v>
      </c>
      <c r="R2">
        <v>266</v>
      </c>
    </row>
    <row r="3" spans="1:21" x14ac:dyDescent="0.25">
      <c r="A3" t="s">
        <v>218</v>
      </c>
      <c r="B3" s="1">
        <v>43847</v>
      </c>
      <c r="C3" t="s">
        <v>219</v>
      </c>
      <c r="D3" t="s">
        <v>145</v>
      </c>
      <c r="E3" t="s">
        <v>24</v>
      </c>
      <c r="F3" t="s">
        <v>180</v>
      </c>
      <c r="G3">
        <v>10</v>
      </c>
      <c r="H3" t="s">
        <v>194</v>
      </c>
      <c r="I3" t="s">
        <v>195</v>
      </c>
      <c r="J3" t="s">
        <v>211</v>
      </c>
      <c r="K3" t="s">
        <v>220</v>
      </c>
      <c r="R3">
        <v>56</v>
      </c>
    </row>
    <row r="4" spans="1:21" x14ac:dyDescent="0.25">
      <c r="A4" t="s">
        <v>307</v>
      </c>
      <c r="B4" s="1">
        <v>44120</v>
      </c>
      <c r="C4" t="s">
        <v>308</v>
      </c>
      <c r="D4" t="s">
        <v>145</v>
      </c>
      <c r="E4" t="s">
        <v>24</v>
      </c>
      <c r="F4" t="s">
        <v>309</v>
      </c>
      <c r="G4">
        <v>10</v>
      </c>
      <c r="H4" t="s">
        <v>49</v>
      </c>
      <c r="I4" t="s">
        <v>310</v>
      </c>
      <c r="J4" t="s">
        <v>311</v>
      </c>
      <c r="K4" t="s">
        <v>312</v>
      </c>
      <c r="R4">
        <v>56</v>
      </c>
    </row>
    <row r="5" spans="1:21" x14ac:dyDescent="0.25">
      <c r="A5" t="s">
        <v>313</v>
      </c>
      <c r="B5" s="1">
        <v>44120</v>
      </c>
      <c r="C5" t="s">
        <v>36</v>
      </c>
      <c r="D5" t="s">
        <v>145</v>
      </c>
      <c r="E5" t="s">
        <v>24</v>
      </c>
      <c r="F5" t="s">
        <v>314</v>
      </c>
      <c r="G5">
        <v>10</v>
      </c>
      <c r="H5" t="s">
        <v>49</v>
      </c>
      <c r="I5" t="s">
        <v>298</v>
      </c>
      <c r="J5" t="s">
        <v>315</v>
      </c>
      <c r="K5" t="s">
        <v>316</v>
      </c>
      <c r="R5">
        <v>28</v>
      </c>
    </row>
    <row r="6" spans="1:21" x14ac:dyDescent="0.25">
      <c r="A6" t="s">
        <v>337</v>
      </c>
      <c r="B6" s="1">
        <v>44127</v>
      </c>
      <c r="C6" t="s">
        <v>338</v>
      </c>
      <c r="D6" t="s">
        <v>145</v>
      </c>
      <c r="E6" t="s">
        <v>24</v>
      </c>
      <c r="F6" t="s">
        <v>335</v>
      </c>
      <c r="G6">
        <v>10</v>
      </c>
      <c r="H6" t="s">
        <v>49</v>
      </c>
      <c r="I6" t="s">
        <v>226</v>
      </c>
      <c r="J6" t="s">
        <v>293</v>
      </c>
      <c r="K6" t="s">
        <v>336</v>
      </c>
      <c r="R6">
        <v>28</v>
      </c>
    </row>
    <row r="7" spans="1:21" x14ac:dyDescent="0.25">
      <c r="A7" t="s">
        <v>394</v>
      </c>
      <c r="B7" s="1">
        <v>44141</v>
      </c>
      <c r="C7" t="s">
        <v>395</v>
      </c>
      <c r="D7" t="s">
        <v>145</v>
      </c>
      <c r="E7" t="s">
        <v>24</v>
      </c>
      <c r="F7" t="s">
        <v>328</v>
      </c>
      <c r="G7">
        <v>30</v>
      </c>
      <c r="H7" t="s">
        <v>26</v>
      </c>
      <c r="I7" t="s">
        <v>370</v>
      </c>
      <c r="J7" t="s">
        <v>396</v>
      </c>
      <c r="K7" t="s">
        <v>397</v>
      </c>
      <c r="L7">
        <v>125</v>
      </c>
      <c r="M7">
        <v>70</v>
      </c>
      <c r="N7" s="2">
        <v>0.31</v>
      </c>
      <c r="O7">
        <v>86</v>
      </c>
      <c r="P7">
        <v>13.87</v>
      </c>
      <c r="Q7">
        <v>6.93</v>
      </c>
      <c r="R7">
        <v>171</v>
      </c>
    </row>
    <row r="8" spans="1:21" x14ac:dyDescent="0.25">
      <c r="A8" t="s">
        <v>398</v>
      </c>
      <c r="B8" s="1">
        <v>44141</v>
      </c>
      <c r="C8" t="s">
        <v>399</v>
      </c>
      <c r="D8" t="s">
        <v>145</v>
      </c>
      <c r="E8" t="s">
        <v>24</v>
      </c>
      <c r="F8" t="s">
        <v>180</v>
      </c>
      <c r="G8">
        <v>5</v>
      </c>
      <c r="H8" t="s">
        <v>194</v>
      </c>
      <c r="I8" t="s">
        <v>195</v>
      </c>
      <c r="J8" t="s">
        <v>196</v>
      </c>
      <c r="K8" t="s">
        <v>197</v>
      </c>
      <c r="R8">
        <v>25</v>
      </c>
    </row>
    <row r="9" spans="1:21" x14ac:dyDescent="0.25">
      <c r="A9" t="s">
        <v>496</v>
      </c>
      <c r="B9" s="1">
        <v>44155</v>
      </c>
      <c r="C9" t="s">
        <v>497</v>
      </c>
      <c r="D9" t="s">
        <v>145</v>
      </c>
      <c r="E9" t="s">
        <v>24</v>
      </c>
      <c r="F9" t="s">
        <v>323</v>
      </c>
      <c r="G9">
        <v>60</v>
      </c>
      <c r="H9" t="s">
        <v>26</v>
      </c>
      <c r="I9" t="s">
        <v>370</v>
      </c>
      <c r="J9" t="s">
        <v>498</v>
      </c>
      <c r="K9" t="s">
        <v>499</v>
      </c>
      <c r="L9">
        <v>272</v>
      </c>
      <c r="M9">
        <v>76</v>
      </c>
      <c r="N9" s="2">
        <v>0.33</v>
      </c>
      <c r="O9">
        <v>84</v>
      </c>
      <c r="P9">
        <v>14.36</v>
      </c>
      <c r="Q9">
        <v>14.36</v>
      </c>
      <c r="R9">
        <v>372</v>
      </c>
    </row>
    <row r="10" spans="1:21" x14ac:dyDescent="0.25">
      <c r="A10" t="s">
        <v>500</v>
      </c>
      <c r="B10" s="1">
        <v>44155</v>
      </c>
      <c r="C10" t="s">
        <v>501</v>
      </c>
      <c r="D10" t="s">
        <v>145</v>
      </c>
      <c r="E10" t="s">
        <v>24</v>
      </c>
      <c r="F10" t="s">
        <v>323</v>
      </c>
      <c r="G10">
        <v>5</v>
      </c>
      <c r="H10" t="s">
        <v>49</v>
      </c>
      <c r="I10" t="s">
        <v>50</v>
      </c>
      <c r="J10" t="s">
        <v>51</v>
      </c>
      <c r="K10" t="s">
        <v>502</v>
      </c>
      <c r="R10">
        <v>13</v>
      </c>
    </row>
    <row r="11" spans="1:21" x14ac:dyDescent="0.25">
      <c r="A11" t="s">
        <v>548</v>
      </c>
      <c r="B11" s="1">
        <v>44162</v>
      </c>
      <c r="C11" t="s">
        <v>549</v>
      </c>
      <c r="D11" t="s">
        <v>145</v>
      </c>
      <c r="E11" t="s">
        <v>24</v>
      </c>
      <c r="F11" t="s">
        <v>243</v>
      </c>
      <c r="G11">
        <v>45</v>
      </c>
      <c r="H11" t="s">
        <v>26</v>
      </c>
      <c r="I11" t="s">
        <v>370</v>
      </c>
      <c r="J11" t="s">
        <v>550</v>
      </c>
      <c r="K11" t="s">
        <v>551</v>
      </c>
      <c r="L11">
        <v>234</v>
      </c>
      <c r="M11">
        <v>87</v>
      </c>
      <c r="N11" s="2">
        <v>0.36</v>
      </c>
      <c r="O11">
        <v>81</v>
      </c>
      <c r="P11">
        <v>14.96</v>
      </c>
      <c r="Q11">
        <v>11.16</v>
      </c>
      <c r="R11">
        <v>320</v>
      </c>
    </row>
    <row r="12" spans="1:21" x14ac:dyDescent="0.25">
      <c r="A12" t="s">
        <v>552</v>
      </c>
      <c r="B12" s="1">
        <v>44162</v>
      </c>
      <c r="C12" t="s">
        <v>553</v>
      </c>
      <c r="D12" t="s">
        <v>145</v>
      </c>
      <c r="E12" t="s">
        <v>24</v>
      </c>
      <c r="F12" t="s">
        <v>554</v>
      </c>
      <c r="G12">
        <v>5</v>
      </c>
      <c r="H12" t="s">
        <v>26</v>
      </c>
      <c r="I12" t="s">
        <v>358</v>
      </c>
      <c r="J12" t="s">
        <v>359</v>
      </c>
      <c r="K12" t="s">
        <v>555</v>
      </c>
      <c r="L12">
        <v>19</v>
      </c>
      <c r="M12">
        <v>64</v>
      </c>
      <c r="N12" s="2">
        <v>0.37</v>
      </c>
      <c r="O12">
        <v>65</v>
      </c>
      <c r="P12">
        <v>13.25</v>
      </c>
      <c r="Q12">
        <v>1.1000000000000001</v>
      </c>
      <c r="R12">
        <v>26</v>
      </c>
    </row>
    <row r="13" spans="1:21" x14ac:dyDescent="0.25">
      <c r="A13" t="s">
        <v>584</v>
      </c>
      <c r="B13" s="1">
        <v>44169</v>
      </c>
      <c r="C13" t="s">
        <v>585</v>
      </c>
      <c r="D13" t="s">
        <v>145</v>
      </c>
      <c r="E13" t="s">
        <v>24</v>
      </c>
      <c r="F13" t="s">
        <v>33</v>
      </c>
      <c r="G13">
        <v>45</v>
      </c>
      <c r="H13" t="s">
        <v>26</v>
      </c>
      <c r="I13" t="s">
        <v>370</v>
      </c>
      <c r="J13" t="s">
        <v>586</v>
      </c>
      <c r="K13" t="s">
        <v>587</v>
      </c>
      <c r="L13">
        <v>225</v>
      </c>
      <c r="M13">
        <v>83</v>
      </c>
      <c r="N13" s="2">
        <v>0.32</v>
      </c>
      <c r="O13">
        <v>90</v>
      </c>
      <c r="P13">
        <v>14.89</v>
      </c>
      <c r="Q13">
        <v>11.16</v>
      </c>
      <c r="R13">
        <v>307</v>
      </c>
    </row>
    <row r="14" spans="1:21" x14ac:dyDescent="0.25">
      <c r="A14" t="s">
        <v>588</v>
      </c>
      <c r="B14" s="1">
        <v>44169</v>
      </c>
      <c r="C14" t="s">
        <v>589</v>
      </c>
      <c r="D14" t="s">
        <v>145</v>
      </c>
      <c r="E14" t="s">
        <v>24</v>
      </c>
      <c r="F14" t="s">
        <v>590</v>
      </c>
      <c r="G14">
        <v>5</v>
      </c>
      <c r="H14" t="s">
        <v>49</v>
      </c>
      <c r="I14" t="s">
        <v>50</v>
      </c>
      <c r="J14" t="s">
        <v>51</v>
      </c>
      <c r="K14" t="s">
        <v>591</v>
      </c>
      <c r="R14">
        <v>13</v>
      </c>
    </row>
    <row r="15" spans="1:21" x14ac:dyDescent="0.25">
      <c r="A15" t="s">
        <v>629</v>
      </c>
      <c r="B15" s="1">
        <v>44176</v>
      </c>
      <c r="C15" t="s">
        <v>630</v>
      </c>
      <c r="D15" t="s">
        <v>145</v>
      </c>
      <c r="E15" t="s">
        <v>24</v>
      </c>
      <c r="F15" t="s">
        <v>292</v>
      </c>
      <c r="G15">
        <v>45</v>
      </c>
      <c r="H15" t="s">
        <v>605</v>
      </c>
      <c r="I15" t="s">
        <v>631</v>
      </c>
      <c r="J15" t="s">
        <v>632</v>
      </c>
      <c r="K15" t="s">
        <v>633</v>
      </c>
      <c r="L15">
        <v>145</v>
      </c>
      <c r="P15">
        <v>15.3</v>
      </c>
      <c r="Q15">
        <v>6.45</v>
      </c>
      <c r="R15">
        <v>251</v>
      </c>
    </row>
    <row r="16" spans="1:21" x14ac:dyDescent="0.25">
      <c r="A16" t="s">
        <v>679</v>
      </c>
      <c r="B16" s="1">
        <v>44183</v>
      </c>
      <c r="C16" t="s">
        <v>680</v>
      </c>
      <c r="D16" t="s">
        <v>145</v>
      </c>
      <c r="E16" t="s">
        <v>24</v>
      </c>
      <c r="F16" t="s">
        <v>354</v>
      </c>
      <c r="G16">
        <v>45</v>
      </c>
      <c r="H16" t="s">
        <v>605</v>
      </c>
      <c r="I16" t="s">
        <v>44</v>
      </c>
      <c r="J16" t="s">
        <v>681</v>
      </c>
      <c r="K16" t="s">
        <v>682</v>
      </c>
      <c r="L16">
        <v>126</v>
      </c>
      <c r="P16">
        <v>15.11</v>
      </c>
      <c r="Q16">
        <v>5.61</v>
      </c>
      <c r="R16">
        <v>241</v>
      </c>
    </row>
    <row r="17" spans="1:18" x14ac:dyDescent="0.25">
      <c r="A17" t="s">
        <v>798</v>
      </c>
      <c r="B17" s="1">
        <v>44197</v>
      </c>
      <c r="C17" t="s">
        <v>799</v>
      </c>
      <c r="D17" t="s">
        <v>145</v>
      </c>
      <c r="E17" t="s">
        <v>24</v>
      </c>
      <c r="F17" t="s">
        <v>323</v>
      </c>
      <c r="G17">
        <v>60</v>
      </c>
      <c r="H17" t="s">
        <v>26</v>
      </c>
      <c r="I17" t="s">
        <v>370</v>
      </c>
      <c r="J17" t="s">
        <v>498</v>
      </c>
      <c r="K17" t="s">
        <v>800</v>
      </c>
      <c r="L17">
        <v>324</v>
      </c>
      <c r="M17">
        <v>90</v>
      </c>
      <c r="N17" s="2">
        <v>0.33</v>
      </c>
      <c r="O17">
        <v>93</v>
      </c>
      <c r="P17">
        <v>15.48</v>
      </c>
      <c r="Q17">
        <v>15.48</v>
      </c>
      <c r="R17">
        <v>401</v>
      </c>
    </row>
    <row r="18" spans="1:18" x14ac:dyDescent="0.25">
      <c r="A18" t="s">
        <v>801</v>
      </c>
      <c r="B18" s="1">
        <v>44197</v>
      </c>
      <c r="C18" t="s">
        <v>802</v>
      </c>
      <c r="D18" t="s">
        <v>145</v>
      </c>
      <c r="E18" t="s">
        <v>24</v>
      </c>
      <c r="F18" t="s">
        <v>180</v>
      </c>
      <c r="G18">
        <v>5</v>
      </c>
      <c r="H18" t="s">
        <v>194</v>
      </c>
      <c r="I18" t="s">
        <v>195</v>
      </c>
      <c r="J18" t="s">
        <v>196</v>
      </c>
      <c r="K18" t="s">
        <v>197</v>
      </c>
      <c r="R18">
        <v>23</v>
      </c>
    </row>
    <row r="19" spans="1:18" x14ac:dyDescent="0.25">
      <c r="A19" t="s">
        <v>803</v>
      </c>
      <c r="B19" s="1">
        <v>44197</v>
      </c>
      <c r="C19" t="s">
        <v>804</v>
      </c>
      <c r="D19" t="s">
        <v>145</v>
      </c>
      <c r="E19" t="s">
        <v>24</v>
      </c>
      <c r="F19" t="s">
        <v>243</v>
      </c>
      <c r="G19">
        <v>45</v>
      </c>
      <c r="H19" t="s">
        <v>188</v>
      </c>
      <c r="I19" t="s">
        <v>189</v>
      </c>
      <c r="J19" t="s">
        <v>244</v>
      </c>
      <c r="K19" t="s">
        <v>805</v>
      </c>
      <c r="R19">
        <v>149</v>
      </c>
    </row>
    <row r="20" spans="1:18" x14ac:dyDescent="0.25">
      <c r="A20" t="s">
        <v>806</v>
      </c>
      <c r="B20" s="1">
        <v>44197</v>
      </c>
      <c r="C20" t="s">
        <v>807</v>
      </c>
      <c r="D20" t="s">
        <v>145</v>
      </c>
      <c r="E20" t="s">
        <v>24</v>
      </c>
      <c r="F20" t="s">
        <v>200</v>
      </c>
      <c r="G20">
        <v>10</v>
      </c>
      <c r="H20" t="s">
        <v>464</v>
      </c>
      <c r="I20" t="s">
        <v>579</v>
      </c>
      <c r="J20" t="s">
        <v>808</v>
      </c>
      <c r="K20" t="s">
        <v>809</v>
      </c>
    </row>
    <row r="21" spans="1:18" x14ac:dyDescent="0.25">
      <c r="A21" t="s">
        <v>853</v>
      </c>
      <c r="B21" s="1">
        <v>44204</v>
      </c>
      <c r="C21" t="s">
        <v>854</v>
      </c>
      <c r="D21" t="s">
        <v>145</v>
      </c>
      <c r="E21" t="s">
        <v>24</v>
      </c>
      <c r="F21" t="s">
        <v>855</v>
      </c>
      <c r="G21">
        <v>60</v>
      </c>
      <c r="H21" t="s">
        <v>26</v>
      </c>
      <c r="I21" t="s">
        <v>370</v>
      </c>
      <c r="J21" t="s">
        <v>856</v>
      </c>
      <c r="K21" t="s">
        <v>857</v>
      </c>
      <c r="L21">
        <v>326</v>
      </c>
      <c r="M21">
        <v>91</v>
      </c>
      <c r="N21" s="2">
        <v>0.36</v>
      </c>
      <c r="O21">
        <v>80</v>
      </c>
      <c r="P21">
        <v>15.17</v>
      </c>
      <c r="Q21">
        <v>15.17</v>
      </c>
      <c r="R21">
        <v>403</v>
      </c>
    </row>
    <row r="22" spans="1:18" x14ac:dyDescent="0.25">
      <c r="A22" t="s">
        <v>858</v>
      </c>
      <c r="B22" s="1">
        <v>44204</v>
      </c>
      <c r="C22" t="s">
        <v>778</v>
      </c>
      <c r="D22" t="s">
        <v>145</v>
      </c>
      <c r="E22" t="s">
        <v>24</v>
      </c>
      <c r="F22" t="s">
        <v>243</v>
      </c>
      <c r="G22">
        <v>10</v>
      </c>
      <c r="H22" t="s">
        <v>26</v>
      </c>
      <c r="I22" t="s">
        <v>358</v>
      </c>
      <c r="J22" t="s">
        <v>389</v>
      </c>
      <c r="K22" t="s">
        <v>859</v>
      </c>
      <c r="L22">
        <v>41</v>
      </c>
      <c r="M22">
        <v>68</v>
      </c>
      <c r="N22" s="2">
        <v>0.32</v>
      </c>
      <c r="O22">
        <v>82</v>
      </c>
      <c r="P22">
        <v>13.66</v>
      </c>
      <c r="Q22">
        <v>2.2799999999999998</v>
      </c>
      <c r="R22">
        <v>50</v>
      </c>
    </row>
    <row r="23" spans="1:18" x14ac:dyDescent="0.25">
      <c r="A23" t="s">
        <v>860</v>
      </c>
      <c r="B23" s="1">
        <v>44204</v>
      </c>
      <c r="C23" t="s">
        <v>861</v>
      </c>
      <c r="D23" t="s">
        <v>145</v>
      </c>
      <c r="E23" t="s">
        <v>24</v>
      </c>
      <c r="F23" t="s">
        <v>490</v>
      </c>
      <c r="G23">
        <v>10</v>
      </c>
      <c r="H23" t="s">
        <v>194</v>
      </c>
      <c r="I23" t="s">
        <v>700</v>
      </c>
      <c r="J23" t="s">
        <v>701</v>
      </c>
      <c r="K23" t="s">
        <v>862</v>
      </c>
      <c r="R23">
        <v>46</v>
      </c>
    </row>
    <row r="24" spans="1:18" x14ac:dyDescent="0.25">
      <c r="A24" t="s">
        <v>909</v>
      </c>
      <c r="B24" s="1">
        <v>44211</v>
      </c>
      <c r="C24" t="s">
        <v>904</v>
      </c>
      <c r="D24" t="s">
        <v>145</v>
      </c>
      <c r="E24" t="s">
        <v>24</v>
      </c>
      <c r="F24" t="s">
        <v>180</v>
      </c>
      <c r="G24">
        <v>10</v>
      </c>
      <c r="H24" t="s">
        <v>194</v>
      </c>
      <c r="I24" t="s">
        <v>195</v>
      </c>
      <c r="J24" t="s">
        <v>211</v>
      </c>
      <c r="K24" t="s">
        <v>212</v>
      </c>
      <c r="R24">
        <v>46</v>
      </c>
    </row>
    <row r="25" spans="1:18" x14ac:dyDescent="0.25">
      <c r="A25" t="s">
        <v>910</v>
      </c>
      <c r="B25" s="1">
        <v>44211</v>
      </c>
      <c r="C25" t="s">
        <v>908</v>
      </c>
      <c r="D25" t="s">
        <v>145</v>
      </c>
      <c r="E25" t="s">
        <v>24</v>
      </c>
      <c r="F25" t="s">
        <v>215</v>
      </c>
      <c r="G25">
        <v>20</v>
      </c>
      <c r="H25" t="s">
        <v>188</v>
      </c>
      <c r="I25" t="s">
        <v>254</v>
      </c>
      <c r="J25" t="s">
        <v>516</v>
      </c>
      <c r="K25" t="s">
        <v>911</v>
      </c>
      <c r="R25">
        <v>66</v>
      </c>
    </row>
    <row r="26" spans="1:18" x14ac:dyDescent="0.25">
      <c r="A26" t="s">
        <v>954</v>
      </c>
      <c r="B26" s="1">
        <v>44218</v>
      </c>
      <c r="C26" t="s">
        <v>955</v>
      </c>
      <c r="D26" t="s">
        <v>145</v>
      </c>
      <c r="E26" t="s">
        <v>24</v>
      </c>
      <c r="F26" t="s">
        <v>323</v>
      </c>
      <c r="G26">
        <v>60</v>
      </c>
      <c r="H26" t="s">
        <v>26</v>
      </c>
      <c r="I26" t="s">
        <v>370</v>
      </c>
      <c r="J26" t="s">
        <v>498</v>
      </c>
      <c r="K26" t="s">
        <v>956</v>
      </c>
      <c r="L26">
        <v>312</v>
      </c>
      <c r="M26">
        <v>87</v>
      </c>
      <c r="N26" s="2">
        <v>0.34</v>
      </c>
      <c r="O26">
        <v>87</v>
      </c>
      <c r="P26">
        <v>15.22</v>
      </c>
      <c r="Q26">
        <v>15.22</v>
      </c>
      <c r="R26">
        <v>386</v>
      </c>
    </row>
    <row r="27" spans="1:18" x14ac:dyDescent="0.25">
      <c r="A27" t="s">
        <v>957</v>
      </c>
      <c r="B27" s="1">
        <v>44218</v>
      </c>
      <c r="C27" t="s">
        <v>958</v>
      </c>
      <c r="D27" t="s">
        <v>145</v>
      </c>
      <c r="E27" t="s">
        <v>24</v>
      </c>
      <c r="F27" t="s">
        <v>323</v>
      </c>
      <c r="G27">
        <v>5</v>
      </c>
      <c r="H27" t="s">
        <v>49</v>
      </c>
      <c r="I27" t="s">
        <v>50</v>
      </c>
      <c r="J27" t="s">
        <v>51</v>
      </c>
      <c r="K27" t="s">
        <v>934</v>
      </c>
      <c r="R27">
        <v>12</v>
      </c>
    </row>
    <row r="28" spans="1:18" x14ac:dyDescent="0.25">
      <c r="A28" t="s">
        <v>1020</v>
      </c>
      <c r="B28" s="1">
        <v>44225</v>
      </c>
      <c r="C28" t="s">
        <v>1021</v>
      </c>
      <c r="D28" t="s">
        <v>145</v>
      </c>
      <c r="E28" t="s">
        <v>24</v>
      </c>
      <c r="F28" t="s">
        <v>243</v>
      </c>
      <c r="G28">
        <v>60</v>
      </c>
      <c r="H28" t="s">
        <v>26</v>
      </c>
      <c r="I28" t="s">
        <v>370</v>
      </c>
      <c r="J28" t="s">
        <v>498</v>
      </c>
      <c r="K28" t="s">
        <v>1022</v>
      </c>
      <c r="L28">
        <v>301</v>
      </c>
      <c r="M28">
        <v>84</v>
      </c>
      <c r="N28" s="2">
        <v>0.35</v>
      </c>
      <c r="O28">
        <v>82</v>
      </c>
      <c r="P28">
        <v>15</v>
      </c>
      <c r="Q28">
        <v>15</v>
      </c>
      <c r="R28">
        <v>373</v>
      </c>
    </row>
    <row r="29" spans="1:18" x14ac:dyDescent="0.25">
      <c r="A29" t="s">
        <v>1023</v>
      </c>
      <c r="B29" s="1">
        <v>44225</v>
      </c>
      <c r="C29" t="s">
        <v>1024</v>
      </c>
      <c r="D29" t="s">
        <v>145</v>
      </c>
      <c r="E29" t="s">
        <v>24</v>
      </c>
      <c r="F29" t="s">
        <v>243</v>
      </c>
      <c r="G29">
        <v>5</v>
      </c>
      <c r="H29" t="s">
        <v>49</v>
      </c>
      <c r="I29" t="s">
        <v>50</v>
      </c>
      <c r="J29" t="s">
        <v>51</v>
      </c>
      <c r="K29" t="s">
        <v>951</v>
      </c>
      <c r="R29">
        <v>12</v>
      </c>
    </row>
    <row r="30" spans="1:18" x14ac:dyDescent="0.25">
      <c r="A30" t="s">
        <v>1080</v>
      </c>
      <c r="B30" s="1">
        <v>44232</v>
      </c>
      <c r="C30" t="s">
        <v>1078</v>
      </c>
      <c r="D30" t="s">
        <v>145</v>
      </c>
      <c r="E30" t="s">
        <v>24</v>
      </c>
      <c r="F30" t="s">
        <v>323</v>
      </c>
      <c r="G30">
        <v>75</v>
      </c>
      <c r="H30" t="s">
        <v>26</v>
      </c>
      <c r="I30" t="s">
        <v>370</v>
      </c>
      <c r="J30" t="s">
        <v>1081</v>
      </c>
      <c r="K30" t="s">
        <v>1082</v>
      </c>
      <c r="L30">
        <v>400</v>
      </c>
      <c r="M30">
        <v>89</v>
      </c>
      <c r="N30" s="2">
        <v>0.36</v>
      </c>
      <c r="O30">
        <v>83</v>
      </c>
      <c r="P30">
        <v>15.38</v>
      </c>
      <c r="Q30">
        <v>19.22</v>
      </c>
      <c r="R30">
        <v>495</v>
      </c>
    </row>
    <row r="31" spans="1:18" x14ac:dyDescent="0.25">
      <c r="A31" t="s">
        <v>1083</v>
      </c>
      <c r="B31" s="1">
        <v>44232</v>
      </c>
      <c r="C31" t="s">
        <v>1084</v>
      </c>
      <c r="D31" t="s">
        <v>145</v>
      </c>
      <c r="E31" t="s">
        <v>24</v>
      </c>
      <c r="F31" t="s">
        <v>323</v>
      </c>
      <c r="G31">
        <v>5</v>
      </c>
      <c r="H31" t="s">
        <v>26</v>
      </c>
      <c r="I31" t="s">
        <v>358</v>
      </c>
      <c r="J31" t="s">
        <v>359</v>
      </c>
      <c r="K31" t="s">
        <v>456</v>
      </c>
      <c r="L31">
        <v>15</v>
      </c>
      <c r="M31">
        <v>49</v>
      </c>
      <c r="N31" s="2">
        <v>0.25</v>
      </c>
      <c r="O31">
        <v>93</v>
      </c>
      <c r="P31">
        <v>11.91</v>
      </c>
      <c r="Q31">
        <v>0.99</v>
      </c>
      <c r="R31">
        <v>18</v>
      </c>
    </row>
    <row r="32" spans="1:18" x14ac:dyDescent="0.25">
      <c r="A32" t="s">
        <v>1085</v>
      </c>
      <c r="B32" s="1">
        <v>44232</v>
      </c>
      <c r="C32" t="s">
        <v>1086</v>
      </c>
      <c r="D32" t="s">
        <v>145</v>
      </c>
      <c r="E32" t="s">
        <v>24</v>
      </c>
      <c r="F32" t="s">
        <v>323</v>
      </c>
      <c r="G32">
        <v>5</v>
      </c>
      <c r="H32" t="s">
        <v>49</v>
      </c>
      <c r="I32" t="s">
        <v>50</v>
      </c>
      <c r="J32" t="s">
        <v>51</v>
      </c>
      <c r="K32" t="s">
        <v>502</v>
      </c>
      <c r="R32">
        <v>12</v>
      </c>
    </row>
    <row r="33" spans="1:18" x14ac:dyDescent="0.25">
      <c r="A33" t="s">
        <v>1121</v>
      </c>
      <c r="B33" s="1">
        <v>44239</v>
      </c>
      <c r="C33" t="s">
        <v>1122</v>
      </c>
      <c r="D33" t="s">
        <v>145</v>
      </c>
      <c r="E33" t="s">
        <v>24</v>
      </c>
      <c r="F33" t="s">
        <v>323</v>
      </c>
      <c r="G33">
        <v>30</v>
      </c>
      <c r="H33" t="s">
        <v>26</v>
      </c>
      <c r="I33" t="s">
        <v>370</v>
      </c>
      <c r="J33" t="s">
        <v>396</v>
      </c>
      <c r="K33" t="s">
        <v>1123</v>
      </c>
      <c r="L33">
        <v>130</v>
      </c>
      <c r="M33">
        <v>72</v>
      </c>
      <c r="N33" s="2">
        <v>0.31</v>
      </c>
      <c r="O33">
        <v>89</v>
      </c>
      <c r="P33">
        <v>14.01</v>
      </c>
      <c r="Q33">
        <v>7.01</v>
      </c>
      <c r="R33">
        <v>160</v>
      </c>
    </row>
    <row r="34" spans="1:18" x14ac:dyDescent="0.25">
      <c r="A34" t="s">
        <v>1124</v>
      </c>
      <c r="B34" s="1">
        <v>44239</v>
      </c>
      <c r="C34" t="s">
        <v>1125</v>
      </c>
      <c r="D34" t="s">
        <v>145</v>
      </c>
      <c r="E34" t="s">
        <v>24</v>
      </c>
      <c r="F34" t="s">
        <v>323</v>
      </c>
      <c r="G34">
        <v>5</v>
      </c>
      <c r="H34" t="s">
        <v>49</v>
      </c>
      <c r="I34" t="s">
        <v>50</v>
      </c>
      <c r="J34" t="s">
        <v>51</v>
      </c>
      <c r="K34" t="s">
        <v>1126</v>
      </c>
      <c r="R34">
        <v>11</v>
      </c>
    </row>
    <row r="35" spans="1:18" x14ac:dyDescent="0.25">
      <c r="A35" t="s">
        <v>1127</v>
      </c>
      <c r="B35" s="1">
        <v>44239</v>
      </c>
      <c r="C35" t="s">
        <v>1128</v>
      </c>
      <c r="D35" t="s">
        <v>145</v>
      </c>
      <c r="E35" t="s">
        <v>24</v>
      </c>
      <c r="F35" t="s">
        <v>292</v>
      </c>
      <c r="G35">
        <v>15</v>
      </c>
      <c r="H35" t="s">
        <v>194</v>
      </c>
      <c r="I35" t="s">
        <v>232</v>
      </c>
      <c r="J35" t="s">
        <v>993</v>
      </c>
      <c r="K35" t="s">
        <v>1129</v>
      </c>
      <c r="R35">
        <v>69</v>
      </c>
    </row>
    <row r="36" spans="1:18" x14ac:dyDescent="0.25">
      <c r="A36" t="s">
        <v>1175</v>
      </c>
      <c r="B36" s="1">
        <v>44246</v>
      </c>
      <c r="C36" t="s">
        <v>1176</v>
      </c>
      <c r="D36" t="s">
        <v>145</v>
      </c>
      <c r="E36" t="s">
        <v>24</v>
      </c>
      <c r="F36" t="s">
        <v>180</v>
      </c>
      <c r="G36">
        <v>5</v>
      </c>
      <c r="H36" t="s">
        <v>26</v>
      </c>
      <c r="I36" t="s">
        <v>423</v>
      </c>
      <c r="J36" t="s">
        <v>505</v>
      </c>
      <c r="K36" t="s">
        <v>1177</v>
      </c>
      <c r="L36">
        <v>23</v>
      </c>
      <c r="M36">
        <v>75</v>
      </c>
      <c r="N36" s="2">
        <v>0.32</v>
      </c>
      <c r="O36">
        <v>86</v>
      </c>
      <c r="P36">
        <v>14.28</v>
      </c>
      <c r="Q36">
        <v>1.19</v>
      </c>
      <c r="R36">
        <v>28</v>
      </c>
    </row>
    <row r="37" spans="1:18" x14ac:dyDescent="0.25">
      <c r="A37" t="s">
        <v>1178</v>
      </c>
      <c r="B37" s="1">
        <v>44246</v>
      </c>
      <c r="C37" t="s">
        <v>1179</v>
      </c>
      <c r="D37" t="s">
        <v>145</v>
      </c>
      <c r="E37" t="s">
        <v>24</v>
      </c>
      <c r="F37" t="s">
        <v>323</v>
      </c>
      <c r="G37">
        <v>60</v>
      </c>
      <c r="H37" t="s">
        <v>26</v>
      </c>
      <c r="I37" t="s">
        <v>370</v>
      </c>
      <c r="J37" t="s">
        <v>646</v>
      </c>
      <c r="K37" t="s">
        <v>1180</v>
      </c>
      <c r="L37">
        <v>333</v>
      </c>
      <c r="M37">
        <v>93</v>
      </c>
      <c r="N37" s="2">
        <v>0.36</v>
      </c>
      <c r="O37">
        <v>84</v>
      </c>
      <c r="P37">
        <v>15.52</v>
      </c>
      <c r="Q37">
        <v>15.52</v>
      </c>
      <c r="R37">
        <v>412</v>
      </c>
    </row>
    <row r="38" spans="1:18" x14ac:dyDescent="0.25">
      <c r="A38" t="s">
        <v>1181</v>
      </c>
      <c r="B38" s="1">
        <v>44246</v>
      </c>
      <c r="C38" t="s">
        <v>1182</v>
      </c>
      <c r="D38" t="s">
        <v>145</v>
      </c>
      <c r="E38" t="s">
        <v>24</v>
      </c>
      <c r="F38" t="s">
        <v>768</v>
      </c>
      <c r="G38">
        <v>10</v>
      </c>
      <c r="H38" t="s">
        <v>26</v>
      </c>
      <c r="I38" t="s">
        <v>358</v>
      </c>
      <c r="J38" t="s">
        <v>389</v>
      </c>
      <c r="K38" t="s">
        <v>1183</v>
      </c>
      <c r="L38">
        <v>42</v>
      </c>
      <c r="M38">
        <v>70</v>
      </c>
      <c r="N38" s="2">
        <v>0.35</v>
      </c>
      <c r="O38">
        <v>75</v>
      </c>
      <c r="P38">
        <v>13.91</v>
      </c>
      <c r="Q38">
        <v>2.3199999999999998</v>
      </c>
      <c r="R38">
        <v>52</v>
      </c>
    </row>
    <row r="39" spans="1:18" x14ac:dyDescent="0.25">
      <c r="A39" t="s">
        <v>1184</v>
      </c>
      <c r="B39" s="1">
        <v>44246</v>
      </c>
      <c r="C39" t="s">
        <v>1185</v>
      </c>
      <c r="D39" t="s">
        <v>145</v>
      </c>
      <c r="E39" t="s">
        <v>24</v>
      </c>
      <c r="F39" t="s">
        <v>323</v>
      </c>
      <c r="G39">
        <v>5</v>
      </c>
      <c r="H39" t="s">
        <v>49</v>
      </c>
      <c r="I39" t="s">
        <v>50</v>
      </c>
      <c r="J39" t="s">
        <v>51</v>
      </c>
      <c r="K39" t="s">
        <v>1186</v>
      </c>
      <c r="R39">
        <v>12</v>
      </c>
    </row>
    <row r="40" spans="1:18" x14ac:dyDescent="0.25">
      <c r="A40" t="s">
        <v>1237</v>
      </c>
      <c r="B40" s="1">
        <v>44253</v>
      </c>
      <c r="C40" t="s">
        <v>1238</v>
      </c>
      <c r="D40" t="s">
        <v>145</v>
      </c>
      <c r="E40" t="s">
        <v>24</v>
      </c>
      <c r="F40" t="s">
        <v>490</v>
      </c>
      <c r="G40">
        <v>5</v>
      </c>
      <c r="H40" t="s">
        <v>26</v>
      </c>
      <c r="I40" t="s">
        <v>423</v>
      </c>
      <c r="J40" t="s">
        <v>505</v>
      </c>
      <c r="K40" t="s">
        <v>1239</v>
      </c>
      <c r="L40">
        <v>26</v>
      </c>
      <c r="M40">
        <v>85</v>
      </c>
      <c r="N40" s="2">
        <v>0.32</v>
      </c>
      <c r="O40">
        <v>93</v>
      </c>
      <c r="P40">
        <v>14.88</v>
      </c>
      <c r="Q40">
        <v>1.26</v>
      </c>
      <c r="R40">
        <v>32</v>
      </c>
    </row>
    <row r="41" spans="1:18" x14ac:dyDescent="0.25">
      <c r="A41" t="s">
        <v>1240</v>
      </c>
      <c r="B41" s="1">
        <v>44253</v>
      </c>
      <c r="C41" t="s">
        <v>1241</v>
      </c>
      <c r="D41" t="s">
        <v>145</v>
      </c>
      <c r="E41" t="s">
        <v>24</v>
      </c>
      <c r="F41" t="s">
        <v>323</v>
      </c>
      <c r="G41">
        <v>60</v>
      </c>
      <c r="H41" t="s">
        <v>26</v>
      </c>
      <c r="I41" t="s">
        <v>370</v>
      </c>
      <c r="J41" t="s">
        <v>646</v>
      </c>
      <c r="K41" t="s">
        <v>1242</v>
      </c>
      <c r="L41">
        <v>345</v>
      </c>
      <c r="M41">
        <v>96</v>
      </c>
      <c r="N41" s="2">
        <v>0.36</v>
      </c>
      <c r="O41">
        <v>85</v>
      </c>
      <c r="P41">
        <v>15.76</v>
      </c>
      <c r="Q41">
        <v>15.76</v>
      </c>
      <c r="R41">
        <v>427</v>
      </c>
    </row>
    <row r="42" spans="1:18" x14ac:dyDescent="0.25">
      <c r="A42" t="s">
        <v>1243</v>
      </c>
      <c r="B42" s="1">
        <v>44253</v>
      </c>
      <c r="C42" t="s">
        <v>1244</v>
      </c>
      <c r="D42" t="s">
        <v>145</v>
      </c>
      <c r="E42" t="s">
        <v>24</v>
      </c>
      <c r="F42" t="s">
        <v>323</v>
      </c>
      <c r="G42">
        <v>5</v>
      </c>
      <c r="H42" t="s">
        <v>26</v>
      </c>
      <c r="I42" t="s">
        <v>358</v>
      </c>
      <c r="J42" t="s">
        <v>359</v>
      </c>
      <c r="K42" t="s">
        <v>1047</v>
      </c>
      <c r="L42">
        <v>20</v>
      </c>
      <c r="M42">
        <v>66</v>
      </c>
      <c r="N42" s="2">
        <v>0.28999999999999998</v>
      </c>
      <c r="O42">
        <v>91</v>
      </c>
      <c r="P42">
        <v>13.46</v>
      </c>
      <c r="Q42">
        <v>1.1200000000000001</v>
      </c>
      <c r="R42">
        <v>24</v>
      </c>
    </row>
    <row r="43" spans="1:18" x14ac:dyDescent="0.25">
      <c r="A43" t="s">
        <v>1245</v>
      </c>
      <c r="B43" s="1">
        <v>44253</v>
      </c>
      <c r="C43" t="s">
        <v>1246</v>
      </c>
      <c r="D43" t="s">
        <v>145</v>
      </c>
      <c r="E43" t="s">
        <v>24</v>
      </c>
      <c r="F43" t="s">
        <v>323</v>
      </c>
      <c r="G43">
        <v>5</v>
      </c>
      <c r="H43" t="s">
        <v>49</v>
      </c>
      <c r="I43" t="s">
        <v>50</v>
      </c>
      <c r="J43" t="s">
        <v>51</v>
      </c>
      <c r="K43" t="s">
        <v>934</v>
      </c>
      <c r="R43">
        <v>12</v>
      </c>
    </row>
    <row r="44" spans="1:18" x14ac:dyDescent="0.25">
      <c r="A44" t="s">
        <v>1274</v>
      </c>
      <c r="B44" s="1">
        <v>44260</v>
      </c>
      <c r="C44" t="s">
        <v>527</v>
      </c>
      <c r="D44" t="s">
        <v>145</v>
      </c>
      <c r="E44" t="s">
        <v>24</v>
      </c>
      <c r="F44" t="s">
        <v>215</v>
      </c>
      <c r="G44">
        <v>60</v>
      </c>
      <c r="H44" t="s">
        <v>188</v>
      </c>
      <c r="I44" t="s">
        <v>189</v>
      </c>
      <c r="J44" t="s">
        <v>216</v>
      </c>
      <c r="K44" t="s">
        <v>1275</v>
      </c>
      <c r="R44">
        <v>207</v>
      </c>
    </row>
    <row r="45" spans="1:18" x14ac:dyDescent="0.25">
      <c r="A45" t="s">
        <v>1276</v>
      </c>
      <c r="B45" s="1">
        <v>44260</v>
      </c>
      <c r="C45" t="s">
        <v>1277</v>
      </c>
      <c r="D45" t="s">
        <v>145</v>
      </c>
      <c r="E45" t="s">
        <v>24</v>
      </c>
      <c r="F45" t="s">
        <v>323</v>
      </c>
      <c r="G45">
        <v>90</v>
      </c>
      <c r="H45" t="s">
        <v>26</v>
      </c>
      <c r="I45" t="s">
        <v>370</v>
      </c>
      <c r="J45" t="s">
        <v>1278</v>
      </c>
      <c r="K45" t="s">
        <v>1279</v>
      </c>
      <c r="L45">
        <v>480</v>
      </c>
      <c r="M45">
        <v>89</v>
      </c>
      <c r="N45" s="2">
        <v>0.36</v>
      </c>
      <c r="O45">
        <v>82</v>
      </c>
      <c r="P45">
        <v>15.34</v>
      </c>
      <c r="Q45">
        <v>23.01</v>
      </c>
      <c r="R45">
        <v>594</v>
      </c>
    </row>
    <row r="46" spans="1:18" x14ac:dyDescent="0.25">
      <c r="A46" t="s">
        <v>1337</v>
      </c>
      <c r="B46" s="1">
        <v>44267</v>
      </c>
      <c r="C46" t="s">
        <v>1338</v>
      </c>
      <c r="D46" t="s">
        <v>145</v>
      </c>
      <c r="E46" t="s">
        <v>24</v>
      </c>
      <c r="F46" t="s">
        <v>215</v>
      </c>
      <c r="G46">
        <v>30</v>
      </c>
      <c r="H46" t="s">
        <v>188</v>
      </c>
      <c r="I46" t="s">
        <v>103</v>
      </c>
      <c r="J46" t="s">
        <v>1339</v>
      </c>
      <c r="K46" t="s">
        <v>1340</v>
      </c>
      <c r="R46">
        <v>99</v>
      </c>
    </row>
    <row r="47" spans="1:18" x14ac:dyDescent="0.25">
      <c r="A47" t="s">
        <v>1341</v>
      </c>
      <c r="B47" s="1">
        <v>44267</v>
      </c>
      <c r="C47" t="s">
        <v>1342</v>
      </c>
      <c r="D47" t="s">
        <v>145</v>
      </c>
      <c r="E47" t="s">
        <v>24</v>
      </c>
      <c r="F47" t="s">
        <v>323</v>
      </c>
      <c r="G47">
        <v>30</v>
      </c>
      <c r="H47" t="s">
        <v>26</v>
      </c>
      <c r="I47" t="s">
        <v>370</v>
      </c>
      <c r="J47" t="s">
        <v>396</v>
      </c>
      <c r="K47" t="s">
        <v>1343</v>
      </c>
      <c r="L47">
        <v>149</v>
      </c>
      <c r="M47">
        <v>83</v>
      </c>
      <c r="N47" s="2">
        <v>0.34</v>
      </c>
      <c r="O47">
        <v>86</v>
      </c>
      <c r="P47">
        <v>14.83</v>
      </c>
      <c r="Q47">
        <v>7.42</v>
      </c>
      <c r="R47">
        <v>184</v>
      </c>
    </row>
    <row r="48" spans="1:18" x14ac:dyDescent="0.25">
      <c r="A48" t="s">
        <v>1344</v>
      </c>
      <c r="B48" s="1">
        <v>44267</v>
      </c>
      <c r="C48" t="s">
        <v>1345</v>
      </c>
      <c r="D48" t="s">
        <v>145</v>
      </c>
      <c r="E48" t="s">
        <v>24</v>
      </c>
      <c r="F48" t="s">
        <v>180</v>
      </c>
      <c r="G48">
        <v>10</v>
      </c>
      <c r="H48" t="s">
        <v>194</v>
      </c>
      <c r="I48" t="s">
        <v>195</v>
      </c>
      <c r="J48" t="s">
        <v>211</v>
      </c>
      <c r="K48" t="s">
        <v>228</v>
      </c>
      <c r="R48">
        <v>46</v>
      </c>
    </row>
    <row r="49" spans="1:19" x14ac:dyDescent="0.25">
      <c r="A49" t="s">
        <v>1401</v>
      </c>
      <c r="B49" s="1">
        <v>44274</v>
      </c>
      <c r="C49" t="s">
        <v>1402</v>
      </c>
      <c r="D49" t="s">
        <v>145</v>
      </c>
      <c r="E49" t="s">
        <v>1403</v>
      </c>
      <c r="F49" t="s">
        <v>323</v>
      </c>
      <c r="G49">
        <v>45</v>
      </c>
      <c r="H49" t="s">
        <v>26</v>
      </c>
      <c r="I49" t="s">
        <v>370</v>
      </c>
      <c r="J49" t="s">
        <v>439</v>
      </c>
      <c r="K49" t="s">
        <v>1404</v>
      </c>
      <c r="L49">
        <v>238</v>
      </c>
      <c r="M49">
        <v>88</v>
      </c>
      <c r="N49" s="2">
        <v>0.36</v>
      </c>
      <c r="O49">
        <v>83</v>
      </c>
      <c r="P49">
        <v>15.28</v>
      </c>
      <c r="Q49">
        <v>11.46</v>
      </c>
      <c r="R49">
        <v>294</v>
      </c>
    </row>
    <row r="50" spans="1:19" x14ac:dyDescent="0.25">
      <c r="A50" t="s">
        <v>1405</v>
      </c>
      <c r="B50" s="1">
        <v>44274</v>
      </c>
      <c r="C50" t="s">
        <v>1406</v>
      </c>
      <c r="D50" t="s">
        <v>145</v>
      </c>
      <c r="E50" t="s">
        <v>24</v>
      </c>
      <c r="F50" t="s">
        <v>323</v>
      </c>
      <c r="G50">
        <v>5</v>
      </c>
      <c r="H50" t="s">
        <v>26</v>
      </c>
      <c r="I50" t="s">
        <v>358</v>
      </c>
      <c r="J50" t="s">
        <v>359</v>
      </c>
      <c r="K50" t="s">
        <v>1407</v>
      </c>
      <c r="L50">
        <v>18</v>
      </c>
      <c r="M50">
        <v>59</v>
      </c>
      <c r="N50" s="2">
        <v>0.27</v>
      </c>
      <c r="O50">
        <v>93</v>
      </c>
      <c r="P50">
        <v>12.81</v>
      </c>
      <c r="Q50">
        <v>1.07</v>
      </c>
      <c r="R50">
        <v>22</v>
      </c>
    </row>
    <row r="51" spans="1:19" x14ac:dyDescent="0.25">
      <c r="A51" t="s">
        <v>1408</v>
      </c>
      <c r="B51" s="1">
        <v>44274</v>
      </c>
      <c r="C51" t="s">
        <v>1409</v>
      </c>
      <c r="D51" t="s">
        <v>145</v>
      </c>
      <c r="E51" t="s">
        <v>24</v>
      </c>
      <c r="F51" t="s">
        <v>25</v>
      </c>
      <c r="G51">
        <v>10</v>
      </c>
      <c r="H51" t="s">
        <v>194</v>
      </c>
      <c r="I51" t="s">
        <v>700</v>
      </c>
      <c r="J51" t="s">
        <v>1282</v>
      </c>
      <c r="K51" t="s">
        <v>1410</v>
      </c>
      <c r="R51">
        <v>46</v>
      </c>
    </row>
    <row r="52" spans="1:19" x14ac:dyDescent="0.25">
      <c r="A52" t="s">
        <v>1411</v>
      </c>
      <c r="B52" s="1">
        <v>44274</v>
      </c>
      <c r="C52" t="s">
        <v>1412</v>
      </c>
      <c r="D52" t="s">
        <v>145</v>
      </c>
      <c r="E52" t="s">
        <v>24</v>
      </c>
      <c r="F52" t="s">
        <v>747</v>
      </c>
      <c r="G52">
        <v>5</v>
      </c>
      <c r="H52" t="s">
        <v>49</v>
      </c>
      <c r="I52" t="s">
        <v>50</v>
      </c>
      <c r="J52" t="s">
        <v>51</v>
      </c>
      <c r="K52" t="s">
        <v>1413</v>
      </c>
      <c r="R52">
        <v>12</v>
      </c>
    </row>
    <row r="53" spans="1:19" x14ac:dyDescent="0.25">
      <c r="A53" t="s">
        <v>1414</v>
      </c>
      <c r="B53" s="1">
        <v>44274</v>
      </c>
      <c r="C53" t="s">
        <v>1292</v>
      </c>
      <c r="D53" t="s">
        <v>145</v>
      </c>
      <c r="E53" t="s">
        <v>24</v>
      </c>
      <c r="F53" t="s">
        <v>215</v>
      </c>
      <c r="G53">
        <v>20</v>
      </c>
      <c r="H53" t="s">
        <v>464</v>
      </c>
      <c r="I53" t="s">
        <v>943</v>
      </c>
      <c r="J53" t="s">
        <v>1347</v>
      </c>
      <c r="K53" t="s">
        <v>1415</v>
      </c>
    </row>
    <row r="54" spans="1:19" x14ac:dyDescent="0.25">
      <c r="A54" t="s">
        <v>1498</v>
      </c>
      <c r="B54" s="1">
        <v>44281</v>
      </c>
      <c r="C54" t="s">
        <v>1499</v>
      </c>
      <c r="D54" t="s">
        <v>145</v>
      </c>
      <c r="E54" t="s">
        <v>24</v>
      </c>
      <c r="F54" t="s">
        <v>323</v>
      </c>
      <c r="G54">
        <v>60</v>
      </c>
      <c r="H54" t="s">
        <v>26</v>
      </c>
      <c r="I54" t="s">
        <v>370</v>
      </c>
      <c r="J54" t="s">
        <v>498</v>
      </c>
      <c r="K54" t="s">
        <v>1500</v>
      </c>
      <c r="L54">
        <v>325</v>
      </c>
      <c r="M54">
        <v>90</v>
      </c>
      <c r="N54" s="2">
        <v>0.36</v>
      </c>
      <c r="O54">
        <v>84</v>
      </c>
      <c r="P54">
        <v>15.49</v>
      </c>
      <c r="Q54">
        <v>15.5</v>
      </c>
      <c r="R54">
        <v>402</v>
      </c>
    </row>
    <row r="55" spans="1:19" x14ac:dyDescent="0.25">
      <c r="A55" t="s">
        <v>1501</v>
      </c>
      <c r="B55" s="1">
        <v>44281</v>
      </c>
      <c r="C55" t="s">
        <v>1395</v>
      </c>
      <c r="D55" t="s">
        <v>145</v>
      </c>
      <c r="E55" t="s">
        <v>24</v>
      </c>
      <c r="F55" t="s">
        <v>323</v>
      </c>
      <c r="G55">
        <v>5</v>
      </c>
      <c r="H55" t="s">
        <v>49</v>
      </c>
      <c r="I55" t="s">
        <v>50</v>
      </c>
      <c r="J55" t="s">
        <v>51</v>
      </c>
      <c r="K55" t="s">
        <v>1502</v>
      </c>
      <c r="R55">
        <v>12</v>
      </c>
    </row>
    <row r="56" spans="1:19" x14ac:dyDescent="0.25">
      <c r="A56" t="s">
        <v>1564</v>
      </c>
      <c r="B56" s="1">
        <v>44288</v>
      </c>
      <c r="C56" t="s">
        <v>1565</v>
      </c>
      <c r="D56" t="s">
        <v>145</v>
      </c>
      <c r="E56" t="s">
        <v>24</v>
      </c>
      <c r="F56" t="s">
        <v>215</v>
      </c>
      <c r="G56">
        <v>20</v>
      </c>
      <c r="H56" t="s">
        <v>188</v>
      </c>
      <c r="I56" t="s">
        <v>189</v>
      </c>
      <c r="J56" t="s">
        <v>248</v>
      </c>
      <c r="K56" t="s">
        <v>1566</v>
      </c>
      <c r="R56">
        <v>102</v>
      </c>
      <c r="S56">
        <v>111.37</v>
      </c>
    </row>
    <row r="57" spans="1:19" x14ac:dyDescent="0.25">
      <c r="A57" t="s">
        <v>1567</v>
      </c>
      <c r="B57" s="1">
        <v>44288</v>
      </c>
      <c r="C57" t="s">
        <v>734</v>
      </c>
      <c r="D57" t="s">
        <v>145</v>
      </c>
      <c r="E57" t="s">
        <v>24</v>
      </c>
      <c r="F57" t="s">
        <v>180</v>
      </c>
      <c r="G57">
        <v>10</v>
      </c>
      <c r="H57" t="s">
        <v>194</v>
      </c>
      <c r="I57" t="s">
        <v>195</v>
      </c>
      <c r="J57" t="s">
        <v>211</v>
      </c>
      <c r="K57" t="s">
        <v>1568</v>
      </c>
      <c r="R57">
        <v>49</v>
      </c>
      <c r="S57">
        <v>109.88</v>
      </c>
    </row>
    <row r="58" spans="1:19" x14ac:dyDescent="0.25">
      <c r="A58" t="s">
        <v>1620</v>
      </c>
      <c r="B58" s="1">
        <v>44295</v>
      </c>
      <c r="C58" t="s">
        <v>1606</v>
      </c>
      <c r="D58" t="s">
        <v>145</v>
      </c>
      <c r="E58" t="s">
        <v>24</v>
      </c>
      <c r="F58" t="s">
        <v>208</v>
      </c>
      <c r="G58">
        <v>30</v>
      </c>
      <c r="H58" t="s">
        <v>464</v>
      </c>
      <c r="I58" t="s">
        <v>943</v>
      </c>
      <c r="J58" t="s">
        <v>1621</v>
      </c>
      <c r="K58" t="s">
        <v>1622</v>
      </c>
    </row>
    <row r="59" spans="1:19" x14ac:dyDescent="0.25">
      <c r="A59" t="s">
        <v>1671</v>
      </c>
      <c r="B59" s="1">
        <v>44302</v>
      </c>
      <c r="C59" t="s">
        <v>1375</v>
      </c>
      <c r="D59" t="s">
        <v>145</v>
      </c>
      <c r="E59" t="s">
        <v>24</v>
      </c>
      <c r="F59" t="s">
        <v>208</v>
      </c>
      <c r="G59">
        <v>20</v>
      </c>
      <c r="H59" t="s">
        <v>464</v>
      </c>
      <c r="I59" t="s">
        <v>579</v>
      </c>
      <c r="J59" t="s">
        <v>1598</v>
      </c>
      <c r="K59" t="s">
        <v>1672</v>
      </c>
    </row>
    <row r="60" spans="1:19" x14ac:dyDescent="0.25">
      <c r="A60" t="s">
        <v>1739</v>
      </c>
      <c r="B60" s="1">
        <v>44309</v>
      </c>
      <c r="C60" t="s">
        <v>1740</v>
      </c>
      <c r="D60" t="s">
        <v>145</v>
      </c>
      <c r="E60" t="s">
        <v>24</v>
      </c>
      <c r="F60" t="s">
        <v>243</v>
      </c>
      <c r="G60">
        <v>45</v>
      </c>
      <c r="H60" t="s">
        <v>188</v>
      </c>
      <c r="I60" t="s">
        <v>254</v>
      </c>
      <c r="J60" t="s">
        <v>1741</v>
      </c>
      <c r="K60" t="s">
        <v>1742</v>
      </c>
      <c r="R60">
        <v>147</v>
      </c>
    </row>
    <row r="61" spans="1:19" x14ac:dyDescent="0.25">
      <c r="A61" t="s">
        <v>1743</v>
      </c>
      <c r="B61" s="1">
        <v>44309</v>
      </c>
      <c r="C61" t="s">
        <v>1744</v>
      </c>
      <c r="D61" t="s">
        <v>145</v>
      </c>
      <c r="E61" t="s">
        <v>24</v>
      </c>
      <c r="F61" t="s">
        <v>208</v>
      </c>
      <c r="G61">
        <v>10</v>
      </c>
      <c r="H61" t="s">
        <v>464</v>
      </c>
      <c r="I61" t="s">
        <v>763</v>
      </c>
      <c r="J61" t="s">
        <v>764</v>
      </c>
      <c r="K61" t="s">
        <v>1745</v>
      </c>
    </row>
    <row r="62" spans="1:19" x14ac:dyDescent="0.25">
      <c r="A62" t="s">
        <v>1804</v>
      </c>
      <c r="B62" s="1">
        <v>44316</v>
      </c>
      <c r="C62" t="s">
        <v>1402</v>
      </c>
      <c r="D62" t="s">
        <v>145</v>
      </c>
      <c r="E62" t="s">
        <v>24</v>
      </c>
      <c r="F62" t="s">
        <v>323</v>
      </c>
      <c r="G62">
        <v>60</v>
      </c>
      <c r="H62" t="s">
        <v>26</v>
      </c>
      <c r="I62" t="s">
        <v>370</v>
      </c>
      <c r="J62" t="s">
        <v>498</v>
      </c>
      <c r="K62" t="s">
        <v>1805</v>
      </c>
      <c r="L62">
        <v>323</v>
      </c>
      <c r="M62">
        <v>90</v>
      </c>
      <c r="N62" s="2">
        <v>0.35</v>
      </c>
      <c r="O62">
        <v>85</v>
      </c>
      <c r="P62">
        <v>15.31</v>
      </c>
      <c r="Q62">
        <v>15.31</v>
      </c>
      <c r="R62">
        <v>400</v>
      </c>
    </row>
    <row r="63" spans="1:19" x14ac:dyDescent="0.25">
      <c r="A63" t="s">
        <v>1806</v>
      </c>
      <c r="B63" s="1">
        <v>44316</v>
      </c>
      <c r="C63" t="s">
        <v>1454</v>
      </c>
      <c r="D63" t="s">
        <v>145</v>
      </c>
      <c r="E63" t="s">
        <v>24</v>
      </c>
      <c r="F63" t="s">
        <v>208</v>
      </c>
      <c r="G63">
        <v>20</v>
      </c>
      <c r="H63" t="s">
        <v>464</v>
      </c>
      <c r="I63" t="s">
        <v>763</v>
      </c>
      <c r="J63" t="s">
        <v>1385</v>
      </c>
      <c r="K63" t="s">
        <v>1807</v>
      </c>
    </row>
    <row r="64" spans="1:19" x14ac:dyDescent="0.25">
      <c r="A64" t="s">
        <v>1878</v>
      </c>
      <c r="B64" s="1">
        <v>44323</v>
      </c>
      <c r="C64" t="s">
        <v>179</v>
      </c>
      <c r="D64" t="s">
        <v>145</v>
      </c>
      <c r="E64" t="s">
        <v>24</v>
      </c>
      <c r="F64" t="s">
        <v>170</v>
      </c>
      <c r="G64">
        <v>20</v>
      </c>
      <c r="H64" t="s">
        <v>1856</v>
      </c>
      <c r="I64" t="s">
        <v>1857</v>
      </c>
      <c r="J64" t="s">
        <v>1879</v>
      </c>
      <c r="K64" t="s">
        <v>1880</v>
      </c>
      <c r="L64">
        <v>0</v>
      </c>
      <c r="P64">
        <v>2.8</v>
      </c>
      <c r="Q64">
        <v>0.57999999999999996</v>
      </c>
      <c r="R64">
        <v>72</v>
      </c>
    </row>
    <row r="65" spans="1:19" x14ac:dyDescent="0.25">
      <c r="A65" t="s">
        <v>1881</v>
      </c>
      <c r="B65" s="1">
        <v>44323</v>
      </c>
      <c r="C65" t="s">
        <v>1882</v>
      </c>
      <c r="D65" t="s">
        <v>145</v>
      </c>
      <c r="E65" t="s">
        <v>24</v>
      </c>
      <c r="F65" t="s">
        <v>208</v>
      </c>
      <c r="G65">
        <v>20</v>
      </c>
      <c r="H65" t="s">
        <v>464</v>
      </c>
      <c r="I65" t="s">
        <v>763</v>
      </c>
      <c r="J65" t="s">
        <v>1385</v>
      </c>
      <c r="K65" t="s">
        <v>1807</v>
      </c>
    </row>
    <row r="66" spans="1:19" x14ac:dyDescent="0.25">
      <c r="A66" t="s">
        <v>1935</v>
      </c>
      <c r="B66" s="1">
        <v>44330</v>
      </c>
      <c r="C66" t="s">
        <v>1936</v>
      </c>
      <c r="D66" t="s">
        <v>145</v>
      </c>
      <c r="E66" t="s">
        <v>24</v>
      </c>
      <c r="F66" t="s">
        <v>208</v>
      </c>
      <c r="G66">
        <v>20</v>
      </c>
      <c r="H66" t="s">
        <v>464</v>
      </c>
      <c r="I66" t="s">
        <v>763</v>
      </c>
      <c r="J66" t="s">
        <v>1385</v>
      </c>
      <c r="K66" t="s">
        <v>1807</v>
      </c>
    </row>
    <row r="67" spans="1:19" x14ac:dyDescent="0.25">
      <c r="A67" t="s">
        <v>2001</v>
      </c>
      <c r="B67" s="1">
        <v>44337</v>
      </c>
      <c r="C67" t="s">
        <v>1779</v>
      </c>
      <c r="D67" t="s">
        <v>145</v>
      </c>
      <c r="E67" t="s">
        <v>24</v>
      </c>
      <c r="F67" t="s">
        <v>323</v>
      </c>
      <c r="G67">
        <v>30</v>
      </c>
      <c r="H67" t="s">
        <v>26</v>
      </c>
      <c r="I67" t="s">
        <v>370</v>
      </c>
      <c r="J67" t="s">
        <v>1378</v>
      </c>
      <c r="K67" t="s">
        <v>1379</v>
      </c>
      <c r="L67">
        <v>152</v>
      </c>
      <c r="M67">
        <v>84</v>
      </c>
      <c r="N67" s="2">
        <v>0.34</v>
      </c>
      <c r="O67">
        <v>86</v>
      </c>
      <c r="P67">
        <v>14.98</v>
      </c>
      <c r="Q67">
        <v>7.49</v>
      </c>
      <c r="R67">
        <v>187</v>
      </c>
    </row>
    <row r="68" spans="1:19" x14ac:dyDescent="0.25">
      <c r="A68" t="s">
        <v>2002</v>
      </c>
      <c r="B68" s="1">
        <v>44337</v>
      </c>
      <c r="C68" t="s">
        <v>2003</v>
      </c>
      <c r="D68" t="s">
        <v>145</v>
      </c>
      <c r="E68" t="s">
        <v>24</v>
      </c>
      <c r="F68" t="s">
        <v>323</v>
      </c>
      <c r="G68">
        <v>5</v>
      </c>
      <c r="H68" t="s">
        <v>49</v>
      </c>
      <c r="I68" t="s">
        <v>50</v>
      </c>
      <c r="J68" t="s">
        <v>51</v>
      </c>
      <c r="K68" t="s">
        <v>1656</v>
      </c>
      <c r="R68">
        <v>12</v>
      </c>
    </row>
    <row r="69" spans="1:19" x14ac:dyDescent="0.25">
      <c r="A69" t="s">
        <v>2004</v>
      </c>
      <c r="B69" s="1">
        <v>44337</v>
      </c>
      <c r="C69" t="s">
        <v>2005</v>
      </c>
      <c r="D69" t="s">
        <v>145</v>
      </c>
      <c r="E69" t="s">
        <v>24</v>
      </c>
      <c r="F69" t="s">
        <v>1203</v>
      </c>
      <c r="G69">
        <v>10</v>
      </c>
      <c r="H69" t="s">
        <v>194</v>
      </c>
      <c r="I69" t="s">
        <v>195</v>
      </c>
      <c r="J69" t="s">
        <v>211</v>
      </c>
      <c r="K69" t="s">
        <v>2006</v>
      </c>
      <c r="R69">
        <v>46</v>
      </c>
    </row>
    <row r="70" spans="1:19" x14ac:dyDescent="0.25">
      <c r="A70" t="s">
        <v>2007</v>
      </c>
      <c r="B70" s="1">
        <v>44337</v>
      </c>
      <c r="C70" t="s">
        <v>1406</v>
      </c>
      <c r="D70" t="s">
        <v>145</v>
      </c>
      <c r="E70" t="s">
        <v>24</v>
      </c>
      <c r="F70" t="s">
        <v>660</v>
      </c>
      <c r="G70">
        <v>10</v>
      </c>
      <c r="H70" t="s">
        <v>194</v>
      </c>
      <c r="I70" t="s">
        <v>700</v>
      </c>
      <c r="J70" t="s">
        <v>1282</v>
      </c>
      <c r="K70" t="s">
        <v>2008</v>
      </c>
      <c r="R70">
        <v>46</v>
      </c>
    </row>
    <row r="71" spans="1:19" x14ac:dyDescent="0.25">
      <c r="A71" t="s">
        <v>2009</v>
      </c>
      <c r="B71" s="1">
        <v>44337</v>
      </c>
      <c r="C71" t="s">
        <v>2010</v>
      </c>
      <c r="D71" t="s">
        <v>145</v>
      </c>
      <c r="E71" t="s">
        <v>24</v>
      </c>
      <c r="F71" t="s">
        <v>215</v>
      </c>
      <c r="G71">
        <v>20</v>
      </c>
      <c r="H71" t="s">
        <v>464</v>
      </c>
      <c r="I71" t="s">
        <v>1571</v>
      </c>
      <c r="J71" t="s">
        <v>1572</v>
      </c>
      <c r="K71" t="s">
        <v>1573</v>
      </c>
    </row>
    <row r="72" spans="1:19" x14ac:dyDescent="0.25">
      <c r="A72" t="s">
        <v>2124</v>
      </c>
      <c r="B72" s="1">
        <v>44351</v>
      </c>
      <c r="C72" t="s">
        <v>2125</v>
      </c>
      <c r="D72" t="s">
        <v>145</v>
      </c>
      <c r="E72" t="s">
        <v>24</v>
      </c>
      <c r="F72" t="s">
        <v>237</v>
      </c>
      <c r="G72">
        <v>10</v>
      </c>
      <c r="H72" t="s">
        <v>464</v>
      </c>
      <c r="I72" t="s">
        <v>943</v>
      </c>
      <c r="J72" t="s">
        <v>944</v>
      </c>
      <c r="K72" t="s">
        <v>2126</v>
      </c>
    </row>
    <row r="73" spans="1:19" x14ac:dyDescent="0.25">
      <c r="A73" t="s">
        <v>2192</v>
      </c>
      <c r="B73" s="1">
        <v>44358</v>
      </c>
      <c r="C73" t="s">
        <v>1157</v>
      </c>
      <c r="D73" t="s">
        <v>145</v>
      </c>
      <c r="E73" t="s">
        <v>24</v>
      </c>
      <c r="F73" t="s">
        <v>215</v>
      </c>
      <c r="G73">
        <v>20</v>
      </c>
      <c r="H73" t="s">
        <v>188</v>
      </c>
      <c r="I73" t="s">
        <v>238</v>
      </c>
      <c r="J73" t="s">
        <v>796</v>
      </c>
      <c r="K73" t="s">
        <v>2193</v>
      </c>
      <c r="R73">
        <v>65</v>
      </c>
      <c r="S73">
        <v>98.58</v>
      </c>
    </row>
    <row r="74" spans="1:19" x14ac:dyDescent="0.25">
      <c r="A74" t="s">
        <v>2255</v>
      </c>
      <c r="B74" s="1">
        <v>44365</v>
      </c>
      <c r="C74" t="s">
        <v>2166</v>
      </c>
      <c r="D74" t="s">
        <v>145</v>
      </c>
      <c r="E74" t="s">
        <v>24</v>
      </c>
      <c r="F74" t="s">
        <v>2256</v>
      </c>
      <c r="G74">
        <v>10</v>
      </c>
      <c r="H74" t="s">
        <v>194</v>
      </c>
      <c r="I74" t="s">
        <v>195</v>
      </c>
      <c r="J74" t="s">
        <v>211</v>
      </c>
      <c r="K74" t="s">
        <v>2257</v>
      </c>
      <c r="R74">
        <v>46</v>
      </c>
    </row>
    <row r="75" spans="1:19" x14ac:dyDescent="0.25">
      <c r="A75" t="s">
        <v>2258</v>
      </c>
      <c r="B75" s="1">
        <v>44365</v>
      </c>
      <c r="C75" t="s">
        <v>711</v>
      </c>
      <c r="D75" t="s">
        <v>145</v>
      </c>
      <c r="E75" t="s">
        <v>24</v>
      </c>
      <c r="F75" t="s">
        <v>243</v>
      </c>
      <c r="G75">
        <v>30</v>
      </c>
      <c r="H75" t="s">
        <v>188</v>
      </c>
      <c r="I75" t="s">
        <v>189</v>
      </c>
      <c r="J75" t="s">
        <v>201</v>
      </c>
      <c r="K75" t="s">
        <v>2259</v>
      </c>
      <c r="R75">
        <v>97</v>
      </c>
    </row>
    <row r="76" spans="1:19" x14ac:dyDescent="0.25">
      <c r="A76" t="s">
        <v>2260</v>
      </c>
      <c r="B76" s="1">
        <v>44365</v>
      </c>
      <c r="C76" t="s">
        <v>1310</v>
      </c>
      <c r="D76" t="s">
        <v>145</v>
      </c>
      <c r="E76" t="s">
        <v>24</v>
      </c>
      <c r="F76" t="s">
        <v>208</v>
      </c>
      <c r="G76">
        <v>20</v>
      </c>
      <c r="H76" t="s">
        <v>464</v>
      </c>
      <c r="I76" t="s">
        <v>943</v>
      </c>
      <c r="J76" t="s">
        <v>1347</v>
      </c>
      <c r="K76" t="s">
        <v>2261</v>
      </c>
    </row>
    <row r="77" spans="1:19" x14ac:dyDescent="0.25">
      <c r="A77" t="s">
        <v>2317</v>
      </c>
      <c r="B77" s="1">
        <v>44372</v>
      </c>
      <c r="C77" t="s">
        <v>1402</v>
      </c>
      <c r="D77" t="s">
        <v>145</v>
      </c>
      <c r="E77" t="s">
        <v>24</v>
      </c>
      <c r="F77" t="s">
        <v>323</v>
      </c>
      <c r="G77">
        <v>60</v>
      </c>
      <c r="H77" t="s">
        <v>26</v>
      </c>
      <c r="I77" t="s">
        <v>370</v>
      </c>
      <c r="J77" t="s">
        <v>498</v>
      </c>
      <c r="K77" t="s">
        <v>2318</v>
      </c>
      <c r="L77">
        <v>369</v>
      </c>
      <c r="M77">
        <v>103</v>
      </c>
      <c r="N77" s="2">
        <v>0.38</v>
      </c>
      <c r="O77">
        <v>82</v>
      </c>
      <c r="P77">
        <v>16.3</v>
      </c>
      <c r="Q77">
        <v>16.3</v>
      </c>
      <c r="R77">
        <v>455</v>
      </c>
    </row>
    <row r="78" spans="1:19" x14ac:dyDescent="0.25">
      <c r="A78" t="s">
        <v>2319</v>
      </c>
      <c r="B78" s="1">
        <v>44372</v>
      </c>
      <c r="C78" t="s">
        <v>2320</v>
      </c>
      <c r="D78" t="s">
        <v>145</v>
      </c>
      <c r="E78" t="s">
        <v>24</v>
      </c>
      <c r="F78" t="s">
        <v>323</v>
      </c>
      <c r="G78">
        <v>5</v>
      </c>
      <c r="H78" t="s">
        <v>49</v>
      </c>
      <c r="I78" t="s">
        <v>50</v>
      </c>
      <c r="J78" t="s">
        <v>51</v>
      </c>
      <c r="K78" t="s">
        <v>1656</v>
      </c>
      <c r="R78">
        <v>12</v>
      </c>
    </row>
    <row r="79" spans="1:19" x14ac:dyDescent="0.25">
      <c r="A79" t="s">
        <v>2321</v>
      </c>
      <c r="B79" s="1">
        <v>44372</v>
      </c>
      <c r="C79" t="s">
        <v>1361</v>
      </c>
      <c r="D79" t="s">
        <v>145</v>
      </c>
      <c r="E79" t="s">
        <v>24</v>
      </c>
      <c r="F79" t="s">
        <v>459</v>
      </c>
      <c r="G79">
        <v>15</v>
      </c>
      <c r="H79" t="s">
        <v>464</v>
      </c>
      <c r="I79" t="s">
        <v>1571</v>
      </c>
      <c r="J79" t="s">
        <v>2322</v>
      </c>
      <c r="K79" t="s">
        <v>2323</v>
      </c>
    </row>
    <row r="80" spans="1:19" x14ac:dyDescent="0.25">
      <c r="A80" t="s">
        <v>2387</v>
      </c>
      <c r="B80" s="1">
        <v>44379</v>
      </c>
      <c r="C80" t="s">
        <v>2388</v>
      </c>
      <c r="D80" t="s">
        <v>145</v>
      </c>
      <c r="E80" t="s">
        <v>24</v>
      </c>
      <c r="F80" t="s">
        <v>323</v>
      </c>
      <c r="G80">
        <v>60</v>
      </c>
      <c r="H80" t="s">
        <v>26</v>
      </c>
      <c r="I80" t="s">
        <v>370</v>
      </c>
      <c r="J80" t="s">
        <v>646</v>
      </c>
      <c r="K80" t="s">
        <v>2389</v>
      </c>
      <c r="L80">
        <v>378</v>
      </c>
      <c r="M80">
        <v>105</v>
      </c>
      <c r="N80" s="2">
        <v>0.37</v>
      </c>
      <c r="O80">
        <v>85</v>
      </c>
      <c r="P80">
        <v>16.28</v>
      </c>
      <c r="Q80">
        <v>16.28</v>
      </c>
      <c r="R80">
        <v>466</v>
      </c>
    </row>
    <row r="81" spans="1:18" x14ac:dyDescent="0.25">
      <c r="A81" t="s">
        <v>2390</v>
      </c>
      <c r="B81" s="1">
        <v>44379</v>
      </c>
      <c r="C81" t="s">
        <v>2391</v>
      </c>
      <c r="D81" t="s">
        <v>145</v>
      </c>
      <c r="E81" t="s">
        <v>24</v>
      </c>
      <c r="F81" t="s">
        <v>660</v>
      </c>
      <c r="G81">
        <v>10</v>
      </c>
      <c r="H81" t="s">
        <v>26</v>
      </c>
      <c r="I81" t="s">
        <v>358</v>
      </c>
      <c r="J81" t="s">
        <v>2392</v>
      </c>
      <c r="K81" t="s">
        <v>2393</v>
      </c>
      <c r="L81">
        <v>47</v>
      </c>
      <c r="M81">
        <v>78</v>
      </c>
      <c r="N81" s="2">
        <v>0.35</v>
      </c>
      <c r="O81">
        <v>78</v>
      </c>
      <c r="P81">
        <v>14.57</v>
      </c>
      <c r="Q81">
        <v>2.4300000000000002</v>
      </c>
      <c r="R81">
        <v>58</v>
      </c>
    </row>
    <row r="82" spans="1:18" x14ac:dyDescent="0.25">
      <c r="A82" t="s">
        <v>2394</v>
      </c>
      <c r="B82" s="1">
        <v>44379</v>
      </c>
      <c r="C82" t="s">
        <v>2395</v>
      </c>
      <c r="D82" t="s">
        <v>145</v>
      </c>
      <c r="E82" t="s">
        <v>24</v>
      </c>
      <c r="F82" t="s">
        <v>25</v>
      </c>
      <c r="G82">
        <v>5</v>
      </c>
      <c r="H82" t="s">
        <v>49</v>
      </c>
      <c r="I82" t="s">
        <v>50</v>
      </c>
      <c r="J82" t="s">
        <v>51</v>
      </c>
      <c r="K82" t="s">
        <v>2396</v>
      </c>
      <c r="R82">
        <v>11</v>
      </c>
    </row>
    <row r="83" spans="1:18" x14ac:dyDescent="0.25">
      <c r="A83" t="s">
        <v>2397</v>
      </c>
      <c r="B83" s="1">
        <v>44379</v>
      </c>
      <c r="C83" t="s">
        <v>2398</v>
      </c>
      <c r="D83" t="s">
        <v>145</v>
      </c>
      <c r="E83" t="s">
        <v>24</v>
      </c>
      <c r="F83" t="s">
        <v>335</v>
      </c>
      <c r="G83">
        <v>10</v>
      </c>
      <c r="H83" t="s">
        <v>194</v>
      </c>
      <c r="I83" t="s">
        <v>195</v>
      </c>
      <c r="J83" t="s">
        <v>211</v>
      </c>
      <c r="K83" t="s">
        <v>2399</v>
      </c>
      <c r="R83">
        <v>46</v>
      </c>
    </row>
    <row r="84" spans="1:18" x14ac:dyDescent="0.25">
      <c r="A84" t="s">
        <v>2400</v>
      </c>
      <c r="B84" s="1">
        <v>44379</v>
      </c>
      <c r="C84" t="s">
        <v>1562</v>
      </c>
      <c r="D84" t="s">
        <v>145</v>
      </c>
      <c r="E84" t="s">
        <v>24</v>
      </c>
      <c r="F84" t="s">
        <v>459</v>
      </c>
      <c r="G84">
        <v>10</v>
      </c>
      <c r="H84" t="s">
        <v>464</v>
      </c>
      <c r="I84" t="s">
        <v>579</v>
      </c>
      <c r="J84" t="s">
        <v>580</v>
      </c>
      <c r="K84" t="s">
        <v>2401</v>
      </c>
    </row>
    <row r="85" spans="1:18" x14ac:dyDescent="0.25">
      <c r="A85" t="s">
        <v>2435</v>
      </c>
      <c r="B85" s="1">
        <v>44386</v>
      </c>
      <c r="C85" t="s">
        <v>2436</v>
      </c>
      <c r="D85" t="s">
        <v>145</v>
      </c>
      <c r="E85" t="s">
        <v>24</v>
      </c>
      <c r="F85" t="s">
        <v>323</v>
      </c>
      <c r="G85">
        <v>60</v>
      </c>
      <c r="H85" t="s">
        <v>26</v>
      </c>
      <c r="I85" t="s">
        <v>370</v>
      </c>
      <c r="J85" t="s">
        <v>498</v>
      </c>
      <c r="K85" t="s">
        <v>2437</v>
      </c>
      <c r="L85">
        <v>360</v>
      </c>
      <c r="M85">
        <v>100</v>
      </c>
      <c r="N85" s="2">
        <v>0.38</v>
      </c>
      <c r="O85">
        <v>82</v>
      </c>
      <c r="P85">
        <v>16.12</v>
      </c>
      <c r="Q85">
        <v>16.12</v>
      </c>
      <c r="R85">
        <v>444</v>
      </c>
    </row>
    <row r="86" spans="1:18" x14ac:dyDescent="0.25">
      <c r="A86" t="s">
        <v>2438</v>
      </c>
      <c r="B86" s="1">
        <v>44386</v>
      </c>
      <c r="C86" t="s">
        <v>2439</v>
      </c>
      <c r="D86" t="s">
        <v>145</v>
      </c>
      <c r="E86" t="s">
        <v>24</v>
      </c>
      <c r="F86" t="s">
        <v>292</v>
      </c>
      <c r="G86">
        <v>15</v>
      </c>
      <c r="H86" t="s">
        <v>194</v>
      </c>
      <c r="I86" t="s">
        <v>232</v>
      </c>
      <c r="J86" t="s">
        <v>993</v>
      </c>
      <c r="K86" t="s">
        <v>2440</v>
      </c>
      <c r="R86">
        <v>69</v>
      </c>
    </row>
    <row r="87" spans="1:18" x14ac:dyDescent="0.25">
      <c r="A87" t="s">
        <v>2441</v>
      </c>
      <c r="B87" s="1">
        <v>44386</v>
      </c>
      <c r="C87" t="s">
        <v>2442</v>
      </c>
      <c r="D87" t="s">
        <v>145</v>
      </c>
      <c r="E87" t="s">
        <v>24</v>
      </c>
      <c r="F87" t="s">
        <v>292</v>
      </c>
      <c r="G87">
        <v>10</v>
      </c>
      <c r="H87" t="s">
        <v>194</v>
      </c>
      <c r="I87" t="s">
        <v>195</v>
      </c>
      <c r="J87" t="s">
        <v>211</v>
      </c>
      <c r="K87" t="s">
        <v>2443</v>
      </c>
      <c r="R87">
        <v>46</v>
      </c>
    </row>
    <row r="88" spans="1:18" x14ac:dyDescent="0.25">
      <c r="A88" t="s">
        <v>2444</v>
      </c>
      <c r="B88" s="1">
        <v>44386</v>
      </c>
      <c r="C88" t="s">
        <v>2445</v>
      </c>
      <c r="D88" t="s">
        <v>145</v>
      </c>
      <c r="E88" t="s">
        <v>24</v>
      </c>
      <c r="F88" t="s">
        <v>323</v>
      </c>
      <c r="G88">
        <v>10</v>
      </c>
      <c r="H88" t="s">
        <v>49</v>
      </c>
      <c r="I88" t="s">
        <v>226</v>
      </c>
      <c r="J88" t="s">
        <v>2446</v>
      </c>
      <c r="K88" t="s">
        <v>2447</v>
      </c>
      <c r="R88">
        <v>23</v>
      </c>
    </row>
    <row r="89" spans="1:18" x14ac:dyDescent="0.25">
      <c r="A89" t="s">
        <v>2448</v>
      </c>
      <c r="B89" s="1">
        <v>44386</v>
      </c>
      <c r="C89" t="s">
        <v>2449</v>
      </c>
      <c r="D89" t="s">
        <v>145</v>
      </c>
      <c r="E89" t="s">
        <v>24</v>
      </c>
      <c r="F89" t="s">
        <v>200</v>
      </c>
      <c r="G89">
        <v>10</v>
      </c>
      <c r="H89" t="s">
        <v>464</v>
      </c>
      <c r="I89" t="s">
        <v>579</v>
      </c>
      <c r="J89" t="s">
        <v>1820</v>
      </c>
      <c r="K89" t="s">
        <v>1563</v>
      </c>
    </row>
    <row r="90" spans="1:18" x14ac:dyDescent="0.25">
      <c r="A90" t="s">
        <v>2521</v>
      </c>
      <c r="B90" s="1">
        <v>44393</v>
      </c>
      <c r="C90" t="s">
        <v>2522</v>
      </c>
      <c r="D90" t="s">
        <v>145</v>
      </c>
      <c r="E90" t="s">
        <v>24</v>
      </c>
      <c r="F90" t="s">
        <v>292</v>
      </c>
      <c r="G90">
        <v>60</v>
      </c>
      <c r="H90" t="s">
        <v>605</v>
      </c>
      <c r="I90" t="s">
        <v>44</v>
      </c>
      <c r="J90" t="s">
        <v>2523</v>
      </c>
      <c r="K90" t="s">
        <v>2524</v>
      </c>
      <c r="L90">
        <v>188</v>
      </c>
      <c r="P90">
        <v>15.65</v>
      </c>
      <c r="Q90">
        <v>8.4700000000000006</v>
      </c>
      <c r="R90">
        <v>319</v>
      </c>
    </row>
    <row r="91" spans="1:18" x14ac:dyDescent="0.25">
      <c r="A91" t="s">
        <v>2525</v>
      </c>
      <c r="B91" s="1">
        <v>44393</v>
      </c>
      <c r="C91" t="s">
        <v>1594</v>
      </c>
      <c r="D91" t="s">
        <v>145</v>
      </c>
      <c r="E91" t="s">
        <v>24</v>
      </c>
      <c r="F91" t="s">
        <v>335</v>
      </c>
      <c r="G91">
        <v>10</v>
      </c>
      <c r="H91" t="s">
        <v>26</v>
      </c>
      <c r="I91" t="s">
        <v>358</v>
      </c>
      <c r="J91" t="s">
        <v>389</v>
      </c>
      <c r="K91" t="s">
        <v>2526</v>
      </c>
      <c r="L91">
        <v>49</v>
      </c>
      <c r="M91">
        <v>82</v>
      </c>
      <c r="N91" s="2">
        <v>0.37</v>
      </c>
      <c r="O91">
        <v>76</v>
      </c>
      <c r="P91">
        <v>14.86</v>
      </c>
      <c r="Q91">
        <v>2.48</v>
      </c>
      <c r="R91">
        <v>61</v>
      </c>
    </row>
    <row r="92" spans="1:18" x14ac:dyDescent="0.25">
      <c r="A92" t="s">
        <v>2569</v>
      </c>
      <c r="B92" s="1">
        <v>44400</v>
      </c>
      <c r="C92" t="s">
        <v>2409</v>
      </c>
      <c r="D92" t="s">
        <v>145</v>
      </c>
      <c r="E92" t="s">
        <v>24</v>
      </c>
      <c r="F92" t="s">
        <v>323</v>
      </c>
      <c r="G92">
        <v>60</v>
      </c>
      <c r="H92" t="s">
        <v>26</v>
      </c>
      <c r="I92" t="s">
        <v>370</v>
      </c>
      <c r="J92" t="s">
        <v>498</v>
      </c>
      <c r="K92" t="s">
        <v>2570</v>
      </c>
      <c r="L92">
        <v>345</v>
      </c>
      <c r="M92">
        <v>96</v>
      </c>
      <c r="N92" s="2">
        <v>0.37</v>
      </c>
      <c r="O92">
        <v>83</v>
      </c>
      <c r="P92">
        <v>15.85</v>
      </c>
      <c r="Q92">
        <v>15.85</v>
      </c>
      <c r="R92">
        <v>425</v>
      </c>
    </row>
    <row r="93" spans="1:18" x14ac:dyDescent="0.25">
      <c r="A93" t="s">
        <v>2571</v>
      </c>
      <c r="B93" s="1">
        <v>44400</v>
      </c>
      <c r="C93" t="s">
        <v>1809</v>
      </c>
      <c r="D93" t="s">
        <v>145</v>
      </c>
      <c r="E93" t="s">
        <v>24</v>
      </c>
      <c r="F93" t="s">
        <v>323</v>
      </c>
      <c r="G93">
        <v>5</v>
      </c>
      <c r="H93" t="s">
        <v>26</v>
      </c>
      <c r="I93" t="s">
        <v>358</v>
      </c>
      <c r="J93" t="s">
        <v>359</v>
      </c>
      <c r="K93" t="s">
        <v>1842</v>
      </c>
      <c r="L93">
        <v>19</v>
      </c>
      <c r="M93">
        <v>64</v>
      </c>
      <c r="N93" s="2">
        <v>0.31</v>
      </c>
      <c r="O93">
        <v>83</v>
      </c>
      <c r="P93">
        <v>13.4</v>
      </c>
      <c r="Q93">
        <v>1.1200000000000001</v>
      </c>
      <c r="R93">
        <v>24</v>
      </c>
    </row>
    <row r="94" spans="1:18" x14ac:dyDescent="0.25">
      <c r="A94" t="s">
        <v>2572</v>
      </c>
      <c r="B94" s="1">
        <v>44400</v>
      </c>
      <c r="C94" t="s">
        <v>2111</v>
      </c>
      <c r="D94" t="s">
        <v>145</v>
      </c>
      <c r="E94" t="s">
        <v>24</v>
      </c>
      <c r="F94" t="s">
        <v>305</v>
      </c>
      <c r="G94">
        <v>10</v>
      </c>
      <c r="H94" t="s">
        <v>194</v>
      </c>
      <c r="I94" t="s">
        <v>195</v>
      </c>
      <c r="J94" t="s">
        <v>211</v>
      </c>
      <c r="K94" t="s">
        <v>2573</v>
      </c>
      <c r="R94">
        <v>46</v>
      </c>
    </row>
    <row r="95" spans="1:18" x14ac:dyDescent="0.25">
      <c r="A95" t="s">
        <v>2574</v>
      </c>
      <c r="B95" s="1">
        <v>44400</v>
      </c>
      <c r="C95" t="s">
        <v>1795</v>
      </c>
      <c r="D95" t="s">
        <v>145</v>
      </c>
      <c r="E95" t="s">
        <v>24</v>
      </c>
      <c r="F95" t="s">
        <v>323</v>
      </c>
      <c r="G95">
        <v>5</v>
      </c>
      <c r="H95" t="s">
        <v>49</v>
      </c>
      <c r="I95" t="s">
        <v>50</v>
      </c>
      <c r="J95" t="s">
        <v>51</v>
      </c>
      <c r="K95" t="s">
        <v>1656</v>
      </c>
      <c r="R95">
        <v>11</v>
      </c>
    </row>
    <row r="96" spans="1:18" x14ac:dyDescent="0.25">
      <c r="A96" t="s">
        <v>2575</v>
      </c>
      <c r="B96" s="1">
        <v>44400</v>
      </c>
      <c r="C96" t="s">
        <v>2576</v>
      </c>
      <c r="D96" t="s">
        <v>145</v>
      </c>
      <c r="E96" t="s">
        <v>24</v>
      </c>
      <c r="F96" t="s">
        <v>243</v>
      </c>
      <c r="G96">
        <v>10</v>
      </c>
      <c r="H96" t="s">
        <v>188</v>
      </c>
      <c r="I96" t="s">
        <v>2479</v>
      </c>
      <c r="J96" t="s">
        <v>2539</v>
      </c>
      <c r="K96" t="s">
        <v>2577</v>
      </c>
      <c r="R96">
        <v>33</v>
      </c>
    </row>
    <row r="97" spans="1:18" x14ac:dyDescent="0.25">
      <c r="A97" t="s">
        <v>2638</v>
      </c>
      <c r="B97" s="1">
        <v>44407</v>
      </c>
      <c r="C97" t="s">
        <v>2639</v>
      </c>
      <c r="D97" t="s">
        <v>145</v>
      </c>
      <c r="E97" t="s">
        <v>24</v>
      </c>
      <c r="F97" t="s">
        <v>323</v>
      </c>
      <c r="G97">
        <v>60</v>
      </c>
      <c r="H97" t="s">
        <v>26</v>
      </c>
      <c r="I97" t="s">
        <v>370</v>
      </c>
      <c r="J97" t="s">
        <v>498</v>
      </c>
      <c r="K97" t="s">
        <v>2640</v>
      </c>
      <c r="L97">
        <v>358</v>
      </c>
      <c r="M97">
        <v>99</v>
      </c>
      <c r="N97" s="2">
        <v>0.37</v>
      </c>
      <c r="O97">
        <v>85</v>
      </c>
      <c r="P97">
        <v>16.09</v>
      </c>
      <c r="Q97">
        <v>16.09</v>
      </c>
      <c r="R97">
        <v>441</v>
      </c>
    </row>
    <row r="98" spans="1:18" x14ac:dyDescent="0.25">
      <c r="A98" t="s">
        <v>2641</v>
      </c>
      <c r="B98" s="1">
        <v>44407</v>
      </c>
      <c r="C98" t="s">
        <v>1664</v>
      </c>
      <c r="D98" t="s">
        <v>145</v>
      </c>
      <c r="E98" t="s">
        <v>24</v>
      </c>
      <c r="F98" t="s">
        <v>323</v>
      </c>
      <c r="G98">
        <v>5</v>
      </c>
      <c r="H98" t="s">
        <v>26</v>
      </c>
      <c r="I98" t="s">
        <v>358</v>
      </c>
      <c r="J98" t="s">
        <v>359</v>
      </c>
      <c r="K98" t="s">
        <v>1842</v>
      </c>
      <c r="L98">
        <v>22</v>
      </c>
      <c r="M98">
        <v>72</v>
      </c>
      <c r="N98" s="2">
        <v>0.31</v>
      </c>
      <c r="O98">
        <v>87</v>
      </c>
      <c r="P98">
        <v>14.1</v>
      </c>
      <c r="Q98">
        <v>1.17</v>
      </c>
      <c r="R98">
        <v>27</v>
      </c>
    </row>
    <row r="99" spans="1:18" x14ac:dyDescent="0.25">
      <c r="A99" t="s">
        <v>2642</v>
      </c>
      <c r="B99" s="1">
        <v>44407</v>
      </c>
      <c r="C99" t="s">
        <v>1395</v>
      </c>
      <c r="D99" t="s">
        <v>145</v>
      </c>
      <c r="E99" t="s">
        <v>24</v>
      </c>
      <c r="F99" t="s">
        <v>2501</v>
      </c>
      <c r="G99">
        <v>10</v>
      </c>
      <c r="H99" t="s">
        <v>194</v>
      </c>
      <c r="I99" t="s">
        <v>195</v>
      </c>
      <c r="J99" t="s">
        <v>211</v>
      </c>
      <c r="K99" t="s">
        <v>2643</v>
      </c>
      <c r="R99">
        <v>46</v>
      </c>
    </row>
    <row r="100" spans="1:18" x14ac:dyDescent="0.25">
      <c r="A100" t="s">
        <v>2644</v>
      </c>
      <c r="B100" s="1">
        <v>44407</v>
      </c>
      <c r="C100" t="s">
        <v>1998</v>
      </c>
      <c r="D100" t="s">
        <v>145</v>
      </c>
      <c r="E100" t="s">
        <v>24</v>
      </c>
      <c r="F100" t="s">
        <v>323</v>
      </c>
      <c r="G100">
        <v>5</v>
      </c>
      <c r="H100" t="s">
        <v>49</v>
      </c>
      <c r="I100" t="s">
        <v>50</v>
      </c>
      <c r="J100" t="s">
        <v>51</v>
      </c>
      <c r="K100" t="s">
        <v>1656</v>
      </c>
      <c r="R100">
        <v>12</v>
      </c>
    </row>
    <row r="101" spans="1:18" x14ac:dyDescent="0.25">
      <c r="A101" t="s">
        <v>2645</v>
      </c>
      <c r="B101" s="1">
        <v>44407</v>
      </c>
      <c r="C101" t="s">
        <v>1375</v>
      </c>
      <c r="D101" t="s">
        <v>145</v>
      </c>
      <c r="E101" t="s">
        <v>24</v>
      </c>
      <c r="F101" t="s">
        <v>243</v>
      </c>
      <c r="G101">
        <v>10</v>
      </c>
      <c r="H101" t="s">
        <v>464</v>
      </c>
      <c r="I101" t="s">
        <v>1617</v>
      </c>
      <c r="J101" t="s">
        <v>1983</v>
      </c>
      <c r="K101" t="s">
        <v>2646</v>
      </c>
    </row>
    <row r="102" spans="1:18" x14ac:dyDescent="0.25">
      <c r="A102" t="s">
        <v>2702</v>
      </c>
      <c r="B102" s="1">
        <v>44414</v>
      </c>
      <c r="C102" t="s">
        <v>1198</v>
      </c>
      <c r="D102" t="s">
        <v>145</v>
      </c>
      <c r="E102" t="s">
        <v>24</v>
      </c>
      <c r="F102" t="s">
        <v>243</v>
      </c>
      <c r="G102">
        <v>30</v>
      </c>
      <c r="H102" t="s">
        <v>188</v>
      </c>
      <c r="I102" t="s">
        <v>254</v>
      </c>
      <c r="J102" t="s">
        <v>255</v>
      </c>
      <c r="K102" t="s">
        <v>2646</v>
      </c>
      <c r="R102">
        <v>98</v>
      </c>
    </row>
    <row r="103" spans="1:18" x14ac:dyDescent="0.25">
      <c r="A103" t="s">
        <v>2703</v>
      </c>
      <c r="B103" s="1">
        <v>44414</v>
      </c>
      <c r="C103" t="s">
        <v>1540</v>
      </c>
      <c r="D103" t="s">
        <v>145</v>
      </c>
      <c r="E103" t="s">
        <v>24</v>
      </c>
      <c r="F103" t="s">
        <v>215</v>
      </c>
      <c r="G103">
        <v>10</v>
      </c>
      <c r="H103" t="s">
        <v>464</v>
      </c>
      <c r="I103" t="s">
        <v>1571</v>
      </c>
      <c r="J103" t="s">
        <v>2704</v>
      </c>
      <c r="K103" t="s">
        <v>2705</v>
      </c>
    </row>
    <row r="104" spans="1:18" x14ac:dyDescent="0.25">
      <c r="A104" t="s">
        <v>2758</v>
      </c>
      <c r="B104" s="1">
        <v>44421</v>
      </c>
      <c r="C104" t="s">
        <v>482</v>
      </c>
      <c r="D104" t="s">
        <v>145</v>
      </c>
      <c r="E104" t="s">
        <v>24</v>
      </c>
      <c r="F104" t="s">
        <v>215</v>
      </c>
      <c r="G104">
        <v>20</v>
      </c>
      <c r="H104" t="s">
        <v>188</v>
      </c>
      <c r="I104" t="s">
        <v>254</v>
      </c>
      <c r="J104" t="s">
        <v>2759</v>
      </c>
      <c r="K104" t="s">
        <v>2760</v>
      </c>
      <c r="R104">
        <v>62</v>
      </c>
    </row>
    <row r="105" spans="1:18" x14ac:dyDescent="0.25">
      <c r="A105" t="s">
        <v>2761</v>
      </c>
      <c r="B105" s="1">
        <v>44421</v>
      </c>
      <c r="C105" t="s">
        <v>2762</v>
      </c>
      <c r="D105" t="s">
        <v>145</v>
      </c>
      <c r="E105" t="s">
        <v>24</v>
      </c>
      <c r="F105" t="s">
        <v>323</v>
      </c>
      <c r="G105">
        <v>60</v>
      </c>
      <c r="H105" t="s">
        <v>26</v>
      </c>
      <c r="I105" t="s">
        <v>370</v>
      </c>
      <c r="J105" t="s">
        <v>646</v>
      </c>
      <c r="K105" t="s">
        <v>2763</v>
      </c>
      <c r="L105">
        <v>386</v>
      </c>
      <c r="M105">
        <v>107</v>
      </c>
      <c r="N105" s="2">
        <v>0.37</v>
      </c>
      <c r="O105">
        <v>88</v>
      </c>
      <c r="P105">
        <v>16.59</v>
      </c>
      <c r="Q105">
        <v>16.59</v>
      </c>
      <c r="R105">
        <v>476</v>
      </c>
    </row>
    <row r="106" spans="1:18" x14ac:dyDescent="0.25">
      <c r="A106" t="s">
        <v>2764</v>
      </c>
      <c r="B106" s="1">
        <v>44421</v>
      </c>
      <c r="C106" t="s">
        <v>2765</v>
      </c>
      <c r="D106" t="s">
        <v>145</v>
      </c>
      <c r="E106" t="s">
        <v>24</v>
      </c>
      <c r="F106" t="s">
        <v>305</v>
      </c>
      <c r="G106">
        <v>10</v>
      </c>
      <c r="H106" t="s">
        <v>194</v>
      </c>
      <c r="I106" t="s">
        <v>195</v>
      </c>
      <c r="J106" t="s">
        <v>211</v>
      </c>
      <c r="K106" t="s">
        <v>2766</v>
      </c>
      <c r="R106">
        <v>46</v>
      </c>
    </row>
    <row r="107" spans="1:18" x14ac:dyDescent="0.25">
      <c r="A107" t="s">
        <v>2767</v>
      </c>
      <c r="B107" s="1">
        <v>44421</v>
      </c>
      <c r="C107" t="s">
        <v>2768</v>
      </c>
      <c r="D107" t="s">
        <v>145</v>
      </c>
      <c r="E107" t="s">
        <v>24</v>
      </c>
      <c r="F107" t="s">
        <v>243</v>
      </c>
      <c r="G107">
        <v>20</v>
      </c>
      <c r="H107" t="s">
        <v>188</v>
      </c>
      <c r="I107" t="s">
        <v>189</v>
      </c>
      <c r="J107" t="s">
        <v>248</v>
      </c>
      <c r="K107" t="s">
        <v>2755</v>
      </c>
      <c r="R107">
        <v>67</v>
      </c>
    </row>
    <row r="108" spans="1:18" x14ac:dyDescent="0.25">
      <c r="A108" t="s">
        <v>2769</v>
      </c>
      <c r="B108" s="1">
        <v>44421</v>
      </c>
      <c r="C108" t="s">
        <v>2279</v>
      </c>
      <c r="D108" t="s">
        <v>145</v>
      </c>
      <c r="E108" t="s">
        <v>24</v>
      </c>
      <c r="F108" t="s">
        <v>215</v>
      </c>
      <c r="G108">
        <v>20</v>
      </c>
      <c r="H108" t="s">
        <v>464</v>
      </c>
      <c r="I108" t="s">
        <v>579</v>
      </c>
      <c r="J108" t="s">
        <v>1553</v>
      </c>
      <c r="K108" t="s">
        <v>2770</v>
      </c>
    </row>
    <row r="109" spans="1:18" x14ac:dyDescent="0.25">
      <c r="A109" t="s">
        <v>2818</v>
      </c>
      <c r="B109" s="1">
        <v>44428</v>
      </c>
      <c r="C109" t="s">
        <v>1128</v>
      </c>
      <c r="D109" t="s">
        <v>145</v>
      </c>
      <c r="E109" t="s">
        <v>24</v>
      </c>
      <c r="F109" t="s">
        <v>237</v>
      </c>
      <c r="G109">
        <v>5</v>
      </c>
      <c r="H109" t="s">
        <v>464</v>
      </c>
      <c r="I109" t="s">
        <v>579</v>
      </c>
      <c r="J109" t="s">
        <v>2819</v>
      </c>
      <c r="K109" t="s">
        <v>2820</v>
      </c>
    </row>
    <row r="110" spans="1:18" x14ac:dyDescent="0.25">
      <c r="A110" t="s">
        <v>2821</v>
      </c>
      <c r="B110" s="1">
        <v>44428</v>
      </c>
      <c r="C110" t="s">
        <v>2353</v>
      </c>
      <c r="D110" t="s">
        <v>145</v>
      </c>
      <c r="E110" t="s">
        <v>24</v>
      </c>
      <c r="F110" t="s">
        <v>459</v>
      </c>
      <c r="G110">
        <v>15</v>
      </c>
      <c r="H110" t="s">
        <v>464</v>
      </c>
      <c r="I110" t="s">
        <v>1617</v>
      </c>
      <c r="J110" t="s">
        <v>2822</v>
      </c>
      <c r="K110" t="s">
        <v>2823</v>
      </c>
    </row>
    <row r="111" spans="1:18" x14ac:dyDescent="0.25">
      <c r="A111" t="s">
        <v>2880</v>
      </c>
      <c r="B111" s="1">
        <v>44435</v>
      </c>
      <c r="C111" t="s">
        <v>2881</v>
      </c>
      <c r="D111" t="s">
        <v>145</v>
      </c>
      <c r="E111" t="s">
        <v>24</v>
      </c>
      <c r="F111" t="s">
        <v>323</v>
      </c>
      <c r="G111">
        <v>60</v>
      </c>
      <c r="H111" t="s">
        <v>26</v>
      </c>
      <c r="I111" t="s">
        <v>370</v>
      </c>
      <c r="J111" t="s">
        <v>498</v>
      </c>
      <c r="K111" t="s">
        <v>2318</v>
      </c>
      <c r="L111">
        <v>371</v>
      </c>
      <c r="M111">
        <v>103</v>
      </c>
      <c r="N111" s="2">
        <v>0.38</v>
      </c>
      <c r="O111">
        <v>82</v>
      </c>
      <c r="P111">
        <v>16.32</v>
      </c>
      <c r="Q111">
        <v>16.32</v>
      </c>
      <c r="R111">
        <v>458</v>
      </c>
    </row>
    <row r="112" spans="1:18" x14ac:dyDescent="0.25">
      <c r="A112" t="s">
        <v>2928</v>
      </c>
      <c r="B112" s="1">
        <v>44442</v>
      </c>
      <c r="C112" t="s">
        <v>2929</v>
      </c>
      <c r="D112" t="s">
        <v>145</v>
      </c>
      <c r="E112" t="s">
        <v>24</v>
      </c>
      <c r="F112" t="s">
        <v>243</v>
      </c>
      <c r="G112">
        <v>30</v>
      </c>
      <c r="H112" t="s">
        <v>188</v>
      </c>
      <c r="I112" t="s">
        <v>103</v>
      </c>
      <c r="J112" t="s">
        <v>282</v>
      </c>
      <c r="K112" t="s">
        <v>2930</v>
      </c>
      <c r="R112">
        <v>94</v>
      </c>
    </row>
    <row r="113" spans="1:18" x14ac:dyDescent="0.25">
      <c r="A113" t="s">
        <v>2931</v>
      </c>
      <c r="B113" s="1">
        <v>44442</v>
      </c>
      <c r="C113" t="s">
        <v>2932</v>
      </c>
      <c r="D113" t="s">
        <v>145</v>
      </c>
      <c r="E113" t="s">
        <v>24</v>
      </c>
      <c r="F113" t="s">
        <v>33</v>
      </c>
      <c r="G113">
        <v>60</v>
      </c>
      <c r="H113" t="s">
        <v>26</v>
      </c>
      <c r="I113" t="s">
        <v>370</v>
      </c>
      <c r="J113" t="s">
        <v>498</v>
      </c>
      <c r="K113" t="s">
        <v>1790</v>
      </c>
      <c r="L113">
        <v>354</v>
      </c>
      <c r="M113">
        <v>98</v>
      </c>
      <c r="N113" s="2">
        <v>0.38</v>
      </c>
      <c r="O113">
        <v>82</v>
      </c>
      <c r="P113">
        <v>16</v>
      </c>
      <c r="Q113">
        <v>16</v>
      </c>
      <c r="R113">
        <v>436</v>
      </c>
    </row>
    <row r="114" spans="1:18" x14ac:dyDescent="0.25">
      <c r="A114" t="s">
        <v>2933</v>
      </c>
      <c r="B114" s="1">
        <v>44442</v>
      </c>
      <c r="C114" t="s">
        <v>2934</v>
      </c>
      <c r="D114" t="s">
        <v>145</v>
      </c>
      <c r="E114" t="s">
        <v>24</v>
      </c>
      <c r="F114" t="s">
        <v>33</v>
      </c>
      <c r="G114">
        <v>5</v>
      </c>
      <c r="H114" t="s">
        <v>49</v>
      </c>
      <c r="I114" t="s">
        <v>50</v>
      </c>
      <c r="J114" t="s">
        <v>51</v>
      </c>
      <c r="K114" t="s">
        <v>2935</v>
      </c>
      <c r="R114">
        <v>12</v>
      </c>
    </row>
    <row r="115" spans="1:18" x14ac:dyDescent="0.25">
      <c r="A115" t="s">
        <v>2936</v>
      </c>
      <c r="B115" s="1">
        <v>44442</v>
      </c>
      <c r="C115" t="s">
        <v>1292</v>
      </c>
      <c r="D115" t="s">
        <v>145</v>
      </c>
      <c r="E115" t="s">
        <v>24</v>
      </c>
      <c r="F115" t="s">
        <v>215</v>
      </c>
      <c r="G115">
        <v>10</v>
      </c>
      <c r="H115" t="s">
        <v>464</v>
      </c>
      <c r="I115" t="s">
        <v>103</v>
      </c>
      <c r="J115" t="s">
        <v>964</v>
      </c>
      <c r="K115" t="s">
        <v>2937</v>
      </c>
    </row>
    <row r="116" spans="1:18" x14ac:dyDescent="0.25">
      <c r="A116" t="s">
        <v>3012</v>
      </c>
      <c r="B116" s="1">
        <v>44449</v>
      </c>
      <c r="C116" t="s">
        <v>626</v>
      </c>
      <c r="D116" t="s">
        <v>145</v>
      </c>
      <c r="E116" t="s">
        <v>24</v>
      </c>
      <c r="F116" t="s">
        <v>215</v>
      </c>
      <c r="G116">
        <v>45</v>
      </c>
      <c r="H116" t="s">
        <v>188</v>
      </c>
      <c r="I116" t="s">
        <v>189</v>
      </c>
      <c r="J116" t="s">
        <v>244</v>
      </c>
      <c r="K116" t="s">
        <v>3013</v>
      </c>
      <c r="R116">
        <v>150</v>
      </c>
    </row>
    <row r="117" spans="1:18" x14ac:dyDescent="0.25">
      <c r="A117" t="s">
        <v>3014</v>
      </c>
      <c r="B117" s="1">
        <v>44449</v>
      </c>
      <c r="C117" t="s">
        <v>3015</v>
      </c>
      <c r="D117" t="s">
        <v>145</v>
      </c>
      <c r="E117" t="s">
        <v>24</v>
      </c>
      <c r="F117" t="s">
        <v>200</v>
      </c>
      <c r="G117">
        <v>5</v>
      </c>
      <c r="H117" t="s">
        <v>464</v>
      </c>
      <c r="I117" t="s">
        <v>943</v>
      </c>
      <c r="J117" t="s">
        <v>2205</v>
      </c>
      <c r="K117" t="s">
        <v>3016</v>
      </c>
    </row>
    <row r="118" spans="1:18" x14ac:dyDescent="0.25">
      <c r="A118" t="s">
        <v>3119</v>
      </c>
      <c r="B118" s="1">
        <v>44463</v>
      </c>
      <c r="C118" t="s">
        <v>3120</v>
      </c>
      <c r="D118" t="s">
        <v>145</v>
      </c>
      <c r="E118" t="s">
        <v>24</v>
      </c>
      <c r="F118" t="s">
        <v>243</v>
      </c>
      <c r="G118">
        <v>45</v>
      </c>
      <c r="H118" t="s">
        <v>26</v>
      </c>
      <c r="I118" t="s">
        <v>370</v>
      </c>
      <c r="J118" t="s">
        <v>439</v>
      </c>
      <c r="K118" t="s">
        <v>1790</v>
      </c>
      <c r="L118">
        <v>253</v>
      </c>
      <c r="M118">
        <v>104</v>
      </c>
      <c r="N118" s="2">
        <v>0.38</v>
      </c>
      <c r="O118">
        <v>83</v>
      </c>
      <c r="P118">
        <v>16.45</v>
      </c>
      <c r="Q118">
        <v>11.44</v>
      </c>
      <c r="R118">
        <v>311</v>
      </c>
    </row>
    <row r="119" spans="1:18" x14ac:dyDescent="0.25">
      <c r="A119" t="s">
        <v>3121</v>
      </c>
      <c r="B119" s="1">
        <v>44463</v>
      </c>
      <c r="C119" t="s">
        <v>3122</v>
      </c>
      <c r="D119" t="s">
        <v>145</v>
      </c>
      <c r="E119" t="s">
        <v>24</v>
      </c>
      <c r="F119" t="s">
        <v>243</v>
      </c>
      <c r="G119">
        <v>5</v>
      </c>
      <c r="H119" t="s">
        <v>26</v>
      </c>
      <c r="I119" t="s">
        <v>358</v>
      </c>
      <c r="J119" t="s">
        <v>359</v>
      </c>
      <c r="K119" t="s">
        <v>3123</v>
      </c>
      <c r="L119">
        <v>22</v>
      </c>
      <c r="M119">
        <v>73</v>
      </c>
      <c r="N119" s="2">
        <v>0.32</v>
      </c>
      <c r="O119">
        <v>84</v>
      </c>
      <c r="P119">
        <v>14.18</v>
      </c>
      <c r="Q119">
        <v>1.18</v>
      </c>
      <c r="R119">
        <v>27</v>
      </c>
    </row>
    <row r="120" spans="1:18" x14ac:dyDescent="0.25">
      <c r="A120" t="s">
        <v>3124</v>
      </c>
      <c r="B120" s="1">
        <v>44463</v>
      </c>
      <c r="C120" t="s">
        <v>3125</v>
      </c>
      <c r="D120" t="s">
        <v>145</v>
      </c>
      <c r="E120" t="s">
        <v>24</v>
      </c>
      <c r="F120" t="s">
        <v>768</v>
      </c>
      <c r="G120">
        <v>10</v>
      </c>
      <c r="H120" t="s">
        <v>194</v>
      </c>
      <c r="I120" t="s">
        <v>700</v>
      </c>
      <c r="J120" t="s">
        <v>1282</v>
      </c>
      <c r="K120" t="s">
        <v>3126</v>
      </c>
      <c r="R120">
        <v>46</v>
      </c>
    </row>
    <row r="121" spans="1:18" x14ac:dyDescent="0.25">
      <c r="A121" t="s">
        <v>3127</v>
      </c>
      <c r="B121" s="1">
        <v>44463</v>
      </c>
      <c r="C121" t="s">
        <v>3088</v>
      </c>
      <c r="D121" t="s">
        <v>145</v>
      </c>
      <c r="E121" t="s">
        <v>24</v>
      </c>
      <c r="F121" t="s">
        <v>328</v>
      </c>
      <c r="G121">
        <v>20</v>
      </c>
      <c r="H121" t="s">
        <v>194</v>
      </c>
      <c r="I121" t="s">
        <v>195</v>
      </c>
      <c r="J121" t="s">
        <v>3128</v>
      </c>
      <c r="K121" t="s">
        <v>3129</v>
      </c>
      <c r="R121">
        <v>92</v>
      </c>
    </row>
    <row r="122" spans="1:18" x14ac:dyDescent="0.25">
      <c r="A122" t="s">
        <v>3130</v>
      </c>
      <c r="B122" s="1">
        <v>44463</v>
      </c>
      <c r="C122" t="s">
        <v>2881</v>
      </c>
      <c r="D122" t="s">
        <v>145</v>
      </c>
      <c r="E122" t="s">
        <v>24</v>
      </c>
      <c r="F122" t="s">
        <v>25</v>
      </c>
      <c r="G122">
        <v>5</v>
      </c>
      <c r="H122" t="s">
        <v>49</v>
      </c>
      <c r="I122" t="s">
        <v>50</v>
      </c>
      <c r="J122" t="s">
        <v>51</v>
      </c>
      <c r="K122" t="s">
        <v>3131</v>
      </c>
      <c r="R122">
        <v>12</v>
      </c>
    </row>
    <row r="123" spans="1:18" x14ac:dyDescent="0.25">
      <c r="A123" t="s">
        <v>3132</v>
      </c>
      <c r="B123" s="1">
        <v>44463</v>
      </c>
      <c r="C123" t="s">
        <v>3133</v>
      </c>
      <c r="D123" t="s">
        <v>145</v>
      </c>
      <c r="E123" t="s">
        <v>24</v>
      </c>
      <c r="F123" t="s">
        <v>200</v>
      </c>
      <c r="G123">
        <v>10</v>
      </c>
      <c r="H123" t="s">
        <v>464</v>
      </c>
      <c r="I123" t="s">
        <v>579</v>
      </c>
      <c r="J123" t="s">
        <v>1000</v>
      </c>
      <c r="K123" t="s">
        <v>3134</v>
      </c>
    </row>
    <row r="124" spans="1:18" x14ac:dyDescent="0.25">
      <c r="A124" t="s">
        <v>3198</v>
      </c>
      <c r="B124" s="1">
        <v>44470</v>
      </c>
      <c r="C124" t="s">
        <v>3199</v>
      </c>
      <c r="D124" t="s">
        <v>145</v>
      </c>
      <c r="E124" t="s">
        <v>24</v>
      </c>
      <c r="F124" t="s">
        <v>243</v>
      </c>
      <c r="G124">
        <v>30</v>
      </c>
      <c r="H124" t="s">
        <v>188</v>
      </c>
      <c r="I124" t="s">
        <v>103</v>
      </c>
      <c r="J124" t="s">
        <v>282</v>
      </c>
      <c r="K124" t="s">
        <v>3200</v>
      </c>
      <c r="R124">
        <v>101</v>
      </c>
    </row>
    <row r="125" spans="1:18" x14ac:dyDescent="0.25">
      <c r="A125" t="s">
        <v>3201</v>
      </c>
      <c r="B125" s="1">
        <v>44470</v>
      </c>
      <c r="C125" t="s">
        <v>3120</v>
      </c>
      <c r="D125" t="s">
        <v>145</v>
      </c>
      <c r="E125" t="s">
        <v>24</v>
      </c>
      <c r="F125" t="s">
        <v>323</v>
      </c>
      <c r="G125">
        <v>60</v>
      </c>
      <c r="H125" t="s">
        <v>26</v>
      </c>
      <c r="I125" t="s">
        <v>370</v>
      </c>
      <c r="J125" t="s">
        <v>498</v>
      </c>
      <c r="K125" t="s">
        <v>2640</v>
      </c>
      <c r="L125">
        <v>370</v>
      </c>
      <c r="M125">
        <v>103</v>
      </c>
      <c r="N125" s="2">
        <v>0.37</v>
      </c>
      <c r="O125">
        <v>84</v>
      </c>
      <c r="P125">
        <v>16.329999999999998</v>
      </c>
      <c r="Q125">
        <v>16.329999999999998</v>
      </c>
      <c r="R125">
        <v>456</v>
      </c>
    </row>
    <row r="126" spans="1:18" x14ac:dyDescent="0.25">
      <c r="A126" t="s">
        <v>3202</v>
      </c>
      <c r="B126" s="1">
        <v>44470</v>
      </c>
      <c r="C126" t="s">
        <v>3203</v>
      </c>
      <c r="D126" t="s">
        <v>145</v>
      </c>
      <c r="E126" t="s">
        <v>24</v>
      </c>
      <c r="F126" t="s">
        <v>323</v>
      </c>
      <c r="G126">
        <v>5</v>
      </c>
      <c r="H126" t="s">
        <v>49</v>
      </c>
      <c r="I126" t="s">
        <v>50</v>
      </c>
      <c r="J126" t="s">
        <v>51</v>
      </c>
      <c r="K126" t="s">
        <v>2791</v>
      </c>
      <c r="R126">
        <v>12</v>
      </c>
    </row>
    <row r="127" spans="1:18" x14ac:dyDescent="0.25">
      <c r="A127" t="s">
        <v>3204</v>
      </c>
      <c r="B127" s="1">
        <v>44470</v>
      </c>
      <c r="C127" t="s">
        <v>3205</v>
      </c>
      <c r="D127" t="s">
        <v>145</v>
      </c>
      <c r="E127" t="s">
        <v>24</v>
      </c>
      <c r="F127" t="s">
        <v>459</v>
      </c>
      <c r="G127">
        <v>10</v>
      </c>
      <c r="H127" t="s">
        <v>464</v>
      </c>
      <c r="I127" t="s">
        <v>579</v>
      </c>
      <c r="J127" t="s">
        <v>1820</v>
      </c>
      <c r="K127" t="s">
        <v>3206</v>
      </c>
    </row>
    <row r="128" spans="1:18" x14ac:dyDescent="0.25">
      <c r="A128" t="s">
        <v>3267</v>
      </c>
      <c r="B128" s="1">
        <v>44477</v>
      </c>
      <c r="C128" t="s">
        <v>1176</v>
      </c>
      <c r="D128" t="s">
        <v>145</v>
      </c>
      <c r="E128" t="s">
        <v>24</v>
      </c>
      <c r="F128" t="s">
        <v>243</v>
      </c>
      <c r="G128">
        <v>20</v>
      </c>
      <c r="H128" t="s">
        <v>188</v>
      </c>
      <c r="I128" t="s">
        <v>238</v>
      </c>
      <c r="J128" t="s">
        <v>2898</v>
      </c>
      <c r="K128" t="s">
        <v>3268</v>
      </c>
      <c r="R128">
        <v>64</v>
      </c>
    </row>
    <row r="129" spans="1:18" x14ac:dyDescent="0.25">
      <c r="A129" t="s">
        <v>3269</v>
      </c>
      <c r="B129" s="1">
        <v>44477</v>
      </c>
      <c r="C129" t="s">
        <v>1476</v>
      </c>
      <c r="D129" t="s">
        <v>145</v>
      </c>
      <c r="E129" t="s">
        <v>24</v>
      </c>
      <c r="F129" t="s">
        <v>200</v>
      </c>
      <c r="G129">
        <v>20</v>
      </c>
      <c r="H129" t="s">
        <v>464</v>
      </c>
      <c r="I129" t="s">
        <v>1617</v>
      </c>
      <c r="J129" t="s">
        <v>1618</v>
      </c>
      <c r="K129" t="s">
        <v>3270</v>
      </c>
    </row>
    <row r="130" spans="1:18" x14ac:dyDescent="0.25">
      <c r="A130" t="s">
        <v>3340</v>
      </c>
      <c r="B130" s="1">
        <v>44484</v>
      </c>
      <c r="C130" t="s">
        <v>475</v>
      </c>
      <c r="D130" t="s">
        <v>145</v>
      </c>
      <c r="E130" t="s">
        <v>24</v>
      </c>
      <c r="F130" t="s">
        <v>215</v>
      </c>
      <c r="G130">
        <v>30</v>
      </c>
      <c r="H130" t="s">
        <v>188</v>
      </c>
      <c r="I130" t="s">
        <v>103</v>
      </c>
      <c r="J130" t="s">
        <v>415</v>
      </c>
      <c r="K130" t="s">
        <v>3341</v>
      </c>
      <c r="R130">
        <v>84</v>
      </c>
    </row>
    <row r="131" spans="1:18" x14ac:dyDescent="0.25">
      <c r="A131" t="s">
        <v>3342</v>
      </c>
      <c r="B131" s="1">
        <v>44484</v>
      </c>
      <c r="C131" t="s">
        <v>3343</v>
      </c>
      <c r="D131" t="s">
        <v>145</v>
      </c>
      <c r="E131" t="s">
        <v>24</v>
      </c>
      <c r="F131" t="s">
        <v>237</v>
      </c>
      <c r="G131">
        <v>20</v>
      </c>
      <c r="H131" t="s">
        <v>464</v>
      </c>
      <c r="I131" t="s">
        <v>579</v>
      </c>
      <c r="J131" t="s">
        <v>1311</v>
      </c>
      <c r="K131" t="s">
        <v>3344</v>
      </c>
    </row>
    <row r="132" spans="1:18" x14ac:dyDescent="0.25">
      <c r="A132" t="s">
        <v>3443</v>
      </c>
      <c r="B132" s="1">
        <v>44498</v>
      </c>
      <c r="C132" t="s">
        <v>2975</v>
      </c>
      <c r="D132" t="s">
        <v>145</v>
      </c>
      <c r="E132" t="s">
        <v>24</v>
      </c>
      <c r="F132" t="s">
        <v>200</v>
      </c>
      <c r="G132">
        <v>45</v>
      </c>
      <c r="H132" t="s">
        <v>188</v>
      </c>
      <c r="I132" t="s">
        <v>189</v>
      </c>
      <c r="J132" t="s">
        <v>244</v>
      </c>
      <c r="K132" t="s">
        <v>3444</v>
      </c>
      <c r="R132">
        <v>152</v>
      </c>
    </row>
    <row r="133" spans="1:18" x14ac:dyDescent="0.25">
      <c r="A133" t="s">
        <v>3445</v>
      </c>
      <c r="B133" s="1">
        <v>44498</v>
      </c>
      <c r="C133" t="s">
        <v>3446</v>
      </c>
      <c r="D133" t="s">
        <v>145</v>
      </c>
      <c r="E133" t="s">
        <v>24</v>
      </c>
      <c r="F133" t="s">
        <v>323</v>
      </c>
      <c r="G133">
        <v>60</v>
      </c>
      <c r="H133" t="s">
        <v>26</v>
      </c>
      <c r="I133" t="s">
        <v>370</v>
      </c>
      <c r="J133" t="s">
        <v>646</v>
      </c>
      <c r="K133" t="s">
        <v>1660</v>
      </c>
      <c r="L133">
        <v>402</v>
      </c>
      <c r="M133">
        <v>112</v>
      </c>
      <c r="N133" s="2">
        <v>0.38</v>
      </c>
      <c r="O133">
        <v>86</v>
      </c>
      <c r="P133">
        <v>16.809999999999999</v>
      </c>
      <c r="Q133">
        <v>16.809999999999999</v>
      </c>
      <c r="R133">
        <v>495</v>
      </c>
    </row>
    <row r="134" spans="1:18" x14ac:dyDescent="0.25">
      <c r="A134" t="s">
        <v>3447</v>
      </c>
      <c r="B134" s="1">
        <v>44498</v>
      </c>
      <c r="C134" t="s">
        <v>3448</v>
      </c>
      <c r="D134" t="s">
        <v>145</v>
      </c>
      <c r="E134" t="s">
        <v>24</v>
      </c>
      <c r="F134" t="s">
        <v>33</v>
      </c>
      <c r="G134">
        <v>5</v>
      </c>
      <c r="H134" t="s">
        <v>26</v>
      </c>
      <c r="I134" t="s">
        <v>358</v>
      </c>
      <c r="J134" t="s">
        <v>359</v>
      </c>
      <c r="K134" t="s">
        <v>3299</v>
      </c>
      <c r="L134">
        <v>13</v>
      </c>
      <c r="M134">
        <v>43</v>
      </c>
      <c r="N134" s="2">
        <v>0.25</v>
      </c>
      <c r="O134">
        <v>81</v>
      </c>
      <c r="P134">
        <v>11.17</v>
      </c>
      <c r="Q134">
        <v>0.93</v>
      </c>
      <c r="R134">
        <v>16</v>
      </c>
    </row>
    <row r="135" spans="1:18" x14ac:dyDescent="0.25">
      <c r="A135" t="s">
        <v>3449</v>
      </c>
      <c r="B135" s="1">
        <v>44498</v>
      </c>
      <c r="C135" t="s">
        <v>3450</v>
      </c>
      <c r="D135" t="s">
        <v>145</v>
      </c>
      <c r="E135" t="s">
        <v>24</v>
      </c>
      <c r="F135" t="s">
        <v>33</v>
      </c>
      <c r="G135">
        <v>5</v>
      </c>
      <c r="H135" t="s">
        <v>49</v>
      </c>
      <c r="I135" t="s">
        <v>50</v>
      </c>
      <c r="J135" t="s">
        <v>51</v>
      </c>
      <c r="K135" t="s">
        <v>3123</v>
      </c>
      <c r="R135">
        <v>11</v>
      </c>
    </row>
    <row r="136" spans="1:18" x14ac:dyDescent="0.25">
      <c r="A136" t="s">
        <v>3451</v>
      </c>
      <c r="B136" s="1">
        <v>44498</v>
      </c>
      <c r="C136" t="s">
        <v>2629</v>
      </c>
      <c r="D136" t="s">
        <v>145</v>
      </c>
      <c r="E136" t="s">
        <v>24</v>
      </c>
      <c r="F136" t="s">
        <v>237</v>
      </c>
      <c r="G136">
        <v>15</v>
      </c>
      <c r="H136" t="s">
        <v>464</v>
      </c>
      <c r="I136" t="s">
        <v>943</v>
      </c>
      <c r="J136" t="s">
        <v>1709</v>
      </c>
      <c r="K136" t="s">
        <v>3433</v>
      </c>
    </row>
    <row r="137" spans="1:18" x14ac:dyDescent="0.25">
      <c r="A137" t="s">
        <v>3485</v>
      </c>
      <c r="B137" s="1">
        <v>44505</v>
      </c>
      <c r="C137" t="s">
        <v>3486</v>
      </c>
      <c r="D137" t="s">
        <v>145</v>
      </c>
      <c r="E137" t="s">
        <v>24</v>
      </c>
      <c r="F137" t="s">
        <v>208</v>
      </c>
      <c r="G137">
        <v>10</v>
      </c>
      <c r="H137" t="s">
        <v>464</v>
      </c>
      <c r="I137" t="s">
        <v>943</v>
      </c>
      <c r="J137" t="s">
        <v>3487</v>
      </c>
      <c r="K137" t="s">
        <v>2743</v>
      </c>
    </row>
    <row r="138" spans="1:18" x14ac:dyDescent="0.25">
      <c r="A138" t="s">
        <v>3488</v>
      </c>
      <c r="B138" s="1">
        <v>44505</v>
      </c>
      <c r="C138" t="s">
        <v>3489</v>
      </c>
      <c r="D138" t="s">
        <v>145</v>
      </c>
      <c r="E138" t="s">
        <v>24</v>
      </c>
      <c r="F138" t="s">
        <v>243</v>
      </c>
      <c r="G138">
        <v>20</v>
      </c>
      <c r="H138" t="s">
        <v>188</v>
      </c>
      <c r="I138" t="s">
        <v>254</v>
      </c>
      <c r="J138" t="s">
        <v>516</v>
      </c>
      <c r="K138" t="s">
        <v>3490</v>
      </c>
      <c r="R138">
        <v>66</v>
      </c>
    </row>
    <row r="139" spans="1:18" x14ac:dyDescent="0.25">
      <c r="A139" t="s">
        <v>3491</v>
      </c>
      <c r="B139" s="1">
        <v>44505</v>
      </c>
      <c r="C139" t="s">
        <v>2357</v>
      </c>
      <c r="D139" t="s">
        <v>145</v>
      </c>
      <c r="E139" t="s">
        <v>24</v>
      </c>
      <c r="F139" t="s">
        <v>323</v>
      </c>
      <c r="G139">
        <v>20</v>
      </c>
      <c r="H139" t="s">
        <v>26</v>
      </c>
      <c r="I139" t="s">
        <v>39</v>
      </c>
      <c r="J139" t="s">
        <v>870</v>
      </c>
      <c r="K139" t="s">
        <v>3492</v>
      </c>
      <c r="L139">
        <v>84</v>
      </c>
      <c r="M139">
        <v>70</v>
      </c>
      <c r="N139" s="2">
        <v>0.33</v>
      </c>
      <c r="O139">
        <v>81</v>
      </c>
      <c r="P139">
        <v>13.93</v>
      </c>
      <c r="Q139">
        <v>4.6399999999999997</v>
      </c>
      <c r="R139">
        <v>104</v>
      </c>
    </row>
    <row r="140" spans="1:18" x14ac:dyDescent="0.25">
      <c r="A140" t="s">
        <v>3493</v>
      </c>
      <c r="B140" s="1">
        <v>44505</v>
      </c>
      <c r="C140" t="s">
        <v>3296</v>
      </c>
      <c r="D140" t="s">
        <v>145</v>
      </c>
      <c r="E140" t="s">
        <v>24</v>
      </c>
      <c r="F140" t="s">
        <v>323</v>
      </c>
      <c r="G140">
        <v>30</v>
      </c>
      <c r="H140" t="s">
        <v>26</v>
      </c>
      <c r="I140" t="s">
        <v>370</v>
      </c>
      <c r="J140" t="s">
        <v>396</v>
      </c>
      <c r="K140" t="s">
        <v>3494</v>
      </c>
      <c r="L140">
        <v>166</v>
      </c>
      <c r="M140">
        <v>92</v>
      </c>
      <c r="N140" s="2">
        <v>0.36</v>
      </c>
      <c r="O140">
        <v>82</v>
      </c>
      <c r="P140">
        <v>15.48</v>
      </c>
      <c r="Q140">
        <v>7.75</v>
      </c>
      <c r="R140">
        <v>204</v>
      </c>
    </row>
    <row r="141" spans="1:18" x14ac:dyDescent="0.25">
      <c r="A141" t="s">
        <v>3495</v>
      </c>
      <c r="B141" s="1">
        <v>44505</v>
      </c>
      <c r="C141" t="s">
        <v>3496</v>
      </c>
      <c r="D141" t="s">
        <v>145</v>
      </c>
      <c r="E141" t="s">
        <v>24</v>
      </c>
      <c r="F141" t="s">
        <v>215</v>
      </c>
      <c r="G141">
        <v>10</v>
      </c>
      <c r="H141" t="s">
        <v>464</v>
      </c>
      <c r="I141" t="s">
        <v>103</v>
      </c>
      <c r="J141" t="s">
        <v>3441</v>
      </c>
      <c r="K141" t="s">
        <v>3497</v>
      </c>
    </row>
    <row r="142" spans="1:18" x14ac:dyDescent="0.25">
      <c r="A142" t="s">
        <v>3577</v>
      </c>
      <c r="B142" s="1">
        <v>44512</v>
      </c>
      <c r="C142" t="s">
        <v>377</v>
      </c>
      <c r="D142" t="s">
        <v>145</v>
      </c>
      <c r="E142" t="s">
        <v>24</v>
      </c>
      <c r="F142" t="s">
        <v>215</v>
      </c>
      <c r="G142">
        <v>30</v>
      </c>
      <c r="H142" t="s">
        <v>188</v>
      </c>
      <c r="I142" t="s">
        <v>189</v>
      </c>
      <c r="J142" t="s">
        <v>3149</v>
      </c>
      <c r="K142" t="s">
        <v>3578</v>
      </c>
      <c r="R142">
        <v>97</v>
      </c>
    </row>
    <row r="143" spans="1:18" x14ac:dyDescent="0.25">
      <c r="A143" t="s">
        <v>3579</v>
      </c>
      <c r="B143" s="1">
        <v>44512</v>
      </c>
      <c r="C143" t="s">
        <v>3580</v>
      </c>
      <c r="D143" t="s">
        <v>145</v>
      </c>
      <c r="E143" t="s">
        <v>24</v>
      </c>
      <c r="F143" t="s">
        <v>323</v>
      </c>
      <c r="G143">
        <v>45</v>
      </c>
      <c r="H143" t="s">
        <v>26</v>
      </c>
      <c r="I143" t="s">
        <v>370</v>
      </c>
      <c r="J143" t="s">
        <v>439</v>
      </c>
      <c r="K143" t="s">
        <v>3581</v>
      </c>
      <c r="L143">
        <v>266</v>
      </c>
      <c r="M143">
        <v>98</v>
      </c>
      <c r="N143" s="2">
        <v>0.37</v>
      </c>
      <c r="O143">
        <v>85</v>
      </c>
      <c r="P143">
        <v>16.010000000000002</v>
      </c>
      <c r="Q143">
        <v>12.01</v>
      </c>
      <c r="R143">
        <v>328</v>
      </c>
    </row>
    <row r="144" spans="1:18" x14ac:dyDescent="0.25">
      <c r="A144" t="s">
        <v>3582</v>
      </c>
      <c r="B144" s="1">
        <v>44512</v>
      </c>
      <c r="C144" t="s">
        <v>3583</v>
      </c>
      <c r="D144" t="s">
        <v>145</v>
      </c>
      <c r="E144" t="s">
        <v>24</v>
      </c>
      <c r="F144" t="s">
        <v>747</v>
      </c>
      <c r="G144">
        <v>10</v>
      </c>
      <c r="H144" t="s">
        <v>194</v>
      </c>
      <c r="I144" t="s">
        <v>700</v>
      </c>
      <c r="J144" t="s">
        <v>1282</v>
      </c>
      <c r="K144" t="s">
        <v>3584</v>
      </c>
      <c r="R144">
        <v>46</v>
      </c>
    </row>
    <row r="145" spans="1:19" x14ac:dyDescent="0.25">
      <c r="A145" t="s">
        <v>3585</v>
      </c>
      <c r="B145" s="1">
        <v>44512</v>
      </c>
      <c r="C145" t="s">
        <v>3586</v>
      </c>
      <c r="D145" t="s">
        <v>145</v>
      </c>
      <c r="E145" t="s">
        <v>24</v>
      </c>
      <c r="F145" t="s">
        <v>590</v>
      </c>
      <c r="G145">
        <v>5</v>
      </c>
      <c r="H145" t="s">
        <v>49</v>
      </c>
      <c r="I145" t="s">
        <v>50</v>
      </c>
      <c r="J145" t="s">
        <v>3587</v>
      </c>
      <c r="K145" t="s">
        <v>3588</v>
      </c>
      <c r="R145">
        <v>11</v>
      </c>
    </row>
    <row r="146" spans="1:19" x14ac:dyDescent="0.25">
      <c r="A146" t="s">
        <v>3677</v>
      </c>
      <c r="B146" s="1">
        <v>44519</v>
      </c>
      <c r="C146" t="s">
        <v>3678</v>
      </c>
      <c r="D146" t="s">
        <v>145</v>
      </c>
      <c r="E146" t="s">
        <v>24</v>
      </c>
      <c r="F146" t="s">
        <v>215</v>
      </c>
      <c r="G146">
        <v>5</v>
      </c>
      <c r="H146" t="s">
        <v>464</v>
      </c>
      <c r="I146" t="s">
        <v>943</v>
      </c>
      <c r="J146" t="s">
        <v>2205</v>
      </c>
      <c r="K146" t="s">
        <v>3679</v>
      </c>
    </row>
    <row r="147" spans="1:19" x14ac:dyDescent="0.25">
      <c r="A147" t="s">
        <v>3680</v>
      </c>
      <c r="B147" s="1">
        <v>44519</v>
      </c>
      <c r="C147" t="s">
        <v>3681</v>
      </c>
      <c r="D147" t="s">
        <v>145</v>
      </c>
      <c r="E147" t="s">
        <v>24</v>
      </c>
      <c r="F147" t="s">
        <v>237</v>
      </c>
      <c r="G147">
        <v>10</v>
      </c>
      <c r="H147" t="s">
        <v>464</v>
      </c>
      <c r="I147" t="s">
        <v>763</v>
      </c>
      <c r="J147" t="s">
        <v>914</v>
      </c>
      <c r="K147" t="s">
        <v>3682</v>
      </c>
    </row>
    <row r="148" spans="1:19" x14ac:dyDescent="0.25">
      <c r="A148" t="s">
        <v>3683</v>
      </c>
      <c r="B148" s="1">
        <v>44519</v>
      </c>
      <c r="C148" t="s">
        <v>538</v>
      </c>
      <c r="D148" t="s">
        <v>145</v>
      </c>
      <c r="E148" t="s">
        <v>24</v>
      </c>
      <c r="F148" t="s">
        <v>243</v>
      </c>
      <c r="G148">
        <v>30</v>
      </c>
      <c r="H148" t="s">
        <v>188</v>
      </c>
      <c r="I148" t="s">
        <v>189</v>
      </c>
      <c r="J148" t="s">
        <v>3684</v>
      </c>
      <c r="K148" t="s">
        <v>3685</v>
      </c>
      <c r="R148">
        <v>98</v>
      </c>
    </row>
    <row r="149" spans="1:19" x14ac:dyDescent="0.25">
      <c r="A149" t="s">
        <v>3686</v>
      </c>
      <c r="B149" s="1">
        <v>44519</v>
      </c>
      <c r="C149" t="s">
        <v>1649</v>
      </c>
      <c r="D149" t="s">
        <v>145</v>
      </c>
      <c r="E149" t="s">
        <v>24</v>
      </c>
      <c r="F149" t="s">
        <v>2708</v>
      </c>
      <c r="G149">
        <v>20</v>
      </c>
      <c r="H149" t="s">
        <v>464</v>
      </c>
      <c r="I149" t="s">
        <v>943</v>
      </c>
      <c r="J149" t="s">
        <v>1347</v>
      </c>
      <c r="K149" t="s">
        <v>3630</v>
      </c>
    </row>
    <row r="150" spans="1:19" x14ac:dyDescent="0.25">
      <c r="A150" t="s">
        <v>3841</v>
      </c>
      <c r="B150" s="1">
        <v>44533</v>
      </c>
      <c r="C150" t="s">
        <v>102</v>
      </c>
      <c r="D150" t="s">
        <v>145</v>
      </c>
      <c r="E150" t="s">
        <v>24</v>
      </c>
      <c r="F150" t="s">
        <v>215</v>
      </c>
      <c r="G150">
        <v>30</v>
      </c>
      <c r="H150" t="s">
        <v>188</v>
      </c>
      <c r="I150" t="s">
        <v>103</v>
      </c>
      <c r="J150" t="s">
        <v>415</v>
      </c>
      <c r="K150" t="s">
        <v>3842</v>
      </c>
      <c r="R150">
        <v>83</v>
      </c>
    </row>
    <row r="151" spans="1:19" x14ac:dyDescent="0.25">
      <c r="A151" t="s">
        <v>3843</v>
      </c>
      <c r="B151" s="1">
        <v>44533</v>
      </c>
      <c r="C151" t="s">
        <v>3844</v>
      </c>
      <c r="D151" t="s">
        <v>145</v>
      </c>
      <c r="E151" t="s">
        <v>24</v>
      </c>
      <c r="F151" t="s">
        <v>314</v>
      </c>
      <c r="G151">
        <v>30</v>
      </c>
      <c r="H151" t="s">
        <v>1856</v>
      </c>
      <c r="I151" t="s">
        <v>1857</v>
      </c>
      <c r="J151" t="s">
        <v>3845</v>
      </c>
      <c r="K151" t="s">
        <v>3846</v>
      </c>
      <c r="L151">
        <v>0</v>
      </c>
      <c r="P151">
        <v>3.63</v>
      </c>
      <c r="Q151">
        <v>1.81</v>
      </c>
      <c r="R151">
        <v>215</v>
      </c>
      <c r="S151">
        <v>128.72999999999999</v>
      </c>
    </row>
    <row r="152" spans="1:19" x14ac:dyDescent="0.25">
      <c r="A152" t="s">
        <v>3847</v>
      </c>
      <c r="B152" s="1">
        <v>44533</v>
      </c>
      <c r="C152" t="s">
        <v>3848</v>
      </c>
      <c r="D152" t="s">
        <v>145</v>
      </c>
      <c r="E152" t="s">
        <v>24</v>
      </c>
      <c r="F152" t="s">
        <v>323</v>
      </c>
      <c r="G152">
        <v>60</v>
      </c>
      <c r="H152" t="s">
        <v>26</v>
      </c>
      <c r="I152" t="s">
        <v>370</v>
      </c>
      <c r="J152" t="s">
        <v>498</v>
      </c>
      <c r="K152" t="s">
        <v>3849</v>
      </c>
      <c r="L152">
        <v>366</v>
      </c>
      <c r="M152">
        <v>102</v>
      </c>
      <c r="N152" s="2">
        <v>0.37</v>
      </c>
      <c r="O152">
        <v>85</v>
      </c>
      <c r="P152">
        <v>16.239999999999998</v>
      </c>
      <c r="Q152">
        <v>16.239999999999998</v>
      </c>
      <c r="R152">
        <v>452</v>
      </c>
    </row>
    <row r="153" spans="1:19" x14ac:dyDescent="0.25">
      <c r="A153" t="s">
        <v>3850</v>
      </c>
      <c r="B153" s="1">
        <v>44533</v>
      </c>
      <c r="C153" t="s">
        <v>3851</v>
      </c>
      <c r="D153" t="s">
        <v>145</v>
      </c>
      <c r="E153" t="s">
        <v>24</v>
      </c>
      <c r="F153" t="s">
        <v>323</v>
      </c>
      <c r="G153">
        <v>5</v>
      </c>
      <c r="H153" t="s">
        <v>26</v>
      </c>
      <c r="I153" t="s">
        <v>358</v>
      </c>
      <c r="J153" t="s">
        <v>359</v>
      </c>
      <c r="K153" t="s">
        <v>3597</v>
      </c>
      <c r="L153">
        <v>16</v>
      </c>
      <c r="M153">
        <v>53</v>
      </c>
      <c r="N153" s="2">
        <v>0.28000000000000003</v>
      </c>
      <c r="O153">
        <v>84</v>
      </c>
      <c r="P153">
        <v>12.35</v>
      </c>
      <c r="Q153">
        <v>1.03</v>
      </c>
      <c r="R153">
        <v>20</v>
      </c>
    </row>
    <row r="154" spans="1:19" x14ac:dyDescent="0.25">
      <c r="A154" t="s">
        <v>3852</v>
      </c>
      <c r="B154" s="1">
        <v>44533</v>
      </c>
      <c r="C154" t="s">
        <v>3853</v>
      </c>
      <c r="D154" t="s">
        <v>145</v>
      </c>
      <c r="E154" t="s">
        <v>24</v>
      </c>
      <c r="F154" t="s">
        <v>328</v>
      </c>
      <c r="G154">
        <v>5</v>
      </c>
      <c r="H154" t="s">
        <v>49</v>
      </c>
      <c r="I154" t="s">
        <v>50</v>
      </c>
      <c r="J154" t="s">
        <v>51</v>
      </c>
      <c r="K154" t="s">
        <v>3854</v>
      </c>
      <c r="R154">
        <v>12</v>
      </c>
    </row>
    <row r="155" spans="1:19" x14ac:dyDescent="0.25">
      <c r="A155" t="s">
        <v>3855</v>
      </c>
      <c r="B155" s="1">
        <v>44533</v>
      </c>
      <c r="C155" t="s">
        <v>3856</v>
      </c>
      <c r="D155" t="s">
        <v>145</v>
      </c>
      <c r="E155" t="s">
        <v>24</v>
      </c>
      <c r="F155" t="s">
        <v>180</v>
      </c>
      <c r="G155">
        <v>10</v>
      </c>
      <c r="H155" t="s">
        <v>194</v>
      </c>
      <c r="I155" t="s">
        <v>195</v>
      </c>
      <c r="J155" t="s">
        <v>211</v>
      </c>
      <c r="K155" t="s">
        <v>3790</v>
      </c>
      <c r="R155">
        <v>46</v>
      </c>
    </row>
    <row r="156" spans="1:19" x14ac:dyDescent="0.25">
      <c r="A156" t="s">
        <v>3857</v>
      </c>
      <c r="B156" s="1">
        <v>44533</v>
      </c>
      <c r="C156" t="s">
        <v>3858</v>
      </c>
      <c r="D156" t="s">
        <v>145</v>
      </c>
      <c r="E156" t="s">
        <v>24</v>
      </c>
      <c r="F156" t="s">
        <v>208</v>
      </c>
      <c r="G156">
        <v>10</v>
      </c>
      <c r="H156" t="s">
        <v>464</v>
      </c>
      <c r="I156" t="s">
        <v>579</v>
      </c>
      <c r="J156" t="s">
        <v>808</v>
      </c>
      <c r="K156" t="s">
        <v>3859</v>
      </c>
    </row>
    <row r="157" spans="1:19" x14ac:dyDescent="0.25">
      <c r="A157" t="s">
        <v>3966</v>
      </c>
      <c r="B157" s="1">
        <v>44540</v>
      </c>
      <c r="C157" t="s">
        <v>377</v>
      </c>
      <c r="D157" t="s">
        <v>145</v>
      </c>
      <c r="E157" t="s">
        <v>24</v>
      </c>
      <c r="F157" t="s">
        <v>243</v>
      </c>
      <c r="G157">
        <v>30</v>
      </c>
      <c r="H157" t="s">
        <v>188</v>
      </c>
      <c r="I157" t="s">
        <v>575</v>
      </c>
      <c r="J157" t="s">
        <v>3967</v>
      </c>
      <c r="K157" t="s">
        <v>3968</v>
      </c>
      <c r="R157">
        <v>96</v>
      </c>
    </row>
    <row r="158" spans="1:19" x14ac:dyDescent="0.25">
      <c r="A158" t="s">
        <v>3969</v>
      </c>
      <c r="B158" s="1">
        <v>44540</v>
      </c>
      <c r="C158" t="s">
        <v>609</v>
      </c>
      <c r="D158" t="s">
        <v>145</v>
      </c>
      <c r="E158" t="s">
        <v>24</v>
      </c>
      <c r="F158" t="s">
        <v>180</v>
      </c>
      <c r="G158">
        <v>10</v>
      </c>
      <c r="H158" t="s">
        <v>194</v>
      </c>
      <c r="I158" t="s">
        <v>195</v>
      </c>
      <c r="J158" t="s">
        <v>211</v>
      </c>
      <c r="K158" t="s">
        <v>212</v>
      </c>
      <c r="R158">
        <v>46</v>
      </c>
    </row>
    <row r="159" spans="1:19" x14ac:dyDescent="0.25">
      <c r="A159" t="s">
        <v>3970</v>
      </c>
      <c r="B159" s="1">
        <v>44540</v>
      </c>
      <c r="C159" t="s">
        <v>3971</v>
      </c>
      <c r="D159" t="s">
        <v>145</v>
      </c>
      <c r="E159" t="s">
        <v>24</v>
      </c>
      <c r="F159" t="s">
        <v>2833</v>
      </c>
      <c r="G159">
        <v>10</v>
      </c>
      <c r="H159" t="s">
        <v>26</v>
      </c>
      <c r="I159" t="s">
        <v>423</v>
      </c>
      <c r="J159" t="s">
        <v>3972</v>
      </c>
      <c r="K159" t="s">
        <v>3924</v>
      </c>
      <c r="L159">
        <v>44</v>
      </c>
      <c r="M159">
        <v>73</v>
      </c>
      <c r="N159" s="2">
        <v>0.3</v>
      </c>
      <c r="O159">
        <v>90</v>
      </c>
      <c r="P159">
        <v>14.07</v>
      </c>
      <c r="Q159">
        <v>2.35</v>
      </c>
      <c r="R159">
        <v>54</v>
      </c>
    </row>
    <row r="160" spans="1:19" x14ac:dyDescent="0.25">
      <c r="A160" t="s">
        <v>3973</v>
      </c>
      <c r="B160" s="1">
        <v>44540</v>
      </c>
      <c r="C160" t="s">
        <v>3974</v>
      </c>
      <c r="D160" t="s">
        <v>145</v>
      </c>
      <c r="E160" t="s">
        <v>24</v>
      </c>
      <c r="F160" t="s">
        <v>354</v>
      </c>
      <c r="G160">
        <v>30</v>
      </c>
      <c r="H160" t="s">
        <v>26</v>
      </c>
      <c r="I160" t="s">
        <v>39</v>
      </c>
      <c r="J160" t="s">
        <v>407</v>
      </c>
      <c r="K160" t="s">
        <v>3975</v>
      </c>
      <c r="L160">
        <v>159</v>
      </c>
      <c r="M160">
        <v>88</v>
      </c>
      <c r="N160" s="2">
        <v>0.37</v>
      </c>
      <c r="O160">
        <v>80</v>
      </c>
      <c r="P160">
        <v>15.36</v>
      </c>
      <c r="Q160">
        <v>7.68</v>
      </c>
      <c r="R160">
        <v>196</v>
      </c>
    </row>
    <row r="161" spans="1:18" x14ac:dyDescent="0.25">
      <c r="A161" t="s">
        <v>3976</v>
      </c>
      <c r="B161" s="1">
        <v>44540</v>
      </c>
      <c r="C161" t="s">
        <v>1361</v>
      </c>
      <c r="D161" t="s">
        <v>145</v>
      </c>
      <c r="E161" t="s">
        <v>24</v>
      </c>
      <c r="F161" t="s">
        <v>237</v>
      </c>
      <c r="G161">
        <v>10</v>
      </c>
      <c r="H161" t="s">
        <v>464</v>
      </c>
      <c r="I161" t="s">
        <v>763</v>
      </c>
      <c r="J161" t="s">
        <v>764</v>
      </c>
      <c r="K161" t="s">
        <v>3977</v>
      </c>
    </row>
    <row r="162" spans="1:18" x14ac:dyDescent="0.25">
      <c r="A162" t="s">
        <v>4056</v>
      </c>
      <c r="B162" s="1">
        <v>44547</v>
      </c>
      <c r="C162" t="s">
        <v>4057</v>
      </c>
      <c r="D162" t="s">
        <v>145</v>
      </c>
      <c r="E162" t="s">
        <v>24</v>
      </c>
      <c r="F162" t="s">
        <v>208</v>
      </c>
      <c r="G162">
        <v>15</v>
      </c>
      <c r="H162" t="s">
        <v>464</v>
      </c>
      <c r="I162" t="s">
        <v>943</v>
      </c>
      <c r="J162" t="s">
        <v>1709</v>
      </c>
      <c r="K162" t="s">
        <v>4058</v>
      </c>
    </row>
    <row r="163" spans="1:18" x14ac:dyDescent="0.25">
      <c r="A163" t="s">
        <v>4140</v>
      </c>
      <c r="B163" s="1">
        <v>44554</v>
      </c>
      <c r="C163" t="s">
        <v>4141</v>
      </c>
      <c r="D163" t="s">
        <v>145</v>
      </c>
      <c r="E163" t="s">
        <v>24</v>
      </c>
      <c r="F163" t="s">
        <v>243</v>
      </c>
      <c r="G163">
        <v>30</v>
      </c>
      <c r="H163" t="s">
        <v>188</v>
      </c>
      <c r="I163" t="s">
        <v>254</v>
      </c>
      <c r="J163" t="s">
        <v>255</v>
      </c>
      <c r="K163" t="s">
        <v>4142</v>
      </c>
      <c r="R163">
        <v>100</v>
      </c>
    </row>
    <row r="164" spans="1:18" x14ac:dyDescent="0.25">
      <c r="A164" t="s">
        <v>4143</v>
      </c>
      <c r="B164" s="1">
        <v>44554</v>
      </c>
      <c r="C164" t="s">
        <v>4144</v>
      </c>
      <c r="D164" t="s">
        <v>145</v>
      </c>
      <c r="E164" t="s">
        <v>24</v>
      </c>
      <c r="F164" t="s">
        <v>323</v>
      </c>
      <c r="G164">
        <v>45</v>
      </c>
      <c r="H164" t="s">
        <v>26</v>
      </c>
      <c r="I164" t="s">
        <v>370</v>
      </c>
      <c r="J164" t="s">
        <v>439</v>
      </c>
      <c r="K164" t="s">
        <v>4145</v>
      </c>
      <c r="L164">
        <v>273</v>
      </c>
      <c r="M164">
        <v>101</v>
      </c>
      <c r="N164" s="2">
        <v>0.38</v>
      </c>
      <c r="O164">
        <v>84</v>
      </c>
      <c r="P164">
        <v>16.170000000000002</v>
      </c>
      <c r="Q164">
        <v>12.13</v>
      </c>
      <c r="R164">
        <v>336</v>
      </c>
    </row>
    <row r="165" spans="1:18" x14ac:dyDescent="0.25">
      <c r="A165" t="s">
        <v>4146</v>
      </c>
      <c r="B165" s="1">
        <v>44554</v>
      </c>
      <c r="C165" t="s">
        <v>4147</v>
      </c>
      <c r="D165" t="s">
        <v>145</v>
      </c>
      <c r="E165" t="s">
        <v>24</v>
      </c>
      <c r="F165" t="s">
        <v>323</v>
      </c>
      <c r="G165">
        <v>5</v>
      </c>
      <c r="H165" t="s">
        <v>49</v>
      </c>
      <c r="I165" t="s">
        <v>50</v>
      </c>
      <c r="J165" t="s">
        <v>51</v>
      </c>
      <c r="K165" t="s">
        <v>3597</v>
      </c>
      <c r="R165">
        <v>11</v>
      </c>
    </row>
    <row r="166" spans="1:18" x14ac:dyDescent="0.25">
      <c r="A166" t="s">
        <v>4148</v>
      </c>
      <c r="B166" s="1">
        <v>44554</v>
      </c>
      <c r="C166" t="s">
        <v>4026</v>
      </c>
      <c r="D166" t="s">
        <v>145</v>
      </c>
      <c r="E166" t="s">
        <v>24</v>
      </c>
      <c r="F166" t="s">
        <v>200</v>
      </c>
      <c r="G166">
        <v>15</v>
      </c>
      <c r="H166" t="s">
        <v>464</v>
      </c>
      <c r="I166" t="s">
        <v>763</v>
      </c>
      <c r="J166" t="s">
        <v>4149</v>
      </c>
      <c r="K166" t="s">
        <v>4085</v>
      </c>
    </row>
    <row r="167" spans="1:18" x14ac:dyDescent="0.25">
      <c r="A167" t="s">
        <v>4239</v>
      </c>
      <c r="B167" s="1">
        <v>44561</v>
      </c>
      <c r="C167" t="s">
        <v>4240</v>
      </c>
      <c r="D167" t="s">
        <v>145</v>
      </c>
      <c r="E167" t="s">
        <v>24</v>
      </c>
      <c r="F167" t="s">
        <v>200</v>
      </c>
      <c r="G167">
        <v>20</v>
      </c>
      <c r="H167" t="s">
        <v>188</v>
      </c>
      <c r="I167" t="s">
        <v>238</v>
      </c>
      <c r="J167" t="s">
        <v>2898</v>
      </c>
      <c r="K167" t="s">
        <v>4241</v>
      </c>
      <c r="R167">
        <v>60</v>
      </c>
    </row>
    <row r="168" spans="1:18" x14ac:dyDescent="0.25">
      <c r="A168" t="s">
        <v>4242</v>
      </c>
      <c r="B168" s="1">
        <v>44561</v>
      </c>
      <c r="C168" t="s">
        <v>1678</v>
      </c>
      <c r="D168" t="s">
        <v>145</v>
      </c>
      <c r="E168" t="s">
        <v>24</v>
      </c>
      <c r="F168" t="s">
        <v>237</v>
      </c>
      <c r="G168">
        <v>20</v>
      </c>
      <c r="H168" t="s">
        <v>188</v>
      </c>
      <c r="I168" t="s">
        <v>103</v>
      </c>
      <c r="J168" t="s">
        <v>4243</v>
      </c>
      <c r="K168" t="s">
        <v>4244</v>
      </c>
      <c r="R168">
        <v>65</v>
      </c>
    </row>
    <row r="169" spans="1:18" x14ac:dyDescent="0.25">
      <c r="A169" t="s">
        <v>4245</v>
      </c>
      <c r="B169" s="1">
        <v>44561</v>
      </c>
      <c r="C169" t="s">
        <v>186</v>
      </c>
      <c r="D169" t="s">
        <v>145</v>
      </c>
      <c r="E169" t="s">
        <v>24</v>
      </c>
      <c r="F169" t="s">
        <v>554</v>
      </c>
      <c r="G169">
        <v>10</v>
      </c>
      <c r="H169" t="s">
        <v>49</v>
      </c>
      <c r="I169" t="s">
        <v>1960</v>
      </c>
      <c r="J169" t="s">
        <v>1961</v>
      </c>
      <c r="K169" t="s">
        <v>2862</v>
      </c>
      <c r="R169">
        <v>23</v>
      </c>
    </row>
    <row r="170" spans="1:18" x14ac:dyDescent="0.25">
      <c r="A170" t="s">
        <v>4335</v>
      </c>
      <c r="B170" s="1">
        <v>44568</v>
      </c>
      <c r="C170" t="s">
        <v>4336</v>
      </c>
      <c r="D170" t="s">
        <v>145</v>
      </c>
      <c r="E170" t="s">
        <v>24</v>
      </c>
      <c r="F170" t="s">
        <v>200</v>
      </c>
      <c r="G170">
        <v>30</v>
      </c>
      <c r="H170" t="s">
        <v>188</v>
      </c>
      <c r="I170" t="s">
        <v>3255</v>
      </c>
      <c r="J170" t="s">
        <v>4337</v>
      </c>
      <c r="K170" t="s">
        <v>4338</v>
      </c>
      <c r="R170">
        <v>97</v>
      </c>
    </row>
    <row r="171" spans="1:18" x14ac:dyDescent="0.25">
      <c r="A171" t="s">
        <v>4339</v>
      </c>
      <c r="B171" s="1">
        <v>44568</v>
      </c>
      <c r="C171" t="s">
        <v>4340</v>
      </c>
      <c r="D171" t="s">
        <v>145</v>
      </c>
      <c r="E171" t="s">
        <v>24</v>
      </c>
      <c r="F171" t="s">
        <v>2256</v>
      </c>
      <c r="G171">
        <v>10</v>
      </c>
      <c r="H171" t="s">
        <v>194</v>
      </c>
      <c r="I171" t="s">
        <v>195</v>
      </c>
      <c r="J171" t="s">
        <v>211</v>
      </c>
      <c r="K171" t="s">
        <v>4341</v>
      </c>
      <c r="R171">
        <v>46</v>
      </c>
    </row>
    <row r="172" spans="1:18" x14ac:dyDescent="0.25">
      <c r="A172" t="s">
        <v>4342</v>
      </c>
      <c r="B172" s="1">
        <v>44568</v>
      </c>
      <c r="C172" t="s">
        <v>4343</v>
      </c>
      <c r="D172" t="s">
        <v>145</v>
      </c>
      <c r="E172" t="s">
        <v>24</v>
      </c>
      <c r="F172" t="s">
        <v>243</v>
      </c>
      <c r="G172">
        <v>45</v>
      </c>
      <c r="H172" t="s">
        <v>26</v>
      </c>
      <c r="I172" t="s">
        <v>370</v>
      </c>
      <c r="J172" t="s">
        <v>439</v>
      </c>
      <c r="K172" t="s">
        <v>948</v>
      </c>
      <c r="L172">
        <v>263</v>
      </c>
      <c r="M172">
        <v>95</v>
      </c>
      <c r="N172" s="2">
        <v>0.38</v>
      </c>
      <c r="O172">
        <v>79</v>
      </c>
      <c r="P172">
        <v>15.73</v>
      </c>
      <c r="Q172">
        <v>12.07</v>
      </c>
      <c r="R172">
        <v>324</v>
      </c>
    </row>
    <row r="173" spans="1:18" x14ac:dyDescent="0.25">
      <c r="A173" t="s">
        <v>4344</v>
      </c>
      <c r="B173" s="1">
        <v>44568</v>
      </c>
      <c r="C173" t="s">
        <v>3919</v>
      </c>
      <c r="D173" t="s">
        <v>145</v>
      </c>
      <c r="E173" t="s">
        <v>24</v>
      </c>
      <c r="F173" t="s">
        <v>354</v>
      </c>
      <c r="G173">
        <v>10</v>
      </c>
      <c r="H173" t="s">
        <v>194</v>
      </c>
      <c r="I173" t="s">
        <v>700</v>
      </c>
      <c r="J173" t="s">
        <v>1282</v>
      </c>
      <c r="K173" t="s">
        <v>4345</v>
      </c>
      <c r="R173">
        <v>46</v>
      </c>
    </row>
    <row r="174" spans="1:18" x14ac:dyDescent="0.25">
      <c r="A174" t="s">
        <v>4346</v>
      </c>
      <c r="B174" s="1">
        <v>44568</v>
      </c>
      <c r="C174" t="s">
        <v>936</v>
      </c>
      <c r="D174" t="s">
        <v>145</v>
      </c>
      <c r="E174" t="s">
        <v>24</v>
      </c>
      <c r="F174" t="s">
        <v>323</v>
      </c>
      <c r="G174">
        <v>5</v>
      </c>
      <c r="H174" t="s">
        <v>49</v>
      </c>
      <c r="I174" t="s">
        <v>50</v>
      </c>
      <c r="J174" t="s">
        <v>51</v>
      </c>
      <c r="K174" t="s">
        <v>4332</v>
      </c>
      <c r="R174">
        <v>11</v>
      </c>
    </row>
    <row r="175" spans="1:18" x14ac:dyDescent="0.25">
      <c r="A175" t="s">
        <v>4347</v>
      </c>
      <c r="B175" s="1">
        <v>44568</v>
      </c>
      <c r="C175" t="s">
        <v>1361</v>
      </c>
      <c r="D175" t="s">
        <v>145</v>
      </c>
      <c r="E175" t="s">
        <v>24</v>
      </c>
      <c r="F175" t="s">
        <v>459</v>
      </c>
      <c r="G175">
        <v>10</v>
      </c>
      <c r="H175" t="s">
        <v>464</v>
      </c>
      <c r="I175" t="s">
        <v>763</v>
      </c>
      <c r="J175" t="s">
        <v>4348</v>
      </c>
      <c r="K175" t="s">
        <v>4306</v>
      </c>
    </row>
    <row r="176" spans="1:18" x14ac:dyDescent="0.25">
      <c r="A176" t="s">
        <v>4423</v>
      </c>
      <c r="B176" s="1">
        <v>44575</v>
      </c>
      <c r="C176" t="s">
        <v>399</v>
      </c>
      <c r="D176" t="s">
        <v>145</v>
      </c>
      <c r="E176" t="s">
        <v>24</v>
      </c>
      <c r="F176" t="s">
        <v>215</v>
      </c>
      <c r="G176">
        <v>30</v>
      </c>
      <c r="H176" t="s">
        <v>188</v>
      </c>
      <c r="I176" t="s">
        <v>103</v>
      </c>
      <c r="J176" t="s">
        <v>415</v>
      </c>
      <c r="K176" t="s">
        <v>4424</v>
      </c>
      <c r="R176">
        <v>85</v>
      </c>
    </row>
    <row r="177" spans="1:18" x14ac:dyDescent="0.25">
      <c r="A177" t="s">
        <v>4425</v>
      </c>
      <c r="B177" s="1">
        <v>44575</v>
      </c>
      <c r="C177" t="s">
        <v>4426</v>
      </c>
      <c r="D177" t="s">
        <v>145</v>
      </c>
      <c r="E177" t="s">
        <v>24</v>
      </c>
      <c r="F177" t="s">
        <v>768</v>
      </c>
      <c r="G177">
        <v>30</v>
      </c>
      <c r="H177" t="s">
        <v>605</v>
      </c>
      <c r="I177" t="s">
        <v>663</v>
      </c>
      <c r="J177" t="s">
        <v>790</v>
      </c>
      <c r="K177" t="s">
        <v>4427</v>
      </c>
      <c r="L177">
        <v>74</v>
      </c>
      <c r="P177">
        <v>16</v>
      </c>
      <c r="Q177">
        <v>3.22</v>
      </c>
      <c r="R177">
        <v>155</v>
      </c>
    </row>
    <row r="178" spans="1:18" x14ac:dyDescent="0.25">
      <c r="A178" t="s">
        <v>4428</v>
      </c>
      <c r="B178" s="1">
        <v>44575</v>
      </c>
      <c r="C178" t="s">
        <v>4429</v>
      </c>
      <c r="D178" t="s">
        <v>145</v>
      </c>
      <c r="E178" t="s">
        <v>24</v>
      </c>
      <c r="F178" t="s">
        <v>490</v>
      </c>
      <c r="G178">
        <v>30</v>
      </c>
      <c r="H178" t="s">
        <v>26</v>
      </c>
      <c r="I178" t="s">
        <v>39</v>
      </c>
      <c r="J178" t="s">
        <v>407</v>
      </c>
      <c r="K178" t="s">
        <v>4430</v>
      </c>
      <c r="L178">
        <v>146</v>
      </c>
      <c r="M178">
        <v>81</v>
      </c>
      <c r="N178" s="2">
        <v>0.33</v>
      </c>
      <c r="O178">
        <v>84</v>
      </c>
      <c r="P178">
        <v>14.66</v>
      </c>
      <c r="Q178">
        <v>7.33</v>
      </c>
      <c r="R178">
        <v>180</v>
      </c>
    </row>
    <row r="179" spans="1:18" x14ac:dyDescent="0.25">
      <c r="A179" t="s">
        <v>4431</v>
      </c>
      <c r="B179" s="1">
        <v>44575</v>
      </c>
      <c r="C179" t="s">
        <v>3743</v>
      </c>
      <c r="D179" t="s">
        <v>145</v>
      </c>
      <c r="E179" t="s">
        <v>24</v>
      </c>
      <c r="F179" t="s">
        <v>200</v>
      </c>
      <c r="G179">
        <v>10</v>
      </c>
      <c r="H179" t="s">
        <v>464</v>
      </c>
      <c r="I179" t="s">
        <v>579</v>
      </c>
      <c r="J179" t="s">
        <v>808</v>
      </c>
      <c r="K179" t="s">
        <v>4432</v>
      </c>
    </row>
    <row r="180" spans="1:18" x14ac:dyDescent="0.25">
      <c r="A180" t="s">
        <v>4513</v>
      </c>
      <c r="B180" s="1">
        <v>44582</v>
      </c>
      <c r="C180" t="s">
        <v>219</v>
      </c>
      <c r="D180" t="s">
        <v>145</v>
      </c>
      <c r="E180" t="s">
        <v>24</v>
      </c>
      <c r="F180" t="s">
        <v>243</v>
      </c>
      <c r="G180">
        <v>30</v>
      </c>
      <c r="H180" t="s">
        <v>188</v>
      </c>
      <c r="I180" t="s">
        <v>189</v>
      </c>
      <c r="J180" t="s">
        <v>201</v>
      </c>
      <c r="K180" t="s">
        <v>4514</v>
      </c>
      <c r="R180">
        <v>95</v>
      </c>
    </row>
    <row r="181" spans="1:18" x14ac:dyDescent="0.25">
      <c r="A181" t="s">
        <v>4515</v>
      </c>
      <c r="B181" s="1">
        <v>44582</v>
      </c>
      <c r="C181" t="s">
        <v>4516</v>
      </c>
      <c r="D181" t="s">
        <v>145</v>
      </c>
      <c r="E181" t="s">
        <v>24</v>
      </c>
      <c r="F181" t="s">
        <v>323</v>
      </c>
      <c r="G181">
        <v>60</v>
      </c>
      <c r="H181" t="s">
        <v>26</v>
      </c>
      <c r="I181" t="s">
        <v>370</v>
      </c>
      <c r="J181" t="s">
        <v>498</v>
      </c>
      <c r="K181" t="s">
        <v>3849</v>
      </c>
      <c r="L181">
        <v>378</v>
      </c>
      <c r="M181">
        <v>105</v>
      </c>
      <c r="N181" s="2">
        <v>0.37</v>
      </c>
      <c r="O181">
        <v>85</v>
      </c>
      <c r="P181">
        <v>16.46</v>
      </c>
      <c r="Q181">
        <v>16.47</v>
      </c>
      <c r="R181">
        <v>466</v>
      </c>
    </row>
    <row r="182" spans="1:18" x14ac:dyDescent="0.25">
      <c r="A182" t="s">
        <v>4517</v>
      </c>
      <c r="B182" s="1">
        <v>44582</v>
      </c>
      <c r="C182" t="s">
        <v>4518</v>
      </c>
      <c r="D182" t="s">
        <v>145</v>
      </c>
      <c r="E182" t="s">
        <v>24</v>
      </c>
      <c r="F182" t="s">
        <v>170</v>
      </c>
      <c r="G182">
        <v>5</v>
      </c>
      <c r="H182" t="s">
        <v>26</v>
      </c>
      <c r="I182" t="s">
        <v>358</v>
      </c>
      <c r="J182" t="s">
        <v>359</v>
      </c>
      <c r="K182" t="s">
        <v>4471</v>
      </c>
      <c r="L182">
        <v>16</v>
      </c>
      <c r="M182">
        <v>55</v>
      </c>
      <c r="N182" s="2">
        <v>0.28999999999999998</v>
      </c>
      <c r="O182">
        <v>83</v>
      </c>
      <c r="P182">
        <v>12.52</v>
      </c>
      <c r="Q182">
        <v>1.04</v>
      </c>
      <c r="R182">
        <v>20</v>
      </c>
    </row>
    <row r="183" spans="1:18" x14ac:dyDescent="0.25">
      <c r="A183" t="s">
        <v>4519</v>
      </c>
      <c r="B183" s="1">
        <v>44582</v>
      </c>
      <c r="C183" t="s">
        <v>4520</v>
      </c>
      <c r="D183" t="s">
        <v>145</v>
      </c>
      <c r="E183" t="s">
        <v>24</v>
      </c>
      <c r="F183" t="s">
        <v>660</v>
      </c>
      <c r="G183">
        <v>5</v>
      </c>
      <c r="H183" t="s">
        <v>49</v>
      </c>
      <c r="I183" t="s">
        <v>50</v>
      </c>
      <c r="J183" t="s">
        <v>51</v>
      </c>
      <c r="K183" t="s">
        <v>4521</v>
      </c>
      <c r="R183">
        <v>11</v>
      </c>
    </row>
    <row r="184" spans="1:18" x14ac:dyDescent="0.25">
      <c r="A184" t="s">
        <v>4522</v>
      </c>
      <c r="B184" s="1">
        <v>44582</v>
      </c>
      <c r="C184" t="s">
        <v>4523</v>
      </c>
      <c r="D184" t="s">
        <v>145</v>
      </c>
      <c r="E184" t="s">
        <v>24</v>
      </c>
      <c r="F184" t="s">
        <v>180</v>
      </c>
      <c r="G184">
        <v>10</v>
      </c>
      <c r="H184" t="s">
        <v>194</v>
      </c>
      <c r="I184" t="s">
        <v>195</v>
      </c>
      <c r="J184" t="s">
        <v>211</v>
      </c>
      <c r="K184" t="s">
        <v>4524</v>
      </c>
      <c r="R184">
        <v>46</v>
      </c>
    </row>
    <row r="185" spans="1:18" x14ac:dyDescent="0.25">
      <c r="A185" t="s">
        <v>4525</v>
      </c>
      <c r="B185" s="1">
        <v>44582</v>
      </c>
      <c r="C185" t="s">
        <v>4526</v>
      </c>
      <c r="D185" t="s">
        <v>145</v>
      </c>
      <c r="E185" t="s">
        <v>24</v>
      </c>
      <c r="F185" t="s">
        <v>208</v>
      </c>
      <c r="G185">
        <v>15</v>
      </c>
      <c r="H185" t="s">
        <v>464</v>
      </c>
      <c r="I185" t="s">
        <v>943</v>
      </c>
      <c r="J185" t="s">
        <v>1709</v>
      </c>
      <c r="K185" t="s">
        <v>4527</v>
      </c>
    </row>
    <row r="186" spans="1:18" x14ac:dyDescent="0.25">
      <c r="A186" t="s">
        <v>4592</v>
      </c>
      <c r="B186" s="1">
        <v>44589</v>
      </c>
      <c r="C186" t="s">
        <v>4498</v>
      </c>
      <c r="D186" t="s">
        <v>145</v>
      </c>
      <c r="E186" t="s">
        <v>24</v>
      </c>
      <c r="F186" t="s">
        <v>200</v>
      </c>
      <c r="G186">
        <v>30</v>
      </c>
      <c r="H186" t="s">
        <v>188</v>
      </c>
      <c r="I186" t="s">
        <v>189</v>
      </c>
      <c r="J186" t="s">
        <v>3149</v>
      </c>
      <c r="K186" t="s">
        <v>4593</v>
      </c>
      <c r="R186">
        <v>89</v>
      </c>
    </row>
    <row r="187" spans="1:18" x14ac:dyDescent="0.25">
      <c r="A187" t="s">
        <v>4594</v>
      </c>
      <c r="B187" s="1">
        <v>44589</v>
      </c>
      <c r="C187" t="s">
        <v>4595</v>
      </c>
      <c r="D187" t="s">
        <v>145</v>
      </c>
      <c r="E187" t="s">
        <v>24</v>
      </c>
      <c r="F187" t="s">
        <v>200</v>
      </c>
      <c r="G187">
        <v>5</v>
      </c>
      <c r="H187" t="s">
        <v>464</v>
      </c>
      <c r="I187" t="s">
        <v>1571</v>
      </c>
      <c r="J187" t="s">
        <v>4596</v>
      </c>
      <c r="K187" t="s">
        <v>4597</v>
      </c>
    </row>
    <row r="188" spans="1:18" x14ac:dyDescent="0.25">
      <c r="A188" t="s">
        <v>4598</v>
      </c>
      <c r="B188" s="1">
        <v>44589</v>
      </c>
      <c r="C188" t="s">
        <v>1310</v>
      </c>
      <c r="D188" t="s">
        <v>145</v>
      </c>
      <c r="E188" t="s">
        <v>24</v>
      </c>
      <c r="F188" t="s">
        <v>208</v>
      </c>
      <c r="G188">
        <v>20</v>
      </c>
      <c r="H188" t="s">
        <v>464</v>
      </c>
      <c r="I188" t="s">
        <v>763</v>
      </c>
      <c r="J188" t="s">
        <v>1335</v>
      </c>
      <c r="K188" t="s">
        <v>4599</v>
      </c>
    </row>
    <row r="189" spans="1:18" x14ac:dyDescent="0.25">
      <c r="A189" t="s">
        <v>4672</v>
      </c>
      <c r="B189" s="1">
        <v>44596</v>
      </c>
      <c r="C189" t="s">
        <v>4673</v>
      </c>
      <c r="D189" t="s">
        <v>145</v>
      </c>
      <c r="E189" t="s">
        <v>24</v>
      </c>
      <c r="F189" t="s">
        <v>237</v>
      </c>
      <c r="G189">
        <v>5</v>
      </c>
      <c r="H189" t="s">
        <v>464</v>
      </c>
      <c r="I189" t="s">
        <v>943</v>
      </c>
      <c r="J189" t="s">
        <v>2205</v>
      </c>
      <c r="K189" t="s">
        <v>4674</v>
      </c>
    </row>
    <row r="190" spans="1:18" x14ac:dyDescent="0.25">
      <c r="A190" t="s">
        <v>4675</v>
      </c>
      <c r="B190" s="1">
        <v>44596</v>
      </c>
      <c r="C190" t="s">
        <v>377</v>
      </c>
      <c r="D190" t="s">
        <v>145</v>
      </c>
      <c r="E190" t="s">
        <v>24</v>
      </c>
      <c r="F190" t="s">
        <v>243</v>
      </c>
      <c r="G190">
        <v>30</v>
      </c>
      <c r="H190" t="s">
        <v>188</v>
      </c>
      <c r="I190" t="s">
        <v>189</v>
      </c>
      <c r="J190" t="s">
        <v>201</v>
      </c>
      <c r="K190" t="s">
        <v>4676</v>
      </c>
      <c r="R190">
        <v>92</v>
      </c>
    </row>
    <row r="191" spans="1:18" x14ac:dyDescent="0.25">
      <c r="A191" t="s">
        <v>4677</v>
      </c>
      <c r="B191" s="1">
        <v>44596</v>
      </c>
      <c r="C191" t="s">
        <v>4678</v>
      </c>
      <c r="D191" t="s">
        <v>145</v>
      </c>
      <c r="E191" t="s">
        <v>24</v>
      </c>
      <c r="F191" t="s">
        <v>335</v>
      </c>
      <c r="G191">
        <v>45</v>
      </c>
      <c r="H191" t="s">
        <v>26</v>
      </c>
      <c r="I191" t="s">
        <v>370</v>
      </c>
      <c r="J191" t="s">
        <v>479</v>
      </c>
      <c r="K191" t="s">
        <v>4679</v>
      </c>
      <c r="L191">
        <v>298</v>
      </c>
      <c r="M191">
        <v>110</v>
      </c>
      <c r="N191" s="2">
        <v>0.37</v>
      </c>
      <c r="O191">
        <v>87</v>
      </c>
      <c r="P191">
        <v>16.600000000000001</v>
      </c>
      <c r="Q191">
        <v>12.45</v>
      </c>
      <c r="R191">
        <v>367</v>
      </c>
    </row>
    <row r="192" spans="1:18" x14ac:dyDescent="0.25">
      <c r="A192" t="s">
        <v>4680</v>
      </c>
      <c r="B192" s="1">
        <v>44596</v>
      </c>
      <c r="C192" t="s">
        <v>4681</v>
      </c>
      <c r="D192" t="s">
        <v>145</v>
      </c>
      <c r="E192" t="s">
        <v>24</v>
      </c>
      <c r="F192" t="s">
        <v>335</v>
      </c>
      <c r="G192">
        <v>5</v>
      </c>
      <c r="H192" t="s">
        <v>26</v>
      </c>
      <c r="I192" t="s">
        <v>358</v>
      </c>
      <c r="J192" t="s">
        <v>359</v>
      </c>
      <c r="K192" t="s">
        <v>4277</v>
      </c>
      <c r="L192">
        <v>18</v>
      </c>
      <c r="M192">
        <v>59</v>
      </c>
      <c r="N192" s="2">
        <v>0.3</v>
      </c>
      <c r="O192">
        <v>84</v>
      </c>
      <c r="P192">
        <v>12.93</v>
      </c>
      <c r="Q192">
        <v>1.07</v>
      </c>
      <c r="R192">
        <v>22</v>
      </c>
    </row>
    <row r="193" spans="1:18" x14ac:dyDescent="0.25">
      <c r="A193" t="s">
        <v>4682</v>
      </c>
      <c r="B193" s="1">
        <v>44596</v>
      </c>
      <c r="C193" t="s">
        <v>4683</v>
      </c>
      <c r="D193" t="s">
        <v>145</v>
      </c>
      <c r="E193" t="s">
        <v>24</v>
      </c>
      <c r="F193" t="s">
        <v>180</v>
      </c>
      <c r="G193">
        <v>10</v>
      </c>
      <c r="H193" t="s">
        <v>194</v>
      </c>
      <c r="I193" t="s">
        <v>195</v>
      </c>
      <c r="J193" t="s">
        <v>211</v>
      </c>
      <c r="K193" t="s">
        <v>4524</v>
      </c>
      <c r="R193">
        <v>46</v>
      </c>
    </row>
    <row r="194" spans="1:18" x14ac:dyDescent="0.25">
      <c r="A194" t="s">
        <v>4684</v>
      </c>
      <c r="B194" s="1">
        <v>44596</v>
      </c>
      <c r="C194" t="s">
        <v>4685</v>
      </c>
      <c r="D194" t="s">
        <v>145</v>
      </c>
      <c r="E194" t="s">
        <v>24</v>
      </c>
      <c r="F194" t="s">
        <v>354</v>
      </c>
      <c r="G194">
        <v>5</v>
      </c>
      <c r="H194" t="s">
        <v>49</v>
      </c>
      <c r="I194" t="s">
        <v>50</v>
      </c>
      <c r="J194" t="s">
        <v>51</v>
      </c>
      <c r="K194" t="s">
        <v>4646</v>
      </c>
      <c r="R194">
        <v>11</v>
      </c>
    </row>
    <row r="195" spans="1:18" x14ac:dyDescent="0.25">
      <c r="A195" t="s">
        <v>4686</v>
      </c>
      <c r="B195" s="1">
        <v>44596</v>
      </c>
      <c r="C195" t="s">
        <v>4687</v>
      </c>
      <c r="D195" t="s">
        <v>145</v>
      </c>
      <c r="E195" t="s">
        <v>24</v>
      </c>
      <c r="F195" t="s">
        <v>237</v>
      </c>
      <c r="G195">
        <v>20</v>
      </c>
      <c r="H195" t="s">
        <v>464</v>
      </c>
      <c r="I195" t="s">
        <v>943</v>
      </c>
      <c r="J195" t="s">
        <v>1347</v>
      </c>
      <c r="K195" t="s">
        <v>4688</v>
      </c>
    </row>
    <row r="196" spans="1:18" x14ac:dyDescent="0.25">
      <c r="A196" t="s">
        <v>4754</v>
      </c>
      <c r="B196" s="1">
        <v>44603</v>
      </c>
      <c r="C196" t="s">
        <v>1113</v>
      </c>
      <c r="D196" t="s">
        <v>145</v>
      </c>
      <c r="E196" t="s">
        <v>24</v>
      </c>
      <c r="F196" t="s">
        <v>215</v>
      </c>
      <c r="G196">
        <v>30</v>
      </c>
      <c r="H196" t="s">
        <v>188</v>
      </c>
      <c r="I196" t="s">
        <v>238</v>
      </c>
      <c r="J196" t="s">
        <v>1956</v>
      </c>
      <c r="K196" t="s">
        <v>4755</v>
      </c>
      <c r="R196">
        <v>99</v>
      </c>
    </row>
    <row r="197" spans="1:18" x14ac:dyDescent="0.25">
      <c r="A197" t="s">
        <v>4756</v>
      </c>
      <c r="B197" s="1">
        <v>44603</v>
      </c>
      <c r="C197" t="s">
        <v>4757</v>
      </c>
      <c r="D197" t="s">
        <v>145</v>
      </c>
      <c r="E197" t="s">
        <v>24</v>
      </c>
      <c r="F197" t="s">
        <v>180</v>
      </c>
      <c r="G197">
        <v>10</v>
      </c>
      <c r="H197" t="s">
        <v>194</v>
      </c>
      <c r="I197" t="s">
        <v>195</v>
      </c>
      <c r="J197" t="s">
        <v>211</v>
      </c>
      <c r="K197" t="s">
        <v>4524</v>
      </c>
      <c r="R197">
        <v>46</v>
      </c>
    </row>
    <row r="198" spans="1:18" x14ac:dyDescent="0.25">
      <c r="A198" t="s">
        <v>4758</v>
      </c>
      <c r="B198" s="1">
        <v>44603</v>
      </c>
      <c r="C198" t="s">
        <v>4759</v>
      </c>
      <c r="D198" t="s">
        <v>145</v>
      </c>
      <c r="E198" t="s">
        <v>24</v>
      </c>
      <c r="F198" t="s">
        <v>323</v>
      </c>
      <c r="G198">
        <v>15</v>
      </c>
      <c r="H198" t="s">
        <v>26</v>
      </c>
      <c r="I198" t="s">
        <v>370</v>
      </c>
      <c r="J198" t="s">
        <v>531</v>
      </c>
      <c r="K198" t="s">
        <v>4258</v>
      </c>
      <c r="L198">
        <v>84</v>
      </c>
      <c r="M198">
        <v>93</v>
      </c>
      <c r="N198" s="2">
        <v>0.33</v>
      </c>
      <c r="O198">
        <v>95</v>
      </c>
      <c r="P198">
        <v>15.52</v>
      </c>
      <c r="Q198">
        <v>3.88</v>
      </c>
      <c r="R198">
        <v>104</v>
      </c>
    </row>
    <row r="199" spans="1:18" x14ac:dyDescent="0.25">
      <c r="A199" t="s">
        <v>4760</v>
      </c>
      <c r="B199" s="1">
        <v>44603</v>
      </c>
      <c r="C199" t="s">
        <v>4761</v>
      </c>
      <c r="D199" t="s">
        <v>145</v>
      </c>
      <c r="E199" t="s">
        <v>24</v>
      </c>
      <c r="F199" t="s">
        <v>323</v>
      </c>
      <c r="G199">
        <v>20</v>
      </c>
      <c r="H199" t="s">
        <v>26</v>
      </c>
      <c r="I199" t="s">
        <v>370</v>
      </c>
      <c r="J199" t="s">
        <v>385</v>
      </c>
      <c r="K199" t="s">
        <v>4231</v>
      </c>
      <c r="L199">
        <v>180</v>
      </c>
      <c r="M199">
        <v>150</v>
      </c>
      <c r="N199" s="2">
        <v>0.43</v>
      </c>
      <c r="O199">
        <v>86</v>
      </c>
      <c r="P199">
        <v>19.07</v>
      </c>
      <c r="Q199">
        <v>6.32</v>
      </c>
      <c r="R199">
        <v>221</v>
      </c>
    </row>
    <row r="200" spans="1:18" x14ac:dyDescent="0.25">
      <c r="A200" t="s">
        <v>4762</v>
      </c>
      <c r="B200" s="1">
        <v>44603</v>
      </c>
      <c r="C200" t="s">
        <v>4198</v>
      </c>
      <c r="D200" t="s">
        <v>145</v>
      </c>
      <c r="E200" t="s">
        <v>24</v>
      </c>
      <c r="F200" t="s">
        <v>323</v>
      </c>
      <c r="G200">
        <v>5</v>
      </c>
      <c r="H200" t="s">
        <v>26</v>
      </c>
      <c r="I200" t="s">
        <v>358</v>
      </c>
      <c r="J200" t="s">
        <v>359</v>
      </c>
      <c r="K200" t="s">
        <v>4332</v>
      </c>
      <c r="L200">
        <v>10</v>
      </c>
      <c r="M200">
        <v>32</v>
      </c>
      <c r="N200" s="2">
        <v>0.18</v>
      </c>
      <c r="O200">
        <v>94</v>
      </c>
      <c r="P200">
        <v>9.61</v>
      </c>
      <c r="Q200">
        <v>0.8</v>
      </c>
      <c r="R200">
        <v>12</v>
      </c>
    </row>
    <row r="201" spans="1:18" x14ac:dyDescent="0.25">
      <c r="A201" t="s">
        <v>4763</v>
      </c>
      <c r="B201" s="1">
        <v>44603</v>
      </c>
      <c r="C201" t="s">
        <v>4764</v>
      </c>
      <c r="D201" t="s">
        <v>145</v>
      </c>
      <c r="E201" t="s">
        <v>24</v>
      </c>
      <c r="F201" t="s">
        <v>323</v>
      </c>
      <c r="G201">
        <v>5</v>
      </c>
      <c r="H201" t="s">
        <v>49</v>
      </c>
      <c r="I201" t="s">
        <v>50</v>
      </c>
      <c r="J201" t="s">
        <v>51</v>
      </c>
      <c r="K201" t="s">
        <v>4332</v>
      </c>
      <c r="R201">
        <v>11</v>
      </c>
    </row>
    <row r="202" spans="1:18" x14ac:dyDescent="0.25">
      <c r="A202" t="s">
        <v>4765</v>
      </c>
      <c r="B202" s="1">
        <v>44603</v>
      </c>
      <c r="C202" t="s">
        <v>1606</v>
      </c>
      <c r="D202" t="s">
        <v>145</v>
      </c>
      <c r="E202" t="s">
        <v>24</v>
      </c>
      <c r="F202" t="s">
        <v>2708</v>
      </c>
      <c r="G202">
        <v>5</v>
      </c>
      <c r="H202" t="s">
        <v>464</v>
      </c>
      <c r="I202" t="s">
        <v>763</v>
      </c>
      <c r="J202" t="s">
        <v>2354</v>
      </c>
      <c r="K202" t="s">
        <v>4766</v>
      </c>
    </row>
    <row r="203" spans="1:18" x14ac:dyDescent="0.25">
      <c r="A203" t="s">
        <v>4838</v>
      </c>
      <c r="B203" s="1">
        <v>44610</v>
      </c>
      <c r="C203" t="s">
        <v>3489</v>
      </c>
      <c r="D203" t="s">
        <v>145</v>
      </c>
      <c r="E203" t="s">
        <v>24</v>
      </c>
      <c r="F203" t="s">
        <v>243</v>
      </c>
      <c r="G203">
        <v>30</v>
      </c>
      <c r="H203" t="s">
        <v>188</v>
      </c>
      <c r="I203" t="s">
        <v>189</v>
      </c>
      <c r="J203" t="s">
        <v>201</v>
      </c>
      <c r="K203" t="s">
        <v>3515</v>
      </c>
      <c r="R203">
        <v>93</v>
      </c>
    </row>
    <row r="204" spans="1:18" x14ac:dyDescent="0.25">
      <c r="A204" t="s">
        <v>4839</v>
      </c>
      <c r="B204" s="1">
        <v>44610</v>
      </c>
      <c r="C204" t="s">
        <v>3496</v>
      </c>
      <c r="D204" t="s">
        <v>145</v>
      </c>
      <c r="E204" t="s">
        <v>24</v>
      </c>
      <c r="F204" t="s">
        <v>215</v>
      </c>
      <c r="G204">
        <v>20</v>
      </c>
      <c r="H204" t="s">
        <v>464</v>
      </c>
      <c r="I204" t="s">
        <v>943</v>
      </c>
      <c r="J204" t="s">
        <v>1347</v>
      </c>
      <c r="K204" t="s">
        <v>4840</v>
      </c>
    </row>
    <row r="205" spans="1:18" x14ac:dyDescent="0.25">
      <c r="A205" t="s">
        <v>4906</v>
      </c>
      <c r="B205" s="1">
        <v>44617</v>
      </c>
      <c r="C205" t="s">
        <v>219</v>
      </c>
      <c r="D205" t="s">
        <v>145</v>
      </c>
      <c r="E205" t="s">
        <v>24</v>
      </c>
      <c r="F205" t="s">
        <v>243</v>
      </c>
      <c r="G205">
        <v>30</v>
      </c>
      <c r="H205" t="s">
        <v>188</v>
      </c>
      <c r="I205" t="s">
        <v>238</v>
      </c>
      <c r="J205" t="s">
        <v>1322</v>
      </c>
      <c r="K205" t="s">
        <v>4766</v>
      </c>
      <c r="R205">
        <v>98</v>
      </c>
    </row>
    <row r="206" spans="1:18" x14ac:dyDescent="0.25">
      <c r="A206" t="s">
        <v>4907</v>
      </c>
      <c r="B206" s="1">
        <v>44617</v>
      </c>
      <c r="C206" t="s">
        <v>4908</v>
      </c>
      <c r="D206" t="s">
        <v>145</v>
      </c>
      <c r="E206" t="s">
        <v>24</v>
      </c>
      <c r="F206" t="s">
        <v>200</v>
      </c>
      <c r="G206">
        <v>15</v>
      </c>
      <c r="H206" t="s">
        <v>464</v>
      </c>
      <c r="I206" t="s">
        <v>943</v>
      </c>
      <c r="J206" t="s">
        <v>1709</v>
      </c>
      <c r="K206" t="s">
        <v>4909</v>
      </c>
    </row>
    <row r="207" spans="1:18" x14ac:dyDescent="0.25">
      <c r="A207" t="s">
        <v>5005</v>
      </c>
      <c r="B207" s="1">
        <v>44624</v>
      </c>
      <c r="C207" t="s">
        <v>482</v>
      </c>
      <c r="D207" t="s">
        <v>145</v>
      </c>
      <c r="E207" t="s">
        <v>24</v>
      </c>
      <c r="F207" t="s">
        <v>200</v>
      </c>
      <c r="G207">
        <v>30</v>
      </c>
      <c r="H207" t="s">
        <v>188</v>
      </c>
      <c r="I207" t="s">
        <v>189</v>
      </c>
      <c r="J207" t="s">
        <v>4372</v>
      </c>
      <c r="K207" t="s">
        <v>5006</v>
      </c>
      <c r="R207">
        <v>100</v>
      </c>
    </row>
    <row r="208" spans="1:18" x14ac:dyDescent="0.25">
      <c r="A208" t="s">
        <v>5007</v>
      </c>
      <c r="B208" s="1">
        <v>44624</v>
      </c>
      <c r="C208" t="s">
        <v>4693</v>
      </c>
      <c r="D208" t="s">
        <v>145</v>
      </c>
      <c r="E208" t="s">
        <v>24</v>
      </c>
      <c r="F208" t="s">
        <v>323</v>
      </c>
      <c r="G208">
        <v>60</v>
      </c>
      <c r="H208" t="s">
        <v>26</v>
      </c>
      <c r="I208" t="s">
        <v>370</v>
      </c>
      <c r="J208" t="s">
        <v>498</v>
      </c>
      <c r="K208" t="s">
        <v>5008</v>
      </c>
      <c r="L208">
        <v>378</v>
      </c>
      <c r="M208">
        <v>105</v>
      </c>
      <c r="N208" s="2">
        <v>0.38</v>
      </c>
      <c r="O208">
        <v>85</v>
      </c>
      <c r="P208">
        <v>16.440000000000001</v>
      </c>
      <c r="Q208">
        <v>16.440000000000001</v>
      </c>
      <c r="R208">
        <v>465</v>
      </c>
    </row>
    <row r="209" spans="1:19" x14ac:dyDescent="0.25">
      <c r="A209" t="s">
        <v>5009</v>
      </c>
      <c r="B209" s="1">
        <v>44624</v>
      </c>
      <c r="C209" t="s">
        <v>5010</v>
      </c>
      <c r="D209" t="s">
        <v>145</v>
      </c>
      <c r="E209" t="s">
        <v>24</v>
      </c>
      <c r="F209" t="s">
        <v>590</v>
      </c>
      <c r="G209">
        <v>5</v>
      </c>
      <c r="H209" t="s">
        <v>26</v>
      </c>
      <c r="I209" t="s">
        <v>358</v>
      </c>
      <c r="J209" t="s">
        <v>359</v>
      </c>
      <c r="K209" t="s">
        <v>5011</v>
      </c>
      <c r="L209">
        <v>23</v>
      </c>
      <c r="M209">
        <v>76</v>
      </c>
      <c r="N209" s="2">
        <v>0.36</v>
      </c>
      <c r="O209">
        <v>76</v>
      </c>
      <c r="P209">
        <v>14.37</v>
      </c>
      <c r="Q209">
        <v>1.2</v>
      </c>
      <c r="R209">
        <v>28</v>
      </c>
    </row>
    <row r="210" spans="1:19" x14ac:dyDescent="0.25">
      <c r="A210" t="s">
        <v>5012</v>
      </c>
      <c r="B210" s="1">
        <v>44624</v>
      </c>
      <c r="C210" t="s">
        <v>3853</v>
      </c>
      <c r="D210" t="s">
        <v>145</v>
      </c>
      <c r="E210" t="s">
        <v>24</v>
      </c>
      <c r="F210" t="s">
        <v>590</v>
      </c>
      <c r="G210">
        <v>5</v>
      </c>
      <c r="H210" t="s">
        <v>49</v>
      </c>
      <c r="I210" t="s">
        <v>50</v>
      </c>
      <c r="J210" t="s">
        <v>51</v>
      </c>
      <c r="K210" t="s">
        <v>5011</v>
      </c>
      <c r="R210">
        <v>11</v>
      </c>
    </row>
    <row r="211" spans="1:19" x14ac:dyDescent="0.25">
      <c r="A211" t="s">
        <v>5013</v>
      </c>
      <c r="B211" s="1">
        <v>44624</v>
      </c>
      <c r="C211" t="s">
        <v>1310</v>
      </c>
      <c r="D211" t="s">
        <v>145</v>
      </c>
      <c r="E211" t="s">
        <v>24</v>
      </c>
      <c r="F211" t="s">
        <v>5014</v>
      </c>
      <c r="G211">
        <v>10</v>
      </c>
      <c r="H211" t="s">
        <v>464</v>
      </c>
      <c r="I211" t="s">
        <v>579</v>
      </c>
      <c r="J211" t="s">
        <v>1820</v>
      </c>
      <c r="K211" t="s">
        <v>5015</v>
      </c>
    </row>
    <row r="212" spans="1:19" x14ac:dyDescent="0.25">
      <c r="A212" t="s">
        <v>5074</v>
      </c>
      <c r="B212" s="1">
        <v>44631</v>
      </c>
      <c r="C212" t="s">
        <v>5075</v>
      </c>
      <c r="D212" t="s">
        <v>145</v>
      </c>
      <c r="E212" t="s">
        <v>24</v>
      </c>
      <c r="F212" t="s">
        <v>243</v>
      </c>
      <c r="G212">
        <v>45</v>
      </c>
      <c r="H212" t="s">
        <v>188</v>
      </c>
      <c r="I212" t="s">
        <v>189</v>
      </c>
      <c r="J212" t="s">
        <v>244</v>
      </c>
      <c r="K212" t="s">
        <v>5076</v>
      </c>
      <c r="R212">
        <v>144</v>
      </c>
    </row>
    <row r="213" spans="1:19" x14ac:dyDescent="0.25">
      <c r="A213" t="s">
        <v>5077</v>
      </c>
      <c r="B213" s="1">
        <v>44631</v>
      </c>
      <c r="C213" t="s">
        <v>5078</v>
      </c>
      <c r="D213" t="s">
        <v>145</v>
      </c>
      <c r="E213" t="s">
        <v>24</v>
      </c>
      <c r="F213" t="s">
        <v>170</v>
      </c>
      <c r="G213">
        <v>10</v>
      </c>
      <c r="H213" t="s">
        <v>194</v>
      </c>
      <c r="I213" t="s">
        <v>195</v>
      </c>
      <c r="J213" t="s">
        <v>211</v>
      </c>
      <c r="K213" t="s">
        <v>5079</v>
      </c>
      <c r="R213">
        <v>45</v>
      </c>
    </row>
    <row r="214" spans="1:19" x14ac:dyDescent="0.25">
      <c r="A214" t="s">
        <v>5080</v>
      </c>
      <c r="B214" s="1">
        <v>44631</v>
      </c>
      <c r="C214" t="s">
        <v>5081</v>
      </c>
      <c r="D214" t="s">
        <v>145</v>
      </c>
      <c r="E214" t="s">
        <v>24</v>
      </c>
      <c r="F214" t="s">
        <v>200</v>
      </c>
      <c r="G214">
        <v>10</v>
      </c>
      <c r="H214" t="s">
        <v>464</v>
      </c>
      <c r="I214" t="s">
        <v>1571</v>
      </c>
      <c r="J214" t="s">
        <v>5082</v>
      </c>
      <c r="K214" t="s">
        <v>5083</v>
      </c>
    </row>
    <row r="215" spans="1:19" x14ac:dyDescent="0.25">
      <c r="A215" t="s">
        <v>5084</v>
      </c>
      <c r="B215" s="1">
        <v>44631</v>
      </c>
      <c r="C215" t="s">
        <v>5085</v>
      </c>
      <c r="D215" t="s">
        <v>145</v>
      </c>
      <c r="E215" t="s">
        <v>24</v>
      </c>
      <c r="F215" t="s">
        <v>215</v>
      </c>
      <c r="G215">
        <v>20</v>
      </c>
      <c r="H215" t="s">
        <v>464</v>
      </c>
      <c r="I215" t="s">
        <v>943</v>
      </c>
      <c r="J215" t="s">
        <v>1347</v>
      </c>
      <c r="K215" t="s">
        <v>4831</v>
      </c>
    </row>
    <row r="216" spans="1:19" x14ac:dyDescent="0.25">
      <c r="A216" t="s">
        <v>5171</v>
      </c>
      <c r="B216" s="1">
        <v>44638</v>
      </c>
      <c r="C216" t="s">
        <v>4134</v>
      </c>
      <c r="D216" t="s">
        <v>145</v>
      </c>
      <c r="E216" t="s">
        <v>24</v>
      </c>
      <c r="F216" t="s">
        <v>200</v>
      </c>
      <c r="G216">
        <v>30</v>
      </c>
      <c r="H216" t="s">
        <v>188</v>
      </c>
      <c r="I216" t="s">
        <v>189</v>
      </c>
      <c r="J216" t="s">
        <v>3149</v>
      </c>
      <c r="K216" t="s">
        <v>5172</v>
      </c>
      <c r="R216">
        <v>98</v>
      </c>
    </row>
    <row r="217" spans="1:19" x14ac:dyDescent="0.25">
      <c r="A217" t="s">
        <v>5173</v>
      </c>
      <c r="B217" s="1">
        <v>44638</v>
      </c>
      <c r="C217" t="s">
        <v>130</v>
      </c>
      <c r="D217" t="s">
        <v>145</v>
      </c>
      <c r="E217" t="s">
        <v>24</v>
      </c>
      <c r="F217" t="s">
        <v>2256</v>
      </c>
      <c r="G217">
        <v>10</v>
      </c>
      <c r="H217" t="s">
        <v>194</v>
      </c>
      <c r="I217" t="s">
        <v>195</v>
      </c>
      <c r="J217" t="s">
        <v>211</v>
      </c>
      <c r="K217" t="s">
        <v>5174</v>
      </c>
      <c r="R217">
        <v>45</v>
      </c>
    </row>
    <row r="218" spans="1:19" x14ac:dyDescent="0.25">
      <c r="A218" t="s">
        <v>5175</v>
      </c>
      <c r="B218" s="1">
        <v>44638</v>
      </c>
      <c r="C218" t="s">
        <v>5176</v>
      </c>
      <c r="D218" t="s">
        <v>145</v>
      </c>
      <c r="E218" t="s">
        <v>24</v>
      </c>
      <c r="F218" t="s">
        <v>323</v>
      </c>
      <c r="G218">
        <v>45</v>
      </c>
      <c r="H218" t="s">
        <v>1856</v>
      </c>
      <c r="I218" t="s">
        <v>5177</v>
      </c>
      <c r="J218" t="s">
        <v>5178</v>
      </c>
      <c r="K218" t="s">
        <v>3917</v>
      </c>
      <c r="L218">
        <v>0</v>
      </c>
      <c r="P218">
        <v>3.75</v>
      </c>
      <c r="Q218">
        <v>2.8</v>
      </c>
      <c r="R218">
        <v>278</v>
      </c>
    </row>
    <row r="219" spans="1:19" x14ac:dyDescent="0.25">
      <c r="A219" t="s">
        <v>5179</v>
      </c>
      <c r="B219" s="1">
        <v>44638</v>
      </c>
      <c r="C219" t="s">
        <v>1469</v>
      </c>
      <c r="D219" t="s">
        <v>145</v>
      </c>
      <c r="E219" t="s">
        <v>24</v>
      </c>
      <c r="F219" t="s">
        <v>2708</v>
      </c>
      <c r="G219">
        <v>20</v>
      </c>
      <c r="H219" t="s">
        <v>464</v>
      </c>
      <c r="I219" t="s">
        <v>943</v>
      </c>
      <c r="J219" t="s">
        <v>1347</v>
      </c>
      <c r="K219" t="s">
        <v>5180</v>
      </c>
    </row>
    <row r="220" spans="1:19" x14ac:dyDescent="0.25">
      <c r="A220" t="s">
        <v>5264</v>
      </c>
      <c r="B220" s="1">
        <v>44645</v>
      </c>
      <c r="C220" t="s">
        <v>5265</v>
      </c>
      <c r="D220" t="s">
        <v>145</v>
      </c>
      <c r="E220" t="s">
        <v>24</v>
      </c>
      <c r="F220" t="s">
        <v>200</v>
      </c>
      <c r="G220">
        <v>30</v>
      </c>
      <c r="H220" t="s">
        <v>188</v>
      </c>
      <c r="I220" t="s">
        <v>254</v>
      </c>
      <c r="J220" t="s">
        <v>255</v>
      </c>
      <c r="K220" t="s">
        <v>5266</v>
      </c>
      <c r="R220">
        <v>101</v>
      </c>
    </row>
    <row r="221" spans="1:19" x14ac:dyDescent="0.25">
      <c r="A221" t="s">
        <v>5267</v>
      </c>
      <c r="B221" s="1">
        <v>44645</v>
      </c>
      <c r="C221" t="s">
        <v>5268</v>
      </c>
      <c r="D221" t="s">
        <v>145</v>
      </c>
      <c r="E221" t="s">
        <v>24</v>
      </c>
      <c r="F221" t="s">
        <v>335</v>
      </c>
      <c r="G221">
        <v>10</v>
      </c>
      <c r="H221" t="s">
        <v>194</v>
      </c>
      <c r="I221" t="s">
        <v>195</v>
      </c>
      <c r="J221" t="s">
        <v>211</v>
      </c>
      <c r="K221" t="s">
        <v>5269</v>
      </c>
      <c r="R221">
        <v>36</v>
      </c>
      <c r="S221">
        <v>94.49</v>
      </c>
    </row>
    <row r="222" spans="1:19" x14ac:dyDescent="0.25">
      <c r="A222" t="s">
        <v>5270</v>
      </c>
      <c r="B222" s="1">
        <v>44645</v>
      </c>
      <c r="C222" t="s">
        <v>5271</v>
      </c>
      <c r="D222" t="s">
        <v>145</v>
      </c>
      <c r="E222" t="s">
        <v>24</v>
      </c>
      <c r="F222" t="s">
        <v>243</v>
      </c>
      <c r="G222">
        <v>45</v>
      </c>
      <c r="H222" t="s">
        <v>26</v>
      </c>
      <c r="I222" t="s">
        <v>370</v>
      </c>
      <c r="J222" t="s">
        <v>439</v>
      </c>
      <c r="K222" t="s">
        <v>2310</v>
      </c>
      <c r="L222">
        <v>270</v>
      </c>
      <c r="M222">
        <v>100</v>
      </c>
      <c r="N222" s="2">
        <v>0.37</v>
      </c>
      <c r="O222">
        <v>86</v>
      </c>
      <c r="P222">
        <v>16.07</v>
      </c>
      <c r="Q222">
        <v>12.05</v>
      </c>
      <c r="R222">
        <v>413</v>
      </c>
      <c r="S222">
        <v>146.74</v>
      </c>
    </row>
    <row r="223" spans="1:19" x14ac:dyDescent="0.25">
      <c r="A223" t="s">
        <v>5272</v>
      </c>
      <c r="B223" s="1">
        <v>44645</v>
      </c>
      <c r="C223" t="s">
        <v>5273</v>
      </c>
      <c r="D223" t="s">
        <v>145</v>
      </c>
      <c r="E223" t="s">
        <v>24</v>
      </c>
      <c r="F223" t="s">
        <v>335</v>
      </c>
      <c r="G223">
        <v>10</v>
      </c>
      <c r="H223" t="s">
        <v>26</v>
      </c>
      <c r="I223" t="s">
        <v>358</v>
      </c>
      <c r="J223" t="s">
        <v>389</v>
      </c>
      <c r="K223" t="s">
        <v>5274</v>
      </c>
      <c r="L223">
        <v>33</v>
      </c>
      <c r="M223">
        <v>55</v>
      </c>
      <c r="N223" s="2">
        <v>0.3</v>
      </c>
      <c r="O223">
        <v>77</v>
      </c>
      <c r="P223">
        <v>12.56</v>
      </c>
      <c r="Q223">
        <v>2.1</v>
      </c>
      <c r="R223">
        <v>60</v>
      </c>
      <c r="S223">
        <v>118.66</v>
      </c>
    </row>
    <row r="224" spans="1:19" x14ac:dyDescent="0.25">
      <c r="A224" t="s">
        <v>5275</v>
      </c>
      <c r="B224" s="1">
        <v>44645</v>
      </c>
      <c r="C224" t="s">
        <v>5276</v>
      </c>
      <c r="D224" t="s">
        <v>145</v>
      </c>
      <c r="E224" t="s">
        <v>24</v>
      </c>
      <c r="F224" t="s">
        <v>335</v>
      </c>
      <c r="G224">
        <v>5</v>
      </c>
      <c r="H224" t="s">
        <v>49</v>
      </c>
      <c r="I224" t="s">
        <v>50</v>
      </c>
      <c r="J224" t="s">
        <v>51</v>
      </c>
      <c r="K224" t="s">
        <v>5274</v>
      </c>
      <c r="R224">
        <v>19</v>
      </c>
      <c r="S224">
        <v>102.03</v>
      </c>
    </row>
    <row r="225" spans="1:19" x14ac:dyDescent="0.25">
      <c r="A225" t="s">
        <v>5277</v>
      </c>
      <c r="B225" s="1">
        <v>44645</v>
      </c>
      <c r="C225" t="s">
        <v>4526</v>
      </c>
      <c r="D225" t="s">
        <v>145</v>
      </c>
      <c r="E225" t="s">
        <v>24</v>
      </c>
      <c r="F225" t="s">
        <v>208</v>
      </c>
      <c r="G225">
        <v>15</v>
      </c>
      <c r="H225" t="s">
        <v>464</v>
      </c>
      <c r="I225" t="s">
        <v>763</v>
      </c>
      <c r="J225" t="s">
        <v>2926</v>
      </c>
      <c r="K225" t="s">
        <v>5278</v>
      </c>
    </row>
    <row r="226" spans="1:19" x14ac:dyDescent="0.25">
      <c r="A226" t="s">
        <v>5338</v>
      </c>
      <c r="B226" s="1">
        <v>44652</v>
      </c>
      <c r="C226" t="s">
        <v>5339</v>
      </c>
      <c r="D226" t="s">
        <v>145</v>
      </c>
      <c r="E226" t="s">
        <v>24</v>
      </c>
      <c r="F226" t="s">
        <v>660</v>
      </c>
      <c r="G226">
        <v>5</v>
      </c>
      <c r="H226" t="s">
        <v>26</v>
      </c>
      <c r="I226" t="s">
        <v>423</v>
      </c>
      <c r="J226" t="s">
        <v>505</v>
      </c>
      <c r="K226" t="s">
        <v>5340</v>
      </c>
      <c r="L226">
        <v>21</v>
      </c>
      <c r="M226">
        <v>71</v>
      </c>
      <c r="N226" s="2">
        <v>0.28999999999999998</v>
      </c>
      <c r="O226">
        <v>93</v>
      </c>
      <c r="P226">
        <v>13.91</v>
      </c>
      <c r="Q226">
        <v>1.1599999999999999</v>
      </c>
      <c r="R226">
        <v>34</v>
      </c>
      <c r="S226">
        <v>130.24</v>
      </c>
    </row>
    <row r="227" spans="1:19" x14ac:dyDescent="0.25">
      <c r="A227" t="s">
        <v>5341</v>
      </c>
      <c r="B227" s="1">
        <v>44652</v>
      </c>
      <c r="C227" t="s">
        <v>5342</v>
      </c>
      <c r="D227" t="s">
        <v>145</v>
      </c>
      <c r="E227" t="s">
        <v>24</v>
      </c>
      <c r="F227" t="s">
        <v>243</v>
      </c>
      <c r="G227">
        <v>45</v>
      </c>
      <c r="H227" t="s">
        <v>26</v>
      </c>
      <c r="I227" t="s">
        <v>370</v>
      </c>
      <c r="J227" t="s">
        <v>479</v>
      </c>
      <c r="K227" t="s">
        <v>5343</v>
      </c>
      <c r="L227">
        <v>281</v>
      </c>
      <c r="M227">
        <v>104</v>
      </c>
      <c r="N227" s="2">
        <v>0.36</v>
      </c>
      <c r="O227">
        <v>88</v>
      </c>
      <c r="P227">
        <v>16.16</v>
      </c>
      <c r="Q227">
        <v>12.12</v>
      </c>
      <c r="R227">
        <v>461</v>
      </c>
      <c r="S227">
        <v>155.86000000000001</v>
      </c>
    </row>
    <row r="228" spans="1:19" x14ac:dyDescent="0.25">
      <c r="A228" t="s">
        <v>5344</v>
      </c>
      <c r="B228" s="1">
        <v>44652</v>
      </c>
      <c r="C228" t="s">
        <v>5345</v>
      </c>
      <c r="D228" t="s">
        <v>145</v>
      </c>
      <c r="E228" t="s">
        <v>24</v>
      </c>
      <c r="F228" t="s">
        <v>660</v>
      </c>
      <c r="G228">
        <v>10</v>
      </c>
      <c r="H228" t="s">
        <v>26</v>
      </c>
      <c r="I228" t="s">
        <v>358</v>
      </c>
      <c r="J228" t="s">
        <v>5346</v>
      </c>
      <c r="K228" t="s">
        <v>5347</v>
      </c>
      <c r="L228">
        <v>43</v>
      </c>
      <c r="M228">
        <v>72</v>
      </c>
      <c r="N228" s="2">
        <v>0.36</v>
      </c>
      <c r="O228">
        <v>70</v>
      </c>
      <c r="P228">
        <v>13.89</v>
      </c>
      <c r="Q228">
        <v>2.3199999999999998</v>
      </c>
      <c r="R228">
        <v>70</v>
      </c>
      <c r="S228">
        <v>127.58</v>
      </c>
    </row>
    <row r="229" spans="1:19" x14ac:dyDescent="0.25">
      <c r="A229" t="s">
        <v>5348</v>
      </c>
      <c r="B229" s="1">
        <v>44652</v>
      </c>
      <c r="C229" t="s">
        <v>5349</v>
      </c>
      <c r="D229" t="s">
        <v>145</v>
      </c>
      <c r="E229" t="s">
        <v>24</v>
      </c>
      <c r="F229" t="s">
        <v>660</v>
      </c>
      <c r="G229">
        <v>5</v>
      </c>
      <c r="H229" t="s">
        <v>49</v>
      </c>
      <c r="I229" t="s">
        <v>50</v>
      </c>
      <c r="J229" t="s">
        <v>51</v>
      </c>
      <c r="K229" t="s">
        <v>5340</v>
      </c>
      <c r="R229">
        <v>20</v>
      </c>
      <c r="S229">
        <v>103.38</v>
      </c>
    </row>
    <row r="230" spans="1:19" x14ac:dyDescent="0.25">
      <c r="A230" t="s">
        <v>5417</v>
      </c>
      <c r="B230" s="1">
        <v>44659</v>
      </c>
      <c r="C230" t="s">
        <v>1113</v>
      </c>
      <c r="D230" t="s">
        <v>145</v>
      </c>
      <c r="E230" t="s">
        <v>24</v>
      </c>
      <c r="F230" t="s">
        <v>200</v>
      </c>
      <c r="G230">
        <v>30</v>
      </c>
      <c r="H230" t="s">
        <v>188</v>
      </c>
      <c r="I230" t="s">
        <v>254</v>
      </c>
      <c r="J230" t="s">
        <v>255</v>
      </c>
      <c r="K230" t="s">
        <v>5418</v>
      </c>
      <c r="R230">
        <v>98</v>
      </c>
    </row>
    <row r="231" spans="1:19" x14ac:dyDescent="0.25">
      <c r="A231" t="s">
        <v>5419</v>
      </c>
      <c r="B231" s="1">
        <v>44659</v>
      </c>
      <c r="C231" t="s">
        <v>5420</v>
      </c>
      <c r="D231" t="s">
        <v>145</v>
      </c>
      <c r="E231" t="s">
        <v>24</v>
      </c>
      <c r="F231" t="s">
        <v>554</v>
      </c>
      <c r="G231">
        <v>20</v>
      </c>
      <c r="H231" t="s">
        <v>194</v>
      </c>
      <c r="I231" t="s">
        <v>5421</v>
      </c>
      <c r="J231" t="s">
        <v>5422</v>
      </c>
      <c r="K231" t="s">
        <v>5423</v>
      </c>
      <c r="R231">
        <v>79</v>
      </c>
      <c r="S231">
        <v>100.51</v>
      </c>
    </row>
    <row r="232" spans="1:19" x14ac:dyDescent="0.25">
      <c r="A232" t="s">
        <v>5424</v>
      </c>
      <c r="B232" s="1">
        <v>44659</v>
      </c>
      <c r="C232" t="s">
        <v>5425</v>
      </c>
      <c r="D232" t="s">
        <v>145</v>
      </c>
      <c r="E232" t="s">
        <v>24</v>
      </c>
      <c r="F232" t="s">
        <v>2256</v>
      </c>
      <c r="G232">
        <v>10</v>
      </c>
      <c r="H232" t="s">
        <v>194</v>
      </c>
      <c r="I232" t="s">
        <v>195</v>
      </c>
      <c r="J232" t="s">
        <v>211</v>
      </c>
      <c r="K232" t="s">
        <v>5426</v>
      </c>
      <c r="R232">
        <v>48</v>
      </c>
      <c r="S232">
        <v>106.63</v>
      </c>
    </row>
    <row r="233" spans="1:19" x14ac:dyDescent="0.25">
      <c r="A233" t="s">
        <v>5427</v>
      </c>
      <c r="B233" s="1">
        <v>44659</v>
      </c>
      <c r="C233" t="s">
        <v>5428</v>
      </c>
      <c r="D233" t="s">
        <v>145</v>
      </c>
      <c r="E233" t="s">
        <v>24</v>
      </c>
      <c r="F233" t="s">
        <v>335</v>
      </c>
      <c r="G233">
        <v>30</v>
      </c>
      <c r="H233" t="s">
        <v>26</v>
      </c>
      <c r="I233" t="s">
        <v>370</v>
      </c>
      <c r="J233" t="s">
        <v>3832</v>
      </c>
      <c r="K233" t="s">
        <v>5429</v>
      </c>
      <c r="L233">
        <v>174</v>
      </c>
      <c r="M233">
        <v>97</v>
      </c>
      <c r="N233" s="2">
        <v>0.36</v>
      </c>
      <c r="O233">
        <v>87</v>
      </c>
      <c r="P233">
        <v>15.84</v>
      </c>
      <c r="Q233">
        <v>7.92</v>
      </c>
      <c r="R233">
        <v>278</v>
      </c>
      <c r="S233">
        <v>147.34</v>
      </c>
    </row>
    <row r="234" spans="1:19" x14ac:dyDescent="0.25">
      <c r="A234" t="s">
        <v>5430</v>
      </c>
      <c r="B234" s="1">
        <v>44659</v>
      </c>
      <c r="C234" t="s">
        <v>5431</v>
      </c>
      <c r="D234" t="s">
        <v>145</v>
      </c>
      <c r="E234" t="s">
        <v>24</v>
      </c>
      <c r="F234" t="s">
        <v>354</v>
      </c>
      <c r="G234">
        <v>10</v>
      </c>
      <c r="H234" t="s">
        <v>194</v>
      </c>
      <c r="I234" t="s">
        <v>700</v>
      </c>
      <c r="J234" t="s">
        <v>1282</v>
      </c>
      <c r="K234" t="s">
        <v>5408</v>
      </c>
      <c r="R234">
        <v>50</v>
      </c>
      <c r="S234">
        <v>110.32</v>
      </c>
    </row>
    <row r="235" spans="1:19" x14ac:dyDescent="0.25">
      <c r="A235" t="s">
        <v>5432</v>
      </c>
      <c r="B235" s="1">
        <v>44659</v>
      </c>
      <c r="C235" t="s">
        <v>1562</v>
      </c>
      <c r="D235" t="s">
        <v>145</v>
      </c>
      <c r="E235" t="s">
        <v>24</v>
      </c>
      <c r="F235" t="s">
        <v>2708</v>
      </c>
      <c r="G235">
        <v>10</v>
      </c>
      <c r="H235" t="s">
        <v>464</v>
      </c>
      <c r="I235" t="s">
        <v>943</v>
      </c>
      <c r="J235" t="s">
        <v>944</v>
      </c>
      <c r="K235" t="s">
        <v>5433</v>
      </c>
    </row>
    <row r="236" spans="1:19" x14ac:dyDescent="0.25">
      <c r="A236" t="s">
        <v>5519</v>
      </c>
      <c r="B236" s="1">
        <v>44666</v>
      </c>
      <c r="C236" t="s">
        <v>1384</v>
      </c>
      <c r="D236" t="s">
        <v>145</v>
      </c>
      <c r="E236" t="s">
        <v>24</v>
      </c>
      <c r="F236" t="s">
        <v>215</v>
      </c>
      <c r="G236">
        <v>20</v>
      </c>
      <c r="H236" t="s">
        <v>464</v>
      </c>
      <c r="I236" t="s">
        <v>579</v>
      </c>
      <c r="J236" t="s">
        <v>1347</v>
      </c>
      <c r="K236" t="s">
        <v>1589</v>
      </c>
    </row>
    <row r="237" spans="1:19" x14ac:dyDescent="0.25">
      <c r="A237" t="s">
        <v>5600</v>
      </c>
      <c r="B237" s="1">
        <v>44673</v>
      </c>
      <c r="C237" t="s">
        <v>3931</v>
      </c>
      <c r="D237" t="s">
        <v>145</v>
      </c>
      <c r="E237" t="s">
        <v>24</v>
      </c>
      <c r="F237" t="s">
        <v>215</v>
      </c>
      <c r="G237">
        <v>30</v>
      </c>
      <c r="H237" t="s">
        <v>188</v>
      </c>
      <c r="I237" t="s">
        <v>189</v>
      </c>
      <c r="J237" t="s">
        <v>3149</v>
      </c>
      <c r="K237" t="s">
        <v>5601</v>
      </c>
      <c r="R237">
        <v>98</v>
      </c>
    </row>
    <row r="238" spans="1:19" x14ac:dyDescent="0.25">
      <c r="A238" t="s">
        <v>5602</v>
      </c>
      <c r="B238" s="1">
        <v>44673</v>
      </c>
      <c r="C238" t="s">
        <v>5603</v>
      </c>
      <c r="D238" t="s">
        <v>145</v>
      </c>
      <c r="E238" t="s">
        <v>24</v>
      </c>
      <c r="F238" t="s">
        <v>554</v>
      </c>
      <c r="G238">
        <v>10</v>
      </c>
      <c r="H238" t="s">
        <v>194</v>
      </c>
      <c r="I238" t="s">
        <v>5421</v>
      </c>
      <c r="J238" t="s">
        <v>5464</v>
      </c>
      <c r="K238" t="s">
        <v>5604</v>
      </c>
      <c r="R238">
        <v>45</v>
      </c>
    </row>
    <row r="239" spans="1:19" x14ac:dyDescent="0.25">
      <c r="A239" t="s">
        <v>5605</v>
      </c>
      <c r="B239" s="1">
        <v>44673</v>
      </c>
      <c r="C239" t="s">
        <v>5606</v>
      </c>
      <c r="D239" t="s">
        <v>145</v>
      </c>
      <c r="E239" t="s">
        <v>24</v>
      </c>
      <c r="F239" t="s">
        <v>231</v>
      </c>
      <c r="G239">
        <v>45</v>
      </c>
      <c r="H239" t="s">
        <v>1856</v>
      </c>
      <c r="I239" t="s">
        <v>4912</v>
      </c>
      <c r="J239" t="s">
        <v>5607</v>
      </c>
      <c r="K239" t="s">
        <v>5608</v>
      </c>
      <c r="L239">
        <v>0</v>
      </c>
      <c r="P239">
        <v>3.26</v>
      </c>
      <c r="Q239">
        <v>1.99</v>
      </c>
      <c r="R239">
        <v>241</v>
      </c>
      <c r="S239">
        <v>122.38</v>
      </c>
    </row>
    <row r="240" spans="1:19" x14ac:dyDescent="0.25">
      <c r="A240" t="s">
        <v>5609</v>
      </c>
      <c r="B240" s="1">
        <v>44673</v>
      </c>
      <c r="C240" t="s">
        <v>4609</v>
      </c>
      <c r="D240" t="s">
        <v>145</v>
      </c>
      <c r="E240" t="s">
        <v>24</v>
      </c>
      <c r="F240" t="s">
        <v>1987</v>
      </c>
      <c r="G240">
        <v>10</v>
      </c>
      <c r="H240" t="s">
        <v>464</v>
      </c>
      <c r="I240" t="s">
        <v>103</v>
      </c>
      <c r="J240" t="s">
        <v>5610</v>
      </c>
      <c r="K240" t="s">
        <v>5611</v>
      </c>
    </row>
    <row r="241" spans="1:19" x14ac:dyDescent="0.25">
      <c r="A241" t="s">
        <v>5680</v>
      </c>
      <c r="B241" s="1">
        <v>44680</v>
      </c>
      <c r="C241" t="s">
        <v>1964</v>
      </c>
      <c r="D241" t="s">
        <v>145</v>
      </c>
      <c r="E241" t="s">
        <v>24</v>
      </c>
      <c r="F241" t="s">
        <v>459</v>
      </c>
      <c r="G241">
        <v>10</v>
      </c>
      <c r="H241" t="s">
        <v>464</v>
      </c>
      <c r="I241" t="s">
        <v>943</v>
      </c>
      <c r="J241" t="s">
        <v>944</v>
      </c>
      <c r="K241" t="s">
        <v>5681</v>
      </c>
    </row>
    <row r="242" spans="1:19" x14ac:dyDescent="0.25">
      <c r="A242" t="s">
        <v>5735</v>
      </c>
      <c r="B242" s="1">
        <v>44687</v>
      </c>
      <c r="C242" t="s">
        <v>5736</v>
      </c>
      <c r="D242" t="s">
        <v>145</v>
      </c>
      <c r="E242" t="s">
        <v>24</v>
      </c>
      <c r="F242" t="s">
        <v>200</v>
      </c>
      <c r="G242">
        <v>30</v>
      </c>
      <c r="H242" t="s">
        <v>188</v>
      </c>
      <c r="I242" t="s">
        <v>189</v>
      </c>
      <c r="J242" t="s">
        <v>201</v>
      </c>
      <c r="K242" t="s">
        <v>5737</v>
      </c>
      <c r="R242">
        <v>95</v>
      </c>
    </row>
    <row r="243" spans="1:19" x14ac:dyDescent="0.25">
      <c r="A243" t="s">
        <v>5738</v>
      </c>
      <c r="B243" s="1">
        <v>44687</v>
      </c>
      <c r="C243" t="s">
        <v>2090</v>
      </c>
      <c r="D243" t="s">
        <v>145</v>
      </c>
      <c r="E243" t="s">
        <v>24</v>
      </c>
      <c r="F243" t="s">
        <v>328</v>
      </c>
      <c r="G243">
        <v>10</v>
      </c>
      <c r="H243" t="s">
        <v>194</v>
      </c>
      <c r="I243" t="s">
        <v>195</v>
      </c>
      <c r="J243" t="s">
        <v>5739</v>
      </c>
      <c r="K243" t="s">
        <v>5740</v>
      </c>
      <c r="R243">
        <v>46</v>
      </c>
    </row>
    <row r="244" spans="1:19" x14ac:dyDescent="0.25">
      <c r="A244" t="s">
        <v>5741</v>
      </c>
      <c r="B244" s="1">
        <v>44687</v>
      </c>
      <c r="C244" t="s">
        <v>2195</v>
      </c>
      <c r="D244" t="s">
        <v>145</v>
      </c>
      <c r="E244" t="s">
        <v>24</v>
      </c>
      <c r="F244" t="s">
        <v>33</v>
      </c>
      <c r="G244">
        <v>45</v>
      </c>
      <c r="H244" t="s">
        <v>26</v>
      </c>
      <c r="I244" t="s">
        <v>370</v>
      </c>
      <c r="J244" t="s">
        <v>4001</v>
      </c>
      <c r="K244" t="s">
        <v>5742</v>
      </c>
      <c r="L244">
        <v>261</v>
      </c>
      <c r="M244">
        <v>97</v>
      </c>
      <c r="N244" s="2">
        <v>0.36</v>
      </c>
      <c r="O244">
        <v>85</v>
      </c>
      <c r="P244">
        <v>15.88</v>
      </c>
      <c r="Q244">
        <v>11.92</v>
      </c>
      <c r="R244">
        <v>416</v>
      </c>
      <c r="S244">
        <v>147.18</v>
      </c>
    </row>
    <row r="245" spans="1:19" x14ac:dyDescent="0.25">
      <c r="A245" t="s">
        <v>5743</v>
      </c>
      <c r="B245" s="1">
        <v>44687</v>
      </c>
      <c r="C245" t="s">
        <v>5342</v>
      </c>
      <c r="D245" t="s">
        <v>145</v>
      </c>
      <c r="E245" t="s">
        <v>24</v>
      </c>
      <c r="F245" t="s">
        <v>328</v>
      </c>
      <c r="G245">
        <v>5</v>
      </c>
      <c r="H245" t="s">
        <v>49</v>
      </c>
      <c r="I245" t="s">
        <v>50</v>
      </c>
      <c r="J245" t="s">
        <v>51</v>
      </c>
      <c r="K245" t="s">
        <v>5744</v>
      </c>
      <c r="R245">
        <v>12</v>
      </c>
    </row>
    <row r="246" spans="1:19" x14ac:dyDescent="0.25">
      <c r="A246" t="s">
        <v>5745</v>
      </c>
      <c r="B246" s="1">
        <v>44687</v>
      </c>
      <c r="C246" t="s">
        <v>4732</v>
      </c>
      <c r="D246" t="s">
        <v>145</v>
      </c>
      <c r="E246" t="s">
        <v>24</v>
      </c>
      <c r="F246" t="s">
        <v>459</v>
      </c>
      <c r="G246">
        <v>10</v>
      </c>
      <c r="H246" t="s">
        <v>464</v>
      </c>
      <c r="I246" t="s">
        <v>579</v>
      </c>
      <c r="J246" t="s">
        <v>1820</v>
      </c>
      <c r="K246" t="s">
        <v>5746</v>
      </c>
    </row>
    <row r="247" spans="1:19" x14ac:dyDescent="0.25">
      <c r="A247" t="s">
        <v>5809</v>
      </c>
      <c r="B247" s="1">
        <v>44694</v>
      </c>
      <c r="C247" t="s">
        <v>5810</v>
      </c>
      <c r="D247" t="s">
        <v>145</v>
      </c>
      <c r="E247" t="s">
        <v>24</v>
      </c>
      <c r="F247" t="s">
        <v>208</v>
      </c>
      <c r="G247">
        <v>5</v>
      </c>
      <c r="H247" t="s">
        <v>464</v>
      </c>
      <c r="I247" t="s">
        <v>1249</v>
      </c>
      <c r="J247" t="s">
        <v>5811</v>
      </c>
      <c r="K247" t="s">
        <v>5812</v>
      </c>
    </row>
    <row r="248" spans="1:19" x14ac:dyDescent="0.25">
      <c r="A248" t="s">
        <v>5813</v>
      </c>
      <c r="B248" s="1">
        <v>44694</v>
      </c>
      <c r="C248" t="s">
        <v>5814</v>
      </c>
      <c r="D248" t="s">
        <v>145</v>
      </c>
      <c r="E248" t="s">
        <v>24</v>
      </c>
      <c r="F248" t="s">
        <v>292</v>
      </c>
      <c r="G248">
        <v>20</v>
      </c>
      <c r="H248" t="s">
        <v>1856</v>
      </c>
      <c r="I248" t="s">
        <v>1857</v>
      </c>
      <c r="J248" t="s">
        <v>5815</v>
      </c>
      <c r="K248" t="s">
        <v>5071</v>
      </c>
      <c r="L248">
        <v>0</v>
      </c>
      <c r="P248">
        <v>3.55</v>
      </c>
      <c r="Q248">
        <v>1.19</v>
      </c>
      <c r="R248">
        <v>118</v>
      </c>
    </row>
    <row r="249" spans="1:19" x14ac:dyDescent="0.25">
      <c r="A249" t="s">
        <v>5816</v>
      </c>
      <c r="B249" s="1">
        <v>44694</v>
      </c>
      <c r="C249" t="s">
        <v>204</v>
      </c>
      <c r="D249" t="s">
        <v>145</v>
      </c>
      <c r="E249" t="s">
        <v>24</v>
      </c>
      <c r="F249" t="s">
        <v>5567</v>
      </c>
      <c r="G249">
        <v>10</v>
      </c>
      <c r="H249" t="s">
        <v>194</v>
      </c>
      <c r="I249" t="s">
        <v>195</v>
      </c>
      <c r="J249" t="s">
        <v>211</v>
      </c>
      <c r="K249" t="s">
        <v>5817</v>
      </c>
      <c r="R249">
        <v>46</v>
      </c>
      <c r="S249">
        <v>106.9</v>
      </c>
    </row>
    <row r="250" spans="1:19" x14ac:dyDescent="0.25">
      <c r="A250" t="s">
        <v>5818</v>
      </c>
      <c r="B250" s="1">
        <v>44694</v>
      </c>
      <c r="C250" t="s">
        <v>861</v>
      </c>
      <c r="D250" t="s">
        <v>145</v>
      </c>
      <c r="E250" t="s">
        <v>24</v>
      </c>
      <c r="F250" t="s">
        <v>215</v>
      </c>
      <c r="G250">
        <v>20</v>
      </c>
      <c r="H250" t="s">
        <v>188</v>
      </c>
      <c r="I250" t="s">
        <v>238</v>
      </c>
      <c r="J250" t="s">
        <v>5775</v>
      </c>
      <c r="K250" t="s">
        <v>5819</v>
      </c>
      <c r="R250">
        <v>60</v>
      </c>
      <c r="S250">
        <v>89.94</v>
      </c>
    </row>
    <row r="251" spans="1:19" x14ac:dyDescent="0.25">
      <c r="A251" t="s">
        <v>5820</v>
      </c>
      <c r="B251" s="1">
        <v>44694</v>
      </c>
      <c r="C251" t="s">
        <v>1321</v>
      </c>
      <c r="D251" t="s">
        <v>145</v>
      </c>
      <c r="E251" t="s">
        <v>24</v>
      </c>
      <c r="F251" t="s">
        <v>215</v>
      </c>
      <c r="G251">
        <v>15</v>
      </c>
      <c r="H251" t="s">
        <v>464</v>
      </c>
      <c r="I251" t="s">
        <v>763</v>
      </c>
      <c r="J251" t="s">
        <v>2508</v>
      </c>
      <c r="K251" t="s">
        <v>5821</v>
      </c>
    </row>
    <row r="252" spans="1:19" x14ac:dyDescent="0.25">
      <c r="A252" t="s">
        <v>5896</v>
      </c>
      <c r="B252" s="1">
        <v>44701</v>
      </c>
      <c r="C252" t="s">
        <v>4687</v>
      </c>
      <c r="D252" t="s">
        <v>145</v>
      </c>
      <c r="E252" t="s">
        <v>24</v>
      </c>
      <c r="F252" t="s">
        <v>208</v>
      </c>
      <c r="G252">
        <v>10</v>
      </c>
      <c r="H252" t="s">
        <v>464</v>
      </c>
      <c r="I252" t="s">
        <v>103</v>
      </c>
      <c r="J252" t="s">
        <v>5897</v>
      </c>
      <c r="K252" t="s">
        <v>5898</v>
      </c>
    </row>
    <row r="253" spans="1:19" x14ac:dyDescent="0.25">
      <c r="A253" t="s">
        <v>5964</v>
      </c>
      <c r="B253" s="1">
        <v>44708</v>
      </c>
      <c r="C253" t="s">
        <v>5965</v>
      </c>
      <c r="D253" t="s">
        <v>145</v>
      </c>
      <c r="E253" t="s">
        <v>24</v>
      </c>
      <c r="F253" t="s">
        <v>200</v>
      </c>
      <c r="G253">
        <v>30</v>
      </c>
      <c r="H253" t="s">
        <v>188</v>
      </c>
      <c r="I253" t="s">
        <v>254</v>
      </c>
      <c r="J253" t="s">
        <v>255</v>
      </c>
      <c r="K253" t="s">
        <v>5966</v>
      </c>
      <c r="R253">
        <v>95</v>
      </c>
    </row>
    <row r="254" spans="1:19" x14ac:dyDescent="0.25">
      <c r="A254" t="s">
        <v>5967</v>
      </c>
      <c r="B254" s="1">
        <v>44708</v>
      </c>
      <c r="C254" t="s">
        <v>5968</v>
      </c>
      <c r="D254" t="s">
        <v>145</v>
      </c>
      <c r="E254" t="s">
        <v>24</v>
      </c>
      <c r="F254" t="s">
        <v>2256</v>
      </c>
      <c r="G254">
        <v>10</v>
      </c>
      <c r="H254" t="s">
        <v>194</v>
      </c>
      <c r="I254" t="s">
        <v>195</v>
      </c>
      <c r="J254" t="s">
        <v>5762</v>
      </c>
      <c r="K254" t="s">
        <v>5969</v>
      </c>
      <c r="R254">
        <v>44</v>
      </c>
    </row>
    <row r="255" spans="1:19" x14ac:dyDescent="0.25">
      <c r="A255" t="s">
        <v>5970</v>
      </c>
      <c r="B255" s="1">
        <v>44708</v>
      </c>
      <c r="C255" t="s">
        <v>5971</v>
      </c>
      <c r="D255" t="s">
        <v>145</v>
      </c>
      <c r="E255" t="s">
        <v>24</v>
      </c>
      <c r="F255" t="s">
        <v>2708</v>
      </c>
      <c r="G255">
        <v>10</v>
      </c>
      <c r="H255" t="s">
        <v>464</v>
      </c>
      <c r="I255" t="s">
        <v>579</v>
      </c>
      <c r="J255" t="s">
        <v>986</v>
      </c>
      <c r="K255" t="s">
        <v>5972</v>
      </c>
    </row>
    <row r="256" spans="1:19" x14ac:dyDescent="0.25">
      <c r="A256" t="s">
        <v>6034</v>
      </c>
      <c r="B256" s="1">
        <v>44715</v>
      </c>
      <c r="C256" t="s">
        <v>4995</v>
      </c>
      <c r="D256" t="s">
        <v>145</v>
      </c>
      <c r="E256" t="s">
        <v>24</v>
      </c>
      <c r="F256" t="s">
        <v>200</v>
      </c>
      <c r="G256">
        <v>30</v>
      </c>
      <c r="H256" t="s">
        <v>188</v>
      </c>
      <c r="I256" t="s">
        <v>189</v>
      </c>
      <c r="J256" t="s">
        <v>201</v>
      </c>
      <c r="K256" t="s">
        <v>6035</v>
      </c>
      <c r="R256">
        <v>86</v>
      </c>
    </row>
    <row r="257" spans="1:19" x14ac:dyDescent="0.25">
      <c r="A257" t="s">
        <v>6036</v>
      </c>
      <c r="B257" s="1">
        <v>44715</v>
      </c>
      <c r="C257" t="s">
        <v>2995</v>
      </c>
      <c r="D257" t="s">
        <v>145</v>
      </c>
      <c r="E257" t="s">
        <v>24</v>
      </c>
      <c r="F257" t="s">
        <v>231</v>
      </c>
      <c r="G257">
        <v>20</v>
      </c>
      <c r="H257" t="s">
        <v>1856</v>
      </c>
      <c r="I257" t="s">
        <v>2096</v>
      </c>
      <c r="J257" t="s">
        <v>2097</v>
      </c>
      <c r="K257" t="s">
        <v>5954</v>
      </c>
      <c r="L257">
        <v>0</v>
      </c>
      <c r="P257">
        <v>3.65</v>
      </c>
      <c r="Q257">
        <v>1.21</v>
      </c>
      <c r="R257">
        <v>73</v>
      </c>
    </row>
    <row r="258" spans="1:19" x14ac:dyDescent="0.25">
      <c r="A258" t="s">
        <v>6037</v>
      </c>
      <c r="B258" s="1">
        <v>44715</v>
      </c>
      <c r="C258" t="s">
        <v>6038</v>
      </c>
      <c r="D258" t="s">
        <v>145</v>
      </c>
      <c r="G258">
        <v>10</v>
      </c>
      <c r="H258" t="s">
        <v>1856</v>
      </c>
      <c r="J258" t="s">
        <v>6039</v>
      </c>
      <c r="L258">
        <v>0</v>
      </c>
      <c r="P258">
        <v>3.58</v>
      </c>
      <c r="Q258">
        <v>0.68</v>
      </c>
      <c r="R258">
        <v>10</v>
      </c>
    </row>
    <row r="259" spans="1:19" x14ac:dyDescent="0.25">
      <c r="A259" t="s">
        <v>6040</v>
      </c>
      <c r="B259" s="1">
        <v>44715</v>
      </c>
      <c r="C259" t="s">
        <v>3886</v>
      </c>
      <c r="D259" t="s">
        <v>145</v>
      </c>
      <c r="E259" t="s">
        <v>24</v>
      </c>
      <c r="F259" t="s">
        <v>2708</v>
      </c>
      <c r="G259">
        <v>20</v>
      </c>
      <c r="H259" t="s">
        <v>464</v>
      </c>
      <c r="I259" t="s">
        <v>943</v>
      </c>
      <c r="J259" t="s">
        <v>1347</v>
      </c>
      <c r="K259" t="s">
        <v>5963</v>
      </c>
    </row>
    <row r="260" spans="1:19" x14ac:dyDescent="0.25">
      <c r="A260" t="s">
        <v>6100</v>
      </c>
      <c r="B260" s="1">
        <v>44722</v>
      </c>
      <c r="C260" t="s">
        <v>3222</v>
      </c>
      <c r="D260" t="s">
        <v>145</v>
      </c>
      <c r="E260" t="s">
        <v>24</v>
      </c>
      <c r="F260" t="s">
        <v>200</v>
      </c>
      <c r="G260">
        <v>30</v>
      </c>
      <c r="H260" t="s">
        <v>188</v>
      </c>
      <c r="I260" t="s">
        <v>254</v>
      </c>
      <c r="J260" t="s">
        <v>255</v>
      </c>
      <c r="K260" t="s">
        <v>6101</v>
      </c>
      <c r="R260">
        <v>84</v>
      </c>
    </row>
    <row r="261" spans="1:19" x14ac:dyDescent="0.25">
      <c r="A261" t="s">
        <v>6102</v>
      </c>
      <c r="B261" s="1">
        <v>44722</v>
      </c>
      <c r="C261" t="s">
        <v>6009</v>
      </c>
      <c r="D261" t="s">
        <v>145</v>
      </c>
      <c r="E261" t="s">
        <v>24</v>
      </c>
      <c r="F261" t="s">
        <v>323</v>
      </c>
      <c r="G261">
        <v>45</v>
      </c>
      <c r="H261" t="s">
        <v>26</v>
      </c>
      <c r="I261" t="s">
        <v>370</v>
      </c>
      <c r="J261" t="s">
        <v>439</v>
      </c>
      <c r="K261" t="s">
        <v>6103</v>
      </c>
      <c r="L261">
        <v>275</v>
      </c>
      <c r="M261">
        <v>102</v>
      </c>
      <c r="N261" s="2">
        <v>0.37</v>
      </c>
      <c r="O261">
        <v>86</v>
      </c>
      <c r="P261">
        <v>16.22</v>
      </c>
      <c r="Q261">
        <v>12.16</v>
      </c>
      <c r="R261">
        <v>478</v>
      </c>
      <c r="S261">
        <v>158.75</v>
      </c>
    </row>
    <row r="262" spans="1:19" x14ac:dyDescent="0.25">
      <c r="A262" t="s">
        <v>6104</v>
      </c>
      <c r="B262" s="1">
        <v>44722</v>
      </c>
      <c r="C262" t="s">
        <v>1876</v>
      </c>
      <c r="D262" t="s">
        <v>145</v>
      </c>
      <c r="E262" t="s">
        <v>24</v>
      </c>
      <c r="F262" t="s">
        <v>459</v>
      </c>
      <c r="G262">
        <v>20</v>
      </c>
      <c r="H262" t="s">
        <v>464</v>
      </c>
      <c r="I262" t="s">
        <v>763</v>
      </c>
      <c r="J262" t="s">
        <v>2732</v>
      </c>
      <c r="K262" t="s">
        <v>5947</v>
      </c>
    </row>
    <row r="263" spans="1:19" x14ac:dyDescent="0.25">
      <c r="A263" t="s">
        <v>6164</v>
      </c>
      <c r="B263" s="1">
        <v>44729</v>
      </c>
      <c r="C263" t="s">
        <v>6165</v>
      </c>
      <c r="D263" t="s">
        <v>145</v>
      </c>
      <c r="E263" t="s">
        <v>24</v>
      </c>
      <c r="F263" t="s">
        <v>215</v>
      </c>
      <c r="G263">
        <v>15</v>
      </c>
      <c r="H263" t="s">
        <v>464</v>
      </c>
      <c r="I263" t="s">
        <v>943</v>
      </c>
      <c r="J263" t="s">
        <v>1709</v>
      </c>
      <c r="K263" t="s">
        <v>6131</v>
      </c>
    </row>
    <row r="264" spans="1:19" x14ac:dyDescent="0.25">
      <c r="A264" t="s">
        <v>6166</v>
      </c>
      <c r="B264" s="1">
        <v>44729</v>
      </c>
      <c r="C264" t="s">
        <v>2240</v>
      </c>
      <c r="D264" t="s">
        <v>145</v>
      </c>
      <c r="E264" t="s">
        <v>24</v>
      </c>
      <c r="F264" t="s">
        <v>208</v>
      </c>
      <c r="G264">
        <v>10</v>
      </c>
      <c r="H264" t="s">
        <v>464</v>
      </c>
      <c r="I264" t="s">
        <v>579</v>
      </c>
      <c r="J264" t="s">
        <v>580</v>
      </c>
      <c r="K264" t="s">
        <v>6167</v>
      </c>
    </row>
    <row r="265" spans="1:19" x14ac:dyDescent="0.25">
      <c r="A265" t="s">
        <v>6223</v>
      </c>
      <c r="B265" s="1">
        <v>44736</v>
      </c>
      <c r="C265" t="s">
        <v>2100</v>
      </c>
      <c r="D265" t="s">
        <v>145</v>
      </c>
      <c r="E265" t="s">
        <v>24</v>
      </c>
      <c r="F265" t="s">
        <v>208</v>
      </c>
      <c r="G265">
        <v>20</v>
      </c>
      <c r="H265" t="s">
        <v>464</v>
      </c>
      <c r="I265" t="s">
        <v>943</v>
      </c>
      <c r="J265" t="s">
        <v>1347</v>
      </c>
      <c r="K265" t="s">
        <v>6224</v>
      </c>
    </row>
    <row r="266" spans="1:19" x14ac:dyDescent="0.25">
      <c r="A266" t="s">
        <v>6290</v>
      </c>
      <c r="B266" s="1">
        <v>44743</v>
      </c>
      <c r="C266" t="s">
        <v>472</v>
      </c>
      <c r="D266" t="s">
        <v>145</v>
      </c>
      <c r="E266" t="s">
        <v>24</v>
      </c>
      <c r="F266" t="s">
        <v>215</v>
      </c>
      <c r="G266">
        <v>30</v>
      </c>
      <c r="H266" t="s">
        <v>188</v>
      </c>
      <c r="I266" t="s">
        <v>575</v>
      </c>
      <c r="J266" t="s">
        <v>6291</v>
      </c>
      <c r="K266" t="s">
        <v>6292</v>
      </c>
      <c r="R266">
        <v>96</v>
      </c>
    </row>
    <row r="267" spans="1:19" x14ac:dyDescent="0.25">
      <c r="A267" t="s">
        <v>6293</v>
      </c>
      <c r="B267" s="1">
        <v>44743</v>
      </c>
      <c r="C267" t="s">
        <v>1639</v>
      </c>
      <c r="D267" t="s">
        <v>145</v>
      </c>
      <c r="E267" t="s">
        <v>24</v>
      </c>
      <c r="F267" t="s">
        <v>459</v>
      </c>
      <c r="G267">
        <v>20</v>
      </c>
      <c r="H267" t="s">
        <v>464</v>
      </c>
      <c r="I267" t="s">
        <v>763</v>
      </c>
      <c r="J267" t="s">
        <v>2732</v>
      </c>
      <c r="K267" t="s">
        <v>6294</v>
      </c>
    </row>
    <row r="268" spans="1:19" x14ac:dyDescent="0.25">
      <c r="A268" t="s">
        <v>6365</v>
      </c>
      <c r="B268" s="1">
        <v>44750</v>
      </c>
      <c r="C268" t="s">
        <v>4595</v>
      </c>
      <c r="D268" t="s">
        <v>145</v>
      </c>
      <c r="E268" t="s">
        <v>24</v>
      </c>
      <c r="F268" t="s">
        <v>459</v>
      </c>
      <c r="G268">
        <v>30</v>
      </c>
      <c r="H268" t="s">
        <v>188</v>
      </c>
      <c r="I268" t="s">
        <v>254</v>
      </c>
      <c r="J268" t="s">
        <v>5574</v>
      </c>
      <c r="K268" t="s">
        <v>6366</v>
      </c>
      <c r="R268">
        <v>83</v>
      </c>
    </row>
    <row r="269" spans="1:19" x14ac:dyDescent="0.25">
      <c r="A269" t="s">
        <v>6367</v>
      </c>
      <c r="B269" s="1">
        <v>44750</v>
      </c>
      <c r="C269" t="s">
        <v>2010</v>
      </c>
      <c r="D269" t="s">
        <v>145</v>
      </c>
      <c r="E269" t="s">
        <v>24</v>
      </c>
      <c r="F269" t="s">
        <v>2708</v>
      </c>
      <c r="G269">
        <v>10</v>
      </c>
      <c r="H269" t="s">
        <v>464</v>
      </c>
      <c r="I269" t="s">
        <v>763</v>
      </c>
      <c r="J269" t="s">
        <v>914</v>
      </c>
      <c r="K269" t="s">
        <v>6368</v>
      </c>
    </row>
    <row r="270" spans="1:19" x14ac:dyDescent="0.25">
      <c r="A270" t="s">
        <v>6444</v>
      </c>
      <c r="B270" s="1">
        <v>44757</v>
      </c>
      <c r="C270" t="s">
        <v>6151</v>
      </c>
      <c r="D270" t="s">
        <v>145</v>
      </c>
      <c r="E270" t="s">
        <v>24</v>
      </c>
      <c r="F270" t="s">
        <v>6030</v>
      </c>
      <c r="G270">
        <v>20</v>
      </c>
      <c r="H270" t="s">
        <v>194</v>
      </c>
      <c r="I270" t="s">
        <v>195</v>
      </c>
      <c r="J270" t="s">
        <v>2247</v>
      </c>
      <c r="K270" t="s">
        <v>6445</v>
      </c>
      <c r="R270">
        <v>102</v>
      </c>
      <c r="S270">
        <v>110.57</v>
      </c>
    </row>
    <row r="271" spans="1:19" x14ac:dyDescent="0.25">
      <c r="A271" t="s">
        <v>6446</v>
      </c>
      <c r="B271" s="1">
        <v>44757</v>
      </c>
      <c r="C271" t="s">
        <v>6447</v>
      </c>
      <c r="D271" t="s">
        <v>145</v>
      </c>
      <c r="E271" t="s">
        <v>24</v>
      </c>
      <c r="F271" t="s">
        <v>323</v>
      </c>
      <c r="G271">
        <v>60</v>
      </c>
      <c r="H271" t="s">
        <v>26</v>
      </c>
      <c r="I271" t="s">
        <v>370</v>
      </c>
      <c r="J271" t="s">
        <v>646</v>
      </c>
      <c r="K271" t="s">
        <v>2020</v>
      </c>
      <c r="L271">
        <v>406</v>
      </c>
      <c r="M271">
        <v>113</v>
      </c>
      <c r="N271" s="2">
        <v>0.38</v>
      </c>
      <c r="O271">
        <v>86</v>
      </c>
      <c r="P271">
        <v>16.920000000000002</v>
      </c>
      <c r="Q271">
        <v>16.93</v>
      </c>
      <c r="R271">
        <v>596</v>
      </c>
      <c r="S271">
        <v>152.63999999999999</v>
      </c>
    </row>
    <row r="272" spans="1:19" x14ac:dyDescent="0.25">
      <c r="A272" t="s">
        <v>6448</v>
      </c>
      <c r="B272" s="1">
        <v>44757</v>
      </c>
      <c r="C272" t="s">
        <v>2490</v>
      </c>
      <c r="D272" t="s">
        <v>145</v>
      </c>
      <c r="E272" t="s">
        <v>24</v>
      </c>
      <c r="F272" t="s">
        <v>328</v>
      </c>
      <c r="G272">
        <v>5</v>
      </c>
      <c r="H272" t="s">
        <v>26</v>
      </c>
      <c r="I272" t="s">
        <v>358</v>
      </c>
      <c r="J272" t="s">
        <v>359</v>
      </c>
      <c r="K272" t="s">
        <v>6449</v>
      </c>
      <c r="L272">
        <v>21</v>
      </c>
      <c r="M272">
        <v>69</v>
      </c>
      <c r="N272" s="2">
        <v>0.32</v>
      </c>
      <c r="O272">
        <v>83</v>
      </c>
      <c r="P272">
        <v>13.82</v>
      </c>
      <c r="Q272">
        <v>1.1499999999999999</v>
      </c>
      <c r="R272">
        <v>36</v>
      </c>
      <c r="S272">
        <v>121.32</v>
      </c>
    </row>
    <row r="273" spans="1:19" x14ac:dyDescent="0.25">
      <c r="A273" t="s">
        <v>6450</v>
      </c>
      <c r="B273" s="1">
        <v>44757</v>
      </c>
      <c r="C273" t="s">
        <v>6451</v>
      </c>
      <c r="D273" t="s">
        <v>145</v>
      </c>
      <c r="E273" t="s">
        <v>24</v>
      </c>
      <c r="F273" t="s">
        <v>3250</v>
      </c>
      <c r="G273">
        <v>5</v>
      </c>
      <c r="H273" t="s">
        <v>49</v>
      </c>
      <c r="I273" t="s">
        <v>50</v>
      </c>
      <c r="J273" t="s">
        <v>51</v>
      </c>
      <c r="K273" t="s">
        <v>6452</v>
      </c>
      <c r="R273">
        <v>11</v>
      </c>
    </row>
    <row r="274" spans="1:19" x14ac:dyDescent="0.25">
      <c r="A274" t="s">
        <v>6453</v>
      </c>
      <c r="B274" s="1">
        <v>44757</v>
      </c>
      <c r="C274" t="s">
        <v>2353</v>
      </c>
      <c r="D274" t="s">
        <v>145</v>
      </c>
      <c r="E274" t="s">
        <v>24</v>
      </c>
      <c r="F274" t="s">
        <v>237</v>
      </c>
      <c r="G274">
        <v>10</v>
      </c>
      <c r="H274" t="s">
        <v>464</v>
      </c>
      <c r="I274" t="s">
        <v>763</v>
      </c>
      <c r="J274" t="s">
        <v>914</v>
      </c>
      <c r="K274" t="s">
        <v>6454</v>
      </c>
    </row>
    <row r="275" spans="1:19" x14ac:dyDescent="0.25">
      <c r="A275" t="s">
        <v>6511</v>
      </c>
      <c r="B275" s="1">
        <v>44764</v>
      </c>
      <c r="C275" t="s">
        <v>6512</v>
      </c>
      <c r="D275" t="s">
        <v>145</v>
      </c>
      <c r="E275" t="s">
        <v>24</v>
      </c>
      <c r="F275" t="s">
        <v>243</v>
      </c>
      <c r="G275">
        <v>45</v>
      </c>
      <c r="H275" t="s">
        <v>26</v>
      </c>
      <c r="I275" t="s">
        <v>370</v>
      </c>
      <c r="J275" t="s">
        <v>439</v>
      </c>
      <c r="K275" t="s">
        <v>6399</v>
      </c>
      <c r="L275">
        <v>272</v>
      </c>
      <c r="M275">
        <v>101</v>
      </c>
      <c r="N275" s="2">
        <v>0.36</v>
      </c>
      <c r="O275">
        <v>86</v>
      </c>
      <c r="P275">
        <v>16.14</v>
      </c>
      <c r="Q275">
        <v>12.11</v>
      </c>
      <c r="R275">
        <v>343</v>
      </c>
      <c r="S275">
        <v>132.63999999999999</v>
      </c>
    </row>
    <row r="276" spans="1:19" x14ac:dyDescent="0.25">
      <c r="A276" t="s">
        <v>6513</v>
      </c>
      <c r="B276" s="1">
        <v>44764</v>
      </c>
      <c r="C276" t="s">
        <v>1929</v>
      </c>
      <c r="D276" t="s">
        <v>145</v>
      </c>
      <c r="E276" t="s">
        <v>24</v>
      </c>
      <c r="F276" t="s">
        <v>354</v>
      </c>
      <c r="G276">
        <v>5</v>
      </c>
      <c r="H276" t="s">
        <v>194</v>
      </c>
      <c r="I276" t="s">
        <v>423</v>
      </c>
      <c r="J276" t="s">
        <v>6398</v>
      </c>
      <c r="K276" t="s">
        <v>6399</v>
      </c>
      <c r="R276">
        <v>13</v>
      </c>
      <c r="S276">
        <v>103.06</v>
      </c>
    </row>
    <row r="277" spans="1:19" x14ac:dyDescent="0.25">
      <c r="A277" t="s">
        <v>6514</v>
      </c>
      <c r="B277" s="1">
        <v>44764</v>
      </c>
      <c r="C277" t="s">
        <v>1931</v>
      </c>
      <c r="D277" t="s">
        <v>145</v>
      </c>
      <c r="E277" t="s">
        <v>24</v>
      </c>
      <c r="F277" t="s">
        <v>354</v>
      </c>
      <c r="G277">
        <v>10</v>
      </c>
      <c r="H277" t="s">
        <v>194</v>
      </c>
      <c r="I277" t="s">
        <v>1445</v>
      </c>
      <c r="J277" t="s">
        <v>2809</v>
      </c>
      <c r="K277" t="s">
        <v>6399</v>
      </c>
      <c r="R277">
        <v>49</v>
      </c>
      <c r="S277">
        <v>110.75</v>
      </c>
    </row>
    <row r="278" spans="1:19" x14ac:dyDescent="0.25">
      <c r="A278" t="s">
        <v>6515</v>
      </c>
      <c r="B278" s="1">
        <v>44764</v>
      </c>
      <c r="C278" t="s">
        <v>1637</v>
      </c>
      <c r="D278" t="s">
        <v>145</v>
      </c>
      <c r="E278" t="s">
        <v>24</v>
      </c>
      <c r="F278" t="s">
        <v>200</v>
      </c>
      <c r="G278">
        <v>15</v>
      </c>
      <c r="H278" t="s">
        <v>464</v>
      </c>
      <c r="I278" t="s">
        <v>943</v>
      </c>
      <c r="J278" t="s">
        <v>1709</v>
      </c>
      <c r="K278" t="s">
        <v>6516</v>
      </c>
    </row>
    <row r="279" spans="1:19" x14ac:dyDescent="0.25">
      <c r="A279" t="s">
        <v>6575</v>
      </c>
      <c r="B279" s="1">
        <v>44771</v>
      </c>
      <c r="C279" t="s">
        <v>4498</v>
      </c>
      <c r="D279" t="s">
        <v>145</v>
      </c>
      <c r="E279" t="s">
        <v>24</v>
      </c>
      <c r="F279" t="s">
        <v>215</v>
      </c>
      <c r="G279">
        <v>10</v>
      </c>
      <c r="H279" t="s">
        <v>188</v>
      </c>
      <c r="I279" t="s">
        <v>238</v>
      </c>
      <c r="J279" t="s">
        <v>674</v>
      </c>
      <c r="K279" t="s">
        <v>6576</v>
      </c>
      <c r="R279">
        <v>33</v>
      </c>
    </row>
    <row r="280" spans="1:19" x14ac:dyDescent="0.25">
      <c r="A280" t="s">
        <v>6577</v>
      </c>
      <c r="B280" s="1">
        <v>44771</v>
      </c>
      <c r="C280" t="s">
        <v>6578</v>
      </c>
      <c r="D280" t="s">
        <v>145</v>
      </c>
      <c r="E280" t="s">
        <v>24</v>
      </c>
      <c r="F280" t="s">
        <v>323</v>
      </c>
      <c r="G280">
        <v>60</v>
      </c>
      <c r="H280" t="s">
        <v>26</v>
      </c>
      <c r="I280" t="s">
        <v>370</v>
      </c>
      <c r="J280" t="s">
        <v>498</v>
      </c>
      <c r="K280" t="s">
        <v>6579</v>
      </c>
      <c r="L280">
        <v>436</v>
      </c>
      <c r="M280">
        <v>121</v>
      </c>
      <c r="N280" s="2">
        <v>0.4</v>
      </c>
      <c r="O280">
        <v>85</v>
      </c>
      <c r="P280">
        <v>17.420000000000002</v>
      </c>
      <c r="Q280">
        <v>17.440000000000001</v>
      </c>
      <c r="R280">
        <v>568</v>
      </c>
      <c r="S280">
        <v>148.04</v>
      </c>
    </row>
    <row r="281" spans="1:19" x14ac:dyDescent="0.25">
      <c r="A281" t="s">
        <v>6580</v>
      </c>
      <c r="B281" s="1">
        <v>44771</v>
      </c>
      <c r="C281" t="s">
        <v>2814</v>
      </c>
      <c r="D281" t="s">
        <v>145</v>
      </c>
      <c r="E281" t="s">
        <v>24</v>
      </c>
      <c r="F281" t="s">
        <v>323</v>
      </c>
      <c r="G281">
        <v>5</v>
      </c>
      <c r="H281" t="s">
        <v>26</v>
      </c>
      <c r="I281" t="s">
        <v>358</v>
      </c>
      <c r="J281" t="s">
        <v>359</v>
      </c>
      <c r="K281" t="s">
        <v>5749</v>
      </c>
      <c r="L281">
        <v>14</v>
      </c>
      <c r="M281">
        <v>45</v>
      </c>
      <c r="N281" s="2">
        <v>0.27</v>
      </c>
      <c r="O281">
        <v>80</v>
      </c>
      <c r="P281">
        <v>11.42</v>
      </c>
      <c r="Q281">
        <v>0.95</v>
      </c>
      <c r="R281">
        <v>23</v>
      </c>
      <c r="S281">
        <v>114.55</v>
      </c>
    </row>
    <row r="282" spans="1:19" x14ac:dyDescent="0.25">
      <c r="A282" t="s">
        <v>6581</v>
      </c>
      <c r="B282" s="1">
        <v>44771</v>
      </c>
      <c r="C282" t="s">
        <v>6582</v>
      </c>
      <c r="D282" t="s">
        <v>145</v>
      </c>
      <c r="E282" t="s">
        <v>24</v>
      </c>
      <c r="F282" t="s">
        <v>323</v>
      </c>
      <c r="G282">
        <v>5</v>
      </c>
      <c r="H282" t="s">
        <v>49</v>
      </c>
      <c r="I282" t="s">
        <v>50</v>
      </c>
      <c r="J282" t="s">
        <v>51</v>
      </c>
      <c r="K282" t="s">
        <v>6583</v>
      </c>
      <c r="R282">
        <v>21</v>
      </c>
      <c r="S282">
        <v>106.12</v>
      </c>
    </row>
    <row r="283" spans="1:19" x14ac:dyDescent="0.25">
      <c r="A283" t="s">
        <v>6584</v>
      </c>
      <c r="B283" s="1">
        <v>44771</v>
      </c>
      <c r="C283" t="s">
        <v>2295</v>
      </c>
      <c r="D283" t="s">
        <v>145</v>
      </c>
      <c r="E283" t="s">
        <v>24</v>
      </c>
      <c r="F283" t="s">
        <v>208</v>
      </c>
      <c r="G283">
        <v>15</v>
      </c>
      <c r="H283" t="s">
        <v>464</v>
      </c>
      <c r="I283" t="s">
        <v>943</v>
      </c>
      <c r="J283" t="s">
        <v>1709</v>
      </c>
      <c r="K283" t="s">
        <v>6585</v>
      </c>
    </row>
    <row r="284" spans="1:19" x14ac:dyDescent="0.25">
      <c r="A284" t="s">
        <v>6629</v>
      </c>
      <c r="B284" s="1">
        <v>44778</v>
      </c>
      <c r="C284" t="s">
        <v>5372</v>
      </c>
      <c r="D284" t="s">
        <v>145</v>
      </c>
      <c r="E284" t="s">
        <v>24</v>
      </c>
      <c r="F284" t="s">
        <v>323</v>
      </c>
      <c r="G284">
        <v>45</v>
      </c>
      <c r="H284" t="s">
        <v>26</v>
      </c>
      <c r="I284" t="s">
        <v>370</v>
      </c>
      <c r="J284" t="s">
        <v>4001</v>
      </c>
      <c r="K284" t="s">
        <v>6630</v>
      </c>
      <c r="L284">
        <v>312</v>
      </c>
      <c r="M284">
        <v>116</v>
      </c>
      <c r="N284" s="2">
        <v>0.39</v>
      </c>
      <c r="O284">
        <v>86</v>
      </c>
      <c r="P284">
        <v>17.02</v>
      </c>
      <c r="Q284">
        <v>12.77</v>
      </c>
      <c r="R284">
        <v>427</v>
      </c>
      <c r="S284">
        <v>149.43</v>
      </c>
    </row>
    <row r="285" spans="1:19" x14ac:dyDescent="0.25">
      <c r="A285" t="s">
        <v>6631</v>
      </c>
      <c r="B285" s="1">
        <v>44778</v>
      </c>
      <c r="C285" t="s">
        <v>5124</v>
      </c>
      <c r="D285" t="s">
        <v>145</v>
      </c>
      <c r="E285" t="s">
        <v>24</v>
      </c>
      <c r="F285" t="s">
        <v>354</v>
      </c>
      <c r="G285">
        <v>15</v>
      </c>
      <c r="H285" t="s">
        <v>194</v>
      </c>
      <c r="I285" t="s">
        <v>1445</v>
      </c>
      <c r="J285" t="s">
        <v>2082</v>
      </c>
      <c r="K285" t="s">
        <v>6399</v>
      </c>
      <c r="R285">
        <v>78</v>
      </c>
      <c r="S285">
        <v>111.52</v>
      </c>
    </row>
    <row r="286" spans="1:19" x14ac:dyDescent="0.25">
      <c r="A286" t="s">
        <v>6632</v>
      </c>
      <c r="B286" s="1">
        <v>44778</v>
      </c>
      <c r="C286" t="s">
        <v>6014</v>
      </c>
      <c r="D286" t="s">
        <v>145</v>
      </c>
      <c r="E286" t="s">
        <v>24</v>
      </c>
      <c r="F286" t="s">
        <v>2256</v>
      </c>
      <c r="G286">
        <v>10</v>
      </c>
      <c r="H286" t="s">
        <v>194</v>
      </c>
      <c r="I286" t="s">
        <v>195</v>
      </c>
      <c r="J286" t="s">
        <v>6633</v>
      </c>
      <c r="K286" t="s">
        <v>6634</v>
      </c>
      <c r="R286">
        <v>41</v>
      </c>
      <c r="S286">
        <v>96.47</v>
      </c>
    </row>
    <row r="287" spans="1:19" x14ac:dyDescent="0.25">
      <c r="A287" t="s">
        <v>6635</v>
      </c>
      <c r="B287" s="1">
        <v>44778</v>
      </c>
      <c r="C287" t="s">
        <v>3506</v>
      </c>
      <c r="D287" t="s">
        <v>145</v>
      </c>
      <c r="E287" t="s">
        <v>24</v>
      </c>
      <c r="F287" t="s">
        <v>208</v>
      </c>
      <c r="G287">
        <v>10</v>
      </c>
      <c r="H287" t="s">
        <v>464</v>
      </c>
      <c r="I287" t="s">
        <v>579</v>
      </c>
      <c r="J287" t="s">
        <v>1820</v>
      </c>
      <c r="K287" t="s">
        <v>6636</v>
      </c>
    </row>
    <row r="288" spans="1:19" x14ac:dyDescent="0.25">
      <c r="A288" t="s">
        <v>6719</v>
      </c>
      <c r="B288" s="1">
        <v>44792</v>
      </c>
      <c r="C288" t="s">
        <v>1469</v>
      </c>
      <c r="D288" t="s">
        <v>145</v>
      </c>
      <c r="E288" t="s">
        <v>24</v>
      </c>
      <c r="F288" t="s">
        <v>215</v>
      </c>
      <c r="G288">
        <v>20</v>
      </c>
      <c r="H288" t="s">
        <v>464</v>
      </c>
      <c r="I288" t="s">
        <v>943</v>
      </c>
      <c r="J288" t="s">
        <v>1347</v>
      </c>
      <c r="K288" t="s">
        <v>2630</v>
      </c>
    </row>
    <row r="289" spans="1:19" x14ac:dyDescent="0.25">
      <c r="A289" t="s">
        <v>6786</v>
      </c>
      <c r="B289" s="1">
        <v>44799</v>
      </c>
      <c r="C289" t="s">
        <v>1200</v>
      </c>
      <c r="D289" t="s">
        <v>145</v>
      </c>
      <c r="E289" t="s">
        <v>24</v>
      </c>
      <c r="F289" t="s">
        <v>237</v>
      </c>
      <c r="G289">
        <v>30</v>
      </c>
      <c r="H289" t="s">
        <v>188</v>
      </c>
      <c r="I289" t="s">
        <v>575</v>
      </c>
      <c r="J289" t="s">
        <v>6253</v>
      </c>
      <c r="K289" t="s">
        <v>6787</v>
      </c>
      <c r="R289">
        <v>97</v>
      </c>
    </row>
    <row r="290" spans="1:19" x14ac:dyDescent="0.25">
      <c r="A290" t="s">
        <v>6788</v>
      </c>
      <c r="B290" s="1">
        <v>44799</v>
      </c>
      <c r="C290" t="s">
        <v>6789</v>
      </c>
      <c r="D290" t="s">
        <v>145</v>
      </c>
      <c r="E290" t="s">
        <v>24</v>
      </c>
      <c r="F290" t="s">
        <v>328</v>
      </c>
      <c r="G290">
        <v>10</v>
      </c>
      <c r="H290" t="s">
        <v>194</v>
      </c>
      <c r="I290" t="s">
        <v>195</v>
      </c>
      <c r="J290" t="s">
        <v>211</v>
      </c>
      <c r="K290" t="s">
        <v>6790</v>
      </c>
      <c r="R290">
        <v>42</v>
      </c>
      <c r="S290">
        <v>101.52</v>
      </c>
    </row>
    <row r="291" spans="1:19" x14ac:dyDescent="0.25">
      <c r="A291" t="s">
        <v>6791</v>
      </c>
      <c r="B291" s="1">
        <v>44799</v>
      </c>
      <c r="C291" t="s">
        <v>6792</v>
      </c>
      <c r="D291" t="s">
        <v>145</v>
      </c>
      <c r="E291" t="s">
        <v>24</v>
      </c>
      <c r="F291" t="s">
        <v>323</v>
      </c>
      <c r="G291">
        <v>60</v>
      </c>
      <c r="H291" t="s">
        <v>26</v>
      </c>
      <c r="I291" t="s">
        <v>370</v>
      </c>
      <c r="J291" t="s">
        <v>498</v>
      </c>
      <c r="K291" t="s">
        <v>6793</v>
      </c>
      <c r="L291">
        <v>430</v>
      </c>
      <c r="M291">
        <v>120</v>
      </c>
      <c r="N291" s="2">
        <v>0.41</v>
      </c>
      <c r="O291">
        <v>83</v>
      </c>
      <c r="P291">
        <v>17.34</v>
      </c>
      <c r="Q291">
        <v>17.350000000000001</v>
      </c>
      <c r="R291">
        <v>581</v>
      </c>
      <c r="S291">
        <v>150.52000000000001</v>
      </c>
    </row>
    <row r="292" spans="1:19" x14ac:dyDescent="0.25">
      <c r="A292" t="s">
        <v>6794</v>
      </c>
      <c r="B292" s="1">
        <v>44799</v>
      </c>
      <c r="C292" t="s">
        <v>6795</v>
      </c>
      <c r="D292" t="s">
        <v>145</v>
      </c>
      <c r="E292" t="s">
        <v>24</v>
      </c>
      <c r="F292" t="s">
        <v>243</v>
      </c>
      <c r="G292">
        <v>5</v>
      </c>
      <c r="H292" t="s">
        <v>49</v>
      </c>
      <c r="I292" t="s">
        <v>50</v>
      </c>
      <c r="J292" t="s">
        <v>6796</v>
      </c>
      <c r="K292" t="s">
        <v>6738</v>
      </c>
      <c r="R292">
        <v>25</v>
      </c>
      <c r="S292">
        <v>111.63</v>
      </c>
    </row>
    <row r="293" spans="1:19" x14ac:dyDescent="0.25">
      <c r="A293" t="s">
        <v>6797</v>
      </c>
      <c r="B293" s="1">
        <v>44799</v>
      </c>
      <c r="C293" t="s">
        <v>4908</v>
      </c>
      <c r="D293" t="s">
        <v>145</v>
      </c>
      <c r="E293" t="s">
        <v>24</v>
      </c>
      <c r="F293" t="s">
        <v>208</v>
      </c>
      <c r="G293">
        <v>10</v>
      </c>
      <c r="H293" t="s">
        <v>464</v>
      </c>
      <c r="I293" t="s">
        <v>579</v>
      </c>
      <c r="J293" t="s">
        <v>580</v>
      </c>
      <c r="K293" t="s">
        <v>6798</v>
      </c>
    </row>
    <row r="294" spans="1:19" x14ac:dyDescent="0.25">
      <c r="A294" t="s">
        <v>6844</v>
      </c>
      <c r="B294" s="1">
        <v>44806</v>
      </c>
      <c r="C294" t="s">
        <v>2584</v>
      </c>
      <c r="D294" t="s">
        <v>145</v>
      </c>
      <c r="E294" t="s">
        <v>24</v>
      </c>
      <c r="F294" t="s">
        <v>323</v>
      </c>
      <c r="G294">
        <v>60</v>
      </c>
      <c r="H294" t="s">
        <v>26</v>
      </c>
      <c r="I294" t="s">
        <v>370</v>
      </c>
      <c r="J294" t="s">
        <v>498</v>
      </c>
      <c r="K294" t="s">
        <v>5989</v>
      </c>
      <c r="L294">
        <v>416</v>
      </c>
      <c r="M294">
        <v>116</v>
      </c>
      <c r="N294" s="2">
        <v>0.39</v>
      </c>
      <c r="O294">
        <v>85</v>
      </c>
      <c r="P294">
        <v>17.100000000000001</v>
      </c>
      <c r="Q294">
        <v>17.09</v>
      </c>
      <c r="R294">
        <v>598</v>
      </c>
      <c r="S294">
        <v>155.32</v>
      </c>
    </row>
    <row r="295" spans="1:19" x14ac:dyDescent="0.25">
      <c r="A295" t="s">
        <v>6845</v>
      </c>
      <c r="B295" s="1">
        <v>44806</v>
      </c>
      <c r="C295" t="s">
        <v>3154</v>
      </c>
      <c r="D295" t="s">
        <v>145</v>
      </c>
      <c r="E295" t="s">
        <v>24</v>
      </c>
      <c r="F295" t="s">
        <v>323</v>
      </c>
      <c r="G295">
        <v>5</v>
      </c>
      <c r="H295" t="s">
        <v>26</v>
      </c>
      <c r="I295" t="s">
        <v>358</v>
      </c>
      <c r="J295" t="s">
        <v>359</v>
      </c>
      <c r="K295" t="s">
        <v>6620</v>
      </c>
      <c r="L295">
        <v>17</v>
      </c>
      <c r="M295">
        <v>58</v>
      </c>
      <c r="N295" s="2">
        <v>0.28000000000000003</v>
      </c>
      <c r="O295">
        <v>87</v>
      </c>
      <c r="P295">
        <v>12.76</v>
      </c>
      <c r="Q295">
        <v>1.06</v>
      </c>
      <c r="R295">
        <v>33</v>
      </c>
      <c r="S295">
        <v>125.01</v>
      </c>
    </row>
    <row r="296" spans="1:19" x14ac:dyDescent="0.25">
      <c r="A296" t="s">
        <v>6846</v>
      </c>
      <c r="B296" s="1">
        <v>44806</v>
      </c>
      <c r="C296" t="s">
        <v>6438</v>
      </c>
      <c r="D296" t="s">
        <v>145</v>
      </c>
      <c r="E296" t="s">
        <v>24</v>
      </c>
      <c r="F296" t="s">
        <v>180</v>
      </c>
      <c r="G296">
        <v>15</v>
      </c>
      <c r="H296" t="s">
        <v>194</v>
      </c>
      <c r="I296" t="s">
        <v>195</v>
      </c>
      <c r="J296" t="s">
        <v>6847</v>
      </c>
      <c r="K296" t="s">
        <v>6848</v>
      </c>
      <c r="R296">
        <v>61</v>
      </c>
      <c r="S296">
        <v>102.2</v>
      </c>
    </row>
    <row r="297" spans="1:19" x14ac:dyDescent="0.25">
      <c r="A297" t="s">
        <v>6849</v>
      </c>
      <c r="B297" s="1">
        <v>44806</v>
      </c>
      <c r="C297" t="s">
        <v>3453</v>
      </c>
      <c r="D297" t="s">
        <v>145</v>
      </c>
      <c r="E297" t="s">
        <v>24</v>
      </c>
      <c r="F297" t="s">
        <v>215</v>
      </c>
      <c r="G297">
        <v>30</v>
      </c>
      <c r="H297" t="s">
        <v>188</v>
      </c>
      <c r="I297" t="s">
        <v>189</v>
      </c>
      <c r="J297" t="s">
        <v>3951</v>
      </c>
      <c r="K297" t="s">
        <v>6850</v>
      </c>
      <c r="R297">
        <v>105</v>
      </c>
      <c r="S297">
        <v>94.68</v>
      </c>
    </row>
    <row r="298" spans="1:19" x14ac:dyDescent="0.25">
      <c r="A298" t="s">
        <v>6851</v>
      </c>
      <c r="B298" s="1">
        <v>44806</v>
      </c>
      <c r="C298" t="s">
        <v>2100</v>
      </c>
      <c r="D298" t="s">
        <v>145</v>
      </c>
      <c r="E298" t="s">
        <v>24</v>
      </c>
      <c r="F298" t="s">
        <v>237</v>
      </c>
      <c r="G298">
        <v>10</v>
      </c>
      <c r="H298" t="s">
        <v>464</v>
      </c>
      <c r="I298" t="s">
        <v>1571</v>
      </c>
      <c r="J298" t="s">
        <v>2704</v>
      </c>
      <c r="K298" t="s">
        <v>6823</v>
      </c>
    </row>
    <row r="299" spans="1:19" x14ac:dyDescent="0.25">
      <c r="A299" t="s">
        <v>6948</v>
      </c>
      <c r="B299" s="1">
        <v>44820</v>
      </c>
      <c r="C299" t="s">
        <v>6949</v>
      </c>
      <c r="D299" t="s">
        <v>145</v>
      </c>
      <c r="E299" t="s">
        <v>24</v>
      </c>
      <c r="F299" t="s">
        <v>335</v>
      </c>
      <c r="G299">
        <v>60</v>
      </c>
      <c r="H299" t="s">
        <v>26</v>
      </c>
      <c r="I299" t="s">
        <v>370</v>
      </c>
      <c r="J299" t="s">
        <v>498</v>
      </c>
      <c r="K299" t="s">
        <v>6399</v>
      </c>
      <c r="L299">
        <v>433</v>
      </c>
      <c r="M299">
        <v>120</v>
      </c>
      <c r="N299" s="2">
        <v>0.4</v>
      </c>
      <c r="O299">
        <v>85</v>
      </c>
      <c r="P299">
        <v>17.41</v>
      </c>
      <c r="Q299">
        <v>17.41</v>
      </c>
      <c r="R299">
        <v>627</v>
      </c>
      <c r="S299">
        <v>157.04</v>
      </c>
    </row>
    <row r="300" spans="1:19" x14ac:dyDescent="0.25">
      <c r="A300" t="s">
        <v>6950</v>
      </c>
      <c r="B300" s="1">
        <v>44820</v>
      </c>
      <c r="C300" t="s">
        <v>6951</v>
      </c>
      <c r="D300" t="s">
        <v>145</v>
      </c>
      <c r="E300" t="s">
        <v>24</v>
      </c>
      <c r="F300" t="s">
        <v>335</v>
      </c>
      <c r="G300">
        <v>5</v>
      </c>
      <c r="H300" t="s">
        <v>49</v>
      </c>
      <c r="I300" t="s">
        <v>50</v>
      </c>
      <c r="J300" t="s">
        <v>51</v>
      </c>
      <c r="K300" t="s">
        <v>5274</v>
      </c>
      <c r="R300">
        <v>24</v>
      </c>
      <c r="S300">
        <v>109.69</v>
      </c>
    </row>
    <row r="301" spans="1:19" x14ac:dyDescent="0.25">
      <c r="A301" t="s">
        <v>6952</v>
      </c>
      <c r="B301" s="1">
        <v>44820</v>
      </c>
      <c r="C301" t="s">
        <v>1469</v>
      </c>
      <c r="D301" t="s">
        <v>145</v>
      </c>
      <c r="E301" t="s">
        <v>24</v>
      </c>
      <c r="F301" t="s">
        <v>237</v>
      </c>
      <c r="G301">
        <v>10</v>
      </c>
      <c r="H301" t="s">
        <v>464</v>
      </c>
      <c r="I301" t="s">
        <v>579</v>
      </c>
      <c r="J301" t="s">
        <v>1000</v>
      </c>
      <c r="K301" t="s">
        <v>6953</v>
      </c>
    </row>
    <row r="302" spans="1:19" x14ac:dyDescent="0.25">
      <c r="A302" t="s">
        <v>6988</v>
      </c>
      <c r="B302" s="1">
        <v>44827</v>
      </c>
      <c r="C302" t="s">
        <v>6989</v>
      </c>
      <c r="D302" t="s">
        <v>145</v>
      </c>
      <c r="E302" t="s">
        <v>24</v>
      </c>
      <c r="F302" t="s">
        <v>292</v>
      </c>
      <c r="G302">
        <v>30</v>
      </c>
      <c r="H302" t="s">
        <v>194</v>
      </c>
      <c r="I302" t="s">
        <v>232</v>
      </c>
      <c r="J302" t="s">
        <v>233</v>
      </c>
      <c r="K302" t="s">
        <v>6990</v>
      </c>
      <c r="R302">
        <v>213</v>
      </c>
      <c r="S302">
        <v>129.07</v>
      </c>
    </row>
    <row r="303" spans="1:19" x14ac:dyDescent="0.25">
      <c r="A303" t="s">
        <v>6991</v>
      </c>
      <c r="B303" s="1">
        <v>44827</v>
      </c>
      <c r="C303" t="s">
        <v>6992</v>
      </c>
      <c r="D303" t="s">
        <v>145</v>
      </c>
      <c r="E303" t="s">
        <v>24</v>
      </c>
      <c r="F303" t="s">
        <v>180</v>
      </c>
      <c r="G303">
        <v>15</v>
      </c>
      <c r="H303" t="s">
        <v>194</v>
      </c>
      <c r="I303" t="s">
        <v>195</v>
      </c>
      <c r="J303" t="s">
        <v>1217</v>
      </c>
      <c r="K303" t="s">
        <v>6993</v>
      </c>
      <c r="R303">
        <v>65</v>
      </c>
      <c r="S303">
        <v>102.21</v>
      </c>
    </row>
    <row r="304" spans="1:19" x14ac:dyDescent="0.25">
      <c r="A304" t="s">
        <v>7043</v>
      </c>
      <c r="B304" s="1">
        <v>44834</v>
      </c>
      <c r="C304" t="s">
        <v>3496</v>
      </c>
      <c r="D304" t="s">
        <v>145</v>
      </c>
      <c r="E304" t="s">
        <v>24</v>
      </c>
      <c r="F304" t="s">
        <v>237</v>
      </c>
      <c r="G304">
        <v>10</v>
      </c>
      <c r="H304" t="s">
        <v>464</v>
      </c>
      <c r="I304" t="s">
        <v>943</v>
      </c>
      <c r="J304" t="s">
        <v>944</v>
      </c>
      <c r="K304" t="s">
        <v>7044</v>
      </c>
    </row>
    <row r="305" spans="1:19" x14ac:dyDescent="0.25">
      <c r="A305" t="s">
        <v>7045</v>
      </c>
      <c r="B305" s="1">
        <v>44834</v>
      </c>
      <c r="C305" t="s">
        <v>3456</v>
      </c>
      <c r="D305" t="s">
        <v>145</v>
      </c>
      <c r="E305" t="s">
        <v>24</v>
      </c>
      <c r="F305" t="s">
        <v>200</v>
      </c>
      <c r="G305">
        <v>5</v>
      </c>
      <c r="H305" t="s">
        <v>464</v>
      </c>
      <c r="I305" t="s">
        <v>579</v>
      </c>
      <c r="J305" t="s">
        <v>2129</v>
      </c>
      <c r="K305" t="s">
        <v>7046</v>
      </c>
    </row>
    <row r="306" spans="1:19" x14ac:dyDescent="0.25">
      <c r="A306" t="s">
        <v>7097</v>
      </c>
      <c r="B306" s="1">
        <v>44841</v>
      </c>
      <c r="C306" t="s">
        <v>2538</v>
      </c>
      <c r="D306" t="s">
        <v>145</v>
      </c>
      <c r="E306" t="s">
        <v>24</v>
      </c>
      <c r="F306" t="s">
        <v>215</v>
      </c>
      <c r="G306">
        <v>30</v>
      </c>
      <c r="H306" t="s">
        <v>188</v>
      </c>
      <c r="I306" t="s">
        <v>254</v>
      </c>
      <c r="J306" t="s">
        <v>5574</v>
      </c>
      <c r="K306" t="s">
        <v>7098</v>
      </c>
      <c r="R306">
        <v>90</v>
      </c>
    </row>
    <row r="307" spans="1:19" x14ac:dyDescent="0.25">
      <c r="A307" t="s">
        <v>7099</v>
      </c>
      <c r="B307" s="1">
        <v>44841</v>
      </c>
      <c r="C307" t="s">
        <v>6712</v>
      </c>
      <c r="D307" t="s">
        <v>145</v>
      </c>
      <c r="E307" t="s">
        <v>24</v>
      </c>
      <c r="F307" t="s">
        <v>243</v>
      </c>
      <c r="G307">
        <v>30</v>
      </c>
      <c r="H307" t="s">
        <v>26</v>
      </c>
      <c r="I307" t="s">
        <v>370</v>
      </c>
      <c r="J307" t="s">
        <v>396</v>
      </c>
      <c r="K307" t="s">
        <v>1787</v>
      </c>
      <c r="L307">
        <v>196</v>
      </c>
      <c r="M307">
        <v>109</v>
      </c>
      <c r="N307" s="2">
        <v>0.37</v>
      </c>
      <c r="O307">
        <v>88</v>
      </c>
      <c r="P307">
        <v>16.62</v>
      </c>
      <c r="Q307">
        <v>8.31</v>
      </c>
      <c r="R307">
        <v>310</v>
      </c>
      <c r="S307">
        <v>156.24</v>
      </c>
    </row>
    <row r="308" spans="1:19" x14ac:dyDescent="0.25">
      <c r="A308" t="s">
        <v>7100</v>
      </c>
      <c r="B308" s="1">
        <v>44841</v>
      </c>
      <c r="C308" t="s">
        <v>6095</v>
      </c>
      <c r="D308" t="s">
        <v>145</v>
      </c>
      <c r="E308" t="s">
        <v>24</v>
      </c>
      <c r="F308" t="s">
        <v>323</v>
      </c>
      <c r="G308">
        <v>30</v>
      </c>
      <c r="H308" t="s">
        <v>26</v>
      </c>
      <c r="I308" t="s">
        <v>39</v>
      </c>
      <c r="J308" t="s">
        <v>407</v>
      </c>
      <c r="K308" t="s">
        <v>7101</v>
      </c>
      <c r="L308">
        <v>152</v>
      </c>
      <c r="M308">
        <v>84</v>
      </c>
      <c r="N308" s="2">
        <v>0.35</v>
      </c>
      <c r="O308">
        <v>82</v>
      </c>
      <c r="P308">
        <v>14.99</v>
      </c>
      <c r="Q308">
        <v>7.49</v>
      </c>
      <c r="R308">
        <v>241</v>
      </c>
      <c r="S308">
        <v>135.96</v>
      </c>
    </row>
    <row r="309" spans="1:19" x14ac:dyDescent="0.25">
      <c r="A309" t="s">
        <v>7136</v>
      </c>
      <c r="B309" s="1">
        <v>44848</v>
      </c>
      <c r="C309" t="s">
        <v>3979</v>
      </c>
      <c r="D309" t="s">
        <v>145</v>
      </c>
      <c r="E309" t="s">
        <v>24</v>
      </c>
      <c r="F309" t="s">
        <v>200</v>
      </c>
      <c r="G309">
        <v>10</v>
      </c>
      <c r="H309" t="s">
        <v>464</v>
      </c>
      <c r="I309" t="s">
        <v>579</v>
      </c>
      <c r="J309" t="s">
        <v>1470</v>
      </c>
      <c r="K309" t="s">
        <v>7137</v>
      </c>
    </row>
    <row r="310" spans="1:19" x14ac:dyDescent="0.25">
      <c r="A310" t="s">
        <v>7199</v>
      </c>
      <c r="B310" s="1">
        <v>44855</v>
      </c>
      <c r="C310" t="s">
        <v>7200</v>
      </c>
      <c r="D310" t="s">
        <v>145</v>
      </c>
      <c r="G310">
        <v>5</v>
      </c>
      <c r="H310" t="s">
        <v>26</v>
      </c>
      <c r="J310" t="s">
        <v>7201</v>
      </c>
      <c r="L310">
        <v>18</v>
      </c>
      <c r="M310">
        <v>60</v>
      </c>
      <c r="N310" s="2">
        <v>0.3</v>
      </c>
      <c r="O310">
        <v>83</v>
      </c>
      <c r="P310">
        <v>13.05</v>
      </c>
      <c r="Q310">
        <v>1.08</v>
      </c>
      <c r="R310">
        <v>30</v>
      </c>
      <c r="S310">
        <v>121.21</v>
      </c>
    </row>
    <row r="311" spans="1:19" x14ac:dyDescent="0.25">
      <c r="A311" t="s">
        <v>7202</v>
      </c>
      <c r="B311" s="1">
        <v>44855</v>
      </c>
      <c r="C311" t="s">
        <v>7203</v>
      </c>
      <c r="D311" t="s">
        <v>145</v>
      </c>
      <c r="E311" t="s">
        <v>24</v>
      </c>
      <c r="F311" t="s">
        <v>590</v>
      </c>
      <c r="G311">
        <v>45</v>
      </c>
      <c r="H311" t="s">
        <v>26</v>
      </c>
      <c r="I311" t="s">
        <v>370</v>
      </c>
      <c r="J311" t="s">
        <v>7204</v>
      </c>
      <c r="K311" t="s">
        <v>7205</v>
      </c>
      <c r="L311">
        <v>303</v>
      </c>
      <c r="M311">
        <v>112</v>
      </c>
      <c r="N311" s="2">
        <v>0.38</v>
      </c>
      <c r="O311">
        <v>85</v>
      </c>
      <c r="P311">
        <v>16.84</v>
      </c>
      <c r="Q311">
        <v>12.63</v>
      </c>
      <c r="R311">
        <v>449</v>
      </c>
      <c r="S311">
        <v>154.43</v>
      </c>
    </row>
    <row r="312" spans="1:19" x14ac:dyDescent="0.25">
      <c r="A312" t="s">
        <v>7206</v>
      </c>
      <c r="B312" s="1">
        <v>44855</v>
      </c>
      <c r="C312" t="s">
        <v>1402</v>
      </c>
      <c r="D312" t="s">
        <v>145</v>
      </c>
      <c r="E312" t="s">
        <v>24</v>
      </c>
      <c r="F312" t="s">
        <v>354</v>
      </c>
      <c r="G312">
        <v>5</v>
      </c>
      <c r="H312" t="s">
        <v>49</v>
      </c>
      <c r="I312" t="s">
        <v>50</v>
      </c>
      <c r="J312" t="s">
        <v>51</v>
      </c>
      <c r="K312" t="s">
        <v>6097</v>
      </c>
      <c r="R312">
        <v>11</v>
      </c>
    </row>
    <row r="313" spans="1:19" x14ac:dyDescent="0.25">
      <c r="A313" t="s">
        <v>7258</v>
      </c>
      <c r="B313" s="1">
        <v>44862</v>
      </c>
      <c r="C313" t="s">
        <v>1612</v>
      </c>
      <c r="D313" t="s">
        <v>145</v>
      </c>
      <c r="E313" t="s">
        <v>24</v>
      </c>
      <c r="F313" t="s">
        <v>323</v>
      </c>
      <c r="G313">
        <v>30</v>
      </c>
      <c r="H313" t="s">
        <v>26</v>
      </c>
      <c r="I313" t="s">
        <v>370</v>
      </c>
      <c r="J313" t="s">
        <v>2588</v>
      </c>
      <c r="K313" t="s">
        <v>7259</v>
      </c>
      <c r="L313">
        <v>200</v>
      </c>
      <c r="M313">
        <v>111</v>
      </c>
      <c r="N313" s="2">
        <v>0.37</v>
      </c>
      <c r="O313">
        <v>89</v>
      </c>
      <c r="P313">
        <v>16.829999999999998</v>
      </c>
      <c r="Q313">
        <v>8.41</v>
      </c>
      <c r="R313">
        <v>306</v>
      </c>
      <c r="S313">
        <v>155.1</v>
      </c>
    </row>
    <row r="314" spans="1:19" x14ac:dyDescent="0.25">
      <c r="A314" t="s">
        <v>7260</v>
      </c>
      <c r="B314" s="1">
        <v>44862</v>
      </c>
      <c r="C314" t="s">
        <v>7261</v>
      </c>
      <c r="D314" t="s">
        <v>145</v>
      </c>
      <c r="E314" t="s">
        <v>24</v>
      </c>
      <c r="F314" t="s">
        <v>6030</v>
      </c>
      <c r="G314">
        <v>10</v>
      </c>
      <c r="H314" t="s">
        <v>194</v>
      </c>
      <c r="I314" t="s">
        <v>195</v>
      </c>
      <c r="J314" t="s">
        <v>211</v>
      </c>
      <c r="K314" t="s">
        <v>7262</v>
      </c>
      <c r="R314">
        <v>67</v>
      </c>
      <c r="S314">
        <v>121.81</v>
      </c>
    </row>
    <row r="315" spans="1:19" x14ac:dyDescent="0.25">
      <c r="A315" t="s">
        <v>7263</v>
      </c>
      <c r="B315" s="1">
        <v>44862</v>
      </c>
      <c r="C315" t="s">
        <v>7050</v>
      </c>
      <c r="D315" t="s">
        <v>145</v>
      </c>
      <c r="E315" t="s">
        <v>24</v>
      </c>
      <c r="F315" t="s">
        <v>25</v>
      </c>
      <c r="G315">
        <v>5</v>
      </c>
      <c r="H315" t="s">
        <v>49</v>
      </c>
      <c r="I315" t="s">
        <v>50</v>
      </c>
      <c r="J315" t="s">
        <v>51</v>
      </c>
      <c r="K315" t="s">
        <v>7264</v>
      </c>
      <c r="R315">
        <v>11</v>
      </c>
    </row>
    <row r="316" spans="1:19" x14ac:dyDescent="0.25">
      <c r="A316" t="s">
        <v>7295</v>
      </c>
      <c r="B316" s="1">
        <v>44869</v>
      </c>
      <c r="C316" t="s">
        <v>7296</v>
      </c>
      <c r="D316" t="s">
        <v>145</v>
      </c>
      <c r="E316" t="s">
        <v>24</v>
      </c>
      <c r="F316" t="s">
        <v>208</v>
      </c>
      <c r="G316">
        <v>10</v>
      </c>
      <c r="H316" t="s">
        <v>464</v>
      </c>
      <c r="I316" t="s">
        <v>579</v>
      </c>
      <c r="J316" t="s">
        <v>986</v>
      </c>
      <c r="K316" t="s">
        <v>7297</v>
      </c>
    </row>
    <row r="317" spans="1:19" x14ac:dyDescent="0.25">
      <c r="A317" t="s">
        <v>7335</v>
      </c>
      <c r="B317" s="1">
        <v>44876</v>
      </c>
      <c r="C317" t="s">
        <v>7336</v>
      </c>
      <c r="D317" t="s">
        <v>145</v>
      </c>
      <c r="E317" t="s">
        <v>24</v>
      </c>
      <c r="F317" t="s">
        <v>323</v>
      </c>
      <c r="G317">
        <v>45</v>
      </c>
      <c r="H317" t="s">
        <v>26</v>
      </c>
      <c r="I317" t="s">
        <v>370</v>
      </c>
      <c r="J317" t="s">
        <v>4001</v>
      </c>
      <c r="K317" t="s">
        <v>7337</v>
      </c>
      <c r="L317">
        <v>229</v>
      </c>
      <c r="M317">
        <v>85</v>
      </c>
      <c r="N317" s="2">
        <v>0.34</v>
      </c>
      <c r="O317">
        <v>85</v>
      </c>
      <c r="P317">
        <v>15</v>
      </c>
      <c r="Q317">
        <v>11.25</v>
      </c>
      <c r="R317">
        <v>495</v>
      </c>
      <c r="S317">
        <v>162.86000000000001</v>
      </c>
    </row>
    <row r="318" spans="1:19" x14ac:dyDescent="0.25">
      <c r="A318" t="s">
        <v>7338</v>
      </c>
      <c r="B318" s="1">
        <v>44876</v>
      </c>
      <c r="C318" t="s">
        <v>7339</v>
      </c>
      <c r="D318" t="s">
        <v>145</v>
      </c>
      <c r="E318" t="s">
        <v>24</v>
      </c>
      <c r="F318" t="s">
        <v>231</v>
      </c>
      <c r="G318">
        <v>10</v>
      </c>
      <c r="H318" t="s">
        <v>194</v>
      </c>
      <c r="I318" t="s">
        <v>195</v>
      </c>
      <c r="J318" t="s">
        <v>7340</v>
      </c>
      <c r="K318" t="s">
        <v>7341</v>
      </c>
      <c r="R318">
        <v>72</v>
      </c>
      <c r="S318">
        <v>129.47</v>
      </c>
    </row>
    <row r="319" spans="1:19" x14ac:dyDescent="0.25">
      <c r="A319" t="s">
        <v>7342</v>
      </c>
      <c r="B319" s="1">
        <v>44876</v>
      </c>
      <c r="C319" t="s">
        <v>7343</v>
      </c>
      <c r="D319" t="s">
        <v>145</v>
      </c>
      <c r="E319" t="s">
        <v>24</v>
      </c>
      <c r="F319" t="s">
        <v>215</v>
      </c>
      <c r="G319">
        <v>10</v>
      </c>
      <c r="H319" t="s">
        <v>188</v>
      </c>
      <c r="I319" t="s">
        <v>238</v>
      </c>
      <c r="J319" t="s">
        <v>731</v>
      </c>
      <c r="K319" t="s">
        <v>7344</v>
      </c>
      <c r="R319">
        <v>34</v>
      </c>
    </row>
    <row r="320" spans="1:19" x14ac:dyDescent="0.25">
      <c r="A320" t="s">
        <v>7393</v>
      </c>
      <c r="B320" s="1">
        <v>44883</v>
      </c>
      <c r="C320" t="s">
        <v>7394</v>
      </c>
      <c r="D320" t="s">
        <v>145</v>
      </c>
      <c r="E320" t="s">
        <v>24</v>
      </c>
      <c r="F320" t="s">
        <v>215</v>
      </c>
      <c r="G320">
        <v>10</v>
      </c>
      <c r="H320" t="s">
        <v>464</v>
      </c>
      <c r="I320" t="s">
        <v>103</v>
      </c>
      <c r="J320" t="s">
        <v>3441</v>
      </c>
      <c r="K320" t="s">
        <v>7395</v>
      </c>
    </row>
    <row r="321" spans="1:19" x14ac:dyDescent="0.25">
      <c r="A321" t="s">
        <v>7492</v>
      </c>
      <c r="B321" s="1">
        <v>44897</v>
      </c>
      <c r="C321" t="s">
        <v>5971</v>
      </c>
      <c r="D321" t="s">
        <v>145</v>
      </c>
      <c r="E321" t="s">
        <v>24</v>
      </c>
      <c r="F321" t="s">
        <v>2708</v>
      </c>
      <c r="G321">
        <v>20</v>
      </c>
      <c r="H321" t="s">
        <v>464</v>
      </c>
      <c r="I321" t="s">
        <v>1571</v>
      </c>
      <c r="J321" t="s">
        <v>1572</v>
      </c>
      <c r="K321" t="s">
        <v>7481</v>
      </c>
    </row>
    <row r="322" spans="1:19" x14ac:dyDescent="0.25">
      <c r="A322" t="s">
        <v>7572</v>
      </c>
      <c r="B322" s="1">
        <v>44904</v>
      </c>
      <c r="C322" t="s">
        <v>3844</v>
      </c>
      <c r="D322" t="s">
        <v>145</v>
      </c>
      <c r="E322" t="s">
        <v>24</v>
      </c>
      <c r="F322" t="s">
        <v>200</v>
      </c>
      <c r="G322">
        <v>30</v>
      </c>
      <c r="H322" t="s">
        <v>188</v>
      </c>
      <c r="I322" t="s">
        <v>103</v>
      </c>
      <c r="J322" t="s">
        <v>7573</v>
      </c>
      <c r="K322" t="s">
        <v>7574</v>
      </c>
      <c r="R322">
        <v>90</v>
      </c>
    </row>
    <row r="323" spans="1:19" x14ac:dyDescent="0.25">
      <c r="A323" t="s">
        <v>7575</v>
      </c>
      <c r="B323" s="1">
        <v>44904</v>
      </c>
      <c r="C323" t="s">
        <v>3644</v>
      </c>
      <c r="D323" t="s">
        <v>145</v>
      </c>
      <c r="E323" t="s">
        <v>24</v>
      </c>
      <c r="F323" t="s">
        <v>231</v>
      </c>
      <c r="G323">
        <v>5</v>
      </c>
      <c r="H323" t="s">
        <v>194</v>
      </c>
      <c r="I323" t="s">
        <v>195</v>
      </c>
      <c r="J323" t="s">
        <v>196</v>
      </c>
      <c r="K323" t="s">
        <v>7576</v>
      </c>
      <c r="R323">
        <v>27</v>
      </c>
      <c r="S323">
        <v>112.88</v>
      </c>
    </row>
    <row r="324" spans="1:19" x14ac:dyDescent="0.25">
      <c r="A324" t="s">
        <v>7577</v>
      </c>
      <c r="B324" s="1">
        <v>44904</v>
      </c>
      <c r="C324" t="s">
        <v>4045</v>
      </c>
      <c r="D324" t="s">
        <v>145</v>
      </c>
      <c r="E324" t="s">
        <v>24</v>
      </c>
      <c r="F324" t="s">
        <v>323</v>
      </c>
      <c r="G324">
        <v>60</v>
      </c>
      <c r="H324" t="s">
        <v>26</v>
      </c>
      <c r="I324" t="s">
        <v>370</v>
      </c>
      <c r="J324" t="s">
        <v>498</v>
      </c>
      <c r="K324" t="s">
        <v>7578</v>
      </c>
      <c r="L324">
        <v>361</v>
      </c>
      <c r="M324">
        <v>100</v>
      </c>
      <c r="N324" s="2">
        <v>0.37</v>
      </c>
      <c r="O324">
        <v>84</v>
      </c>
      <c r="P324">
        <v>16.13</v>
      </c>
      <c r="Q324">
        <v>16.13</v>
      </c>
      <c r="R324">
        <v>645</v>
      </c>
      <c r="S324">
        <v>158.96</v>
      </c>
    </row>
    <row r="325" spans="1:19" x14ac:dyDescent="0.25">
      <c r="A325" t="s">
        <v>7579</v>
      </c>
      <c r="B325" s="1">
        <v>44904</v>
      </c>
      <c r="C325" t="s">
        <v>4893</v>
      </c>
      <c r="D325" t="s">
        <v>145</v>
      </c>
      <c r="E325" t="s">
        <v>24</v>
      </c>
      <c r="F325" t="s">
        <v>323</v>
      </c>
      <c r="G325">
        <v>5</v>
      </c>
      <c r="H325" t="s">
        <v>49</v>
      </c>
      <c r="I325" t="s">
        <v>50</v>
      </c>
      <c r="J325" t="s">
        <v>6740</v>
      </c>
      <c r="K325" t="s">
        <v>7580</v>
      </c>
      <c r="R325">
        <v>12</v>
      </c>
    </row>
    <row r="326" spans="1:19" x14ac:dyDescent="0.25">
      <c r="A326" t="s">
        <v>7581</v>
      </c>
      <c r="B326" s="1">
        <v>44904</v>
      </c>
      <c r="C326" t="s">
        <v>7582</v>
      </c>
      <c r="D326" t="s">
        <v>145</v>
      </c>
      <c r="E326" t="s">
        <v>24</v>
      </c>
      <c r="F326" t="s">
        <v>237</v>
      </c>
      <c r="G326">
        <v>5</v>
      </c>
      <c r="H326" t="s">
        <v>464</v>
      </c>
      <c r="I326" t="s">
        <v>579</v>
      </c>
      <c r="J326" t="s">
        <v>2129</v>
      </c>
      <c r="K326" t="s">
        <v>7583</v>
      </c>
    </row>
    <row r="327" spans="1:19" x14ac:dyDescent="0.25">
      <c r="A327" t="s">
        <v>7660</v>
      </c>
      <c r="B327" s="1">
        <v>44911</v>
      </c>
      <c r="C327" t="s">
        <v>7661</v>
      </c>
      <c r="D327" t="s">
        <v>145</v>
      </c>
      <c r="E327" t="s">
        <v>24</v>
      </c>
      <c r="F327" t="s">
        <v>323</v>
      </c>
      <c r="G327">
        <v>75</v>
      </c>
      <c r="H327" t="s">
        <v>26</v>
      </c>
      <c r="I327" t="s">
        <v>370</v>
      </c>
      <c r="J327" t="s">
        <v>1081</v>
      </c>
      <c r="K327" t="s">
        <v>7662</v>
      </c>
      <c r="L327">
        <v>361</v>
      </c>
      <c r="M327">
        <v>80</v>
      </c>
      <c r="N327" s="2">
        <v>0.34</v>
      </c>
      <c r="O327">
        <v>83</v>
      </c>
      <c r="P327">
        <v>14.59</v>
      </c>
      <c r="Q327">
        <v>18.239999999999998</v>
      </c>
      <c r="R327">
        <v>789</v>
      </c>
      <c r="S327">
        <v>161.25</v>
      </c>
    </row>
    <row r="328" spans="1:19" x14ac:dyDescent="0.25">
      <c r="A328" t="s">
        <v>7663</v>
      </c>
      <c r="B328" s="1">
        <v>44911</v>
      </c>
      <c r="C328" t="s">
        <v>7664</v>
      </c>
      <c r="D328" t="s">
        <v>145</v>
      </c>
      <c r="E328" t="s">
        <v>24</v>
      </c>
      <c r="F328" t="s">
        <v>323</v>
      </c>
      <c r="G328">
        <v>5</v>
      </c>
      <c r="H328" t="s">
        <v>49</v>
      </c>
      <c r="I328" t="s">
        <v>50</v>
      </c>
      <c r="J328" t="s">
        <v>51</v>
      </c>
      <c r="K328" t="s">
        <v>7356</v>
      </c>
      <c r="R328">
        <v>12</v>
      </c>
    </row>
    <row r="329" spans="1:19" x14ac:dyDescent="0.25">
      <c r="A329" t="s">
        <v>7740</v>
      </c>
      <c r="B329" s="1">
        <v>44918</v>
      </c>
      <c r="C329" t="s">
        <v>5544</v>
      </c>
      <c r="D329" t="s">
        <v>145</v>
      </c>
      <c r="E329" t="s">
        <v>24</v>
      </c>
      <c r="F329" t="s">
        <v>237</v>
      </c>
      <c r="G329">
        <v>30</v>
      </c>
      <c r="H329" t="s">
        <v>188</v>
      </c>
      <c r="I329" t="s">
        <v>238</v>
      </c>
      <c r="J329" t="s">
        <v>1322</v>
      </c>
      <c r="K329" t="s">
        <v>7741</v>
      </c>
      <c r="R329">
        <v>101</v>
      </c>
    </row>
    <row r="330" spans="1:19" x14ac:dyDescent="0.25">
      <c r="A330" t="s">
        <v>7742</v>
      </c>
      <c r="B330" s="1">
        <v>44918</v>
      </c>
      <c r="C330" t="s">
        <v>4343</v>
      </c>
      <c r="D330" t="s">
        <v>145</v>
      </c>
      <c r="E330" t="s">
        <v>24</v>
      </c>
      <c r="F330" t="s">
        <v>323</v>
      </c>
      <c r="G330">
        <v>60</v>
      </c>
      <c r="H330" t="s">
        <v>26</v>
      </c>
      <c r="I330" t="s">
        <v>370</v>
      </c>
      <c r="J330" t="s">
        <v>498</v>
      </c>
      <c r="K330" t="s">
        <v>7743</v>
      </c>
      <c r="L330">
        <v>354</v>
      </c>
      <c r="M330">
        <v>98</v>
      </c>
      <c r="N330" s="2">
        <v>0.36</v>
      </c>
      <c r="O330">
        <v>84</v>
      </c>
      <c r="P330">
        <v>16.02</v>
      </c>
      <c r="Q330">
        <v>16.02</v>
      </c>
      <c r="R330">
        <v>682</v>
      </c>
      <c r="S330">
        <v>164.33</v>
      </c>
    </row>
    <row r="331" spans="1:19" x14ac:dyDescent="0.25">
      <c r="A331" t="s">
        <v>7744</v>
      </c>
      <c r="B331" s="1">
        <v>44918</v>
      </c>
      <c r="C331" t="s">
        <v>3554</v>
      </c>
      <c r="D331" t="s">
        <v>145</v>
      </c>
      <c r="E331" t="s">
        <v>24</v>
      </c>
      <c r="F331" t="s">
        <v>180</v>
      </c>
      <c r="G331">
        <v>20</v>
      </c>
      <c r="H331" t="s">
        <v>194</v>
      </c>
      <c r="I331" t="s">
        <v>195</v>
      </c>
      <c r="J331" t="s">
        <v>2247</v>
      </c>
      <c r="K331" t="s">
        <v>7745</v>
      </c>
      <c r="R331">
        <v>104</v>
      </c>
      <c r="S331">
        <v>110.35</v>
      </c>
    </row>
    <row r="332" spans="1:19" x14ac:dyDescent="0.25">
      <c r="A332" t="s">
        <v>7746</v>
      </c>
      <c r="B332" s="1">
        <v>44918</v>
      </c>
      <c r="C332" t="s">
        <v>4893</v>
      </c>
      <c r="D332" t="s">
        <v>145</v>
      </c>
      <c r="E332" t="s">
        <v>24</v>
      </c>
      <c r="F332" t="s">
        <v>323</v>
      </c>
      <c r="G332">
        <v>5</v>
      </c>
      <c r="H332" t="s">
        <v>49</v>
      </c>
      <c r="I332" t="s">
        <v>50</v>
      </c>
      <c r="J332" t="s">
        <v>51</v>
      </c>
      <c r="K332" t="s">
        <v>7747</v>
      </c>
      <c r="R332">
        <v>19</v>
      </c>
      <c r="S332">
        <v>105.46</v>
      </c>
    </row>
    <row r="333" spans="1:19" x14ac:dyDescent="0.25">
      <c r="A333" t="s">
        <v>7815</v>
      </c>
      <c r="B333" s="1">
        <v>44925</v>
      </c>
      <c r="C333" t="s">
        <v>340</v>
      </c>
      <c r="D333" t="s">
        <v>145</v>
      </c>
      <c r="E333" t="s">
        <v>24</v>
      </c>
      <c r="F333" t="s">
        <v>215</v>
      </c>
      <c r="G333">
        <v>30</v>
      </c>
      <c r="H333" t="s">
        <v>188</v>
      </c>
      <c r="I333" t="s">
        <v>103</v>
      </c>
      <c r="J333" t="s">
        <v>7816</v>
      </c>
      <c r="K333" t="s">
        <v>7817</v>
      </c>
      <c r="R333">
        <v>97</v>
      </c>
    </row>
    <row r="334" spans="1:19" x14ac:dyDescent="0.25">
      <c r="A334" t="s">
        <v>7818</v>
      </c>
      <c r="B334" s="1">
        <v>44925</v>
      </c>
      <c r="C334" t="s">
        <v>3635</v>
      </c>
      <c r="D334" t="s">
        <v>145</v>
      </c>
      <c r="E334" t="s">
        <v>24</v>
      </c>
      <c r="F334" t="s">
        <v>6030</v>
      </c>
      <c r="G334">
        <v>10</v>
      </c>
      <c r="H334" t="s">
        <v>194</v>
      </c>
      <c r="I334" t="s">
        <v>195</v>
      </c>
      <c r="J334" t="s">
        <v>211</v>
      </c>
      <c r="K334" t="s">
        <v>7819</v>
      </c>
      <c r="R334">
        <v>50</v>
      </c>
      <c r="S334">
        <v>110.92</v>
      </c>
    </row>
    <row r="335" spans="1:19" x14ac:dyDescent="0.25">
      <c r="A335" t="s">
        <v>7820</v>
      </c>
      <c r="B335" s="1">
        <v>44925</v>
      </c>
      <c r="C335" t="s">
        <v>7768</v>
      </c>
      <c r="D335" t="s">
        <v>145</v>
      </c>
      <c r="E335" t="s">
        <v>24</v>
      </c>
      <c r="F335" t="s">
        <v>590</v>
      </c>
      <c r="G335">
        <v>45</v>
      </c>
      <c r="H335" t="s">
        <v>26</v>
      </c>
      <c r="I335" t="s">
        <v>370</v>
      </c>
      <c r="J335" t="s">
        <v>5119</v>
      </c>
      <c r="K335" t="s">
        <v>7821</v>
      </c>
      <c r="L335">
        <v>261</v>
      </c>
      <c r="M335">
        <v>96</v>
      </c>
      <c r="N335" s="2">
        <v>0.36</v>
      </c>
      <c r="O335">
        <v>85</v>
      </c>
      <c r="P335">
        <v>15.86</v>
      </c>
      <c r="Q335">
        <v>11.9</v>
      </c>
      <c r="R335">
        <v>422</v>
      </c>
      <c r="S335">
        <v>147.15</v>
      </c>
    </row>
    <row r="336" spans="1:19" x14ac:dyDescent="0.25">
      <c r="A336" t="s">
        <v>7822</v>
      </c>
      <c r="B336" s="1">
        <v>44925</v>
      </c>
      <c r="C336" t="s">
        <v>7823</v>
      </c>
      <c r="D336" t="s">
        <v>145</v>
      </c>
      <c r="E336" t="s">
        <v>24</v>
      </c>
      <c r="F336" t="s">
        <v>243</v>
      </c>
      <c r="G336">
        <v>30</v>
      </c>
      <c r="H336" t="s">
        <v>26</v>
      </c>
      <c r="I336" t="s">
        <v>370</v>
      </c>
      <c r="J336" t="s">
        <v>396</v>
      </c>
      <c r="K336" t="s">
        <v>7824</v>
      </c>
      <c r="L336">
        <v>172</v>
      </c>
      <c r="M336">
        <v>96</v>
      </c>
      <c r="N336" s="2">
        <v>0.35</v>
      </c>
      <c r="O336">
        <v>86</v>
      </c>
      <c r="P336">
        <v>15.76</v>
      </c>
      <c r="Q336">
        <v>7.87</v>
      </c>
      <c r="R336">
        <v>274</v>
      </c>
      <c r="S336">
        <v>146.69</v>
      </c>
    </row>
    <row r="337" spans="1:19" x14ac:dyDescent="0.25">
      <c r="A337" t="s">
        <v>7825</v>
      </c>
      <c r="B337" s="1">
        <v>44925</v>
      </c>
      <c r="C337" t="s">
        <v>7826</v>
      </c>
      <c r="D337" t="s">
        <v>145</v>
      </c>
      <c r="E337" t="s">
        <v>24</v>
      </c>
      <c r="F337" t="s">
        <v>323</v>
      </c>
      <c r="G337">
        <v>5</v>
      </c>
      <c r="H337" t="s">
        <v>49</v>
      </c>
      <c r="I337" t="s">
        <v>50</v>
      </c>
      <c r="J337" t="s">
        <v>51</v>
      </c>
      <c r="K337" t="s">
        <v>7747</v>
      </c>
      <c r="R337">
        <v>12</v>
      </c>
    </row>
    <row r="338" spans="1:19" x14ac:dyDescent="0.25">
      <c r="A338" t="s">
        <v>7887</v>
      </c>
      <c r="B338" s="1">
        <v>44932</v>
      </c>
      <c r="C338" t="s">
        <v>7888</v>
      </c>
      <c r="D338" t="s">
        <v>145</v>
      </c>
      <c r="E338" t="s">
        <v>24</v>
      </c>
      <c r="F338" t="s">
        <v>314</v>
      </c>
      <c r="G338">
        <v>45</v>
      </c>
      <c r="H338" t="s">
        <v>1856</v>
      </c>
      <c r="I338" t="s">
        <v>2096</v>
      </c>
      <c r="J338" t="s">
        <v>4587</v>
      </c>
      <c r="K338" t="s">
        <v>7889</v>
      </c>
      <c r="L338">
        <v>0</v>
      </c>
      <c r="P338">
        <v>3.39</v>
      </c>
      <c r="Q338">
        <v>2.42</v>
      </c>
      <c r="R338">
        <v>167</v>
      </c>
    </row>
    <row r="339" spans="1:19" x14ac:dyDescent="0.25">
      <c r="A339" t="s">
        <v>7890</v>
      </c>
      <c r="B339" s="1">
        <v>44932</v>
      </c>
      <c r="C339" t="s">
        <v>4192</v>
      </c>
      <c r="D339" t="s">
        <v>145</v>
      </c>
      <c r="E339" t="s">
        <v>24</v>
      </c>
      <c r="F339" t="s">
        <v>297</v>
      </c>
      <c r="G339">
        <v>30</v>
      </c>
      <c r="H339" t="s">
        <v>7562</v>
      </c>
      <c r="I339" t="s">
        <v>7891</v>
      </c>
      <c r="J339" t="s">
        <v>7892</v>
      </c>
      <c r="K339" t="s">
        <v>7840</v>
      </c>
      <c r="L339">
        <v>122</v>
      </c>
      <c r="P339">
        <v>2.85</v>
      </c>
      <c r="Q339">
        <v>3.1</v>
      </c>
      <c r="R339">
        <v>293</v>
      </c>
      <c r="S339">
        <v>152.79</v>
      </c>
    </row>
    <row r="340" spans="1:19" x14ac:dyDescent="0.25">
      <c r="A340" t="s">
        <v>7893</v>
      </c>
      <c r="B340" s="1">
        <v>44932</v>
      </c>
      <c r="C340" t="s">
        <v>7894</v>
      </c>
      <c r="D340" t="s">
        <v>145</v>
      </c>
      <c r="E340" t="s">
        <v>24</v>
      </c>
      <c r="F340" t="s">
        <v>200</v>
      </c>
      <c r="G340">
        <v>30</v>
      </c>
      <c r="H340" t="s">
        <v>188</v>
      </c>
      <c r="I340" t="s">
        <v>189</v>
      </c>
      <c r="J340" t="s">
        <v>201</v>
      </c>
      <c r="K340" t="s">
        <v>7895</v>
      </c>
      <c r="R340">
        <v>79</v>
      </c>
    </row>
    <row r="341" spans="1:19" x14ac:dyDescent="0.25">
      <c r="A341" t="s">
        <v>7896</v>
      </c>
      <c r="B341" s="1">
        <v>44932</v>
      </c>
      <c r="C341" t="s">
        <v>1861</v>
      </c>
      <c r="D341" t="s">
        <v>145</v>
      </c>
      <c r="E341" t="s">
        <v>24</v>
      </c>
      <c r="F341" t="s">
        <v>208</v>
      </c>
      <c r="G341">
        <v>10</v>
      </c>
      <c r="H341" t="s">
        <v>464</v>
      </c>
      <c r="I341" t="s">
        <v>1571</v>
      </c>
      <c r="J341" t="s">
        <v>2704</v>
      </c>
      <c r="K341" t="s">
        <v>7897</v>
      </c>
    </row>
    <row r="342" spans="1:19" x14ac:dyDescent="0.25">
      <c r="A342" t="s">
        <v>7954</v>
      </c>
      <c r="B342" s="1">
        <v>44939</v>
      </c>
      <c r="C342" t="s">
        <v>2449</v>
      </c>
      <c r="D342" t="s">
        <v>145</v>
      </c>
      <c r="E342" t="s">
        <v>24</v>
      </c>
      <c r="F342" t="s">
        <v>459</v>
      </c>
      <c r="G342">
        <v>20</v>
      </c>
      <c r="H342" t="s">
        <v>464</v>
      </c>
      <c r="I342" t="s">
        <v>763</v>
      </c>
      <c r="J342" t="s">
        <v>2732</v>
      </c>
      <c r="K342" t="s">
        <v>7955</v>
      </c>
    </row>
    <row r="343" spans="1:19" x14ac:dyDescent="0.25">
      <c r="A343" t="s">
        <v>7997</v>
      </c>
      <c r="B343" s="1">
        <v>44946</v>
      </c>
      <c r="C343" t="s">
        <v>1990</v>
      </c>
      <c r="D343" t="s">
        <v>145</v>
      </c>
      <c r="E343" t="s">
        <v>24</v>
      </c>
      <c r="F343" t="s">
        <v>200</v>
      </c>
      <c r="G343">
        <v>30</v>
      </c>
      <c r="H343" t="s">
        <v>188</v>
      </c>
      <c r="I343" t="s">
        <v>254</v>
      </c>
      <c r="J343" t="s">
        <v>255</v>
      </c>
      <c r="K343" t="s">
        <v>7998</v>
      </c>
      <c r="R343">
        <v>96</v>
      </c>
    </row>
    <row r="344" spans="1:19" x14ac:dyDescent="0.25">
      <c r="A344" t="s">
        <v>7999</v>
      </c>
      <c r="B344" s="1">
        <v>44946</v>
      </c>
      <c r="C344" t="s">
        <v>392</v>
      </c>
      <c r="D344" t="s">
        <v>145</v>
      </c>
      <c r="E344" t="s">
        <v>24</v>
      </c>
      <c r="F344" t="s">
        <v>237</v>
      </c>
      <c r="G344">
        <v>5</v>
      </c>
      <c r="H344" t="s">
        <v>464</v>
      </c>
      <c r="I344" t="s">
        <v>579</v>
      </c>
      <c r="J344" t="s">
        <v>6638</v>
      </c>
      <c r="K344" t="s">
        <v>6901</v>
      </c>
    </row>
    <row r="345" spans="1:19" x14ac:dyDescent="0.25">
      <c r="A345" t="s">
        <v>8000</v>
      </c>
      <c r="B345" s="1">
        <v>44946</v>
      </c>
      <c r="C345" t="s">
        <v>3761</v>
      </c>
      <c r="D345" t="s">
        <v>145</v>
      </c>
      <c r="E345" t="s">
        <v>24</v>
      </c>
      <c r="F345" t="s">
        <v>335</v>
      </c>
      <c r="G345">
        <v>45</v>
      </c>
      <c r="H345" t="s">
        <v>26</v>
      </c>
      <c r="I345" t="s">
        <v>370</v>
      </c>
      <c r="J345" t="s">
        <v>5119</v>
      </c>
      <c r="K345" t="s">
        <v>8001</v>
      </c>
      <c r="L345">
        <v>267</v>
      </c>
      <c r="M345">
        <v>99</v>
      </c>
      <c r="N345" s="2">
        <v>0.35</v>
      </c>
      <c r="O345">
        <v>88</v>
      </c>
      <c r="P345">
        <v>16.059999999999999</v>
      </c>
      <c r="Q345">
        <v>12.05</v>
      </c>
      <c r="R345">
        <v>485</v>
      </c>
      <c r="S345">
        <v>159.4</v>
      </c>
    </row>
    <row r="346" spans="1:19" x14ac:dyDescent="0.25">
      <c r="A346" t="s">
        <v>8002</v>
      </c>
      <c r="B346" s="1">
        <v>44946</v>
      </c>
      <c r="C346" t="s">
        <v>3835</v>
      </c>
      <c r="D346" t="s">
        <v>145</v>
      </c>
      <c r="E346" t="s">
        <v>24</v>
      </c>
      <c r="F346" t="s">
        <v>335</v>
      </c>
      <c r="G346">
        <v>20</v>
      </c>
      <c r="H346" t="s">
        <v>194</v>
      </c>
      <c r="I346" t="s">
        <v>1445</v>
      </c>
      <c r="J346" t="s">
        <v>3191</v>
      </c>
      <c r="K346" t="s">
        <v>8003</v>
      </c>
      <c r="R346">
        <v>127</v>
      </c>
      <c r="S346">
        <v>111.57</v>
      </c>
    </row>
    <row r="347" spans="1:19" x14ac:dyDescent="0.25">
      <c r="A347" t="s">
        <v>8004</v>
      </c>
      <c r="B347" s="1">
        <v>44946</v>
      </c>
      <c r="C347" t="s">
        <v>3805</v>
      </c>
      <c r="D347" t="s">
        <v>145</v>
      </c>
      <c r="E347" t="s">
        <v>24</v>
      </c>
      <c r="F347" t="s">
        <v>180</v>
      </c>
      <c r="G347">
        <v>20</v>
      </c>
      <c r="H347" t="s">
        <v>194</v>
      </c>
      <c r="I347" t="s">
        <v>195</v>
      </c>
      <c r="J347" t="s">
        <v>2247</v>
      </c>
      <c r="K347" t="s">
        <v>8005</v>
      </c>
      <c r="R347">
        <v>109</v>
      </c>
      <c r="S347">
        <v>112.77</v>
      </c>
    </row>
    <row r="348" spans="1:19" x14ac:dyDescent="0.25">
      <c r="A348" t="s">
        <v>8059</v>
      </c>
      <c r="B348" s="1">
        <v>44953</v>
      </c>
      <c r="C348" t="s">
        <v>3635</v>
      </c>
      <c r="D348" t="s">
        <v>145</v>
      </c>
      <c r="E348" t="s">
        <v>24</v>
      </c>
      <c r="F348" t="s">
        <v>33</v>
      </c>
      <c r="G348">
        <v>45</v>
      </c>
      <c r="H348" t="s">
        <v>26</v>
      </c>
      <c r="I348" t="s">
        <v>370</v>
      </c>
      <c r="J348" t="s">
        <v>439</v>
      </c>
      <c r="K348" t="s">
        <v>8060</v>
      </c>
      <c r="L348">
        <v>258</v>
      </c>
      <c r="M348">
        <v>96</v>
      </c>
      <c r="N348" s="2">
        <v>0.35</v>
      </c>
      <c r="O348">
        <v>87</v>
      </c>
      <c r="P348">
        <v>15.82</v>
      </c>
      <c r="Q348">
        <v>11.87</v>
      </c>
      <c r="R348">
        <v>454</v>
      </c>
      <c r="S348">
        <v>153.28</v>
      </c>
    </row>
    <row r="349" spans="1:19" x14ac:dyDescent="0.25">
      <c r="A349" t="s">
        <v>8061</v>
      </c>
      <c r="B349" s="1">
        <v>44953</v>
      </c>
      <c r="C349" t="s">
        <v>3580</v>
      </c>
      <c r="D349" t="s">
        <v>145</v>
      </c>
      <c r="E349" t="s">
        <v>24</v>
      </c>
      <c r="F349" t="s">
        <v>323</v>
      </c>
      <c r="G349">
        <v>30</v>
      </c>
      <c r="H349" t="s">
        <v>26</v>
      </c>
      <c r="I349" t="s">
        <v>370</v>
      </c>
      <c r="J349" t="s">
        <v>396</v>
      </c>
      <c r="K349" t="s">
        <v>8062</v>
      </c>
      <c r="L349">
        <v>168</v>
      </c>
      <c r="M349">
        <v>93</v>
      </c>
      <c r="N349" s="2">
        <v>0.35</v>
      </c>
      <c r="O349">
        <v>86</v>
      </c>
      <c r="P349">
        <v>15.6</v>
      </c>
      <c r="Q349">
        <v>7.8</v>
      </c>
      <c r="R349">
        <v>308</v>
      </c>
      <c r="S349">
        <v>154.78</v>
      </c>
    </row>
    <row r="350" spans="1:19" x14ac:dyDescent="0.25">
      <c r="A350" t="s">
        <v>8063</v>
      </c>
      <c r="B350" s="1">
        <v>44953</v>
      </c>
      <c r="C350" t="s">
        <v>8064</v>
      </c>
      <c r="D350" t="s">
        <v>145</v>
      </c>
      <c r="E350" t="s">
        <v>24</v>
      </c>
      <c r="F350" t="s">
        <v>335</v>
      </c>
      <c r="G350">
        <v>10</v>
      </c>
      <c r="H350" t="s">
        <v>194</v>
      </c>
      <c r="I350" t="s">
        <v>195</v>
      </c>
      <c r="J350" t="s">
        <v>211</v>
      </c>
      <c r="K350" t="s">
        <v>8065</v>
      </c>
      <c r="R350">
        <v>57</v>
      </c>
      <c r="S350">
        <v>111.76</v>
      </c>
    </row>
    <row r="351" spans="1:19" x14ac:dyDescent="0.25">
      <c r="A351" t="s">
        <v>8066</v>
      </c>
      <c r="B351" s="1">
        <v>44953</v>
      </c>
      <c r="C351" t="s">
        <v>8067</v>
      </c>
      <c r="D351" t="s">
        <v>145</v>
      </c>
      <c r="E351" t="s">
        <v>24</v>
      </c>
      <c r="F351" t="s">
        <v>554</v>
      </c>
      <c r="G351">
        <v>5</v>
      </c>
      <c r="H351" t="s">
        <v>49</v>
      </c>
      <c r="I351" t="s">
        <v>50</v>
      </c>
      <c r="J351" t="s">
        <v>51</v>
      </c>
      <c r="K351" t="s">
        <v>8068</v>
      </c>
      <c r="R351">
        <v>12</v>
      </c>
    </row>
    <row r="352" spans="1:19" x14ac:dyDescent="0.25">
      <c r="A352" t="s">
        <v>8129</v>
      </c>
      <c r="B352" s="1">
        <v>44960</v>
      </c>
      <c r="C352" t="s">
        <v>7355</v>
      </c>
      <c r="D352" t="s">
        <v>145</v>
      </c>
      <c r="E352" t="s">
        <v>24</v>
      </c>
      <c r="F352" t="s">
        <v>243</v>
      </c>
      <c r="G352">
        <v>30</v>
      </c>
      <c r="H352" t="s">
        <v>26</v>
      </c>
      <c r="I352" t="s">
        <v>370</v>
      </c>
      <c r="J352" t="s">
        <v>396</v>
      </c>
      <c r="K352" t="s">
        <v>8130</v>
      </c>
      <c r="L352">
        <v>137</v>
      </c>
      <c r="M352">
        <v>76</v>
      </c>
      <c r="N352" s="2">
        <v>0.32</v>
      </c>
      <c r="O352">
        <v>85</v>
      </c>
      <c r="P352">
        <v>14.22</v>
      </c>
      <c r="Q352">
        <v>7.11</v>
      </c>
      <c r="R352">
        <v>300</v>
      </c>
      <c r="S352">
        <v>157.99</v>
      </c>
    </row>
    <row r="353" spans="1:19" x14ac:dyDescent="0.25">
      <c r="A353" t="s">
        <v>8131</v>
      </c>
      <c r="B353" s="1">
        <v>44960</v>
      </c>
      <c r="C353" t="s">
        <v>8132</v>
      </c>
      <c r="D353" t="s">
        <v>145</v>
      </c>
      <c r="E353" t="s">
        <v>24</v>
      </c>
      <c r="G353">
        <v>15</v>
      </c>
      <c r="H353" t="s">
        <v>26</v>
      </c>
      <c r="I353" t="s">
        <v>427</v>
      </c>
      <c r="J353" t="s">
        <v>8133</v>
      </c>
      <c r="L353">
        <v>45</v>
      </c>
      <c r="M353">
        <v>50</v>
      </c>
      <c r="N353" s="2">
        <v>0.27</v>
      </c>
      <c r="O353">
        <v>83</v>
      </c>
      <c r="P353">
        <v>11.95</v>
      </c>
      <c r="Q353">
        <v>2.98</v>
      </c>
      <c r="R353">
        <v>119</v>
      </c>
      <c r="S353">
        <v>135.58000000000001</v>
      </c>
    </row>
    <row r="354" spans="1:19" x14ac:dyDescent="0.25">
      <c r="A354" t="s">
        <v>8134</v>
      </c>
      <c r="B354" s="1">
        <v>44960</v>
      </c>
      <c r="C354" t="s">
        <v>8135</v>
      </c>
      <c r="D354" t="s">
        <v>145</v>
      </c>
      <c r="E354" t="s">
        <v>24</v>
      </c>
      <c r="F354" t="s">
        <v>292</v>
      </c>
      <c r="G354">
        <v>30</v>
      </c>
      <c r="H354" t="s">
        <v>194</v>
      </c>
      <c r="I354" t="s">
        <v>232</v>
      </c>
      <c r="J354" t="s">
        <v>233</v>
      </c>
      <c r="K354" t="s">
        <v>8136</v>
      </c>
      <c r="R354">
        <v>207</v>
      </c>
      <c r="S354">
        <v>125.5</v>
      </c>
    </row>
    <row r="355" spans="1:19" x14ac:dyDescent="0.25">
      <c r="A355" t="s">
        <v>8137</v>
      </c>
      <c r="B355" s="1">
        <v>44960</v>
      </c>
      <c r="C355" t="s">
        <v>8138</v>
      </c>
      <c r="D355" t="s">
        <v>145</v>
      </c>
      <c r="E355" t="s">
        <v>24</v>
      </c>
      <c r="F355" t="s">
        <v>200</v>
      </c>
      <c r="G355">
        <v>15</v>
      </c>
      <c r="H355" t="s">
        <v>188</v>
      </c>
      <c r="I355" t="s">
        <v>238</v>
      </c>
      <c r="J355" t="s">
        <v>3616</v>
      </c>
      <c r="K355" t="s">
        <v>8139</v>
      </c>
      <c r="R355">
        <v>51</v>
      </c>
    </row>
    <row r="356" spans="1:19" x14ac:dyDescent="0.25">
      <c r="A356" t="s">
        <v>8190</v>
      </c>
      <c r="B356" s="1">
        <v>44967</v>
      </c>
      <c r="C356" t="s">
        <v>5573</v>
      </c>
      <c r="D356" t="s">
        <v>145</v>
      </c>
      <c r="G356">
        <v>39</v>
      </c>
      <c r="H356" t="s">
        <v>1856</v>
      </c>
      <c r="J356" t="s">
        <v>8191</v>
      </c>
      <c r="L356">
        <v>0</v>
      </c>
      <c r="P356">
        <v>3.11</v>
      </c>
      <c r="Q356">
        <v>2.02</v>
      </c>
      <c r="R356">
        <v>161</v>
      </c>
    </row>
    <row r="357" spans="1:19" x14ac:dyDescent="0.25">
      <c r="A357" t="s">
        <v>8192</v>
      </c>
      <c r="B357" s="1">
        <v>44967</v>
      </c>
      <c r="C357" t="s">
        <v>6419</v>
      </c>
      <c r="D357" t="s">
        <v>145</v>
      </c>
      <c r="E357" t="s">
        <v>24</v>
      </c>
      <c r="F357" t="s">
        <v>243</v>
      </c>
      <c r="G357">
        <v>30</v>
      </c>
      <c r="H357" t="s">
        <v>188</v>
      </c>
      <c r="I357" t="s">
        <v>189</v>
      </c>
      <c r="J357" t="s">
        <v>8193</v>
      </c>
      <c r="K357" t="s">
        <v>8194</v>
      </c>
      <c r="R357">
        <v>92</v>
      </c>
    </row>
    <row r="358" spans="1:19" x14ac:dyDescent="0.25">
      <c r="A358" t="s">
        <v>8195</v>
      </c>
      <c r="B358" s="1">
        <v>44967</v>
      </c>
      <c r="C358" t="s">
        <v>5920</v>
      </c>
      <c r="D358" t="s">
        <v>145</v>
      </c>
      <c r="E358" t="s">
        <v>24</v>
      </c>
      <c r="F358" t="s">
        <v>180</v>
      </c>
      <c r="G358">
        <v>5</v>
      </c>
      <c r="H358" t="s">
        <v>194</v>
      </c>
      <c r="I358" t="s">
        <v>195</v>
      </c>
      <c r="J358" t="s">
        <v>196</v>
      </c>
      <c r="K358" t="s">
        <v>8196</v>
      </c>
      <c r="R358">
        <v>22</v>
      </c>
    </row>
    <row r="359" spans="1:19" x14ac:dyDescent="0.25">
      <c r="A359" t="s">
        <v>8197</v>
      </c>
      <c r="B359" s="1">
        <v>44967</v>
      </c>
      <c r="C359" t="s">
        <v>3835</v>
      </c>
      <c r="D359" t="s">
        <v>145</v>
      </c>
      <c r="E359" t="s">
        <v>24</v>
      </c>
      <c r="F359" t="s">
        <v>33</v>
      </c>
      <c r="G359">
        <v>45</v>
      </c>
      <c r="H359" t="s">
        <v>26</v>
      </c>
      <c r="I359" t="s">
        <v>370</v>
      </c>
      <c r="J359" t="s">
        <v>439</v>
      </c>
      <c r="K359" t="s">
        <v>8198</v>
      </c>
      <c r="L359">
        <v>254</v>
      </c>
      <c r="M359">
        <v>94</v>
      </c>
      <c r="N359" s="2">
        <v>0.37</v>
      </c>
      <c r="O359">
        <v>81</v>
      </c>
      <c r="P359">
        <v>15.68</v>
      </c>
      <c r="Q359">
        <v>11.76</v>
      </c>
      <c r="R359">
        <v>451</v>
      </c>
      <c r="S359">
        <v>152.74</v>
      </c>
    </row>
    <row r="360" spans="1:19" x14ac:dyDescent="0.25">
      <c r="A360" t="s">
        <v>8199</v>
      </c>
      <c r="B360" s="1">
        <v>44967</v>
      </c>
      <c r="C360" t="s">
        <v>8200</v>
      </c>
      <c r="D360" t="s">
        <v>145</v>
      </c>
      <c r="E360" t="s">
        <v>24</v>
      </c>
      <c r="F360" t="s">
        <v>768</v>
      </c>
      <c r="G360">
        <v>5</v>
      </c>
      <c r="H360" t="s">
        <v>26</v>
      </c>
      <c r="I360" t="s">
        <v>358</v>
      </c>
      <c r="J360" t="s">
        <v>359</v>
      </c>
      <c r="K360" t="s">
        <v>8201</v>
      </c>
      <c r="L360">
        <v>17</v>
      </c>
      <c r="M360">
        <v>55</v>
      </c>
      <c r="N360" s="2">
        <v>0.3</v>
      </c>
      <c r="O360">
        <v>78</v>
      </c>
      <c r="P360">
        <v>12.43</v>
      </c>
      <c r="Q360">
        <v>1.03</v>
      </c>
      <c r="R360">
        <v>34</v>
      </c>
      <c r="S360">
        <v>128.1</v>
      </c>
    </row>
    <row r="361" spans="1:19" x14ac:dyDescent="0.25">
      <c r="A361" t="s">
        <v>8202</v>
      </c>
      <c r="B361" s="1">
        <v>44967</v>
      </c>
      <c r="C361" t="s">
        <v>1277</v>
      </c>
      <c r="D361" t="s">
        <v>145</v>
      </c>
      <c r="E361" t="s">
        <v>24</v>
      </c>
      <c r="F361" t="s">
        <v>768</v>
      </c>
      <c r="G361">
        <v>5</v>
      </c>
      <c r="H361" t="s">
        <v>49</v>
      </c>
      <c r="I361" t="s">
        <v>50</v>
      </c>
      <c r="J361" t="s">
        <v>51</v>
      </c>
      <c r="K361" t="s">
        <v>8201</v>
      </c>
      <c r="R361">
        <v>12</v>
      </c>
    </row>
    <row r="362" spans="1:19" x14ac:dyDescent="0.25">
      <c r="A362" t="s">
        <v>8247</v>
      </c>
      <c r="B362" s="1">
        <v>44974</v>
      </c>
      <c r="C362" t="s">
        <v>7497</v>
      </c>
      <c r="D362" t="s">
        <v>145</v>
      </c>
      <c r="E362" t="s">
        <v>24</v>
      </c>
      <c r="F362" t="s">
        <v>590</v>
      </c>
      <c r="G362">
        <v>45</v>
      </c>
      <c r="H362" t="s">
        <v>26</v>
      </c>
      <c r="I362" t="s">
        <v>370</v>
      </c>
      <c r="J362" t="s">
        <v>439</v>
      </c>
      <c r="K362" t="s">
        <v>8248</v>
      </c>
      <c r="L362">
        <v>271</v>
      </c>
      <c r="M362">
        <v>100</v>
      </c>
      <c r="N362" s="2">
        <v>0.36</v>
      </c>
      <c r="O362">
        <v>87</v>
      </c>
      <c r="P362">
        <v>16.11</v>
      </c>
      <c r="Q362">
        <v>12.08</v>
      </c>
      <c r="R362">
        <v>500</v>
      </c>
      <c r="S362">
        <v>162.11000000000001</v>
      </c>
    </row>
    <row r="363" spans="1:19" x14ac:dyDescent="0.25">
      <c r="A363" t="s">
        <v>8249</v>
      </c>
      <c r="B363" s="1">
        <v>44974</v>
      </c>
      <c r="C363" t="s">
        <v>4613</v>
      </c>
      <c r="D363" t="s">
        <v>145</v>
      </c>
      <c r="E363" t="s">
        <v>24</v>
      </c>
      <c r="F363" t="s">
        <v>2833</v>
      </c>
      <c r="G363">
        <v>5</v>
      </c>
      <c r="H363" t="s">
        <v>49</v>
      </c>
      <c r="I363" t="s">
        <v>50</v>
      </c>
      <c r="J363" t="s">
        <v>51</v>
      </c>
      <c r="K363" t="s">
        <v>8250</v>
      </c>
      <c r="R363">
        <v>29</v>
      </c>
      <c r="S363">
        <v>120.81</v>
      </c>
    </row>
    <row r="364" spans="1:19" x14ac:dyDescent="0.25">
      <c r="A364" t="s">
        <v>8251</v>
      </c>
      <c r="B364" s="1">
        <v>44974</v>
      </c>
      <c r="C364" t="s">
        <v>1737</v>
      </c>
      <c r="D364" t="s">
        <v>145</v>
      </c>
      <c r="E364" t="s">
        <v>24</v>
      </c>
      <c r="F364" t="s">
        <v>237</v>
      </c>
      <c r="G364">
        <v>5</v>
      </c>
      <c r="H364" t="s">
        <v>464</v>
      </c>
      <c r="I364" t="s">
        <v>1571</v>
      </c>
      <c r="J364" t="s">
        <v>6871</v>
      </c>
      <c r="K364" t="s">
        <v>8252</v>
      </c>
    </row>
    <row r="365" spans="1:19" x14ac:dyDescent="0.25">
      <c r="A365" t="s">
        <v>8298</v>
      </c>
      <c r="B365" s="1">
        <v>44981</v>
      </c>
      <c r="C365" t="s">
        <v>8299</v>
      </c>
      <c r="D365" t="s">
        <v>145</v>
      </c>
      <c r="E365" t="s">
        <v>24</v>
      </c>
      <c r="F365" t="s">
        <v>323</v>
      </c>
      <c r="G365">
        <v>45</v>
      </c>
      <c r="H365" t="s">
        <v>26</v>
      </c>
      <c r="I365" t="s">
        <v>370</v>
      </c>
      <c r="J365" t="s">
        <v>479</v>
      </c>
      <c r="K365" t="s">
        <v>8300</v>
      </c>
      <c r="L365">
        <v>82</v>
      </c>
      <c r="M365">
        <v>89</v>
      </c>
      <c r="N365" s="2">
        <v>0.33</v>
      </c>
      <c r="O365">
        <v>86</v>
      </c>
      <c r="P365">
        <v>14.74</v>
      </c>
      <c r="Q365">
        <v>3.79</v>
      </c>
      <c r="R365">
        <v>170</v>
      </c>
      <c r="S365">
        <v>161.71</v>
      </c>
    </row>
    <row r="366" spans="1:19" x14ac:dyDescent="0.25">
      <c r="A366" t="s">
        <v>8301</v>
      </c>
      <c r="B366" s="1">
        <v>44981</v>
      </c>
      <c r="C366" t="s">
        <v>2888</v>
      </c>
      <c r="D366" t="s">
        <v>145</v>
      </c>
      <c r="E366" t="s">
        <v>24</v>
      </c>
      <c r="F366" t="s">
        <v>2708</v>
      </c>
      <c r="G366">
        <v>10</v>
      </c>
      <c r="H366" t="s">
        <v>464</v>
      </c>
      <c r="I366" t="s">
        <v>579</v>
      </c>
      <c r="J366" t="s">
        <v>1975</v>
      </c>
      <c r="K366" t="s">
        <v>8302</v>
      </c>
    </row>
    <row r="367" spans="1:19" x14ac:dyDescent="0.25">
      <c r="A367" t="s">
        <v>8372</v>
      </c>
      <c r="B367" s="1">
        <v>44988</v>
      </c>
      <c r="C367" t="s">
        <v>8373</v>
      </c>
      <c r="D367" t="s">
        <v>145</v>
      </c>
      <c r="E367" t="s">
        <v>24</v>
      </c>
      <c r="F367" t="s">
        <v>231</v>
      </c>
      <c r="G367">
        <v>5</v>
      </c>
      <c r="H367" t="s">
        <v>194</v>
      </c>
      <c r="I367" t="s">
        <v>195</v>
      </c>
      <c r="J367" t="s">
        <v>196</v>
      </c>
      <c r="K367" t="s">
        <v>7961</v>
      </c>
      <c r="R367">
        <v>22</v>
      </c>
      <c r="S367">
        <v>93.13</v>
      </c>
    </row>
    <row r="368" spans="1:19" x14ac:dyDescent="0.25">
      <c r="A368" t="s">
        <v>8374</v>
      </c>
      <c r="B368" s="1">
        <v>44988</v>
      </c>
      <c r="C368" t="s">
        <v>8230</v>
      </c>
      <c r="D368" t="s">
        <v>145</v>
      </c>
      <c r="E368" t="s">
        <v>24</v>
      </c>
      <c r="F368" t="s">
        <v>335</v>
      </c>
      <c r="G368">
        <v>45</v>
      </c>
      <c r="H368" t="s">
        <v>26</v>
      </c>
      <c r="I368" t="s">
        <v>370</v>
      </c>
      <c r="J368" t="s">
        <v>4416</v>
      </c>
      <c r="K368" t="s">
        <v>8375</v>
      </c>
      <c r="L368">
        <v>267</v>
      </c>
      <c r="M368">
        <v>99</v>
      </c>
      <c r="N368" s="2">
        <v>0.37</v>
      </c>
      <c r="O368">
        <v>83</v>
      </c>
      <c r="P368">
        <v>16.010000000000002</v>
      </c>
      <c r="Q368">
        <v>12.01</v>
      </c>
      <c r="R368">
        <v>414</v>
      </c>
      <c r="S368">
        <v>145.61000000000001</v>
      </c>
    </row>
    <row r="369" spans="1:19" x14ac:dyDescent="0.25">
      <c r="A369" t="s">
        <v>8376</v>
      </c>
      <c r="B369" s="1">
        <v>44988</v>
      </c>
      <c r="C369" t="s">
        <v>8377</v>
      </c>
      <c r="D369" t="s">
        <v>145</v>
      </c>
      <c r="E369" t="s">
        <v>24</v>
      </c>
      <c r="F369" t="s">
        <v>3250</v>
      </c>
      <c r="G369">
        <v>10</v>
      </c>
      <c r="H369" t="s">
        <v>26</v>
      </c>
      <c r="I369" t="s">
        <v>39</v>
      </c>
      <c r="J369" t="s">
        <v>7372</v>
      </c>
      <c r="K369" t="s">
        <v>8285</v>
      </c>
      <c r="L369">
        <v>41</v>
      </c>
      <c r="M369">
        <v>68</v>
      </c>
      <c r="N369" s="2">
        <v>0.32</v>
      </c>
      <c r="O369">
        <v>81</v>
      </c>
      <c r="P369">
        <v>13.68</v>
      </c>
      <c r="Q369">
        <v>2.2799999999999998</v>
      </c>
      <c r="R369">
        <v>69</v>
      </c>
      <c r="S369">
        <v>127.1</v>
      </c>
    </row>
    <row r="370" spans="1:19" x14ac:dyDescent="0.25">
      <c r="A370" t="s">
        <v>8378</v>
      </c>
      <c r="B370" s="1">
        <v>44988</v>
      </c>
      <c r="C370" t="s">
        <v>8379</v>
      </c>
      <c r="D370" t="s">
        <v>145</v>
      </c>
      <c r="E370" t="s">
        <v>24</v>
      </c>
      <c r="F370" t="s">
        <v>180</v>
      </c>
      <c r="G370">
        <v>10</v>
      </c>
      <c r="H370" t="s">
        <v>194</v>
      </c>
      <c r="I370" t="s">
        <v>700</v>
      </c>
      <c r="J370" t="s">
        <v>1282</v>
      </c>
      <c r="K370" t="s">
        <v>8380</v>
      </c>
      <c r="R370">
        <v>39</v>
      </c>
      <c r="S370">
        <v>99.42</v>
      </c>
    </row>
    <row r="371" spans="1:19" x14ac:dyDescent="0.25">
      <c r="A371" t="s">
        <v>8381</v>
      </c>
      <c r="B371" s="1">
        <v>44988</v>
      </c>
      <c r="C371" t="s">
        <v>8382</v>
      </c>
      <c r="D371" t="s">
        <v>145</v>
      </c>
      <c r="E371" t="s">
        <v>24</v>
      </c>
      <c r="F371" t="s">
        <v>237</v>
      </c>
      <c r="G371">
        <v>30</v>
      </c>
      <c r="H371" t="s">
        <v>188</v>
      </c>
      <c r="I371" t="s">
        <v>189</v>
      </c>
      <c r="J371" t="s">
        <v>201</v>
      </c>
      <c r="K371" t="s">
        <v>8383</v>
      </c>
      <c r="R371">
        <v>122</v>
      </c>
      <c r="S371">
        <v>100.62</v>
      </c>
    </row>
    <row r="372" spans="1:19" x14ac:dyDescent="0.25">
      <c r="A372" t="s">
        <v>8384</v>
      </c>
      <c r="B372" s="1">
        <v>44988</v>
      </c>
      <c r="C372" t="s">
        <v>1737</v>
      </c>
      <c r="D372" t="s">
        <v>145</v>
      </c>
      <c r="E372" t="s">
        <v>24</v>
      </c>
      <c r="F372" t="s">
        <v>215</v>
      </c>
      <c r="G372">
        <v>15</v>
      </c>
      <c r="H372" t="s">
        <v>464</v>
      </c>
      <c r="I372" t="s">
        <v>763</v>
      </c>
      <c r="J372" t="s">
        <v>2926</v>
      </c>
      <c r="K372" t="s">
        <v>8385</v>
      </c>
    </row>
    <row r="373" spans="1:19" x14ac:dyDescent="0.25">
      <c r="A373" t="s">
        <v>8439</v>
      </c>
      <c r="B373" s="1">
        <v>44995</v>
      </c>
      <c r="C373" t="s">
        <v>8440</v>
      </c>
      <c r="D373" t="s">
        <v>145</v>
      </c>
      <c r="E373" t="s">
        <v>24</v>
      </c>
      <c r="F373" t="s">
        <v>237</v>
      </c>
      <c r="G373">
        <v>30</v>
      </c>
      <c r="H373" t="s">
        <v>188</v>
      </c>
      <c r="I373" t="s">
        <v>189</v>
      </c>
      <c r="J373" t="s">
        <v>898</v>
      </c>
      <c r="K373" t="s">
        <v>8441</v>
      </c>
      <c r="R373">
        <v>101</v>
      </c>
    </row>
    <row r="374" spans="1:19" x14ac:dyDescent="0.25">
      <c r="A374" t="s">
        <v>8442</v>
      </c>
      <c r="B374" s="1">
        <v>44995</v>
      </c>
      <c r="C374" t="s">
        <v>8443</v>
      </c>
      <c r="D374" t="s">
        <v>145</v>
      </c>
      <c r="E374" t="s">
        <v>24</v>
      </c>
      <c r="F374" t="s">
        <v>231</v>
      </c>
      <c r="G374">
        <v>10</v>
      </c>
      <c r="H374" t="s">
        <v>194</v>
      </c>
      <c r="I374" t="s">
        <v>195</v>
      </c>
      <c r="J374" t="s">
        <v>211</v>
      </c>
      <c r="K374" t="s">
        <v>7961</v>
      </c>
      <c r="R374">
        <v>40</v>
      </c>
      <c r="S374">
        <v>99.41</v>
      </c>
    </row>
    <row r="375" spans="1:19" x14ac:dyDescent="0.25">
      <c r="A375" t="s">
        <v>8444</v>
      </c>
      <c r="B375" s="1">
        <v>44995</v>
      </c>
      <c r="C375" t="s">
        <v>7582</v>
      </c>
      <c r="D375" t="s">
        <v>145</v>
      </c>
      <c r="E375" t="s">
        <v>24</v>
      </c>
      <c r="F375" t="s">
        <v>2708</v>
      </c>
      <c r="G375">
        <v>10</v>
      </c>
      <c r="H375" t="s">
        <v>464</v>
      </c>
      <c r="I375" t="s">
        <v>579</v>
      </c>
      <c r="J375" t="s">
        <v>2432</v>
      </c>
      <c r="K375" t="s">
        <v>8445</v>
      </c>
    </row>
    <row r="376" spans="1:19" x14ac:dyDescent="0.25">
      <c r="A376" t="s">
        <v>8496</v>
      </c>
      <c r="B376" s="1">
        <v>45002</v>
      </c>
      <c r="C376" t="s">
        <v>2331</v>
      </c>
      <c r="D376" t="s">
        <v>145</v>
      </c>
      <c r="E376" t="s">
        <v>24</v>
      </c>
      <c r="F376" t="s">
        <v>231</v>
      </c>
      <c r="G376">
        <v>10</v>
      </c>
      <c r="H376" t="s">
        <v>194</v>
      </c>
      <c r="I376" t="s">
        <v>195</v>
      </c>
      <c r="J376" t="s">
        <v>211</v>
      </c>
      <c r="K376" t="s">
        <v>8452</v>
      </c>
      <c r="R376">
        <v>53</v>
      </c>
      <c r="S376">
        <v>112.86</v>
      </c>
    </row>
    <row r="377" spans="1:19" x14ac:dyDescent="0.25">
      <c r="A377" t="s">
        <v>8497</v>
      </c>
      <c r="B377" s="1">
        <v>45002</v>
      </c>
      <c r="C377" t="s">
        <v>1519</v>
      </c>
      <c r="D377" t="s">
        <v>145</v>
      </c>
      <c r="E377" t="s">
        <v>24</v>
      </c>
      <c r="F377" t="s">
        <v>323</v>
      </c>
      <c r="G377">
        <v>30</v>
      </c>
      <c r="H377" t="s">
        <v>7562</v>
      </c>
      <c r="I377" t="s">
        <v>7989</v>
      </c>
      <c r="J377" t="s">
        <v>7990</v>
      </c>
      <c r="K377" t="s">
        <v>8498</v>
      </c>
      <c r="L377">
        <v>106</v>
      </c>
      <c r="P377">
        <v>2.66</v>
      </c>
      <c r="Q377">
        <v>2.98</v>
      </c>
      <c r="R377">
        <v>250</v>
      </c>
      <c r="S377">
        <v>137.91</v>
      </c>
    </row>
    <row r="378" spans="1:19" x14ac:dyDescent="0.25">
      <c r="A378" t="s">
        <v>8499</v>
      </c>
      <c r="B378" s="1">
        <v>45002</v>
      </c>
      <c r="C378" t="s">
        <v>8500</v>
      </c>
      <c r="D378" t="s">
        <v>145</v>
      </c>
      <c r="E378" t="s">
        <v>24</v>
      </c>
      <c r="F378" t="s">
        <v>2256</v>
      </c>
      <c r="G378">
        <v>30</v>
      </c>
      <c r="H378" t="s">
        <v>194</v>
      </c>
      <c r="I378" t="s">
        <v>1445</v>
      </c>
      <c r="J378" t="s">
        <v>4124</v>
      </c>
      <c r="K378" t="s">
        <v>8501</v>
      </c>
      <c r="R378">
        <v>143</v>
      </c>
      <c r="S378">
        <v>108.65</v>
      </c>
    </row>
    <row r="379" spans="1:19" x14ac:dyDescent="0.25">
      <c r="A379" t="s">
        <v>8502</v>
      </c>
      <c r="B379" s="1">
        <v>45002</v>
      </c>
      <c r="C379" t="s">
        <v>8427</v>
      </c>
      <c r="D379" t="s">
        <v>145</v>
      </c>
      <c r="E379" t="s">
        <v>24</v>
      </c>
      <c r="F379" t="s">
        <v>237</v>
      </c>
      <c r="G379">
        <v>10</v>
      </c>
      <c r="H379" t="s">
        <v>464</v>
      </c>
      <c r="I379" t="s">
        <v>1617</v>
      </c>
      <c r="J379" t="s">
        <v>3543</v>
      </c>
      <c r="K379" t="s">
        <v>8503</v>
      </c>
    </row>
    <row r="380" spans="1:19" x14ac:dyDescent="0.25">
      <c r="A380" t="s">
        <v>8547</v>
      </c>
      <c r="B380" s="1">
        <v>45009</v>
      </c>
      <c r="C380" t="s">
        <v>8548</v>
      </c>
      <c r="D380" t="s">
        <v>145</v>
      </c>
      <c r="E380" t="s">
        <v>24</v>
      </c>
      <c r="F380" t="s">
        <v>459</v>
      </c>
      <c r="G380">
        <v>10</v>
      </c>
      <c r="H380" t="s">
        <v>464</v>
      </c>
      <c r="I380" t="s">
        <v>763</v>
      </c>
      <c r="J380" t="s">
        <v>764</v>
      </c>
      <c r="K380" t="s">
        <v>8549</v>
      </c>
    </row>
    <row r="381" spans="1:19" x14ac:dyDescent="0.25">
      <c r="A381" t="s">
        <v>8550</v>
      </c>
      <c r="B381" s="1">
        <v>45009</v>
      </c>
      <c r="C381" t="s">
        <v>8551</v>
      </c>
      <c r="D381" t="s">
        <v>145</v>
      </c>
      <c r="E381" t="s">
        <v>24</v>
      </c>
      <c r="F381" t="s">
        <v>215</v>
      </c>
      <c r="G381">
        <v>5</v>
      </c>
      <c r="H381" t="s">
        <v>464</v>
      </c>
      <c r="I381" t="s">
        <v>763</v>
      </c>
      <c r="J381" t="s">
        <v>2354</v>
      </c>
      <c r="K381" t="s">
        <v>8552</v>
      </c>
    </row>
    <row r="382" spans="1:19" x14ac:dyDescent="0.25">
      <c r="A382" t="s">
        <v>8553</v>
      </c>
      <c r="B382" s="1">
        <v>45009</v>
      </c>
      <c r="C382" t="s">
        <v>8554</v>
      </c>
      <c r="D382" t="s">
        <v>145</v>
      </c>
      <c r="E382" t="s">
        <v>24</v>
      </c>
      <c r="F382" t="s">
        <v>237</v>
      </c>
      <c r="G382">
        <v>10</v>
      </c>
      <c r="H382" t="s">
        <v>464</v>
      </c>
      <c r="I382" t="s">
        <v>943</v>
      </c>
      <c r="J382" t="s">
        <v>944</v>
      </c>
      <c r="K382" t="s">
        <v>8555</v>
      </c>
    </row>
    <row r="383" spans="1:19" x14ac:dyDescent="0.25">
      <c r="A383" t="s">
        <v>8609</v>
      </c>
      <c r="B383" s="1">
        <v>45016</v>
      </c>
      <c r="C383" t="s">
        <v>2010</v>
      </c>
      <c r="D383" t="s">
        <v>145</v>
      </c>
      <c r="E383" t="s">
        <v>24</v>
      </c>
      <c r="F383" t="s">
        <v>237</v>
      </c>
      <c r="G383">
        <v>10</v>
      </c>
      <c r="H383" t="s">
        <v>464</v>
      </c>
      <c r="I383" t="s">
        <v>763</v>
      </c>
      <c r="J383" t="s">
        <v>764</v>
      </c>
      <c r="K383" t="s">
        <v>8610</v>
      </c>
    </row>
    <row r="384" spans="1:19" x14ac:dyDescent="0.25">
      <c r="A384" t="s">
        <v>8663</v>
      </c>
      <c r="B384" s="1">
        <v>45023</v>
      </c>
      <c r="C384" t="s">
        <v>94</v>
      </c>
      <c r="D384" t="s">
        <v>145</v>
      </c>
      <c r="G384">
        <v>43</v>
      </c>
      <c r="H384" t="s">
        <v>1856</v>
      </c>
      <c r="J384" t="s">
        <v>8664</v>
      </c>
      <c r="L384">
        <v>0</v>
      </c>
      <c r="P384">
        <v>2.5499999999999998</v>
      </c>
      <c r="Q384">
        <v>2.06</v>
      </c>
      <c r="R384">
        <v>297</v>
      </c>
      <c r="S384">
        <v>126.13</v>
      </c>
    </row>
    <row r="385" spans="1:19" x14ac:dyDescent="0.25">
      <c r="A385" t="s">
        <v>8665</v>
      </c>
      <c r="B385" s="1">
        <v>45023</v>
      </c>
      <c r="C385" t="s">
        <v>7813</v>
      </c>
      <c r="D385" t="s">
        <v>145</v>
      </c>
      <c r="E385" t="s">
        <v>24</v>
      </c>
      <c r="F385" t="s">
        <v>200</v>
      </c>
      <c r="G385">
        <v>10</v>
      </c>
      <c r="H385" t="s">
        <v>464</v>
      </c>
      <c r="I385" t="s">
        <v>763</v>
      </c>
      <c r="J385" t="s">
        <v>764</v>
      </c>
      <c r="K385" t="s">
        <v>8666</v>
      </c>
    </row>
    <row r="386" spans="1:19" x14ac:dyDescent="0.25">
      <c r="A386" t="s">
        <v>8774</v>
      </c>
      <c r="B386" s="1">
        <v>45037</v>
      </c>
      <c r="C386" t="s">
        <v>8775</v>
      </c>
      <c r="D386" t="s">
        <v>145</v>
      </c>
      <c r="E386" t="s">
        <v>24</v>
      </c>
      <c r="F386" t="s">
        <v>590</v>
      </c>
      <c r="G386">
        <v>45</v>
      </c>
      <c r="H386" t="s">
        <v>26</v>
      </c>
      <c r="I386" t="s">
        <v>370</v>
      </c>
      <c r="J386" t="s">
        <v>5119</v>
      </c>
      <c r="K386" t="s">
        <v>8776</v>
      </c>
      <c r="L386">
        <v>297</v>
      </c>
      <c r="M386">
        <v>110</v>
      </c>
      <c r="N386" s="2">
        <v>0.38</v>
      </c>
      <c r="O386">
        <v>85</v>
      </c>
      <c r="P386">
        <v>16.72</v>
      </c>
      <c r="Q386">
        <v>12.54</v>
      </c>
      <c r="R386">
        <v>447</v>
      </c>
      <c r="S386">
        <v>151.87</v>
      </c>
    </row>
    <row r="387" spans="1:19" x14ac:dyDescent="0.25">
      <c r="A387" t="s">
        <v>8777</v>
      </c>
      <c r="B387" s="1">
        <v>45037</v>
      </c>
      <c r="C387" t="s">
        <v>8778</v>
      </c>
      <c r="D387" t="s">
        <v>145</v>
      </c>
      <c r="E387" t="s">
        <v>24</v>
      </c>
      <c r="F387" t="s">
        <v>2833</v>
      </c>
      <c r="G387">
        <v>10</v>
      </c>
      <c r="H387" t="s">
        <v>26</v>
      </c>
      <c r="I387" t="s">
        <v>39</v>
      </c>
      <c r="J387" t="s">
        <v>7372</v>
      </c>
      <c r="K387" t="s">
        <v>8779</v>
      </c>
      <c r="L387">
        <v>36</v>
      </c>
      <c r="M387">
        <v>60</v>
      </c>
      <c r="N387" s="2">
        <v>0.3</v>
      </c>
      <c r="O387">
        <v>82</v>
      </c>
      <c r="P387">
        <v>12.97</v>
      </c>
      <c r="Q387">
        <v>2.16</v>
      </c>
      <c r="R387">
        <v>74</v>
      </c>
      <c r="S387">
        <v>129.32</v>
      </c>
    </row>
    <row r="388" spans="1:19" x14ac:dyDescent="0.25">
      <c r="A388" t="s">
        <v>8780</v>
      </c>
      <c r="B388" s="1">
        <v>45037</v>
      </c>
      <c r="C388" t="s">
        <v>8781</v>
      </c>
      <c r="D388" t="s">
        <v>145</v>
      </c>
      <c r="E388" t="s">
        <v>24</v>
      </c>
      <c r="F388" t="s">
        <v>768</v>
      </c>
      <c r="G388">
        <v>10</v>
      </c>
      <c r="H388" t="s">
        <v>194</v>
      </c>
      <c r="I388" t="s">
        <v>700</v>
      </c>
      <c r="J388" t="s">
        <v>1282</v>
      </c>
      <c r="K388" t="s">
        <v>8782</v>
      </c>
      <c r="R388">
        <v>53</v>
      </c>
      <c r="S388">
        <v>111.6</v>
      </c>
    </row>
    <row r="389" spans="1:19" x14ac:dyDescent="0.25">
      <c r="A389" t="s">
        <v>8783</v>
      </c>
      <c r="B389" s="1">
        <v>45037</v>
      </c>
      <c r="C389" t="s">
        <v>8784</v>
      </c>
      <c r="D389" t="s">
        <v>145</v>
      </c>
      <c r="E389" t="s">
        <v>24</v>
      </c>
      <c r="F389" t="s">
        <v>768</v>
      </c>
      <c r="G389">
        <v>5</v>
      </c>
      <c r="H389" t="s">
        <v>49</v>
      </c>
      <c r="I389" t="s">
        <v>50</v>
      </c>
      <c r="J389" t="s">
        <v>51</v>
      </c>
      <c r="K389" t="s">
        <v>8785</v>
      </c>
      <c r="R389">
        <v>21</v>
      </c>
      <c r="S389">
        <v>102.25</v>
      </c>
    </row>
    <row r="390" spans="1:19" x14ac:dyDescent="0.25">
      <c r="A390" t="s">
        <v>8870</v>
      </c>
      <c r="B390" s="1">
        <v>45051</v>
      </c>
      <c r="C390" t="s">
        <v>8871</v>
      </c>
      <c r="D390" t="s">
        <v>145</v>
      </c>
      <c r="E390" t="s">
        <v>24</v>
      </c>
      <c r="F390" t="s">
        <v>208</v>
      </c>
      <c r="G390">
        <v>15</v>
      </c>
      <c r="H390" t="s">
        <v>464</v>
      </c>
      <c r="I390" t="s">
        <v>763</v>
      </c>
      <c r="J390" t="s">
        <v>2508</v>
      </c>
      <c r="K390" t="s">
        <v>8855</v>
      </c>
      <c r="S390">
        <v>64.47</v>
      </c>
    </row>
    <row r="391" spans="1:19" x14ac:dyDescent="0.25">
      <c r="A391" t="s">
        <v>8952</v>
      </c>
      <c r="B391" s="1">
        <v>45065</v>
      </c>
      <c r="C391" t="s">
        <v>4310</v>
      </c>
      <c r="D391" t="s">
        <v>145</v>
      </c>
      <c r="E391" t="s">
        <v>24</v>
      </c>
      <c r="F391" t="s">
        <v>243</v>
      </c>
      <c r="G391">
        <v>30</v>
      </c>
      <c r="H391" t="s">
        <v>188</v>
      </c>
      <c r="I391" t="s">
        <v>189</v>
      </c>
      <c r="J391" t="s">
        <v>8953</v>
      </c>
      <c r="K391" t="s">
        <v>8954</v>
      </c>
      <c r="R391">
        <v>92</v>
      </c>
    </row>
    <row r="392" spans="1:19" x14ac:dyDescent="0.25">
      <c r="A392" t="s">
        <v>8955</v>
      </c>
      <c r="B392" s="1">
        <v>45065</v>
      </c>
      <c r="C392" t="s">
        <v>267</v>
      </c>
      <c r="D392" t="s">
        <v>145</v>
      </c>
      <c r="E392" t="s">
        <v>24</v>
      </c>
      <c r="F392" t="s">
        <v>215</v>
      </c>
      <c r="G392">
        <v>10</v>
      </c>
      <c r="H392" t="s">
        <v>464</v>
      </c>
      <c r="I392" t="s">
        <v>1617</v>
      </c>
      <c r="J392" t="s">
        <v>3543</v>
      </c>
      <c r="K392" t="s">
        <v>8956</v>
      </c>
    </row>
    <row r="393" spans="1:19" x14ac:dyDescent="0.25">
      <c r="A393" t="s">
        <v>8957</v>
      </c>
      <c r="B393" s="1">
        <v>45065</v>
      </c>
      <c r="C393" t="s">
        <v>1009</v>
      </c>
      <c r="D393" t="s">
        <v>145</v>
      </c>
      <c r="E393" t="s">
        <v>24</v>
      </c>
      <c r="F393" t="s">
        <v>200</v>
      </c>
      <c r="G393">
        <v>10</v>
      </c>
      <c r="H393" t="s">
        <v>464</v>
      </c>
      <c r="I393" t="s">
        <v>103</v>
      </c>
      <c r="J393" t="s">
        <v>1920</v>
      </c>
      <c r="K393" t="s">
        <v>8958</v>
      </c>
    </row>
    <row r="394" spans="1:19" x14ac:dyDescent="0.25">
      <c r="A394" t="s">
        <v>8995</v>
      </c>
      <c r="B394" s="1">
        <v>45072</v>
      </c>
      <c r="C394" t="s">
        <v>8996</v>
      </c>
      <c r="D394" t="s">
        <v>145</v>
      </c>
      <c r="G394">
        <v>41</v>
      </c>
      <c r="H394" t="s">
        <v>1856</v>
      </c>
      <c r="J394" t="s">
        <v>8997</v>
      </c>
      <c r="L394">
        <v>0</v>
      </c>
      <c r="P394">
        <v>3.02</v>
      </c>
      <c r="Q394">
        <v>2.06</v>
      </c>
      <c r="R394">
        <v>249</v>
      </c>
      <c r="S394">
        <v>122.02</v>
      </c>
    </row>
    <row r="395" spans="1:19" x14ac:dyDescent="0.25">
      <c r="A395" t="s">
        <v>9031</v>
      </c>
      <c r="B395" s="1">
        <v>45079</v>
      </c>
      <c r="C395" t="s">
        <v>5382</v>
      </c>
      <c r="D395" t="s">
        <v>145</v>
      </c>
      <c r="E395" t="s">
        <v>24</v>
      </c>
      <c r="F395" t="s">
        <v>208</v>
      </c>
      <c r="G395">
        <v>30</v>
      </c>
      <c r="H395" t="s">
        <v>464</v>
      </c>
      <c r="I395" t="s">
        <v>943</v>
      </c>
      <c r="J395" t="s">
        <v>1621</v>
      </c>
      <c r="K395" t="s">
        <v>9032</v>
      </c>
    </row>
    <row r="396" spans="1:19" x14ac:dyDescent="0.25">
      <c r="A396" t="s">
        <v>9134</v>
      </c>
      <c r="B396" s="1">
        <v>45100</v>
      </c>
      <c r="C396" t="s">
        <v>4026</v>
      </c>
      <c r="D396" t="s">
        <v>145</v>
      </c>
      <c r="E396" t="s">
        <v>24</v>
      </c>
      <c r="F396" t="s">
        <v>208</v>
      </c>
      <c r="G396">
        <v>20</v>
      </c>
      <c r="H396" t="s">
        <v>464</v>
      </c>
      <c r="I396" t="s">
        <v>579</v>
      </c>
      <c r="J396" t="s">
        <v>1553</v>
      </c>
      <c r="K396" t="s">
        <v>9135</v>
      </c>
    </row>
    <row r="397" spans="1:19" x14ac:dyDescent="0.25">
      <c r="A397" t="s">
        <v>9224</v>
      </c>
      <c r="B397" s="1">
        <v>45114</v>
      </c>
      <c r="C397" t="s">
        <v>1430</v>
      </c>
      <c r="D397" t="s">
        <v>145</v>
      </c>
      <c r="G397">
        <v>42</v>
      </c>
      <c r="H397" t="s">
        <v>1856</v>
      </c>
      <c r="J397" t="s">
        <v>9225</v>
      </c>
      <c r="L397">
        <v>0</v>
      </c>
      <c r="P397">
        <v>2.96</v>
      </c>
      <c r="Q397">
        <v>1.99</v>
      </c>
      <c r="R397">
        <v>161</v>
      </c>
    </row>
    <row r="398" spans="1:19" x14ac:dyDescent="0.25">
      <c r="A398" t="s">
        <v>9274</v>
      </c>
      <c r="B398" s="1">
        <v>45121</v>
      </c>
      <c r="C398" t="s">
        <v>2478</v>
      </c>
      <c r="D398" t="s">
        <v>145</v>
      </c>
      <c r="E398" t="s">
        <v>24</v>
      </c>
      <c r="F398" t="s">
        <v>200</v>
      </c>
      <c r="G398">
        <v>45</v>
      </c>
      <c r="H398" t="s">
        <v>188</v>
      </c>
      <c r="I398" t="s">
        <v>254</v>
      </c>
      <c r="J398" t="s">
        <v>1741</v>
      </c>
      <c r="K398" t="s">
        <v>9275</v>
      </c>
      <c r="R398">
        <v>145</v>
      </c>
    </row>
    <row r="399" spans="1:19" x14ac:dyDescent="0.25">
      <c r="A399" t="s">
        <v>9276</v>
      </c>
      <c r="B399" s="1">
        <v>45121</v>
      </c>
      <c r="C399" t="s">
        <v>9144</v>
      </c>
      <c r="D399" t="s">
        <v>145</v>
      </c>
      <c r="E399" t="s">
        <v>24</v>
      </c>
      <c r="F399" t="s">
        <v>243</v>
      </c>
      <c r="G399">
        <v>45</v>
      </c>
      <c r="H399" t="s">
        <v>26</v>
      </c>
      <c r="I399" t="s">
        <v>370</v>
      </c>
      <c r="J399" t="s">
        <v>439</v>
      </c>
      <c r="K399" t="s">
        <v>9277</v>
      </c>
      <c r="L399">
        <v>292</v>
      </c>
      <c r="M399">
        <v>108</v>
      </c>
      <c r="N399" s="2">
        <v>0.38</v>
      </c>
      <c r="O399">
        <v>85</v>
      </c>
      <c r="P399">
        <v>16.64</v>
      </c>
      <c r="Q399">
        <v>12.48</v>
      </c>
      <c r="R399">
        <v>392</v>
      </c>
      <c r="S399">
        <v>146.72</v>
      </c>
    </row>
    <row r="400" spans="1:19" x14ac:dyDescent="0.25">
      <c r="A400" t="s">
        <v>9278</v>
      </c>
      <c r="B400" s="1">
        <v>45121</v>
      </c>
      <c r="C400" t="s">
        <v>5463</v>
      </c>
      <c r="D400" t="s">
        <v>145</v>
      </c>
      <c r="E400" t="s">
        <v>24</v>
      </c>
      <c r="F400" t="s">
        <v>33</v>
      </c>
      <c r="G400">
        <v>5</v>
      </c>
      <c r="H400" t="s">
        <v>49</v>
      </c>
      <c r="I400" t="s">
        <v>50</v>
      </c>
      <c r="J400" t="s">
        <v>51</v>
      </c>
      <c r="K400" t="s">
        <v>9279</v>
      </c>
      <c r="R400">
        <v>26</v>
      </c>
      <c r="S400">
        <v>110.88</v>
      </c>
    </row>
    <row r="401" spans="1:19" x14ac:dyDescent="0.25">
      <c r="A401" t="s">
        <v>9333</v>
      </c>
      <c r="B401" s="1">
        <v>45128</v>
      </c>
      <c r="C401" t="s">
        <v>9334</v>
      </c>
      <c r="D401" t="s">
        <v>145</v>
      </c>
      <c r="E401" t="s">
        <v>24</v>
      </c>
      <c r="F401" t="s">
        <v>2256</v>
      </c>
      <c r="G401">
        <v>10</v>
      </c>
      <c r="H401" t="s">
        <v>194</v>
      </c>
      <c r="I401" t="s">
        <v>195</v>
      </c>
      <c r="J401" t="s">
        <v>5762</v>
      </c>
      <c r="K401" t="s">
        <v>9335</v>
      </c>
      <c r="R401">
        <v>50</v>
      </c>
      <c r="S401">
        <v>108.73</v>
      </c>
    </row>
    <row r="402" spans="1:19" x14ac:dyDescent="0.25">
      <c r="A402" t="s">
        <v>9336</v>
      </c>
      <c r="B402" s="1">
        <v>45128</v>
      </c>
      <c r="C402" t="s">
        <v>9337</v>
      </c>
      <c r="D402" t="s">
        <v>145</v>
      </c>
      <c r="E402" t="s">
        <v>24</v>
      </c>
      <c r="F402" t="s">
        <v>323</v>
      </c>
      <c r="G402">
        <v>60</v>
      </c>
      <c r="H402" t="s">
        <v>26</v>
      </c>
      <c r="I402" t="s">
        <v>370</v>
      </c>
      <c r="J402" t="s">
        <v>646</v>
      </c>
      <c r="K402" t="s">
        <v>9338</v>
      </c>
      <c r="L402">
        <v>410</v>
      </c>
      <c r="M402">
        <v>114</v>
      </c>
      <c r="N402" s="2">
        <v>0.38</v>
      </c>
      <c r="O402">
        <v>85</v>
      </c>
      <c r="P402">
        <v>16.73</v>
      </c>
      <c r="Q402">
        <v>16.73</v>
      </c>
      <c r="R402">
        <v>584</v>
      </c>
      <c r="S402">
        <v>149.47999999999999</v>
      </c>
    </row>
    <row r="403" spans="1:19" x14ac:dyDescent="0.25">
      <c r="A403" t="s">
        <v>9339</v>
      </c>
      <c r="B403" s="1">
        <v>45128</v>
      </c>
      <c r="C403" t="s">
        <v>2825</v>
      </c>
      <c r="D403" t="s">
        <v>145</v>
      </c>
      <c r="E403" t="s">
        <v>24</v>
      </c>
      <c r="F403" t="s">
        <v>660</v>
      </c>
      <c r="G403">
        <v>10</v>
      </c>
      <c r="H403" t="s">
        <v>26</v>
      </c>
      <c r="I403" t="s">
        <v>358</v>
      </c>
      <c r="J403" t="s">
        <v>9340</v>
      </c>
      <c r="K403" t="s">
        <v>9341</v>
      </c>
      <c r="L403">
        <v>31</v>
      </c>
      <c r="M403">
        <v>52</v>
      </c>
      <c r="N403" s="2">
        <v>0.28999999999999998</v>
      </c>
      <c r="O403">
        <v>80</v>
      </c>
      <c r="P403">
        <v>12.18</v>
      </c>
      <c r="Q403">
        <v>2.0299999999999998</v>
      </c>
      <c r="R403">
        <v>57</v>
      </c>
      <c r="S403">
        <v>115.52</v>
      </c>
    </row>
    <row r="404" spans="1:19" x14ac:dyDescent="0.25">
      <c r="A404" t="s">
        <v>9342</v>
      </c>
      <c r="B404" s="1">
        <v>45128</v>
      </c>
      <c r="C404" t="s">
        <v>2869</v>
      </c>
      <c r="D404" t="s">
        <v>145</v>
      </c>
      <c r="E404" t="s">
        <v>24</v>
      </c>
      <c r="F404" t="s">
        <v>328</v>
      </c>
      <c r="G404">
        <v>5</v>
      </c>
      <c r="H404" t="s">
        <v>49</v>
      </c>
      <c r="I404" t="s">
        <v>50</v>
      </c>
      <c r="J404" t="s">
        <v>51</v>
      </c>
      <c r="K404" t="s">
        <v>9343</v>
      </c>
      <c r="R404">
        <v>19</v>
      </c>
      <c r="S404">
        <v>97.35</v>
      </c>
    </row>
    <row r="405" spans="1:19" x14ac:dyDescent="0.25">
      <c r="A405" t="s">
        <v>9344</v>
      </c>
      <c r="B405" s="1">
        <v>45128</v>
      </c>
      <c r="C405" t="s">
        <v>4793</v>
      </c>
      <c r="D405" t="s">
        <v>145</v>
      </c>
      <c r="E405" t="s">
        <v>24</v>
      </c>
      <c r="F405" t="s">
        <v>2708</v>
      </c>
      <c r="G405">
        <v>10</v>
      </c>
      <c r="H405" t="s">
        <v>464</v>
      </c>
      <c r="I405" t="s">
        <v>1617</v>
      </c>
      <c r="J405" t="s">
        <v>3543</v>
      </c>
      <c r="K405" t="s">
        <v>9345</v>
      </c>
    </row>
    <row r="406" spans="1:19" x14ac:dyDescent="0.25">
      <c r="A406" t="s">
        <v>9451</v>
      </c>
      <c r="B406" s="1">
        <v>45149</v>
      </c>
      <c r="C406" t="s">
        <v>2376</v>
      </c>
      <c r="D406" t="s">
        <v>145</v>
      </c>
      <c r="E406" t="s">
        <v>24</v>
      </c>
      <c r="F406" t="s">
        <v>33</v>
      </c>
      <c r="G406">
        <v>45</v>
      </c>
      <c r="H406" t="s">
        <v>26</v>
      </c>
      <c r="I406" t="s">
        <v>370</v>
      </c>
      <c r="J406" t="s">
        <v>439</v>
      </c>
      <c r="K406" t="s">
        <v>9452</v>
      </c>
      <c r="L406">
        <v>287</v>
      </c>
      <c r="M406">
        <v>106</v>
      </c>
      <c r="N406" s="2">
        <v>0.38</v>
      </c>
      <c r="O406">
        <v>85</v>
      </c>
      <c r="P406">
        <v>16.52</v>
      </c>
      <c r="Q406">
        <v>12.39</v>
      </c>
      <c r="R406">
        <v>398</v>
      </c>
      <c r="S406">
        <v>141.91999999999999</v>
      </c>
    </row>
    <row r="407" spans="1:19" x14ac:dyDescent="0.25">
      <c r="A407" t="s">
        <v>9501</v>
      </c>
      <c r="B407" s="1">
        <v>45156</v>
      </c>
      <c r="C407" t="s">
        <v>9502</v>
      </c>
      <c r="D407" t="s">
        <v>145</v>
      </c>
      <c r="E407" t="s">
        <v>24</v>
      </c>
      <c r="F407" t="s">
        <v>2708</v>
      </c>
      <c r="G407">
        <v>10</v>
      </c>
      <c r="H407" t="s">
        <v>464</v>
      </c>
      <c r="I407" t="s">
        <v>763</v>
      </c>
      <c r="J407" t="s">
        <v>914</v>
      </c>
      <c r="K407" t="s">
        <v>9503</v>
      </c>
    </row>
    <row r="408" spans="1:19" x14ac:dyDescent="0.25">
      <c r="A408" t="s">
        <v>9504</v>
      </c>
      <c r="B408" s="1">
        <v>45156</v>
      </c>
      <c r="C408" t="s">
        <v>5920</v>
      </c>
      <c r="D408" t="s">
        <v>145</v>
      </c>
      <c r="E408" t="s">
        <v>24</v>
      </c>
      <c r="F408" t="s">
        <v>305</v>
      </c>
      <c r="G408">
        <v>5</v>
      </c>
      <c r="H408" t="s">
        <v>194</v>
      </c>
      <c r="I408" t="s">
        <v>232</v>
      </c>
      <c r="J408" t="s">
        <v>9505</v>
      </c>
      <c r="K408" t="s">
        <v>9506</v>
      </c>
      <c r="R408">
        <v>21</v>
      </c>
      <c r="S408">
        <v>80.95</v>
      </c>
    </row>
    <row r="409" spans="1:19" x14ac:dyDescent="0.25">
      <c r="A409" t="s">
        <v>9507</v>
      </c>
      <c r="B409" s="1">
        <v>45156</v>
      </c>
      <c r="C409" t="s">
        <v>3034</v>
      </c>
      <c r="D409" t="s">
        <v>145</v>
      </c>
      <c r="E409" t="s">
        <v>24</v>
      </c>
      <c r="F409" t="s">
        <v>243</v>
      </c>
      <c r="G409">
        <v>45</v>
      </c>
      <c r="H409" t="s">
        <v>26</v>
      </c>
      <c r="I409" t="s">
        <v>370</v>
      </c>
      <c r="J409" t="s">
        <v>9508</v>
      </c>
      <c r="K409" t="s">
        <v>9509</v>
      </c>
      <c r="L409">
        <v>312</v>
      </c>
      <c r="M409">
        <v>116</v>
      </c>
      <c r="N409" s="2">
        <v>0.39</v>
      </c>
      <c r="O409">
        <v>84</v>
      </c>
      <c r="P409">
        <v>17.07</v>
      </c>
      <c r="Q409">
        <v>12.8</v>
      </c>
      <c r="R409">
        <v>441</v>
      </c>
      <c r="S409">
        <v>150.22</v>
      </c>
    </row>
    <row r="410" spans="1:19" x14ac:dyDescent="0.25">
      <c r="A410" t="s">
        <v>9510</v>
      </c>
      <c r="B410" s="1">
        <v>45156</v>
      </c>
      <c r="C410" t="s">
        <v>5304</v>
      </c>
      <c r="D410" t="s">
        <v>145</v>
      </c>
      <c r="E410" t="s">
        <v>24</v>
      </c>
      <c r="F410" t="s">
        <v>335</v>
      </c>
      <c r="G410">
        <v>5</v>
      </c>
      <c r="H410" t="s">
        <v>49</v>
      </c>
      <c r="I410" t="s">
        <v>50</v>
      </c>
      <c r="J410" t="s">
        <v>51</v>
      </c>
      <c r="K410" t="s">
        <v>9511</v>
      </c>
      <c r="R410">
        <v>30</v>
      </c>
      <c r="S410">
        <v>118.4</v>
      </c>
    </row>
    <row r="411" spans="1:19" x14ac:dyDescent="0.25">
      <c r="A411" t="s">
        <v>9512</v>
      </c>
      <c r="B411" s="1">
        <v>45156</v>
      </c>
      <c r="C411" t="s">
        <v>3712</v>
      </c>
      <c r="D411" t="s">
        <v>145</v>
      </c>
      <c r="E411" t="s">
        <v>24</v>
      </c>
      <c r="F411" t="s">
        <v>2708</v>
      </c>
      <c r="G411">
        <v>10</v>
      </c>
      <c r="H411" t="s">
        <v>464</v>
      </c>
      <c r="I411" t="s">
        <v>763</v>
      </c>
      <c r="J411" t="s">
        <v>914</v>
      </c>
      <c r="K411" t="s">
        <v>9503</v>
      </c>
    </row>
    <row r="412" spans="1:19" x14ac:dyDescent="0.25">
      <c r="A412" t="s">
        <v>9624</v>
      </c>
      <c r="B412" s="1">
        <v>45170</v>
      </c>
      <c r="C412" t="s">
        <v>9625</v>
      </c>
      <c r="D412" t="s">
        <v>145</v>
      </c>
      <c r="E412" t="s">
        <v>24</v>
      </c>
      <c r="F412" t="s">
        <v>237</v>
      </c>
      <c r="G412">
        <v>10</v>
      </c>
      <c r="H412" t="s">
        <v>464</v>
      </c>
      <c r="I412" t="s">
        <v>1617</v>
      </c>
      <c r="J412" t="s">
        <v>3543</v>
      </c>
      <c r="K412" t="s">
        <v>9626</v>
      </c>
    </row>
    <row r="413" spans="1:19" x14ac:dyDescent="0.25">
      <c r="A413" t="s">
        <v>9665</v>
      </c>
      <c r="B413" s="1">
        <v>45177</v>
      </c>
      <c r="C413" t="s">
        <v>4888</v>
      </c>
      <c r="D413" t="s">
        <v>145</v>
      </c>
      <c r="E413" t="s">
        <v>24</v>
      </c>
      <c r="F413" t="s">
        <v>243</v>
      </c>
      <c r="G413">
        <v>30</v>
      </c>
      <c r="H413" t="s">
        <v>188</v>
      </c>
      <c r="I413" t="s">
        <v>238</v>
      </c>
      <c r="J413" t="s">
        <v>1956</v>
      </c>
      <c r="K413" t="s">
        <v>9666</v>
      </c>
      <c r="R413">
        <v>87</v>
      </c>
    </row>
    <row r="414" spans="1:19" x14ac:dyDescent="0.25">
      <c r="A414" t="s">
        <v>9667</v>
      </c>
      <c r="B414" s="1">
        <v>45177</v>
      </c>
      <c r="C414" t="s">
        <v>4447</v>
      </c>
      <c r="D414" t="s">
        <v>145</v>
      </c>
      <c r="E414" t="s">
        <v>24</v>
      </c>
      <c r="F414" t="s">
        <v>215</v>
      </c>
      <c r="G414">
        <v>15</v>
      </c>
      <c r="H414" t="s">
        <v>464</v>
      </c>
      <c r="I414" t="s">
        <v>1571</v>
      </c>
      <c r="J414" t="s">
        <v>9172</v>
      </c>
      <c r="K414" t="s">
        <v>9668</v>
      </c>
    </row>
    <row r="415" spans="1:19" x14ac:dyDescent="0.25">
      <c r="A415" t="s">
        <v>9739</v>
      </c>
      <c r="B415" s="1">
        <v>45184</v>
      </c>
      <c r="C415" t="s">
        <v>9740</v>
      </c>
      <c r="D415" t="s">
        <v>145</v>
      </c>
      <c r="E415" t="s">
        <v>24</v>
      </c>
      <c r="F415" t="s">
        <v>208</v>
      </c>
      <c r="G415">
        <v>20</v>
      </c>
      <c r="H415" t="s">
        <v>464</v>
      </c>
      <c r="I415" t="s">
        <v>943</v>
      </c>
      <c r="J415" t="s">
        <v>1347</v>
      </c>
      <c r="K415" t="s">
        <v>9741</v>
      </c>
      <c r="S415">
        <v>82.2</v>
      </c>
    </row>
    <row r="416" spans="1:19" x14ac:dyDescent="0.25">
      <c r="A416" t="s">
        <v>9820</v>
      </c>
      <c r="B416" s="1">
        <v>45198</v>
      </c>
      <c r="C416" t="s">
        <v>122</v>
      </c>
      <c r="D416" t="s">
        <v>145</v>
      </c>
      <c r="E416" t="s">
        <v>24</v>
      </c>
      <c r="F416" t="s">
        <v>237</v>
      </c>
      <c r="G416">
        <v>15</v>
      </c>
      <c r="H416" t="s">
        <v>464</v>
      </c>
      <c r="I416" t="s">
        <v>1571</v>
      </c>
      <c r="J416" t="s">
        <v>2322</v>
      </c>
      <c r="K416" t="s">
        <v>9821</v>
      </c>
      <c r="S416">
        <v>72.36</v>
      </c>
    </row>
    <row r="417" spans="1:19" x14ac:dyDescent="0.25">
      <c r="A417" t="s">
        <v>9944</v>
      </c>
      <c r="B417" s="1">
        <v>45219</v>
      </c>
      <c r="C417" t="s">
        <v>1292</v>
      </c>
      <c r="D417" t="s">
        <v>145</v>
      </c>
      <c r="E417" t="s">
        <v>24</v>
      </c>
      <c r="F417" t="s">
        <v>215</v>
      </c>
      <c r="G417">
        <v>10</v>
      </c>
      <c r="H417" t="s">
        <v>464</v>
      </c>
      <c r="I417" t="s">
        <v>1249</v>
      </c>
      <c r="J417" t="s">
        <v>3629</v>
      </c>
      <c r="K417" t="s">
        <v>9945</v>
      </c>
    </row>
    <row r="418" spans="1:19" x14ac:dyDescent="0.25">
      <c r="A418" t="s">
        <v>9995</v>
      </c>
      <c r="B418" s="1">
        <v>45226</v>
      </c>
      <c r="C418" t="s">
        <v>2804</v>
      </c>
      <c r="D418" t="s">
        <v>145</v>
      </c>
      <c r="E418" t="s">
        <v>24</v>
      </c>
      <c r="F418" t="s">
        <v>215</v>
      </c>
      <c r="G418">
        <v>10</v>
      </c>
      <c r="H418" t="s">
        <v>464</v>
      </c>
      <c r="I418" t="s">
        <v>103</v>
      </c>
      <c r="J418" t="s">
        <v>3441</v>
      </c>
      <c r="K418" t="s">
        <v>9996</v>
      </c>
    </row>
    <row r="419" spans="1:19" x14ac:dyDescent="0.25">
      <c r="A419" t="s">
        <v>10027</v>
      </c>
      <c r="B419" s="1">
        <v>45233</v>
      </c>
      <c r="C419" t="s">
        <v>2340</v>
      </c>
      <c r="D419" t="s">
        <v>145</v>
      </c>
      <c r="E419" t="s">
        <v>24</v>
      </c>
      <c r="F419" t="s">
        <v>200</v>
      </c>
      <c r="G419">
        <v>30</v>
      </c>
      <c r="H419" t="s">
        <v>188</v>
      </c>
      <c r="I419" t="s">
        <v>189</v>
      </c>
      <c r="J419" t="s">
        <v>201</v>
      </c>
      <c r="K419" t="s">
        <v>10028</v>
      </c>
      <c r="R419">
        <v>96</v>
      </c>
    </row>
    <row r="420" spans="1:19" x14ac:dyDescent="0.25">
      <c r="A420" t="s">
        <v>10029</v>
      </c>
      <c r="B420" s="1">
        <v>45233</v>
      </c>
      <c r="C420" t="s">
        <v>10030</v>
      </c>
      <c r="D420" t="s">
        <v>145</v>
      </c>
      <c r="E420" t="s">
        <v>24</v>
      </c>
      <c r="F420" t="s">
        <v>1203</v>
      </c>
      <c r="G420">
        <v>10</v>
      </c>
      <c r="H420" t="s">
        <v>194</v>
      </c>
      <c r="I420" t="s">
        <v>195</v>
      </c>
      <c r="J420" t="s">
        <v>211</v>
      </c>
      <c r="K420" t="s">
        <v>10031</v>
      </c>
      <c r="R420">
        <v>44</v>
      </c>
      <c r="S420">
        <v>102.87</v>
      </c>
    </row>
    <row r="421" spans="1:19" x14ac:dyDescent="0.25">
      <c r="A421" t="s">
        <v>10032</v>
      </c>
      <c r="B421" s="1">
        <v>45233</v>
      </c>
      <c r="C421" t="s">
        <v>9903</v>
      </c>
      <c r="D421" t="s">
        <v>145</v>
      </c>
      <c r="E421" t="s">
        <v>24</v>
      </c>
      <c r="F421" t="s">
        <v>7754</v>
      </c>
      <c r="G421">
        <v>20</v>
      </c>
      <c r="H421" t="s">
        <v>7562</v>
      </c>
      <c r="I421" t="s">
        <v>7989</v>
      </c>
      <c r="J421" t="s">
        <v>9893</v>
      </c>
      <c r="K421" t="s">
        <v>10033</v>
      </c>
      <c r="L421">
        <v>73</v>
      </c>
      <c r="P421">
        <v>2.69</v>
      </c>
      <c r="Q421">
        <v>2.0099999999999998</v>
      </c>
      <c r="R421">
        <v>163</v>
      </c>
      <c r="S421">
        <v>135.84</v>
      </c>
    </row>
    <row r="422" spans="1:19" x14ac:dyDescent="0.25">
      <c r="A422" t="s">
        <v>10034</v>
      </c>
      <c r="B422" s="1">
        <v>45233</v>
      </c>
      <c r="C422" t="s">
        <v>1639</v>
      </c>
      <c r="D422" t="s">
        <v>145</v>
      </c>
      <c r="E422" t="s">
        <v>24</v>
      </c>
      <c r="F422" t="s">
        <v>215</v>
      </c>
      <c r="G422">
        <v>10</v>
      </c>
      <c r="H422" t="s">
        <v>464</v>
      </c>
      <c r="I422" t="s">
        <v>1571</v>
      </c>
      <c r="J422" t="s">
        <v>5082</v>
      </c>
      <c r="K422" t="s">
        <v>10035</v>
      </c>
    </row>
    <row r="423" spans="1:19" x14ac:dyDescent="0.25">
      <c r="A423" t="s">
        <v>10087</v>
      </c>
      <c r="B423" s="1">
        <v>45240</v>
      </c>
      <c r="C423" t="s">
        <v>1784</v>
      </c>
      <c r="D423" t="s">
        <v>145</v>
      </c>
      <c r="E423" t="s">
        <v>24</v>
      </c>
      <c r="F423" t="s">
        <v>2708</v>
      </c>
      <c r="G423">
        <v>20</v>
      </c>
      <c r="H423" t="s">
        <v>464</v>
      </c>
      <c r="I423" t="s">
        <v>763</v>
      </c>
      <c r="J423" t="s">
        <v>1385</v>
      </c>
      <c r="K423" t="s">
        <v>10088</v>
      </c>
    </row>
    <row r="424" spans="1:19" x14ac:dyDescent="0.25">
      <c r="A424" t="s">
        <v>10214</v>
      </c>
      <c r="B424" s="1">
        <v>45261</v>
      </c>
      <c r="C424" t="s">
        <v>10215</v>
      </c>
      <c r="D424" t="s">
        <v>145</v>
      </c>
      <c r="E424" t="s">
        <v>24</v>
      </c>
      <c r="F424" t="s">
        <v>2708</v>
      </c>
      <c r="G424">
        <v>10</v>
      </c>
      <c r="H424" t="s">
        <v>464</v>
      </c>
      <c r="I424" t="s">
        <v>763</v>
      </c>
      <c r="J424" t="s">
        <v>764</v>
      </c>
      <c r="K424" t="s">
        <v>10216</v>
      </c>
    </row>
    <row r="425" spans="1:19" x14ac:dyDescent="0.25">
      <c r="A425" t="s">
        <v>10217</v>
      </c>
      <c r="B425" s="1">
        <v>45261</v>
      </c>
      <c r="C425" t="s">
        <v>10218</v>
      </c>
      <c r="D425" t="s">
        <v>145</v>
      </c>
      <c r="E425" t="s">
        <v>24</v>
      </c>
      <c r="F425" t="s">
        <v>208</v>
      </c>
      <c r="G425">
        <v>30</v>
      </c>
      <c r="H425" t="s">
        <v>464</v>
      </c>
      <c r="I425" t="s">
        <v>943</v>
      </c>
      <c r="J425" t="s">
        <v>1621</v>
      </c>
      <c r="K425" t="s">
        <v>10208</v>
      </c>
    </row>
    <row r="426" spans="1:19" x14ac:dyDescent="0.25">
      <c r="A426" t="s">
        <v>10219</v>
      </c>
      <c r="B426" s="1">
        <v>45261</v>
      </c>
      <c r="C426" t="s">
        <v>5879</v>
      </c>
      <c r="D426" t="s">
        <v>145</v>
      </c>
      <c r="E426" t="s">
        <v>24</v>
      </c>
      <c r="F426" t="s">
        <v>208</v>
      </c>
      <c r="G426">
        <v>10</v>
      </c>
      <c r="H426" t="s">
        <v>464</v>
      </c>
      <c r="I426" t="s">
        <v>579</v>
      </c>
      <c r="J426" t="s">
        <v>1000</v>
      </c>
      <c r="K426" t="s">
        <v>10220</v>
      </c>
    </row>
    <row r="427" spans="1:19" x14ac:dyDescent="0.25">
      <c r="A427" t="s">
        <v>10270</v>
      </c>
      <c r="B427" s="1">
        <v>45268</v>
      </c>
      <c r="C427" t="s">
        <v>7791</v>
      </c>
      <c r="D427" t="s">
        <v>145</v>
      </c>
      <c r="E427" t="s">
        <v>24</v>
      </c>
      <c r="F427" t="s">
        <v>237</v>
      </c>
      <c r="G427">
        <v>30</v>
      </c>
      <c r="H427" t="s">
        <v>188</v>
      </c>
      <c r="I427" t="s">
        <v>189</v>
      </c>
      <c r="J427" t="s">
        <v>201</v>
      </c>
      <c r="K427" t="s">
        <v>10271</v>
      </c>
      <c r="R427">
        <v>104</v>
      </c>
    </row>
    <row r="428" spans="1:19" x14ac:dyDescent="0.25">
      <c r="A428" t="s">
        <v>10272</v>
      </c>
      <c r="B428" s="1">
        <v>45268</v>
      </c>
      <c r="C428" t="s">
        <v>8314</v>
      </c>
      <c r="D428" t="s">
        <v>145</v>
      </c>
      <c r="E428" t="s">
        <v>24</v>
      </c>
      <c r="F428" t="s">
        <v>215</v>
      </c>
      <c r="G428">
        <v>5</v>
      </c>
      <c r="H428" t="s">
        <v>464</v>
      </c>
      <c r="I428" t="s">
        <v>579</v>
      </c>
      <c r="J428" t="s">
        <v>3913</v>
      </c>
      <c r="K428" t="s">
        <v>10273</v>
      </c>
    </row>
    <row r="429" spans="1:19" x14ac:dyDescent="0.25">
      <c r="A429" t="s">
        <v>10418</v>
      </c>
      <c r="B429" s="1">
        <v>45289</v>
      </c>
      <c r="C429" t="s">
        <v>2726</v>
      </c>
      <c r="D429" t="s">
        <v>145</v>
      </c>
      <c r="E429" t="s">
        <v>24</v>
      </c>
      <c r="F429" t="s">
        <v>208</v>
      </c>
      <c r="G429">
        <v>10</v>
      </c>
      <c r="H429" t="s">
        <v>464</v>
      </c>
      <c r="I429" t="s">
        <v>943</v>
      </c>
      <c r="J429" t="s">
        <v>944</v>
      </c>
      <c r="K429" t="s">
        <v>10419</v>
      </c>
    </row>
    <row r="430" spans="1:19" x14ac:dyDescent="0.25">
      <c r="A430" t="s">
        <v>10481</v>
      </c>
      <c r="B430" s="1">
        <v>45296</v>
      </c>
      <c r="C430" t="s">
        <v>401</v>
      </c>
      <c r="D430" t="s">
        <v>145</v>
      </c>
      <c r="E430" t="s">
        <v>24</v>
      </c>
      <c r="F430" t="s">
        <v>243</v>
      </c>
      <c r="G430">
        <v>60</v>
      </c>
      <c r="H430" t="s">
        <v>188</v>
      </c>
      <c r="I430" t="s">
        <v>189</v>
      </c>
      <c r="J430" t="s">
        <v>216</v>
      </c>
      <c r="K430" t="s">
        <v>10482</v>
      </c>
      <c r="R430">
        <v>74</v>
      </c>
    </row>
    <row r="431" spans="1:19" x14ac:dyDescent="0.25">
      <c r="A431" t="s">
        <v>10533</v>
      </c>
      <c r="B431" s="1">
        <v>45303</v>
      </c>
      <c r="C431" t="s">
        <v>2307</v>
      </c>
      <c r="D431" t="s">
        <v>145</v>
      </c>
      <c r="E431" t="s">
        <v>24</v>
      </c>
      <c r="F431" t="s">
        <v>2708</v>
      </c>
      <c r="G431">
        <v>10</v>
      </c>
      <c r="H431" t="s">
        <v>464</v>
      </c>
      <c r="I431" t="s">
        <v>579</v>
      </c>
      <c r="J431" t="s">
        <v>808</v>
      </c>
      <c r="K431" t="s">
        <v>10534</v>
      </c>
    </row>
    <row r="432" spans="1:19" x14ac:dyDescent="0.25">
      <c r="A432" t="s">
        <v>61</v>
      </c>
      <c r="B432" s="1">
        <v>43360</v>
      </c>
      <c r="C432" t="s">
        <v>62</v>
      </c>
      <c r="D432" t="s">
        <v>63</v>
      </c>
      <c r="E432" t="s">
        <v>24</v>
      </c>
      <c r="F432" t="s">
        <v>25</v>
      </c>
      <c r="G432">
        <v>30</v>
      </c>
      <c r="H432" t="s">
        <v>26</v>
      </c>
      <c r="I432" t="s">
        <v>44</v>
      </c>
      <c r="J432" t="s">
        <v>64</v>
      </c>
      <c r="K432" t="s">
        <v>65</v>
      </c>
      <c r="L432">
        <v>172</v>
      </c>
      <c r="M432">
        <v>96</v>
      </c>
      <c r="N432" s="2">
        <v>0.4</v>
      </c>
      <c r="O432">
        <v>75</v>
      </c>
      <c r="P432">
        <v>15.68</v>
      </c>
      <c r="Q432">
        <v>7.83</v>
      </c>
      <c r="R432">
        <v>227</v>
      </c>
    </row>
    <row r="433" spans="1:18" x14ac:dyDescent="0.25">
      <c r="A433" t="s">
        <v>99</v>
      </c>
      <c r="B433" s="1">
        <v>43416</v>
      </c>
      <c r="C433" t="s">
        <v>100</v>
      </c>
      <c r="D433" t="s">
        <v>63</v>
      </c>
      <c r="E433" t="s">
        <v>24</v>
      </c>
      <c r="F433" t="s">
        <v>25</v>
      </c>
      <c r="G433">
        <v>45</v>
      </c>
      <c r="H433" t="s">
        <v>26</v>
      </c>
      <c r="I433" t="s">
        <v>44</v>
      </c>
      <c r="J433" t="s">
        <v>55</v>
      </c>
      <c r="K433" t="s">
        <v>56</v>
      </c>
      <c r="L433">
        <v>234</v>
      </c>
      <c r="M433">
        <v>87</v>
      </c>
      <c r="N433" s="2">
        <v>0.37</v>
      </c>
      <c r="O433">
        <v>78</v>
      </c>
      <c r="P433">
        <v>15.04</v>
      </c>
      <c r="Q433">
        <v>11.27</v>
      </c>
      <c r="R433">
        <v>309</v>
      </c>
    </row>
    <row r="434" spans="1:18" x14ac:dyDescent="0.25">
      <c r="A434" t="s">
        <v>101</v>
      </c>
      <c r="B434" s="1">
        <v>43423</v>
      </c>
      <c r="C434" t="s">
        <v>102</v>
      </c>
      <c r="D434" t="s">
        <v>63</v>
      </c>
      <c r="E434" t="s">
        <v>24</v>
      </c>
      <c r="F434" t="s">
        <v>25</v>
      </c>
      <c r="G434">
        <v>45</v>
      </c>
      <c r="H434" t="s">
        <v>26</v>
      </c>
      <c r="I434" t="s">
        <v>103</v>
      </c>
      <c r="J434" t="s">
        <v>104</v>
      </c>
      <c r="K434" t="s">
        <v>105</v>
      </c>
      <c r="L434">
        <v>138</v>
      </c>
      <c r="M434">
        <v>76</v>
      </c>
      <c r="N434" s="2">
        <v>0.36</v>
      </c>
      <c r="O434">
        <v>76</v>
      </c>
      <c r="P434">
        <v>14.31</v>
      </c>
      <c r="Q434">
        <v>7.15</v>
      </c>
      <c r="R434">
        <v>182</v>
      </c>
    </row>
    <row r="435" spans="1:18" x14ac:dyDescent="0.25">
      <c r="A435" t="s">
        <v>109</v>
      </c>
      <c r="B435" s="1">
        <v>43430</v>
      </c>
      <c r="C435" t="s">
        <v>110</v>
      </c>
      <c r="D435" t="s">
        <v>63</v>
      </c>
      <c r="E435" t="s">
        <v>24</v>
      </c>
      <c r="F435" t="s">
        <v>25</v>
      </c>
      <c r="G435">
        <v>30</v>
      </c>
      <c r="H435" t="s">
        <v>26</v>
      </c>
      <c r="I435" t="s">
        <v>44</v>
      </c>
      <c r="J435" t="s">
        <v>45</v>
      </c>
      <c r="K435" t="s">
        <v>111</v>
      </c>
      <c r="L435">
        <v>162</v>
      </c>
      <c r="M435">
        <v>90</v>
      </c>
      <c r="N435" s="2">
        <v>0.37</v>
      </c>
      <c r="O435">
        <v>82</v>
      </c>
      <c r="P435">
        <v>15.33</v>
      </c>
      <c r="Q435">
        <v>7.67</v>
      </c>
      <c r="R435">
        <v>214</v>
      </c>
    </row>
    <row r="436" spans="1:18" x14ac:dyDescent="0.25">
      <c r="A436" t="s">
        <v>116</v>
      </c>
      <c r="B436" s="1">
        <v>43444</v>
      </c>
      <c r="C436" t="s">
        <v>110</v>
      </c>
      <c r="D436" t="s">
        <v>63</v>
      </c>
      <c r="E436" t="s">
        <v>24</v>
      </c>
      <c r="F436" t="s">
        <v>25</v>
      </c>
      <c r="G436">
        <v>45</v>
      </c>
      <c r="H436" t="s">
        <v>26</v>
      </c>
      <c r="I436" t="s">
        <v>44</v>
      </c>
      <c r="J436" t="s">
        <v>88</v>
      </c>
      <c r="K436" t="s">
        <v>117</v>
      </c>
      <c r="L436">
        <v>181</v>
      </c>
      <c r="M436">
        <v>85</v>
      </c>
      <c r="N436" s="2">
        <v>0.35</v>
      </c>
      <c r="O436">
        <v>82</v>
      </c>
      <c r="P436">
        <v>14.86</v>
      </c>
      <c r="Q436">
        <v>8.83</v>
      </c>
      <c r="R436">
        <v>239</v>
      </c>
    </row>
    <row r="437" spans="1:18" x14ac:dyDescent="0.25">
      <c r="A437" t="s">
        <v>183</v>
      </c>
      <c r="B437" s="1">
        <v>43780</v>
      </c>
      <c r="C437" t="s">
        <v>81</v>
      </c>
      <c r="D437" t="s">
        <v>63</v>
      </c>
      <c r="E437" t="s">
        <v>24</v>
      </c>
      <c r="F437" t="s">
        <v>180</v>
      </c>
      <c r="G437">
        <v>30</v>
      </c>
      <c r="H437" t="s">
        <v>26</v>
      </c>
      <c r="I437" t="s">
        <v>126</v>
      </c>
      <c r="J437" t="s">
        <v>141</v>
      </c>
      <c r="K437" t="s">
        <v>184</v>
      </c>
      <c r="L437">
        <v>139</v>
      </c>
      <c r="M437">
        <v>78</v>
      </c>
      <c r="N437" s="2">
        <v>0.38</v>
      </c>
      <c r="O437">
        <v>61</v>
      </c>
      <c r="P437">
        <v>12.6</v>
      </c>
      <c r="Q437">
        <v>6.29</v>
      </c>
      <c r="R437">
        <v>184</v>
      </c>
    </row>
    <row r="438" spans="1:18" x14ac:dyDescent="0.25">
      <c r="A438" t="s">
        <v>203</v>
      </c>
      <c r="B438" s="1">
        <v>43836</v>
      </c>
      <c r="C438" t="s">
        <v>204</v>
      </c>
      <c r="D438" t="s">
        <v>63</v>
      </c>
      <c r="E438" t="s">
        <v>24</v>
      </c>
      <c r="F438" t="s">
        <v>180</v>
      </c>
      <c r="G438">
        <v>5</v>
      </c>
      <c r="H438" t="s">
        <v>194</v>
      </c>
      <c r="I438" t="s">
        <v>195</v>
      </c>
      <c r="J438" t="s">
        <v>196</v>
      </c>
      <c r="K438" t="s">
        <v>205</v>
      </c>
      <c r="R438">
        <v>28</v>
      </c>
    </row>
    <row r="439" spans="1:18" x14ac:dyDescent="0.25">
      <c r="A439" t="s">
        <v>206</v>
      </c>
      <c r="B439" s="1">
        <v>43836</v>
      </c>
      <c r="C439" t="s">
        <v>207</v>
      </c>
      <c r="D439" t="s">
        <v>63</v>
      </c>
      <c r="E439" t="s">
        <v>24</v>
      </c>
      <c r="F439" t="s">
        <v>208</v>
      </c>
      <c r="G439">
        <v>30</v>
      </c>
      <c r="H439" t="s">
        <v>188</v>
      </c>
      <c r="I439" t="s">
        <v>189</v>
      </c>
      <c r="J439" t="s">
        <v>201</v>
      </c>
      <c r="K439" t="s">
        <v>209</v>
      </c>
      <c r="R439">
        <v>118</v>
      </c>
    </row>
    <row r="440" spans="1:18" x14ac:dyDescent="0.25">
      <c r="A440" t="s">
        <v>221</v>
      </c>
      <c r="B440" s="1">
        <v>43850</v>
      </c>
      <c r="C440" t="s">
        <v>222</v>
      </c>
      <c r="D440" t="s">
        <v>63</v>
      </c>
      <c r="E440" t="s">
        <v>24</v>
      </c>
      <c r="F440" t="s">
        <v>180</v>
      </c>
      <c r="G440">
        <v>30</v>
      </c>
      <c r="H440" t="s">
        <v>26</v>
      </c>
      <c r="I440" t="s">
        <v>44</v>
      </c>
      <c r="J440" t="s">
        <v>45</v>
      </c>
      <c r="K440" t="s">
        <v>223</v>
      </c>
      <c r="L440">
        <v>161</v>
      </c>
      <c r="M440">
        <v>89</v>
      </c>
      <c r="N440" s="2">
        <v>0.38</v>
      </c>
      <c r="O440">
        <v>77</v>
      </c>
      <c r="P440">
        <v>15.23</v>
      </c>
      <c r="Q440">
        <v>7.61</v>
      </c>
      <c r="R440">
        <v>212</v>
      </c>
    </row>
    <row r="441" spans="1:18" x14ac:dyDescent="0.25">
      <c r="A441" t="s">
        <v>235</v>
      </c>
      <c r="B441" s="1">
        <v>43864</v>
      </c>
      <c r="C441" t="s">
        <v>236</v>
      </c>
      <c r="D441" t="s">
        <v>63</v>
      </c>
      <c r="E441" t="s">
        <v>24</v>
      </c>
      <c r="F441" t="s">
        <v>237</v>
      </c>
      <c r="G441">
        <v>30</v>
      </c>
      <c r="H441" t="s">
        <v>188</v>
      </c>
      <c r="I441" t="s">
        <v>238</v>
      </c>
      <c r="J441" t="s">
        <v>239</v>
      </c>
      <c r="K441" t="s">
        <v>240</v>
      </c>
    </row>
    <row r="442" spans="1:18" x14ac:dyDescent="0.25">
      <c r="A442" t="s">
        <v>241</v>
      </c>
      <c r="B442" s="1">
        <v>43864</v>
      </c>
      <c r="C442" t="s">
        <v>242</v>
      </c>
      <c r="D442" t="s">
        <v>63</v>
      </c>
      <c r="E442" t="s">
        <v>24</v>
      </c>
      <c r="F442" t="s">
        <v>243</v>
      </c>
      <c r="G442">
        <v>45</v>
      </c>
      <c r="H442" t="s">
        <v>188</v>
      </c>
      <c r="I442" t="s">
        <v>189</v>
      </c>
      <c r="J442" t="s">
        <v>244</v>
      </c>
      <c r="K442" t="s">
        <v>245</v>
      </c>
      <c r="R442">
        <v>173</v>
      </c>
    </row>
    <row r="443" spans="1:18" x14ac:dyDescent="0.25">
      <c r="A443" t="s">
        <v>263</v>
      </c>
      <c r="B443" s="1">
        <v>43878</v>
      </c>
      <c r="C443" t="s">
        <v>264</v>
      </c>
      <c r="D443" t="s">
        <v>63</v>
      </c>
      <c r="E443" t="s">
        <v>24</v>
      </c>
      <c r="F443" t="s">
        <v>180</v>
      </c>
      <c r="G443">
        <v>10</v>
      </c>
      <c r="H443" t="s">
        <v>194</v>
      </c>
      <c r="I443" t="s">
        <v>195</v>
      </c>
      <c r="J443" t="s">
        <v>211</v>
      </c>
      <c r="K443" t="s">
        <v>265</v>
      </c>
      <c r="R443">
        <v>56</v>
      </c>
    </row>
    <row r="444" spans="1:18" x14ac:dyDescent="0.25">
      <c r="A444" t="s">
        <v>317</v>
      </c>
      <c r="B444" s="1">
        <v>44123</v>
      </c>
      <c r="C444" t="s">
        <v>318</v>
      </c>
      <c r="D444" t="s">
        <v>63</v>
      </c>
      <c r="E444" t="s">
        <v>24</v>
      </c>
      <c r="F444" t="s">
        <v>309</v>
      </c>
      <c r="G444">
        <v>10</v>
      </c>
      <c r="H444" t="s">
        <v>49</v>
      </c>
      <c r="I444" t="s">
        <v>310</v>
      </c>
      <c r="J444" t="s">
        <v>311</v>
      </c>
      <c r="K444" t="s">
        <v>312</v>
      </c>
      <c r="R444">
        <v>56</v>
      </c>
    </row>
    <row r="445" spans="1:18" x14ac:dyDescent="0.25">
      <c r="A445" t="s">
        <v>319</v>
      </c>
      <c r="B445" s="1">
        <v>44123</v>
      </c>
      <c r="C445" t="s">
        <v>320</v>
      </c>
      <c r="D445" t="s">
        <v>63</v>
      </c>
      <c r="E445" t="s">
        <v>24</v>
      </c>
      <c r="F445" t="s">
        <v>305</v>
      </c>
      <c r="G445">
        <v>10</v>
      </c>
      <c r="H445" t="s">
        <v>49</v>
      </c>
      <c r="I445" t="s">
        <v>226</v>
      </c>
      <c r="J445" t="s">
        <v>293</v>
      </c>
      <c r="K445" t="s">
        <v>306</v>
      </c>
      <c r="R445">
        <v>28</v>
      </c>
    </row>
    <row r="446" spans="1:18" x14ac:dyDescent="0.25">
      <c r="A446" t="s">
        <v>417</v>
      </c>
      <c r="B446" s="1">
        <v>44144</v>
      </c>
      <c r="C446" t="s">
        <v>418</v>
      </c>
      <c r="D446" t="s">
        <v>63</v>
      </c>
      <c r="E446" t="s">
        <v>24</v>
      </c>
      <c r="F446" t="s">
        <v>33</v>
      </c>
      <c r="G446">
        <v>30</v>
      </c>
      <c r="H446" t="s">
        <v>26</v>
      </c>
      <c r="I446" t="s">
        <v>370</v>
      </c>
      <c r="J446" t="s">
        <v>396</v>
      </c>
      <c r="K446" t="s">
        <v>419</v>
      </c>
      <c r="L446">
        <v>125</v>
      </c>
      <c r="M446">
        <v>70</v>
      </c>
      <c r="N446" s="2">
        <v>0.31</v>
      </c>
      <c r="O446">
        <v>88</v>
      </c>
      <c r="P446">
        <v>13.84</v>
      </c>
      <c r="Q446">
        <v>6.92</v>
      </c>
      <c r="R446">
        <v>171</v>
      </c>
    </row>
    <row r="447" spans="1:18" x14ac:dyDescent="0.25">
      <c r="A447" t="s">
        <v>420</v>
      </c>
      <c r="B447" s="1">
        <v>44144</v>
      </c>
      <c r="C447" t="s">
        <v>102</v>
      </c>
      <c r="D447" t="s">
        <v>63</v>
      </c>
      <c r="E447" t="s">
        <v>24</v>
      </c>
      <c r="F447" t="s">
        <v>243</v>
      </c>
      <c r="G447">
        <v>10</v>
      </c>
      <c r="H447" t="s">
        <v>188</v>
      </c>
      <c r="I447" t="s">
        <v>238</v>
      </c>
      <c r="J447" t="s">
        <v>411</v>
      </c>
      <c r="K447" t="s">
        <v>412</v>
      </c>
      <c r="R447">
        <v>38</v>
      </c>
    </row>
    <row r="448" spans="1:18" x14ac:dyDescent="0.25">
      <c r="A448" t="s">
        <v>421</v>
      </c>
      <c r="B448" s="1">
        <v>44144</v>
      </c>
      <c r="C448" t="s">
        <v>422</v>
      </c>
      <c r="D448" t="s">
        <v>63</v>
      </c>
      <c r="E448" t="s">
        <v>24</v>
      </c>
      <c r="F448" t="s">
        <v>297</v>
      </c>
      <c r="G448">
        <v>5</v>
      </c>
      <c r="H448" t="s">
        <v>194</v>
      </c>
      <c r="I448" t="s">
        <v>423</v>
      </c>
      <c r="J448" t="s">
        <v>424</v>
      </c>
      <c r="K448" t="s">
        <v>425</v>
      </c>
      <c r="R448">
        <v>25</v>
      </c>
    </row>
    <row r="449" spans="1:18" x14ac:dyDescent="0.25">
      <c r="A449" t="s">
        <v>426</v>
      </c>
      <c r="B449" s="1">
        <v>44144</v>
      </c>
      <c r="C449" t="s">
        <v>264</v>
      </c>
      <c r="D449" t="s">
        <v>63</v>
      </c>
      <c r="E449" t="s">
        <v>24</v>
      </c>
      <c r="G449">
        <v>15</v>
      </c>
      <c r="H449" t="s">
        <v>26</v>
      </c>
      <c r="I449" t="s">
        <v>427</v>
      </c>
      <c r="J449" t="s">
        <v>428</v>
      </c>
      <c r="L449">
        <v>22</v>
      </c>
      <c r="M449">
        <v>69</v>
      </c>
      <c r="N449" s="2">
        <v>0.3</v>
      </c>
      <c r="O449">
        <v>88</v>
      </c>
      <c r="P449">
        <v>13.65</v>
      </c>
      <c r="Q449">
        <v>1.24</v>
      </c>
      <c r="R449">
        <v>31</v>
      </c>
    </row>
    <row r="450" spans="1:18" x14ac:dyDescent="0.25">
      <c r="A450" t="s">
        <v>467</v>
      </c>
      <c r="B450" s="1">
        <v>44151</v>
      </c>
      <c r="C450" t="s">
        <v>468</v>
      </c>
      <c r="D450" t="s">
        <v>63</v>
      </c>
      <c r="E450" t="s">
        <v>24</v>
      </c>
      <c r="F450" t="s">
        <v>180</v>
      </c>
      <c r="G450">
        <v>30</v>
      </c>
      <c r="H450" t="s">
        <v>26</v>
      </c>
      <c r="I450" t="s">
        <v>44</v>
      </c>
      <c r="J450" t="s">
        <v>469</v>
      </c>
      <c r="K450" t="s">
        <v>470</v>
      </c>
      <c r="L450">
        <v>165</v>
      </c>
      <c r="M450">
        <v>92</v>
      </c>
      <c r="N450" s="2">
        <v>0.37</v>
      </c>
      <c r="O450">
        <v>80</v>
      </c>
      <c r="P450">
        <v>15.4</v>
      </c>
      <c r="Q450">
        <v>7.7</v>
      </c>
      <c r="R450">
        <v>226</v>
      </c>
    </row>
    <row r="451" spans="1:18" x14ac:dyDescent="0.25">
      <c r="A451" t="s">
        <v>471</v>
      </c>
      <c r="B451" s="1">
        <v>44151</v>
      </c>
      <c r="C451" t="s">
        <v>472</v>
      </c>
      <c r="D451" t="s">
        <v>63</v>
      </c>
      <c r="E451" t="s">
        <v>24</v>
      </c>
      <c r="F451" t="s">
        <v>180</v>
      </c>
      <c r="G451">
        <v>5</v>
      </c>
      <c r="H451" t="s">
        <v>26</v>
      </c>
      <c r="I451" t="s">
        <v>358</v>
      </c>
      <c r="J451" t="s">
        <v>359</v>
      </c>
      <c r="K451" t="s">
        <v>473</v>
      </c>
      <c r="L451">
        <v>20</v>
      </c>
      <c r="M451">
        <v>66</v>
      </c>
      <c r="N451" s="2">
        <v>0.33</v>
      </c>
      <c r="O451">
        <v>80</v>
      </c>
      <c r="P451">
        <v>13.5</v>
      </c>
      <c r="Q451">
        <v>1.1299999999999999</v>
      </c>
      <c r="R451">
        <v>27</v>
      </c>
    </row>
    <row r="452" spans="1:18" x14ac:dyDescent="0.25">
      <c r="A452" t="s">
        <v>474</v>
      </c>
      <c r="B452" s="1">
        <v>44151</v>
      </c>
      <c r="C452" t="s">
        <v>475</v>
      </c>
      <c r="D452" t="s">
        <v>63</v>
      </c>
      <c r="E452" t="s">
        <v>24</v>
      </c>
      <c r="F452" t="s">
        <v>180</v>
      </c>
      <c r="G452">
        <v>5</v>
      </c>
      <c r="H452" t="s">
        <v>49</v>
      </c>
      <c r="I452" t="s">
        <v>50</v>
      </c>
      <c r="J452" t="s">
        <v>51</v>
      </c>
      <c r="K452" t="s">
        <v>476</v>
      </c>
      <c r="R452">
        <v>13</v>
      </c>
    </row>
    <row r="453" spans="1:18" x14ac:dyDescent="0.25">
      <c r="A453" t="s">
        <v>522</v>
      </c>
      <c r="B453" s="1">
        <v>44158</v>
      </c>
      <c r="C453" t="s">
        <v>523</v>
      </c>
      <c r="D453" t="s">
        <v>63</v>
      </c>
      <c r="E453" t="s">
        <v>24</v>
      </c>
      <c r="F453" t="s">
        <v>243</v>
      </c>
      <c r="G453">
        <v>45</v>
      </c>
      <c r="H453" t="s">
        <v>26</v>
      </c>
      <c r="I453" t="s">
        <v>370</v>
      </c>
      <c r="J453" t="s">
        <v>479</v>
      </c>
      <c r="K453" t="s">
        <v>524</v>
      </c>
      <c r="L453">
        <v>212</v>
      </c>
      <c r="M453">
        <v>79</v>
      </c>
      <c r="N453" s="2">
        <v>0.33</v>
      </c>
      <c r="O453">
        <v>87</v>
      </c>
      <c r="P453">
        <v>14.53</v>
      </c>
      <c r="Q453">
        <v>10.89</v>
      </c>
      <c r="R453">
        <v>290</v>
      </c>
    </row>
    <row r="454" spans="1:18" x14ac:dyDescent="0.25">
      <c r="A454" t="s">
        <v>525</v>
      </c>
      <c r="B454" s="1">
        <v>44158</v>
      </c>
      <c r="C454" t="s">
        <v>374</v>
      </c>
      <c r="D454" t="s">
        <v>63</v>
      </c>
      <c r="E454" t="s">
        <v>24</v>
      </c>
      <c r="F454" t="s">
        <v>243</v>
      </c>
      <c r="G454">
        <v>5</v>
      </c>
      <c r="H454" t="s">
        <v>49</v>
      </c>
      <c r="I454" t="s">
        <v>50</v>
      </c>
      <c r="J454" t="s">
        <v>51</v>
      </c>
      <c r="K454" t="s">
        <v>393</v>
      </c>
      <c r="R454">
        <v>13</v>
      </c>
    </row>
    <row r="455" spans="1:18" x14ac:dyDescent="0.25">
      <c r="A455" t="s">
        <v>556</v>
      </c>
      <c r="B455" s="1">
        <v>44165</v>
      </c>
      <c r="C455" t="s">
        <v>557</v>
      </c>
      <c r="D455" t="s">
        <v>63</v>
      </c>
      <c r="E455" t="s">
        <v>24</v>
      </c>
      <c r="F455" t="s">
        <v>323</v>
      </c>
      <c r="G455">
        <v>60</v>
      </c>
      <c r="H455" t="s">
        <v>26</v>
      </c>
      <c r="I455" t="s">
        <v>370</v>
      </c>
      <c r="J455" t="s">
        <v>498</v>
      </c>
      <c r="K455" t="s">
        <v>558</v>
      </c>
      <c r="L455">
        <v>301</v>
      </c>
      <c r="M455">
        <v>84</v>
      </c>
      <c r="N455" s="2">
        <v>0.33</v>
      </c>
      <c r="O455">
        <v>90</v>
      </c>
      <c r="P455">
        <v>15</v>
      </c>
      <c r="Q455">
        <v>14.99</v>
      </c>
      <c r="R455">
        <v>411</v>
      </c>
    </row>
    <row r="456" spans="1:18" x14ac:dyDescent="0.25">
      <c r="A456" t="s">
        <v>559</v>
      </c>
      <c r="B456" s="1">
        <v>44165</v>
      </c>
      <c r="C456" t="s">
        <v>560</v>
      </c>
      <c r="D456" t="s">
        <v>63</v>
      </c>
      <c r="E456" t="s">
        <v>24</v>
      </c>
      <c r="F456" t="s">
        <v>328</v>
      </c>
      <c r="G456">
        <v>10</v>
      </c>
      <c r="H456" t="s">
        <v>194</v>
      </c>
      <c r="I456" t="s">
        <v>195</v>
      </c>
      <c r="J456" t="s">
        <v>211</v>
      </c>
      <c r="K456" t="s">
        <v>561</v>
      </c>
      <c r="R456">
        <v>51</v>
      </c>
    </row>
    <row r="457" spans="1:18" x14ac:dyDescent="0.25">
      <c r="A457" t="s">
        <v>562</v>
      </c>
      <c r="B457" s="1">
        <v>44165</v>
      </c>
      <c r="C457" t="s">
        <v>563</v>
      </c>
      <c r="D457" t="s">
        <v>63</v>
      </c>
      <c r="E457" t="s">
        <v>24</v>
      </c>
      <c r="F457" t="s">
        <v>243</v>
      </c>
      <c r="G457">
        <v>10</v>
      </c>
      <c r="H457" t="s">
        <v>188</v>
      </c>
      <c r="I457" t="s">
        <v>189</v>
      </c>
      <c r="J457" t="s">
        <v>564</v>
      </c>
      <c r="K457" t="s">
        <v>565</v>
      </c>
      <c r="R457">
        <v>38</v>
      </c>
    </row>
    <row r="458" spans="1:18" x14ac:dyDescent="0.25">
      <c r="A458" t="s">
        <v>611</v>
      </c>
      <c r="B458" s="1">
        <v>44172</v>
      </c>
      <c r="C458" t="s">
        <v>612</v>
      </c>
      <c r="D458" t="s">
        <v>63</v>
      </c>
      <c r="E458" t="s">
        <v>24</v>
      </c>
      <c r="F458" t="s">
        <v>323</v>
      </c>
      <c r="G458">
        <v>30</v>
      </c>
      <c r="H458" t="s">
        <v>26</v>
      </c>
      <c r="I458" t="s">
        <v>370</v>
      </c>
      <c r="J458" t="s">
        <v>396</v>
      </c>
      <c r="K458" t="s">
        <v>613</v>
      </c>
      <c r="L458">
        <v>150</v>
      </c>
      <c r="M458">
        <v>83</v>
      </c>
      <c r="N458" s="2">
        <v>0.34</v>
      </c>
      <c r="O458">
        <v>86</v>
      </c>
      <c r="P458">
        <v>14.95</v>
      </c>
      <c r="Q458">
        <v>7.47</v>
      </c>
      <c r="R458">
        <v>205</v>
      </c>
    </row>
    <row r="459" spans="1:18" x14ac:dyDescent="0.25">
      <c r="A459" t="s">
        <v>651</v>
      </c>
      <c r="B459" s="1">
        <v>44179</v>
      </c>
      <c r="C459" t="s">
        <v>652</v>
      </c>
      <c r="D459" t="s">
        <v>63</v>
      </c>
      <c r="E459" t="s">
        <v>24</v>
      </c>
      <c r="F459" t="s">
        <v>180</v>
      </c>
      <c r="G459">
        <v>20</v>
      </c>
      <c r="H459" t="s">
        <v>26</v>
      </c>
      <c r="I459" t="s">
        <v>44</v>
      </c>
      <c r="J459" t="s">
        <v>653</v>
      </c>
      <c r="K459" t="s">
        <v>654</v>
      </c>
      <c r="L459">
        <v>120</v>
      </c>
      <c r="M459">
        <v>100</v>
      </c>
      <c r="N459" s="2">
        <v>0.41</v>
      </c>
      <c r="O459">
        <v>76</v>
      </c>
      <c r="P459">
        <v>16.05</v>
      </c>
      <c r="Q459">
        <v>5.34</v>
      </c>
      <c r="R459">
        <v>149</v>
      </c>
    </row>
    <row r="460" spans="1:18" x14ac:dyDescent="0.25">
      <c r="A460" t="s">
        <v>708</v>
      </c>
      <c r="B460" s="1">
        <v>44186</v>
      </c>
      <c r="C460" t="s">
        <v>626</v>
      </c>
      <c r="D460" t="s">
        <v>63</v>
      </c>
      <c r="E460" t="s">
        <v>24</v>
      </c>
      <c r="F460" t="s">
        <v>180</v>
      </c>
      <c r="G460">
        <v>30</v>
      </c>
      <c r="H460" t="s">
        <v>26</v>
      </c>
      <c r="I460" t="s">
        <v>126</v>
      </c>
      <c r="J460" t="s">
        <v>141</v>
      </c>
      <c r="K460" t="s">
        <v>709</v>
      </c>
      <c r="L460">
        <v>113</v>
      </c>
      <c r="M460">
        <v>63</v>
      </c>
      <c r="N460" s="2">
        <v>0.36</v>
      </c>
      <c r="O460">
        <v>52</v>
      </c>
      <c r="P460">
        <v>9.76</v>
      </c>
      <c r="Q460">
        <v>4.88</v>
      </c>
      <c r="R460">
        <v>139</v>
      </c>
    </row>
    <row r="461" spans="1:18" x14ac:dyDescent="0.25">
      <c r="A461" t="s">
        <v>710</v>
      </c>
      <c r="B461" s="1">
        <v>44186</v>
      </c>
      <c r="C461" t="s">
        <v>711</v>
      </c>
      <c r="D461" t="s">
        <v>63</v>
      </c>
      <c r="E461" t="s">
        <v>24</v>
      </c>
      <c r="F461" t="s">
        <v>215</v>
      </c>
      <c r="G461">
        <v>15</v>
      </c>
      <c r="H461" t="s">
        <v>194</v>
      </c>
      <c r="I461" t="s">
        <v>705</v>
      </c>
      <c r="J461" t="s">
        <v>712</v>
      </c>
      <c r="K461" t="s">
        <v>707</v>
      </c>
      <c r="R461">
        <v>69</v>
      </c>
    </row>
    <row r="462" spans="1:18" x14ac:dyDescent="0.25">
      <c r="A462" t="s">
        <v>766</v>
      </c>
      <c r="B462" s="1">
        <v>44193</v>
      </c>
      <c r="C462" t="s">
        <v>767</v>
      </c>
      <c r="D462" t="s">
        <v>63</v>
      </c>
      <c r="E462" t="s">
        <v>24</v>
      </c>
      <c r="F462" t="s">
        <v>768</v>
      </c>
      <c r="G462">
        <v>45</v>
      </c>
      <c r="H462" t="s">
        <v>605</v>
      </c>
      <c r="I462" t="s">
        <v>663</v>
      </c>
      <c r="J462" t="s">
        <v>769</v>
      </c>
      <c r="K462" t="s">
        <v>770</v>
      </c>
      <c r="L462">
        <v>142</v>
      </c>
      <c r="P462">
        <v>15.98</v>
      </c>
      <c r="Q462">
        <v>6.15</v>
      </c>
      <c r="R462">
        <v>254</v>
      </c>
    </row>
    <row r="463" spans="1:18" x14ac:dyDescent="0.25">
      <c r="A463" t="s">
        <v>771</v>
      </c>
      <c r="B463" s="1">
        <v>44193</v>
      </c>
      <c r="C463" t="s">
        <v>772</v>
      </c>
      <c r="D463" t="s">
        <v>63</v>
      </c>
      <c r="E463" t="s">
        <v>24</v>
      </c>
      <c r="F463" t="s">
        <v>180</v>
      </c>
      <c r="G463">
        <v>10</v>
      </c>
      <c r="H463" t="s">
        <v>194</v>
      </c>
      <c r="I463" t="s">
        <v>195</v>
      </c>
      <c r="J463" t="s">
        <v>211</v>
      </c>
      <c r="K463" t="s">
        <v>773</v>
      </c>
      <c r="R463">
        <v>46</v>
      </c>
    </row>
    <row r="464" spans="1:18" x14ac:dyDescent="0.25">
      <c r="A464" t="s">
        <v>835</v>
      </c>
      <c r="B464" s="1">
        <v>44200</v>
      </c>
      <c r="C464" t="s">
        <v>380</v>
      </c>
      <c r="D464" t="s">
        <v>63</v>
      </c>
      <c r="E464" t="s">
        <v>24</v>
      </c>
      <c r="F464" t="s">
        <v>33</v>
      </c>
      <c r="G464">
        <v>30</v>
      </c>
      <c r="H464" t="s">
        <v>26</v>
      </c>
      <c r="I464" t="s">
        <v>370</v>
      </c>
      <c r="J464" t="s">
        <v>836</v>
      </c>
      <c r="K464" t="s">
        <v>837</v>
      </c>
      <c r="L464">
        <v>163</v>
      </c>
      <c r="M464">
        <v>91</v>
      </c>
      <c r="N464" s="2">
        <v>0.35</v>
      </c>
      <c r="O464">
        <v>85</v>
      </c>
      <c r="P464">
        <v>15.41</v>
      </c>
      <c r="Q464">
        <v>7.7</v>
      </c>
      <c r="R464">
        <v>202</v>
      </c>
    </row>
    <row r="465" spans="1:18" x14ac:dyDescent="0.25">
      <c r="A465" t="s">
        <v>838</v>
      </c>
      <c r="B465" s="1">
        <v>44200</v>
      </c>
      <c r="C465" t="s">
        <v>839</v>
      </c>
      <c r="D465" t="s">
        <v>63</v>
      </c>
      <c r="E465" t="s">
        <v>24</v>
      </c>
      <c r="F465" t="s">
        <v>180</v>
      </c>
      <c r="G465">
        <v>10</v>
      </c>
      <c r="H465" t="s">
        <v>194</v>
      </c>
      <c r="I465" t="s">
        <v>195</v>
      </c>
      <c r="J465" t="s">
        <v>211</v>
      </c>
      <c r="K465" t="s">
        <v>220</v>
      </c>
      <c r="R465">
        <v>46</v>
      </c>
    </row>
    <row r="466" spans="1:18" x14ac:dyDescent="0.25">
      <c r="A466" t="s">
        <v>840</v>
      </c>
      <c r="B466" s="1">
        <v>44200</v>
      </c>
      <c r="C466" t="s">
        <v>841</v>
      </c>
      <c r="D466" t="s">
        <v>63</v>
      </c>
      <c r="E466" t="s">
        <v>24</v>
      </c>
      <c r="F466" t="s">
        <v>243</v>
      </c>
      <c r="G466">
        <v>20</v>
      </c>
      <c r="H466" t="s">
        <v>188</v>
      </c>
      <c r="I466" t="s">
        <v>238</v>
      </c>
      <c r="J466" t="s">
        <v>842</v>
      </c>
      <c r="K466" t="s">
        <v>843</v>
      </c>
      <c r="R466">
        <v>61</v>
      </c>
    </row>
    <row r="467" spans="1:18" x14ac:dyDescent="0.25">
      <c r="A467" t="s">
        <v>878</v>
      </c>
      <c r="B467" s="1">
        <v>44207</v>
      </c>
      <c r="C467" t="s">
        <v>879</v>
      </c>
      <c r="D467" t="s">
        <v>63</v>
      </c>
      <c r="E467" t="s">
        <v>24</v>
      </c>
      <c r="F467" t="s">
        <v>323</v>
      </c>
      <c r="G467">
        <v>30</v>
      </c>
      <c r="H467" t="s">
        <v>26</v>
      </c>
      <c r="I467" t="s">
        <v>370</v>
      </c>
      <c r="J467" t="s">
        <v>880</v>
      </c>
      <c r="K467" t="s">
        <v>881</v>
      </c>
      <c r="L467">
        <v>152</v>
      </c>
      <c r="M467">
        <v>84</v>
      </c>
      <c r="N467" s="2">
        <v>0.35</v>
      </c>
      <c r="O467">
        <v>83</v>
      </c>
      <c r="P467">
        <v>15.01</v>
      </c>
      <c r="Q467">
        <v>7.5</v>
      </c>
      <c r="R467">
        <v>187</v>
      </c>
    </row>
    <row r="468" spans="1:18" x14ac:dyDescent="0.25">
      <c r="A468" t="s">
        <v>882</v>
      </c>
      <c r="B468" s="1">
        <v>44207</v>
      </c>
      <c r="C468" t="s">
        <v>883</v>
      </c>
      <c r="D468" t="s">
        <v>63</v>
      </c>
      <c r="E468" t="s">
        <v>24</v>
      </c>
      <c r="F468" t="s">
        <v>180</v>
      </c>
      <c r="G468">
        <v>10</v>
      </c>
      <c r="H468" t="s">
        <v>26</v>
      </c>
      <c r="I468" t="s">
        <v>884</v>
      </c>
      <c r="J468" t="s">
        <v>885</v>
      </c>
      <c r="K468" t="s">
        <v>886</v>
      </c>
      <c r="L468">
        <v>69</v>
      </c>
      <c r="M468">
        <v>116</v>
      </c>
      <c r="N468" s="2">
        <v>0.46</v>
      </c>
      <c r="O468">
        <v>68</v>
      </c>
      <c r="P468">
        <v>17.059999999999999</v>
      </c>
      <c r="Q468">
        <v>2.84</v>
      </c>
      <c r="R468">
        <v>86</v>
      </c>
    </row>
    <row r="469" spans="1:18" x14ac:dyDescent="0.25">
      <c r="A469" t="s">
        <v>887</v>
      </c>
      <c r="B469" s="1">
        <v>44207</v>
      </c>
      <c r="C469" t="s">
        <v>302</v>
      </c>
      <c r="D469" t="s">
        <v>63</v>
      </c>
      <c r="E469" t="s">
        <v>24</v>
      </c>
      <c r="F469" t="s">
        <v>180</v>
      </c>
      <c r="G469">
        <v>10</v>
      </c>
      <c r="H469" t="s">
        <v>194</v>
      </c>
      <c r="I469" t="s">
        <v>631</v>
      </c>
      <c r="J469" t="s">
        <v>888</v>
      </c>
      <c r="K469" t="s">
        <v>889</v>
      </c>
      <c r="R469">
        <v>46</v>
      </c>
    </row>
    <row r="470" spans="1:18" x14ac:dyDescent="0.25">
      <c r="A470" t="s">
        <v>925</v>
      </c>
      <c r="B470" s="1">
        <v>44214</v>
      </c>
      <c r="C470" t="s">
        <v>926</v>
      </c>
      <c r="D470" t="s">
        <v>63</v>
      </c>
      <c r="E470" t="s">
        <v>24</v>
      </c>
      <c r="F470" t="s">
        <v>323</v>
      </c>
      <c r="G470">
        <v>45</v>
      </c>
      <c r="H470" t="s">
        <v>26</v>
      </c>
      <c r="I470" t="s">
        <v>370</v>
      </c>
      <c r="J470" t="s">
        <v>439</v>
      </c>
      <c r="K470" t="s">
        <v>685</v>
      </c>
      <c r="L470">
        <v>236</v>
      </c>
      <c r="M470">
        <v>87</v>
      </c>
      <c r="N470" s="2">
        <v>0.35</v>
      </c>
      <c r="O470">
        <v>86</v>
      </c>
      <c r="P470">
        <v>15.29</v>
      </c>
      <c r="Q470">
        <v>11.47</v>
      </c>
      <c r="R470">
        <v>292</v>
      </c>
    </row>
    <row r="471" spans="1:18" x14ac:dyDescent="0.25">
      <c r="A471" t="s">
        <v>927</v>
      </c>
      <c r="B471" s="1">
        <v>44214</v>
      </c>
      <c r="C471" t="s">
        <v>928</v>
      </c>
      <c r="D471" t="s">
        <v>63</v>
      </c>
      <c r="E471" t="s">
        <v>24</v>
      </c>
      <c r="F471" t="s">
        <v>323</v>
      </c>
      <c r="G471">
        <v>5</v>
      </c>
      <c r="H471" t="s">
        <v>49</v>
      </c>
      <c r="I471" t="s">
        <v>50</v>
      </c>
      <c r="J471" t="s">
        <v>51</v>
      </c>
      <c r="K471" t="s">
        <v>502</v>
      </c>
      <c r="R471">
        <v>12</v>
      </c>
    </row>
    <row r="472" spans="1:18" x14ac:dyDescent="0.25">
      <c r="A472" t="s">
        <v>975</v>
      </c>
      <c r="B472" s="1">
        <v>44221</v>
      </c>
      <c r="C472" t="s">
        <v>976</v>
      </c>
      <c r="D472" t="s">
        <v>63</v>
      </c>
      <c r="E472" t="s">
        <v>24</v>
      </c>
      <c r="F472" t="s">
        <v>323</v>
      </c>
      <c r="G472">
        <v>45</v>
      </c>
      <c r="H472" t="s">
        <v>26</v>
      </c>
      <c r="I472" t="s">
        <v>370</v>
      </c>
      <c r="J472" t="s">
        <v>479</v>
      </c>
      <c r="K472" t="s">
        <v>977</v>
      </c>
      <c r="L472">
        <v>245</v>
      </c>
      <c r="M472">
        <v>91</v>
      </c>
      <c r="N472" s="2">
        <v>0.34</v>
      </c>
      <c r="O472">
        <v>89</v>
      </c>
      <c r="P472">
        <v>15.39</v>
      </c>
      <c r="Q472">
        <v>11.54</v>
      </c>
      <c r="R472">
        <v>303</v>
      </c>
    </row>
    <row r="473" spans="1:18" x14ac:dyDescent="0.25">
      <c r="A473" t="s">
        <v>978</v>
      </c>
      <c r="B473" s="1">
        <v>44221</v>
      </c>
      <c r="C473" t="s">
        <v>979</v>
      </c>
      <c r="D473" t="s">
        <v>63</v>
      </c>
      <c r="E473" t="s">
        <v>24</v>
      </c>
      <c r="F473" t="s">
        <v>323</v>
      </c>
      <c r="G473">
        <v>5</v>
      </c>
      <c r="H473" t="s">
        <v>49</v>
      </c>
      <c r="I473" t="s">
        <v>50</v>
      </c>
      <c r="J473" t="s">
        <v>51</v>
      </c>
      <c r="K473" t="s">
        <v>934</v>
      </c>
      <c r="R473">
        <v>12</v>
      </c>
    </row>
    <row r="474" spans="1:18" x14ac:dyDescent="0.25">
      <c r="A474" t="s">
        <v>980</v>
      </c>
      <c r="B474" s="1">
        <v>44221</v>
      </c>
      <c r="C474" t="s">
        <v>981</v>
      </c>
      <c r="D474" t="s">
        <v>63</v>
      </c>
      <c r="E474" t="s">
        <v>24</v>
      </c>
      <c r="F474" t="s">
        <v>243</v>
      </c>
      <c r="G474">
        <v>30</v>
      </c>
      <c r="H474" t="s">
        <v>188</v>
      </c>
      <c r="I474" t="s">
        <v>238</v>
      </c>
      <c r="J474" t="s">
        <v>982</v>
      </c>
      <c r="K474" t="s">
        <v>983</v>
      </c>
      <c r="R474">
        <v>100</v>
      </c>
    </row>
    <row r="475" spans="1:18" x14ac:dyDescent="0.25">
      <c r="A475" t="s">
        <v>984</v>
      </c>
      <c r="B475" s="1">
        <v>44221</v>
      </c>
      <c r="C475" t="s">
        <v>985</v>
      </c>
      <c r="D475" t="s">
        <v>63</v>
      </c>
      <c r="E475" t="s">
        <v>24</v>
      </c>
      <c r="F475" t="s">
        <v>237</v>
      </c>
      <c r="G475">
        <v>10</v>
      </c>
      <c r="H475" t="s">
        <v>464</v>
      </c>
      <c r="I475" t="s">
        <v>579</v>
      </c>
      <c r="J475" t="s">
        <v>986</v>
      </c>
      <c r="K475" t="s">
        <v>987</v>
      </c>
    </row>
    <row r="476" spans="1:18" x14ac:dyDescent="0.25">
      <c r="A476" t="s">
        <v>1042</v>
      </c>
      <c r="B476" s="1">
        <v>44228</v>
      </c>
      <c r="C476" t="s">
        <v>1043</v>
      </c>
      <c r="D476" t="s">
        <v>63</v>
      </c>
      <c r="E476" t="s">
        <v>24</v>
      </c>
      <c r="F476" t="s">
        <v>323</v>
      </c>
      <c r="G476">
        <v>45</v>
      </c>
      <c r="H476" t="s">
        <v>26</v>
      </c>
      <c r="I476" t="s">
        <v>370</v>
      </c>
      <c r="J476" t="s">
        <v>479</v>
      </c>
      <c r="K476" t="s">
        <v>1044</v>
      </c>
      <c r="L476">
        <v>257</v>
      </c>
      <c r="M476">
        <v>95</v>
      </c>
      <c r="N476" s="2">
        <v>0.35</v>
      </c>
      <c r="O476">
        <v>88</v>
      </c>
      <c r="P476">
        <v>15.66</v>
      </c>
      <c r="Q476">
        <v>11.74</v>
      </c>
      <c r="R476">
        <v>318</v>
      </c>
    </row>
    <row r="477" spans="1:18" x14ac:dyDescent="0.25">
      <c r="A477" t="s">
        <v>1045</v>
      </c>
      <c r="B477" s="1">
        <v>44228</v>
      </c>
      <c r="C477" t="s">
        <v>1046</v>
      </c>
      <c r="D477" t="s">
        <v>63</v>
      </c>
      <c r="E477" t="s">
        <v>24</v>
      </c>
      <c r="F477" t="s">
        <v>323</v>
      </c>
      <c r="G477">
        <v>5</v>
      </c>
      <c r="H477" t="s">
        <v>26</v>
      </c>
      <c r="I477" t="s">
        <v>358</v>
      </c>
      <c r="J477" t="s">
        <v>359</v>
      </c>
      <c r="K477" t="s">
        <v>1047</v>
      </c>
      <c r="L477">
        <v>16</v>
      </c>
      <c r="M477">
        <v>53</v>
      </c>
      <c r="N477" s="2">
        <v>0.26</v>
      </c>
      <c r="O477">
        <v>91</v>
      </c>
      <c r="P477">
        <v>12.31</v>
      </c>
      <c r="Q477">
        <v>1.02</v>
      </c>
      <c r="R477">
        <v>20</v>
      </c>
    </row>
    <row r="478" spans="1:18" x14ac:dyDescent="0.25">
      <c r="A478" t="s">
        <v>1048</v>
      </c>
      <c r="B478" s="1">
        <v>44228</v>
      </c>
      <c r="C478" t="s">
        <v>1049</v>
      </c>
      <c r="D478" t="s">
        <v>63</v>
      </c>
      <c r="E478" t="s">
        <v>24</v>
      </c>
      <c r="F478" t="s">
        <v>323</v>
      </c>
      <c r="G478">
        <v>5</v>
      </c>
      <c r="H478" t="s">
        <v>49</v>
      </c>
      <c r="I478" t="s">
        <v>50</v>
      </c>
      <c r="J478" t="s">
        <v>51</v>
      </c>
      <c r="K478" t="s">
        <v>934</v>
      </c>
      <c r="R478">
        <v>12</v>
      </c>
    </row>
    <row r="479" spans="1:18" x14ac:dyDescent="0.25">
      <c r="A479" t="s">
        <v>1098</v>
      </c>
      <c r="B479" s="1">
        <v>44235</v>
      </c>
      <c r="C479" t="s">
        <v>1099</v>
      </c>
      <c r="D479" t="s">
        <v>63</v>
      </c>
      <c r="E479" t="s">
        <v>24</v>
      </c>
      <c r="F479" t="s">
        <v>747</v>
      </c>
      <c r="G479">
        <v>5</v>
      </c>
      <c r="H479" t="s">
        <v>26</v>
      </c>
      <c r="I479" t="s">
        <v>423</v>
      </c>
      <c r="J479" t="s">
        <v>505</v>
      </c>
      <c r="K479" t="s">
        <v>1100</v>
      </c>
      <c r="L479">
        <v>22</v>
      </c>
      <c r="M479">
        <v>75</v>
      </c>
      <c r="N479" s="2">
        <v>0.28999999999999998</v>
      </c>
      <c r="O479">
        <v>98</v>
      </c>
      <c r="P479">
        <v>14.23</v>
      </c>
      <c r="Q479">
        <v>1.17</v>
      </c>
      <c r="R479">
        <v>28</v>
      </c>
    </row>
    <row r="480" spans="1:18" x14ac:dyDescent="0.25">
      <c r="A480" t="s">
        <v>1101</v>
      </c>
      <c r="B480" s="1">
        <v>44235</v>
      </c>
      <c r="C480" t="s">
        <v>1102</v>
      </c>
      <c r="D480" t="s">
        <v>63</v>
      </c>
      <c r="E480" t="s">
        <v>24</v>
      </c>
      <c r="F480" t="s">
        <v>323</v>
      </c>
      <c r="G480">
        <v>45</v>
      </c>
      <c r="H480" t="s">
        <v>26</v>
      </c>
      <c r="I480" t="s">
        <v>370</v>
      </c>
      <c r="J480" t="s">
        <v>439</v>
      </c>
      <c r="K480" t="s">
        <v>1103</v>
      </c>
      <c r="L480">
        <v>240</v>
      </c>
      <c r="M480">
        <v>89</v>
      </c>
      <c r="N480" s="2">
        <v>0.35</v>
      </c>
      <c r="O480">
        <v>86</v>
      </c>
      <c r="P480">
        <v>15.4</v>
      </c>
      <c r="Q480">
        <v>11.55</v>
      </c>
      <c r="R480">
        <v>297</v>
      </c>
    </row>
    <row r="481" spans="1:18" x14ac:dyDescent="0.25">
      <c r="A481" t="s">
        <v>1104</v>
      </c>
      <c r="B481" s="1">
        <v>44235</v>
      </c>
      <c r="C481" t="s">
        <v>1105</v>
      </c>
      <c r="D481" t="s">
        <v>63</v>
      </c>
      <c r="E481" t="s">
        <v>24</v>
      </c>
      <c r="F481" t="s">
        <v>323</v>
      </c>
      <c r="G481">
        <v>5</v>
      </c>
      <c r="H481" t="s">
        <v>26</v>
      </c>
      <c r="I481" t="s">
        <v>358</v>
      </c>
      <c r="J481" t="s">
        <v>359</v>
      </c>
      <c r="K481" t="s">
        <v>456</v>
      </c>
      <c r="L481">
        <v>16</v>
      </c>
      <c r="M481">
        <v>55</v>
      </c>
      <c r="N481" s="2">
        <v>0.27</v>
      </c>
      <c r="O481">
        <v>89</v>
      </c>
      <c r="P481">
        <v>12.42</v>
      </c>
      <c r="Q481">
        <v>1.03</v>
      </c>
      <c r="R481">
        <v>20</v>
      </c>
    </row>
    <row r="482" spans="1:18" x14ac:dyDescent="0.25">
      <c r="A482" t="s">
        <v>1106</v>
      </c>
      <c r="B482" s="1">
        <v>44235</v>
      </c>
      <c r="C482" t="s">
        <v>1107</v>
      </c>
      <c r="D482" t="s">
        <v>63</v>
      </c>
      <c r="E482" t="s">
        <v>24</v>
      </c>
      <c r="F482" t="s">
        <v>323</v>
      </c>
      <c r="G482">
        <v>5</v>
      </c>
      <c r="H482" t="s">
        <v>49</v>
      </c>
      <c r="I482" t="s">
        <v>50</v>
      </c>
      <c r="J482" t="s">
        <v>51</v>
      </c>
      <c r="K482" t="s">
        <v>502</v>
      </c>
      <c r="R482">
        <v>12</v>
      </c>
    </row>
    <row r="483" spans="1:18" x14ac:dyDescent="0.25">
      <c r="A483" t="s">
        <v>1141</v>
      </c>
      <c r="B483" s="1">
        <v>44242</v>
      </c>
      <c r="C483" t="s">
        <v>1142</v>
      </c>
      <c r="D483" t="s">
        <v>63</v>
      </c>
      <c r="E483" t="s">
        <v>24</v>
      </c>
      <c r="F483" t="s">
        <v>323</v>
      </c>
      <c r="G483">
        <v>5</v>
      </c>
      <c r="H483" t="s">
        <v>26</v>
      </c>
      <c r="I483" t="s">
        <v>423</v>
      </c>
      <c r="J483" t="s">
        <v>505</v>
      </c>
      <c r="K483" t="s">
        <v>1143</v>
      </c>
      <c r="L483">
        <v>21</v>
      </c>
      <c r="M483">
        <v>71</v>
      </c>
      <c r="N483" s="2">
        <v>0.3</v>
      </c>
      <c r="O483">
        <v>90</v>
      </c>
      <c r="P483">
        <v>14.03</v>
      </c>
      <c r="Q483">
        <v>1.17</v>
      </c>
      <c r="R483">
        <v>26</v>
      </c>
    </row>
    <row r="484" spans="1:18" x14ac:dyDescent="0.25">
      <c r="A484" t="s">
        <v>1144</v>
      </c>
      <c r="B484" s="1">
        <v>44242</v>
      </c>
      <c r="C484" t="s">
        <v>1145</v>
      </c>
      <c r="D484" t="s">
        <v>63</v>
      </c>
      <c r="E484" t="s">
        <v>24</v>
      </c>
      <c r="F484" t="s">
        <v>323</v>
      </c>
      <c r="G484">
        <v>45</v>
      </c>
      <c r="H484" t="s">
        <v>26</v>
      </c>
      <c r="I484" t="s">
        <v>370</v>
      </c>
      <c r="J484" t="s">
        <v>479</v>
      </c>
      <c r="K484" t="s">
        <v>1146</v>
      </c>
      <c r="L484">
        <v>250</v>
      </c>
      <c r="M484">
        <v>92</v>
      </c>
      <c r="N484" s="2">
        <v>0.34</v>
      </c>
      <c r="O484">
        <v>84</v>
      </c>
      <c r="P484">
        <v>14.75</v>
      </c>
      <c r="Q484">
        <v>11.19</v>
      </c>
      <c r="R484">
        <v>309</v>
      </c>
    </row>
    <row r="485" spans="1:18" x14ac:dyDescent="0.25">
      <c r="A485" t="s">
        <v>1147</v>
      </c>
      <c r="B485" s="1">
        <v>44242</v>
      </c>
      <c r="C485" t="s">
        <v>772</v>
      </c>
      <c r="D485" t="s">
        <v>63</v>
      </c>
      <c r="E485" t="s">
        <v>24</v>
      </c>
      <c r="F485" t="s">
        <v>660</v>
      </c>
      <c r="G485">
        <v>10</v>
      </c>
      <c r="H485" t="s">
        <v>26</v>
      </c>
      <c r="I485" t="s">
        <v>358</v>
      </c>
      <c r="J485" t="s">
        <v>389</v>
      </c>
      <c r="K485" t="s">
        <v>1148</v>
      </c>
      <c r="L485">
        <v>41</v>
      </c>
      <c r="M485">
        <v>69</v>
      </c>
      <c r="N485" s="2">
        <v>0.33</v>
      </c>
      <c r="O485">
        <v>79</v>
      </c>
      <c r="P485">
        <v>13.71</v>
      </c>
      <c r="Q485">
        <v>2.2799999999999998</v>
      </c>
      <c r="R485">
        <v>51</v>
      </c>
    </row>
    <row r="486" spans="1:18" x14ac:dyDescent="0.25">
      <c r="A486" t="s">
        <v>1149</v>
      </c>
      <c r="B486" s="1">
        <v>44242</v>
      </c>
      <c r="C486" t="s">
        <v>1150</v>
      </c>
      <c r="D486" t="s">
        <v>63</v>
      </c>
      <c r="E486" t="s">
        <v>24</v>
      </c>
      <c r="F486" t="s">
        <v>660</v>
      </c>
      <c r="G486">
        <v>10</v>
      </c>
      <c r="H486" t="s">
        <v>194</v>
      </c>
      <c r="I486" t="s">
        <v>700</v>
      </c>
      <c r="J486" t="s">
        <v>701</v>
      </c>
      <c r="K486" t="s">
        <v>1151</v>
      </c>
      <c r="R486">
        <v>46</v>
      </c>
    </row>
    <row r="487" spans="1:18" x14ac:dyDescent="0.25">
      <c r="A487" t="s">
        <v>1152</v>
      </c>
      <c r="B487" s="1">
        <v>44242</v>
      </c>
      <c r="C487" t="s">
        <v>1153</v>
      </c>
      <c r="D487" t="s">
        <v>63</v>
      </c>
      <c r="E487" t="s">
        <v>24</v>
      </c>
      <c r="F487" t="s">
        <v>323</v>
      </c>
      <c r="G487">
        <v>5</v>
      </c>
      <c r="H487" t="s">
        <v>49</v>
      </c>
      <c r="I487" t="s">
        <v>298</v>
      </c>
      <c r="J487" t="s">
        <v>1154</v>
      </c>
      <c r="K487" t="s">
        <v>1155</v>
      </c>
      <c r="R487">
        <v>12</v>
      </c>
    </row>
    <row r="488" spans="1:18" x14ac:dyDescent="0.25">
      <c r="A488" t="s">
        <v>1204</v>
      </c>
      <c r="B488" s="1">
        <v>44249</v>
      </c>
      <c r="C488" t="s">
        <v>1205</v>
      </c>
      <c r="D488" t="s">
        <v>63</v>
      </c>
      <c r="E488" t="s">
        <v>24</v>
      </c>
      <c r="F488" t="s">
        <v>323</v>
      </c>
      <c r="G488">
        <v>30</v>
      </c>
      <c r="H488" t="s">
        <v>26</v>
      </c>
      <c r="I488" t="s">
        <v>370</v>
      </c>
      <c r="J488" t="s">
        <v>1206</v>
      </c>
      <c r="K488" t="s">
        <v>1207</v>
      </c>
      <c r="L488">
        <v>149</v>
      </c>
      <c r="M488">
        <v>83</v>
      </c>
      <c r="N488" s="2">
        <v>0.33</v>
      </c>
      <c r="O488">
        <v>89</v>
      </c>
      <c r="P488">
        <v>14.9</v>
      </c>
      <c r="Q488">
        <v>7.45</v>
      </c>
      <c r="R488">
        <v>185</v>
      </c>
    </row>
    <row r="489" spans="1:18" x14ac:dyDescent="0.25">
      <c r="A489" t="s">
        <v>1208</v>
      </c>
      <c r="B489" s="1">
        <v>44249</v>
      </c>
      <c r="C489" t="s">
        <v>1209</v>
      </c>
      <c r="D489" t="s">
        <v>63</v>
      </c>
      <c r="E489" t="s">
        <v>24</v>
      </c>
      <c r="F489" t="s">
        <v>328</v>
      </c>
      <c r="G489">
        <v>10</v>
      </c>
      <c r="H489" t="s">
        <v>194</v>
      </c>
      <c r="I489" t="s">
        <v>195</v>
      </c>
      <c r="J489" t="s">
        <v>211</v>
      </c>
      <c r="K489" t="s">
        <v>1210</v>
      </c>
      <c r="R489">
        <v>46</v>
      </c>
    </row>
    <row r="490" spans="1:18" x14ac:dyDescent="0.25">
      <c r="A490" t="s">
        <v>1252</v>
      </c>
      <c r="B490" s="1">
        <v>44256</v>
      </c>
      <c r="C490" t="s">
        <v>527</v>
      </c>
      <c r="D490" t="s">
        <v>63</v>
      </c>
      <c r="E490" t="s">
        <v>24</v>
      </c>
      <c r="F490" t="s">
        <v>243</v>
      </c>
      <c r="G490">
        <v>60</v>
      </c>
      <c r="H490" t="s">
        <v>188</v>
      </c>
      <c r="I490" t="s">
        <v>189</v>
      </c>
      <c r="J490" t="s">
        <v>216</v>
      </c>
      <c r="K490" t="s">
        <v>1253</v>
      </c>
      <c r="R490">
        <v>193</v>
      </c>
    </row>
    <row r="491" spans="1:18" x14ac:dyDescent="0.25">
      <c r="A491" t="s">
        <v>1294</v>
      </c>
      <c r="B491" s="1">
        <v>44263</v>
      </c>
      <c r="C491" t="s">
        <v>1295</v>
      </c>
      <c r="D491" t="s">
        <v>63</v>
      </c>
      <c r="E491" t="s">
        <v>24</v>
      </c>
      <c r="F491" t="s">
        <v>215</v>
      </c>
      <c r="G491">
        <v>45</v>
      </c>
      <c r="H491" t="s">
        <v>188</v>
      </c>
      <c r="I491" t="s">
        <v>189</v>
      </c>
      <c r="J491" t="s">
        <v>244</v>
      </c>
      <c r="K491" t="s">
        <v>1296</v>
      </c>
      <c r="R491">
        <v>150</v>
      </c>
    </row>
    <row r="492" spans="1:18" x14ac:dyDescent="0.25">
      <c r="A492" t="s">
        <v>1297</v>
      </c>
      <c r="B492" s="1">
        <v>44263</v>
      </c>
      <c r="C492" t="s">
        <v>1298</v>
      </c>
      <c r="D492" t="s">
        <v>63</v>
      </c>
      <c r="E492" t="s">
        <v>24</v>
      </c>
      <c r="F492" t="s">
        <v>180</v>
      </c>
      <c r="G492">
        <v>10</v>
      </c>
      <c r="H492" t="s">
        <v>194</v>
      </c>
      <c r="I492" t="s">
        <v>195</v>
      </c>
      <c r="J492" t="s">
        <v>1299</v>
      </c>
      <c r="K492" t="s">
        <v>1300</v>
      </c>
      <c r="R492">
        <v>46</v>
      </c>
    </row>
    <row r="493" spans="1:18" x14ac:dyDescent="0.25">
      <c r="A493" t="s">
        <v>1301</v>
      </c>
      <c r="B493" s="1">
        <v>44263</v>
      </c>
      <c r="C493" t="s">
        <v>1302</v>
      </c>
      <c r="D493" t="s">
        <v>63</v>
      </c>
      <c r="E493" t="s">
        <v>24</v>
      </c>
      <c r="F493" t="s">
        <v>215</v>
      </c>
      <c r="G493">
        <v>10</v>
      </c>
      <c r="H493" t="s">
        <v>464</v>
      </c>
      <c r="I493" t="s">
        <v>763</v>
      </c>
      <c r="J493" t="s">
        <v>914</v>
      </c>
      <c r="K493" t="s">
        <v>1303</v>
      </c>
    </row>
    <row r="494" spans="1:18" x14ac:dyDescent="0.25">
      <c r="A494" t="s">
        <v>1363</v>
      </c>
      <c r="B494" s="1">
        <v>44270</v>
      </c>
      <c r="C494" t="s">
        <v>1364</v>
      </c>
      <c r="D494" t="s">
        <v>63</v>
      </c>
      <c r="E494" t="s">
        <v>24</v>
      </c>
      <c r="F494" t="s">
        <v>215</v>
      </c>
      <c r="G494">
        <v>30</v>
      </c>
      <c r="H494" t="s">
        <v>188</v>
      </c>
      <c r="I494" t="s">
        <v>189</v>
      </c>
      <c r="J494" t="s">
        <v>201</v>
      </c>
      <c r="K494" t="s">
        <v>1365</v>
      </c>
      <c r="R494">
        <v>98</v>
      </c>
    </row>
    <row r="495" spans="1:18" x14ac:dyDescent="0.25">
      <c r="A495" t="s">
        <v>1366</v>
      </c>
      <c r="B495" s="1">
        <v>44270</v>
      </c>
      <c r="C495" t="s">
        <v>1367</v>
      </c>
      <c r="D495" t="s">
        <v>63</v>
      </c>
      <c r="E495" t="s">
        <v>24</v>
      </c>
      <c r="F495" t="s">
        <v>208</v>
      </c>
      <c r="G495">
        <v>20</v>
      </c>
      <c r="H495" t="s">
        <v>464</v>
      </c>
      <c r="I495" t="s">
        <v>763</v>
      </c>
      <c r="J495" t="s">
        <v>1335</v>
      </c>
      <c r="K495" t="s">
        <v>1368</v>
      </c>
    </row>
    <row r="496" spans="1:18" x14ac:dyDescent="0.25">
      <c r="A496" t="s">
        <v>1456</v>
      </c>
      <c r="B496" s="1">
        <v>44277</v>
      </c>
      <c r="C496" t="s">
        <v>1457</v>
      </c>
      <c r="D496" t="s">
        <v>63</v>
      </c>
      <c r="E496" t="s">
        <v>24</v>
      </c>
      <c r="F496" t="s">
        <v>323</v>
      </c>
      <c r="G496">
        <v>45</v>
      </c>
      <c r="H496" t="s">
        <v>26</v>
      </c>
      <c r="I496" t="s">
        <v>370</v>
      </c>
      <c r="J496" t="s">
        <v>439</v>
      </c>
      <c r="K496" t="s">
        <v>1458</v>
      </c>
      <c r="L496">
        <v>258</v>
      </c>
      <c r="M496">
        <v>96</v>
      </c>
      <c r="N496" s="2">
        <v>0.36</v>
      </c>
      <c r="O496">
        <v>86</v>
      </c>
      <c r="P496">
        <v>15.83</v>
      </c>
      <c r="Q496">
        <v>11.87</v>
      </c>
      <c r="R496">
        <v>319</v>
      </c>
    </row>
    <row r="497" spans="1:18" x14ac:dyDescent="0.25">
      <c r="A497" t="s">
        <v>1459</v>
      </c>
      <c r="B497" s="1">
        <v>44277</v>
      </c>
      <c r="C497" t="s">
        <v>1460</v>
      </c>
      <c r="D497" t="s">
        <v>63</v>
      </c>
      <c r="E497" t="s">
        <v>24</v>
      </c>
      <c r="F497" t="s">
        <v>747</v>
      </c>
      <c r="G497">
        <v>10</v>
      </c>
      <c r="H497" t="s">
        <v>26</v>
      </c>
      <c r="I497" t="s">
        <v>358</v>
      </c>
      <c r="J497" t="s">
        <v>389</v>
      </c>
      <c r="K497" t="s">
        <v>1461</v>
      </c>
      <c r="L497">
        <v>44</v>
      </c>
      <c r="M497">
        <v>73</v>
      </c>
      <c r="N497" s="2">
        <v>0.35</v>
      </c>
      <c r="O497">
        <v>78</v>
      </c>
      <c r="P497">
        <v>14.1</v>
      </c>
      <c r="Q497">
        <v>2.35</v>
      </c>
      <c r="R497">
        <v>54</v>
      </c>
    </row>
    <row r="498" spans="1:18" x14ac:dyDescent="0.25">
      <c r="A498" t="s">
        <v>1462</v>
      </c>
      <c r="B498" s="1">
        <v>44277</v>
      </c>
      <c r="C498" t="s">
        <v>1463</v>
      </c>
      <c r="D498" t="s">
        <v>63</v>
      </c>
      <c r="E498" t="s">
        <v>24</v>
      </c>
      <c r="F498" t="s">
        <v>323</v>
      </c>
      <c r="G498">
        <v>5</v>
      </c>
      <c r="H498" t="s">
        <v>49</v>
      </c>
      <c r="I498" t="s">
        <v>50</v>
      </c>
      <c r="J498" t="s">
        <v>51</v>
      </c>
      <c r="K498" t="s">
        <v>1464</v>
      </c>
      <c r="R498">
        <v>12</v>
      </c>
    </row>
    <row r="499" spans="1:18" x14ac:dyDescent="0.25">
      <c r="A499" t="s">
        <v>1465</v>
      </c>
      <c r="B499" s="1">
        <v>44277</v>
      </c>
      <c r="C499" t="s">
        <v>1466</v>
      </c>
      <c r="D499" t="s">
        <v>63</v>
      </c>
      <c r="E499" t="s">
        <v>24</v>
      </c>
      <c r="F499" t="s">
        <v>328</v>
      </c>
      <c r="G499">
        <v>5</v>
      </c>
      <c r="H499" t="s">
        <v>194</v>
      </c>
      <c r="I499" t="s">
        <v>195</v>
      </c>
      <c r="J499" t="s">
        <v>196</v>
      </c>
      <c r="K499" t="s">
        <v>1467</v>
      </c>
      <c r="R499">
        <v>23</v>
      </c>
    </row>
    <row r="500" spans="1:18" x14ac:dyDescent="0.25">
      <c r="A500" t="s">
        <v>1468</v>
      </c>
      <c r="B500" s="1">
        <v>44277</v>
      </c>
      <c r="C500" t="s">
        <v>1469</v>
      </c>
      <c r="D500" t="s">
        <v>63</v>
      </c>
      <c r="E500" t="s">
        <v>24</v>
      </c>
      <c r="F500" t="s">
        <v>208</v>
      </c>
      <c r="G500">
        <v>10</v>
      </c>
      <c r="H500" t="s">
        <v>464</v>
      </c>
      <c r="I500" t="s">
        <v>579</v>
      </c>
      <c r="J500" t="s">
        <v>1470</v>
      </c>
      <c r="K500" t="s">
        <v>1471</v>
      </c>
    </row>
    <row r="501" spans="1:18" x14ac:dyDescent="0.25">
      <c r="A501" t="s">
        <v>1523</v>
      </c>
      <c r="B501" s="1">
        <v>44284</v>
      </c>
      <c r="C501" t="s">
        <v>1524</v>
      </c>
      <c r="D501" t="s">
        <v>63</v>
      </c>
      <c r="E501" t="s">
        <v>24</v>
      </c>
      <c r="F501" t="s">
        <v>328</v>
      </c>
      <c r="G501">
        <v>10</v>
      </c>
      <c r="H501" t="s">
        <v>194</v>
      </c>
      <c r="I501" t="s">
        <v>195</v>
      </c>
      <c r="J501" t="s">
        <v>211</v>
      </c>
      <c r="K501" t="s">
        <v>1525</v>
      </c>
      <c r="R501">
        <v>54</v>
      </c>
    </row>
    <row r="502" spans="1:18" x14ac:dyDescent="0.25">
      <c r="A502" t="s">
        <v>1526</v>
      </c>
      <c r="B502" s="1">
        <v>44284</v>
      </c>
      <c r="C502" t="s">
        <v>630</v>
      </c>
      <c r="D502" t="s">
        <v>63</v>
      </c>
      <c r="E502" t="s">
        <v>24</v>
      </c>
      <c r="F502" t="s">
        <v>243</v>
      </c>
      <c r="G502">
        <v>45</v>
      </c>
      <c r="H502" t="s">
        <v>188</v>
      </c>
      <c r="I502" t="s">
        <v>238</v>
      </c>
      <c r="J502" t="s">
        <v>1527</v>
      </c>
      <c r="K502" t="s">
        <v>1528</v>
      </c>
      <c r="R502">
        <v>137</v>
      </c>
    </row>
    <row r="503" spans="1:18" x14ac:dyDescent="0.25">
      <c r="A503" t="s">
        <v>1529</v>
      </c>
      <c r="B503" s="1">
        <v>44284</v>
      </c>
      <c r="C503" t="s">
        <v>1248</v>
      </c>
      <c r="D503" t="s">
        <v>63</v>
      </c>
      <c r="E503" t="s">
        <v>24</v>
      </c>
      <c r="F503" t="s">
        <v>215</v>
      </c>
      <c r="G503">
        <v>20</v>
      </c>
      <c r="H503" t="s">
        <v>464</v>
      </c>
      <c r="I503" t="s">
        <v>943</v>
      </c>
      <c r="J503" t="s">
        <v>1347</v>
      </c>
      <c r="K503" t="s">
        <v>1530</v>
      </c>
    </row>
    <row r="504" spans="1:18" x14ac:dyDescent="0.25">
      <c r="A504" t="s">
        <v>1583</v>
      </c>
      <c r="B504" s="1">
        <v>44291</v>
      </c>
      <c r="C504" t="s">
        <v>1556</v>
      </c>
      <c r="D504" t="s">
        <v>63</v>
      </c>
      <c r="E504" t="s">
        <v>24</v>
      </c>
      <c r="F504" t="s">
        <v>243</v>
      </c>
      <c r="G504">
        <v>45</v>
      </c>
      <c r="H504" t="s">
        <v>26</v>
      </c>
      <c r="I504" t="s">
        <v>370</v>
      </c>
      <c r="J504" t="s">
        <v>439</v>
      </c>
      <c r="K504" t="s">
        <v>1584</v>
      </c>
      <c r="L504">
        <v>232</v>
      </c>
      <c r="M504">
        <v>86</v>
      </c>
      <c r="N504" s="2">
        <v>0.34</v>
      </c>
      <c r="O504">
        <v>88</v>
      </c>
      <c r="P504">
        <v>15.1</v>
      </c>
      <c r="Q504">
        <v>11.33</v>
      </c>
      <c r="R504">
        <v>287</v>
      </c>
    </row>
    <row r="505" spans="1:18" x14ac:dyDescent="0.25">
      <c r="A505" t="s">
        <v>1585</v>
      </c>
      <c r="B505" s="1">
        <v>44291</v>
      </c>
      <c r="C505" t="s">
        <v>1586</v>
      </c>
      <c r="D505" t="s">
        <v>63</v>
      </c>
      <c r="E505" t="s">
        <v>24</v>
      </c>
      <c r="F505" t="s">
        <v>243</v>
      </c>
      <c r="G505">
        <v>5</v>
      </c>
      <c r="H505" t="s">
        <v>49</v>
      </c>
      <c r="I505" t="s">
        <v>50</v>
      </c>
      <c r="J505" t="s">
        <v>51</v>
      </c>
      <c r="K505" t="s">
        <v>1396</v>
      </c>
      <c r="R505">
        <v>12</v>
      </c>
    </row>
    <row r="506" spans="1:18" x14ac:dyDescent="0.25">
      <c r="A506" t="s">
        <v>1587</v>
      </c>
      <c r="B506" s="1">
        <v>44291</v>
      </c>
      <c r="C506" t="s">
        <v>1588</v>
      </c>
      <c r="D506" t="s">
        <v>63</v>
      </c>
      <c r="E506" t="s">
        <v>24</v>
      </c>
      <c r="F506" t="s">
        <v>215</v>
      </c>
      <c r="G506">
        <v>20</v>
      </c>
      <c r="H506" t="s">
        <v>464</v>
      </c>
      <c r="I506" t="s">
        <v>579</v>
      </c>
      <c r="J506" t="s">
        <v>1347</v>
      </c>
      <c r="K506" t="s">
        <v>1589</v>
      </c>
    </row>
    <row r="507" spans="1:18" x14ac:dyDescent="0.25">
      <c r="A507" t="s">
        <v>1642</v>
      </c>
      <c r="B507" s="1">
        <v>44298</v>
      </c>
      <c r="C507" t="s">
        <v>1643</v>
      </c>
      <c r="D507" t="s">
        <v>63</v>
      </c>
      <c r="E507" t="s">
        <v>24</v>
      </c>
      <c r="F507" t="s">
        <v>292</v>
      </c>
      <c r="G507">
        <v>10</v>
      </c>
      <c r="H507" t="s">
        <v>194</v>
      </c>
      <c r="I507" t="s">
        <v>195</v>
      </c>
      <c r="J507" t="s">
        <v>211</v>
      </c>
      <c r="K507" t="s">
        <v>1644</v>
      </c>
      <c r="R507">
        <v>46</v>
      </c>
    </row>
    <row r="508" spans="1:18" x14ac:dyDescent="0.25">
      <c r="A508" t="s">
        <v>1645</v>
      </c>
      <c r="B508" s="1">
        <v>44298</v>
      </c>
      <c r="C508" t="s">
        <v>1646</v>
      </c>
      <c r="D508" t="s">
        <v>63</v>
      </c>
      <c r="E508" t="s">
        <v>24</v>
      </c>
      <c r="F508" t="s">
        <v>180</v>
      </c>
      <c r="G508">
        <v>10</v>
      </c>
      <c r="H508" t="s">
        <v>194</v>
      </c>
      <c r="I508" t="s">
        <v>700</v>
      </c>
      <c r="J508" t="s">
        <v>1282</v>
      </c>
      <c r="K508" t="s">
        <v>1647</v>
      </c>
      <c r="R508">
        <v>46</v>
      </c>
    </row>
    <row r="509" spans="1:18" x14ac:dyDescent="0.25">
      <c r="A509" t="s">
        <v>1648</v>
      </c>
      <c r="B509" s="1">
        <v>44298</v>
      </c>
      <c r="C509" t="s">
        <v>1649</v>
      </c>
      <c r="D509" t="s">
        <v>63</v>
      </c>
      <c r="E509" t="s">
        <v>24</v>
      </c>
      <c r="F509" t="s">
        <v>215</v>
      </c>
      <c r="G509">
        <v>20</v>
      </c>
      <c r="H509" t="s">
        <v>464</v>
      </c>
      <c r="I509" t="s">
        <v>1571</v>
      </c>
      <c r="J509" t="s">
        <v>1572</v>
      </c>
      <c r="K509" t="s">
        <v>1573</v>
      </c>
    </row>
    <row r="510" spans="1:18" x14ac:dyDescent="0.25">
      <c r="A510" t="s">
        <v>1682</v>
      </c>
      <c r="B510" s="1">
        <v>44305</v>
      </c>
      <c r="C510" t="s">
        <v>1683</v>
      </c>
      <c r="D510" t="s">
        <v>63</v>
      </c>
      <c r="E510" t="s">
        <v>24</v>
      </c>
      <c r="F510" t="s">
        <v>323</v>
      </c>
      <c r="G510">
        <v>10</v>
      </c>
      <c r="H510" t="s">
        <v>26</v>
      </c>
      <c r="I510" t="s">
        <v>39</v>
      </c>
      <c r="J510" t="s">
        <v>431</v>
      </c>
      <c r="K510" t="s">
        <v>1684</v>
      </c>
      <c r="L510">
        <v>33</v>
      </c>
      <c r="M510">
        <v>55</v>
      </c>
      <c r="N510" s="2">
        <v>0.31</v>
      </c>
      <c r="O510">
        <v>73</v>
      </c>
      <c r="P510">
        <v>12.06</v>
      </c>
      <c r="Q510">
        <v>2.0099999999999998</v>
      </c>
      <c r="R510">
        <v>41</v>
      </c>
    </row>
    <row r="511" spans="1:18" x14ac:dyDescent="0.25">
      <c r="A511" t="s">
        <v>1685</v>
      </c>
      <c r="B511" s="1">
        <v>44305</v>
      </c>
      <c r="C511" t="s">
        <v>1686</v>
      </c>
      <c r="D511" t="s">
        <v>63</v>
      </c>
      <c r="E511" t="s">
        <v>24</v>
      </c>
      <c r="F511" t="s">
        <v>323</v>
      </c>
      <c r="G511">
        <v>45</v>
      </c>
      <c r="H511" t="s">
        <v>26</v>
      </c>
      <c r="I511" t="s">
        <v>370</v>
      </c>
      <c r="J511" t="s">
        <v>439</v>
      </c>
      <c r="K511" t="s">
        <v>1404</v>
      </c>
      <c r="L511">
        <v>238</v>
      </c>
      <c r="M511">
        <v>88</v>
      </c>
      <c r="N511" s="2">
        <v>0.36</v>
      </c>
      <c r="O511">
        <v>84</v>
      </c>
      <c r="P511">
        <v>15.27</v>
      </c>
      <c r="Q511">
        <v>11.46</v>
      </c>
      <c r="R511">
        <v>294</v>
      </c>
    </row>
    <row r="512" spans="1:18" x14ac:dyDescent="0.25">
      <c r="A512" t="s">
        <v>1687</v>
      </c>
      <c r="B512" s="1">
        <v>44305</v>
      </c>
      <c r="C512" t="s">
        <v>1688</v>
      </c>
      <c r="D512" t="s">
        <v>63</v>
      </c>
      <c r="E512" t="s">
        <v>24</v>
      </c>
      <c r="F512" t="s">
        <v>354</v>
      </c>
      <c r="G512">
        <v>5</v>
      </c>
      <c r="H512" t="s">
        <v>26</v>
      </c>
      <c r="I512" t="s">
        <v>358</v>
      </c>
      <c r="J512" t="s">
        <v>359</v>
      </c>
      <c r="K512" t="s">
        <v>1595</v>
      </c>
      <c r="L512">
        <v>22</v>
      </c>
      <c r="M512">
        <v>73</v>
      </c>
      <c r="N512" s="2">
        <v>0.32</v>
      </c>
      <c r="O512">
        <v>85</v>
      </c>
      <c r="P512">
        <v>14.04</v>
      </c>
      <c r="Q512">
        <v>1.17</v>
      </c>
      <c r="R512">
        <v>27</v>
      </c>
    </row>
    <row r="513" spans="1:18" x14ac:dyDescent="0.25">
      <c r="A513" t="s">
        <v>1689</v>
      </c>
      <c r="B513" s="1">
        <v>44305</v>
      </c>
      <c r="C513" t="s">
        <v>1690</v>
      </c>
      <c r="D513" t="s">
        <v>63</v>
      </c>
      <c r="E513" t="s">
        <v>24</v>
      </c>
      <c r="F513" t="s">
        <v>323</v>
      </c>
      <c r="G513">
        <v>5</v>
      </c>
      <c r="H513" t="s">
        <v>49</v>
      </c>
      <c r="I513" t="s">
        <v>50</v>
      </c>
      <c r="J513" t="s">
        <v>51</v>
      </c>
      <c r="K513" t="s">
        <v>1656</v>
      </c>
      <c r="R513">
        <v>12</v>
      </c>
    </row>
    <row r="514" spans="1:18" x14ac:dyDescent="0.25">
      <c r="A514" t="s">
        <v>1691</v>
      </c>
      <c r="B514" s="1">
        <v>44305</v>
      </c>
      <c r="C514" t="s">
        <v>1692</v>
      </c>
      <c r="D514" t="s">
        <v>63</v>
      </c>
      <c r="E514" t="s">
        <v>24</v>
      </c>
      <c r="F514" t="s">
        <v>292</v>
      </c>
      <c r="G514">
        <v>10</v>
      </c>
      <c r="H514" t="s">
        <v>194</v>
      </c>
      <c r="I514" t="s">
        <v>195</v>
      </c>
      <c r="J514" t="s">
        <v>211</v>
      </c>
      <c r="K514" t="s">
        <v>1693</v>
      </c>
      <c r="R514">
        <v>46</v>
      </c>
    </row>
    <row r="515" spans="1:18" x14ac:dyDescent="0.25">
      <c r="A515" t="s">
        <v>1694</v>
      </c>
      <c r="B515" s="1">
        <v>44305</v>
      </c>
      <c r="C515" t="s">
        <v>1695</v>
      </c>
      <c r="D515" t="s">
        <v>63</v>
      </c>
      <c r="E515" t="s">
        <v>24</v>
      </c>
      <c r="F515" t="s">
        <v>243</v>
      </c>
      <c r="G515">
        <v>30</v>
      </c>
      <c r="H515" t="s">
        <v>188</v>
      </c>
      <c r="I515" t="s">
        <v>238</v>
      </c>
      <c r="J515" t="s">
        <v>1696</v>
      </c>
      <c r="K515" t="s">
        <v>1697</v>
      </c>
      <c r="R515">
        <v>96</v>
      </c>
    </row>
    <row r="516" spans="1:18" x14ac:dyDescent="0.25">
      <c r="A516" t="s">
        <v>1698</v>
      </c>
      <c r="B516" s="1">
        <v>44305</v>
      </c>
      <c r="C516" t="s">
        <v>1302</v>
      </c>
      <c r="D516" t="s">
        <v>63</v>
      </c>
      <c r="E516" t="s">
        <v>24</v>
      </c>
      <c r="F516" t="s">
        <v>215</v>
      </c>
      <c r="G516">
        <v>30</v>
      </c>
      <c r="H516" t="s">
        <v>464</v>
      </c>
      <c r="I516" t="s">
        <v>943</v>
      </c>
      <c r="J516" t="s">
        <v>1621</v>
      </c>
      <c r="K516" t="s">
        <v>1681</v>
      </c>
    </row>
    <row r="517" spans="1:18" x14ac:dyDescent="0.25">
      <c r="A517" t="s">
        <v>1760</v>
      </c>
      <c r="B517" s="1">
        <v>44312</v>
      </c>
      <c r="C517" t="s">
        <v>1761</v>
      </c>
      <c r="D517" t="s">
        <v>63</v>
      </c>
      <c r="E517" t="s">
        <v>24</v>
      </c>
      <c r="F517" t="s">
        <v>243</v>
      </c>
      <c r="G517">
        <v>20</v>
      </c>
      <c r="H517" t="s">
        <v>188</v>
      </c>
      <c r="I517" t="s">
        <v>189</v>
      </c>
      <c r="J517" t="s">
        <v>248</v>
      </c>
      <c r="K517" t="s">
        <v>1762</v>
      </c>
      <c r="R517">
        <v>66</v>
      </c>
    </row>
    <row r="518" spans="1:18" x14ac:dyDescent="0.25">
      <c r="A518" t="s">
        <v>1763</v>
      </c>
      <c r="B518" s="1">
        <v>44312</v>
      </c>
      <c r="C518" t="s">
        <v>1764</v>
      </c>
      <c r="D518" t="s">
        <v>63</v>
      </c>
      <c r="E518" t="s">
        <v>24</v>
      </c>
      <c r="F518" t="s">
        <v>323</v>
      </c>
      <c r="G518">
        <v>45</v>
      </c>
      <c r="H518" t="s">
        <v>26</v>
      </c>
      <c r="I518" t="s">
        <v>370</v>
      </c>
      <c r="J518" t="s">
        <v>479</v>
      </c>
      <c r="K518" t="s">
        <v>1765</v>
      </c>
      <c r="L518">
        <v>252</v>
      </c>
      <c r="M518">
        <v>94</v>
      </c>
      <c r="N518" s="2">
        <v>0.35</v>
      </c>
      <c r="O518">
        <v>86</v>
      </c>
      <c r="P518">
        <v>15.53</v>
      </c>
      <c r="Q518">
        <v>11.65</v>
      </c>
      <c r="R518">
        <v>312</v>
      </c>
    </row>
    <row r="519" spans="1:18" x14ac:dyDescent="0.25">
      <c r="A519" t="s">
        <v>1766</v>
      </c>
      <c r="B519" s="1">
        <v>44312</v>
      </c>
      <c r="C519" t="s">
        <v>1767</v>
      </c>
      <c r="D519" t="s">
        <v>63</v>
      </c>
      <c r="E519" t="s">
        <v>24</v>
      </c>
      <c r="F519" t="s">
        <v>323</v>
      </c>
      <c r="G519">
        <v>5</v>
      </c>
      <c r="H519" t="s">
        <v>49</v>
      </c>
      <c r="I519" t="s">
        <v>50</v>
      </c>
      <c r="J519" t="s">
        <v>51</v>
      </c>
      <c r="K519" t="s">
        <v>1656</v>
      </c>
      <c r="R519">
        <v>12</v>
      </c>
    </row>
    <row r="520" spans="1:18" x14ac:dyDescent="0.25">
      <c r="A520" t="s">
        <v>1768</v>
      </c>
      <c r="B520" s="1">
        <v>44312</v>
      </c>
      <c r="C520" t="s">
        <v>1769</v>
      </c>
      <c r="D520" t="s">
        <v>63</v>
      </c>
      <c r="E520" t="s">
        <v>24</v>
      </c>
      <c r="F520" t="s">
        <v>314</v>
      </c>
      <c r="G520">
        <v>15</v>
      </c>
      <c r="H520" t="s">
        <v>194</v>
      </c>
      <c r="I520" t="s">
        <v>195</v>
      </c>
      <c r="J520" t="s">
        <v>1217</v>
      </c>
      <c r="K520" t="s">
        <v>1770</v>
      </c>
      <c r="R520">
        <v>69</v>
      </c>
    </row>
    <row r="521" spans="1:18" x14ac:dyDescent="0.25">
      <c r="A521" t="s">
        <v>1771</v>
      </c>
      <c r="B521" s="1">
        <v>44312</v>
      </c>
      <c r="C521" t="s">
        <v>1491</v>
      </c>
      <c r="D521" t="s">
        <v>63</v>
      </c>
      <c r="E521" t="s">
        <v>24</v>
      </c>
      <c r="F521" t="s">
        <v>208</v>
      </c>
      <c r="G521">
        <v>10</v>
      </c>
      <c r="H521" t="s">
        <v>464</v>
      </c>
      <c r="I521" t="s">
        <v>763</v>
      </c>
      <c r="J521" t="s">
        <v>914</v>
      </c>
      <c r="K521" t="s">
        <v>1772</v>
      </c>
    </row>
    <row r="522" spans="1:18" x14ac:dyDescent="0.25">
      <c r="A522" t="s">
        <v>1831</v>
      </c>
      <c r="B522" s="1">
        <v>44319</v>
      </c>
      <c r="C522" t="s">
        <v>1832</v>
      </c>
      <c r="D522" t="s">
        <v>63</v>
      </c>
      <c r="E522" t="s">
        <v>24</v>
      </c>
      <c r="F522" t="s">
        <v>323</v>
      </c>
      <c r="G522">
        <v>75</v>
      </c>
      <c r="H522" t="s">
        <v>26</v>
      </c>
      <c r="I522" t="s">
        <v>370</v>
      </c>
      <c r="J522" t="s">
        <v>1081</v>
      </c>
      <c r="K522" t="s">
        <v>1833</v>
      </c>
      <c r="L522">
        <v>403</v>
      </c>
      <c r="M522">
        <v>90</v>
      </c>
      <c r="N522" s="2">
        <v>0.35</v>
      </c>
      <c r="O522">
        <v>84</v>
      </c>
      <c r="P522">
        <v>15.41</v>
      </c>
      <c r="Q522">
        <v>19.27</v>
      </c>
      <c r="R522">
        <v>499</v>
      </c>
    </row>
    <row r="523" spans="1:18" x14ac:dyDescent="0.25">
      <c r="A523" t="s">
        <v>1834</v>
      </c>
      <c r="B523" s="1">
        <v>44319</v>
      </c>
      <c r="C523" t="s">
        <v>1835</v>
      </c>
      <c r="D523" t="s">
        <v>63</v>
      </c>
      <c r="E523" t="s">
        <v>24</v>
      </c>
      <c r="F523" t="s">
        <v>323</v>
      </c>
      <c r="G523">
        <v>5</v>
      </c>
      <c r="H523" t="s">
        <v>49</v>
      </c>
      <c r="I523" t="s">
        <v>50</v>
      </c>
      <c r="J523" t="s">
        <v>51</v>
      </c>
      <c r="K523" t="s">
        <v>1836</v>
      </c>
      <c r="R523">
        <v>12</v>
      </c>
    </row>
    <row r="524" spans="1:18" x14ac:dyDescent="0.25">
      <c r="A524" t="s">
        <v>1893</v>
      </c>
      <c r="B524" s="1">
        <v>44326</v>
      </c>
      <c r="C524" t="s">
        <v>1894</v>
      </c>
      <c r="D524" t="s">
        <v>63</v>
      </c>
      <c r="E524" t="s">
        <v>24</v>
      </c>
      <c r="F524" t="s">
        <v>323</v>
      </c>
      <c r="G524">
        <v>75</v>
      </c>
      <c r="H524" t="s">
        <v>26</v>
      </c>
      <c r="I524" t="s">
        <v>370</v>
      </c>
      <c r="J524" t="s">
        <v>1081</v>
      </c>
      <c r="K524" t="s">
        <v>1895</v>
      </c>
      <c r="L524">
        <v>410</v>
      </c>
      <c r="M524">
        <v>91</v>
      </c>
      <c r="N524" s="2">
        <v>0.36</v>
      </c>
      <c r="O524">
        <v>84</v>
      </c>
      <c r="P524">
        <v>15.52</v>
      </c>
      <c r="Q524">
        <v>19.39</v>
      </c>
      <c r="R524">
        <v>507</v>
      </c>
    </row>
    <row r="525" spans="1:18" x14ac:dyDescent="0.25">
      <c r="A525" t="s">
        <v>1896</v>
      </c>
      <c r="B525" s="1">
        <v>44326</v>
      </c>
      <c r="C525" t="s">
        <v>1703</v>
      </c>
      <c r="D525" t="s">
        <v>63</v>
      </c>
      <c r="E525" t="s">
        <v>24</v>
      </c>
      <c r="F525" t="s">
        <v>323</v>
      </c>
      <c r="G525">
        <v>5</v>
      </c>
      <c r="H525" t="s">
        <v>26</v>
      </c>
      <c r="I525" t="s">
        <v>358</v>
      </c>
      <c r="J525" t="s">
        <v>359</v>
      </c>
      <c r="K525" t="s">
        <v>1842</v>
      </c>
      <c r="L525">
        <v>21</v>
      </c>
      <c r="M525">
        <v>69</v>
      </c>
      <c r="N525" s="2">
        <v>0.3</v>
      </c>
      <c r="O525">
        <v>89</v>
      </c>
      <c r="P525">
        <v>13.85</v>
      </c>
      <c r="Q525">
        <v>1.1499999999999999</v>
      </c>
      <c r="R525">
        <v>26</v>
      </c>
    </row>
    <row r="526" spans="1:18" x14ac:dyDescent="0.25">
      <c r="A526" t="s">
        <v>1897</v>
      </c>
      <c r="B526" s="1">
        <v>44326</v>
      </c>
      <c r="C526" t="s">
        <v>1655</v>
      </c>
      <c r="D526" t="s">
        <v>63</v>
      </c>
      <c r="E526" t="s">
        <v>24</v>
      </c>
      <c r="F526" t="s">
        <v>323</v>
      </c>
      <c r="G526">
        <v>5</v>
      </c>
      <c r="H526" t="s">
        <v>49</v>
      </c>
      <c r="I526" t="s">
        <v>50</v>
      </c>
      <c r="J526" t="s">
        <v>51</v>
      </c>
      <c r="K526" t="s">
        <v>1656</v>
      </c>
      <c r="R526">
        <v>12</v>
      </c>
    </row>
    <row r="527" spans="1:18" x14ac:dyDescent="0.25">
      <c r="A527" t="s">
        <v>1898</v>
      </c>
      <c r="B527" s="1">
        <v>44326</v>
      </c>
      <c r="C527" t="s">
        <v>1801</v>
      </c>
      <c r="D527" t="s">
        <v>63</v>
      </c>
      <c r="E527" t="s">
        <v>24</v>
      </c>
      <c r="F527" t="s">
        <v>215</v>
      </c>
      <c r="G527">
        <v>30</v>
      </c>
      <c r="H527" t="s">
        <v>464</v>
      </c>
      <c r="I527" t="s">
        <v>943</v>
      </c>
      <c r="J527" t="s">
        <v>1621</v>
      </c>
      <c r="K527" t="s">
        <v>1681</v>
      </c>
    </row>
    <row r="528" spans="1:18" x14ac:dyDescent="0.25">
      <c r="A528" t="s">
        <v>1966</v>
      </c>
      <c r="B528" s="1">
        <v>44333</v>
      </c>
      <c r="C528" t="s">
        <v>1444</v>
      </c>
      <c r="D528" t="s">
        <v>63</v>
      </c>
      <c r="E528" t="s">
        <v>24</v>
      </c>
      <c r="F528" t="s">
        <v>323</v>
      </c>
      <c r="G528">
        <v>60</v>
      </c>
      <c r="H528" t="s">
        <v>26</v>
      </c>
      <c r="I528" t="s">
        <v>370</v>
      </c>
      <c r="J528" t="s">
        <v>498</v>
      </c>
      <c r="K528" t="s">
        <v>1967</v>
      </c>
      <c r="L528">
        <v>325</v>
      </c>
      <c r="M528">
        <v>90</v>
      </c>
      <c r="N528" s="2">
        <v>0.36</v>
      </c>
      <c r="O528">
        <v>85</v>
      </c>
      <c r="P528">
        <v>15.47</v>
      </c>
      <c r="Q528">
        <v>15.47</v>
      </c>
      <c r="R528">
        <v>401</v>
      </c>
    </row>
    <row r="529" spans="1:19" x14ac:dyDescent="0.25">
      <c r="A529" t="s">
        <v>1968</v>
      </c>
      <c r="B529" s="1">
        <v>44333</v>
      </c>
      <c r="C529" t="s">
        <v>1969</v>
      </c>
      <c r="D529" t="s">
        <v>63</v>
      </c>
      <c r="E529" t="s">
        <v>24</v>
      </c>
      <c r="F529" t="s">
        <v>323</v>
      </c>
      <c r="G529">
        <v>5</v>
      </c>
      <c r="H529" t="s">
        <v>49</v>
      </c>
      <c r="I529" t="s">
        <v>50</v>
      </c>
      <c r="J529" t="s">
        <v>51</v>
      </c>
      <c r="K529" t="s">
        <v>1656</v>
      </c>
      <c r="R529">
        <v>12</v>
      </c>
    </row>
    <row r="530" spans="1:19" x14ac:dyDescent="0.25">
      <c r="A530" t="s">
        <v>1970</v>
      </c>
      <c r="B530" s="1">
        <v>44333</v>
      </c>
      <c r="C530" t="s">
        <v>1971</v>
      </c>
      <c r="D530" t="s">
        <v>63</v>
      </c>
      <c r="E530" t="s">
        <v>24</v>
      </c>
      <c r="F530" t="s">
        <v>335</v>
      </c>
      <c r="G530">
        <v>10</v>
      </c>
      <c r="H530" t="s">
        <v>194</v>
      </c>
      <c r="I530" t="s">
        <v>195</v>
      </c>
      <c r="J530" t="s">
        <v>211</v>
      </c>
      <c r="K530" t="s">
        <v>1972</v>
      </c>
      <c r="R530">
        <v>46</v>
      </c>
    </row>
    <row r="531" spans="1:19" x14ac:dyDescent="0.25">
      <c r="A531" t="s">
        <v>1973</v>
      </c>
      <c r="B531" s="1">
        <v>44333</v>
      </c>
      <c r="C531" t="s">
        <v>1974</v>
      </c>
      <c r="D531" t="s">
        <v>63</v>
      </c>
      <c r="E531" t="s">
        <v>24</v>
      </c>
      <c r="F531" t="s">
        <v>200</v>
      </c>
      <c r="G531">
        <v>10</v>
      </c>
      <c r="H531" t="s">
        <v>464</v>
      </c>
      <c r="I531" t="s">
        <v>579</v>
      </c>
      <c r="J531" t="s">
        <v>1975</v>
      </c>
      <c r="K531" t="s">
        <v>1976</v>
      </c>
    </row>
    <row r="532" spans="1:19" x14ac:dyDescent="0.25">
      <c r="A532" t="s">
        <v>2031</v>
      </c>
      <c r="B532" s="1">
        <v>44340</v>
      </c>
      <c r="C532" t="s">
        <v>380</v>
      </c>
      <c r="D532" t="s">
        <v>63</v>
      </c>
      <c r="E532" t="s">
        <v>24</v>
      </c>
      <c r="F532" t="s">
        <v>243</v>
      </c>
      <c r="G532">
        <v>20</v>
      </c>
      <c r="H532" t="s">
        <v>188</v>
      </c>
      <c r="I532" t="s">
        <v>238</v>
      </c>
      <c r="J532" t="s">
        <v>483</v>
      </c>
      <c r="K532" t="s">
        <v>2032</v>
      </c>
      <c r="R532">
        <v>64</v>
      </c>
    </row>
    <row r="533" spans="1:19" x14ac:dyDescent="0.25">
      <c r="A533" t="s">
        <v>2033</v>
      </c>
      <c r="B533" s="1">
        <v>44340</v>
      </c>
      <c r="C533" t="s">
        <v>1549</v>
      </c>
      <c r="D533" t="s">
        <v>63</v>
      </c>
      <c r="E533" t="s">
        <v>24</v>
      </c>
      <c r="F533" t="s">
        <v>323</v>
      </c>
      <c r="G533">
        <v>45</v>
      </c>
      <c r="H533" t="s">
        <v>26</v>
      </c>
      <c r="I533" t="s">
        <v>370</v>
      </c>
      <c r="J533" t="s">
        <v>1256</v>
      </c>
      <c r="K533" t="s">
        <v>2034</v>
      </c>
      <c r="L533">
        <v>244</v>
      </c>
      <c r="M533">
        <v>90</v>
      </c>
      <c r="N533" s="2">
        <v>0.33</v>
      </c>
      <c r="O533">
        <v>89</v>
      </c>
      <c r="P533">
        <v>14.9</v>
      </c>
      <c r="Q533">
        <v>11.17</v>
      </c>
      <c r="R533">
        <v>301</v>
      </c>
    </row>
    <row r="534" spans="1:19" x14ac:dyDescent="0.25">
      <c r="A534" t="s">
        <v>2035</v>
      </c>
      <c r="B534" s="1">
        <v>44340</v>
      </c>
      <c r="C534" t="s">
        <v>1604</v>
      </c>
      <c r="D534" t="s">
        <v>63</v>
      </c>
      <c r="E534" t="s">
        <v>24</v>
      </c>
      <c r="F534" t="s">
        <v>323</v>
      </c>
      <c r="G534">
        <v>5</v>
      </c>
      <c r="H534" t="s">
        <v>26</v>
      </c>
      <c r="I534" t="s">
        <v>358</v>
      </c>
      <c r="J534" t="s">
        <v>359</v>
      </c>
      <c r="K534" t="s">
        <v>1842</v>
      </c>
      <c r="L534">
        <v>20</v>
      </c>
      <c r="M534">
        <v>65</v>
      </c>
      <c r="N534" s="2">
        <v>0.3</v>
      </c>
      <c r="O534">
        <v>87</v>
      </c>
      <c r="P534">
        <v>13.41</v>
      </c>
      <c r="Q534">
        <v>1.1100000000000001</v>
      </c>
      <c r="R534">
        <v>24</v>
      </c>
    </row>
    <row r="535" spans="1:19" x14ac:dyDescent="0.25">
      <c r="A535" t="s">
        <v>2036</v>
      </c>
      <c r="B535" s="1">
        <v>44340</v>
      </c>
      <c r="C535" t="s">
        <v>2037</v>
      </c>
      <c r="D535" t="s">
        <v>63</v>
      </c>
      <c r="E535" t="s">
        <v>24</v>
      </c>
      <c r="F535" t="s">
        <v>323</v>
      </c>
      <c r="G535">
        <v>5</v>
      </c>
      <c r="H535" t="s">
        <v>49</v>
      </c>
      <c r="I535" t="s">
        <v>50</v>
      </c>
      <c r="J535" t="s">
        <v>51</v>
      </c>
      <c r="K535" t="s">
        <v>1656</v>
      </c>
      <c r="R535">
        <v>12</v>
      </c>
    </row>
    <row r="536" spans="1:19" x14ac:dyDescent="0.25">
      <c r="A536" t="s">
        <v>2038</v>
      </c>
      <c r="B536" s="1">
        <v>44340</v>
      </c>
      <c r="C536" t="s">
        <v>1819</v>
      </c>
      <c r="D536" t="s">
        <v>63</v>
      </c>
      <c r="E536" t="s">
        <v>24</v>
      </c>
      <c r="F536" t="s">
        <v>459</v>
      </c>
      <c r="G536">
        <v>20</v>
      </c>
      <c r="H536" t="s">
        <v>464</v>
      </c>
      <c r="I536" t="s">
        <v>1617</v>
      </c>
      <c r="J536" t="s">
        <v>1618</v>
      </c>
      <c r="K536" t="s">
        <v>2039</v>
      </c>
    </row>
    <row r="537" spans="1:19" x14ac:dyDescent="0.25">
      <c r="A537" t="s">
        <v>2086</v>
      </c>
      <c r="B537" s="1">
        <v>44347</v>
      </c>
      <c r="C537" t="s">
        <v>2087</v>
      </c>
      <c r="D537" t="s">
        <v>63</v>
      </c>
      <c r="E537" t="s">
        <v>24</v>
      </c>
      <c r="F537" t="s">
        <v>323</v>
      </c>
      <c r="G537">
        <v>90</v>
      </c>
      <c r="H537" t="s">
        <v>26</v>
      </c>
      <c r="I537" t="s">
        <v>370</v>
      </c>
      <c r="J537" t="s">
        <v>1278</v>
      </c>
      <c r="K537" t="s">
        <v>2088</v>
      </c>
      <c r="L537">
        <v>513</v>
      </c>
      <c r="M537">
        <v>95</v>
      </c>
      <c r="N537" s="2">
        <v>0.36</v>
      </c>
      <c r="O537">
        <v>87</v>
      </c>
      <c r="P537">
        <v>15.8</v>
      </c>
      <c r="Q537">
        <v>23.71</v>
      </c>
      <c r="R537">
        <v>632</v>
      </c>
    </row>
    <row r="538" spans="1:19" x14ac:dyDescent="0.25">
      <c r="A538" t="s">
        <v>2089</v>
      </c>
      <c r="B538" s="1">
        <v>44347</v>
      </c>
      <c r="C538" t="s">
        <v>2090</v>
      </c>
      <c r="D538" t="s">
        <v>63</v>
      </c>
      <c r="E538" t="s">
        <v>24</v>
      </c>
      <c r="F538" t="s">
        <v>323</v>
      </c>
      <c r="G538">
        <v>5</v>
      </c>
      <c r="H538" t="s">
        <v>49</v>
      </c>
      <c r="I538" t="s">
        <v>50</v>
      </c>
      <c r="J538" t="s">
        <v>51</v>
      </c>
      <c r="K538" t="s">
        <v>1656</v>
      </c>
      <c r="R538">
        <v>11</v>
      </c>
    </row>
    <row r="539" spans="1:19" x14ac:dyDescent="0.25">
      <c r="A539" t="s">
        <v>2091</v>
      </c>
      <c r="B539" s="1">
        <v>44347</v>
      </c>
      <c r="C539" t="s">
        <v>2092</v>
      </c>
      <c r="D539" t="s">
        <v>63</v>
      </c>
      <c r="E539" t="s">
        <v>24</v>
      </c>
      <c r="F539" t="s">
        <v>747</v>
      </c>
      <c r="G539">
        <v>10</v>
      </c>
      <c r="H539" t="s">
        <v>194</v>
      </c>
      <c r="I539" t="s">
        <v>700</v>
      </c>
      <c r="J539" t="s">
        <v>1282</v>
      </c>
      <c r="K539" t="s">
        <v>2093</v>
      </c>
      <c r="R539">
        <v>46</v>
      </c>
    </row>
    <row r="540" spans="1:19" x14ac:dyDescent="0.25">
      <c r="A540" t="s">
        <v>2094</v>
      </c>
      <c r="B540" s="1">
        <v>44347</v>
      </c>
      <c r="C540" t="s">
        <v>2095</v>
      </c>
      <c r="D540" t="s">
        <v>63</v>
      </c>
      <c r="E540" t="s">
        <v>24</v>
      </c>
      <c r="F540" t="s">
        <v>490</v>
      </c>
      <c r="G540">
        <v>20</v>
      </c>
      <c r="H540" t="s">
        <v>1856</v>
      </c>
      <c r="I540" t="s">
        <v>2096</v>
      </c>
      <c r="J540" t="s">
        <v>2097</v>
      </c>
      <c r="K540" t="s">
        <v>2098</v>
      </c>
      <c r="L540">
        <v>0</v>
      </c>
      <c r="P540">
        <v>3.25</v>
      </c>
      <c r="Q540">
        <v>1.08</v>
      </c>
      <c r="R540">
        <v>123</v>
      </c>
      <c r="S540">
        <v>120.15</v>
      </c>
    </row>
    <row r="541" spans="1:19" x14ac:dyDescent="0.25">
      <c r="A541" t="s">
        <v>2099</v>
      </c>
      <c r="B541" s="1">
        <v>44347</v>
      </c>
      <c r="C541" t="s">
        <v>2100</v>
      </c>
      <c r="D541" t="s">
        <v>63</v>
      </c>
      <c r="E541" t="s">
        <v>24</v>
      </c>
      <c r="F541" t="s">
        <v>215</v>
      </c>
      <c r="G541">
        <v>10</v>
      </c>
      <c r="H541" t="s">
        <v>464</v>
      </c>
      <c r="I541" t="s">
        <v>579</v>
      </c>
      <c r="J541" t="s">
        <v>1975</v>
      </c>
      <c r="K541" t="s">
        <v>2101</v>
      </c>
    </row>
    <row r="542" spans="1:19" x14ac:dyDescent="0.25">
      <c r="A542" t="s">
        <v>2141</v>
      </c>
      <c r="B542" s="1">
        <v>44354</v>
      </c>
      <c r="C542" t="s">
        <v>2142</v>
      </c>
      <c r="D542" t="s">
        <v>63</v>
      </c>
      <c r="E542" t="s">
        <v>24</v>
      </c>
      <c r="F542" t="s">
        <v>243</v>
      </c>
      <c r="G542">
        <v>30</v>
      </c>
      <c r="H542" t="s">
        <v>26</v>
      </c>
      <c r="I542" t="s">
        <v>370</v>
      </c>
      <c r="J542" t="s">
        <v>1260</v>
      </c>
      <c r="K542" t="s">
        <v>2143</v>
      </c>
      <c r="L542">
        <v>155</v>
      </c>
      <c r="M542">
        <v>86</v>
      </c>
      <c r="N542" s="2">
        <v>0.35</v>
      </c>
      <c r="O542">
        <v>83</v>
      </c>
      <c r="P542">
        <v>15.08</v>
      </c>
      <c r="Q542">
        <v>7.54</v>
      </c>
      <c r="R542">
        <v>191</v>
      </c>
    </row>
    <row r="543" spans="1:19" x14ac:dyDescent="0.25">
      <c r="A543" t="s">
        <v>2144</v>
      </c>
      <c r="B543" s="1">
        <v>44354</v>
      </c>
      <c r="C543" t="s">
        <v>1971</v>
      </c>
      <c r="D543" t="s">
        <v>63</v>
      </c>
      <c r="E543" t="s">
        <v>24</v>
      </c>
      <c r="F543" t="s">
        <v>335</v>
      </c>
      <c r="G543">
        <v>20</v>
      </c>
      <c r="H543" t="s">
        <v>194</v>
      </c>
      <c r="I543" t="s">
        <v>631</v>
      </c>
      <c r="J543" t="s">
        <v>2145</v>
      </c>
      <c r="K543" t="s">
        <v>2146</v>
      </c>
      <c r="R543">
        <v>92</v>
      </c>
    </row>
    <row r="544" spans="1:19" x14ac:dyDescent="0.25">
      <c r="A544" t="s">
        <v>2147</v>
      </c>
      <c r="B544" s="1">
        <v>44354</v>
      </c>
      <c r="C544" t="s">
        <v>2148</v>
      </c>
      <c r="D544" t="s">
        <v>63</v>
      </c>
      <c r="E544" t="s">
        <v>24</v>
      </c>
      <c r="F544" t="s">
        <v>1203</v>
      </c>
      <c r="G544">
        <v>10</v>
      </c>
      <c r="H544" t="s">
        <v>194</v>
      </c>
      <c r="I544" t="s">
        <v>195</v>
      </c>
      <c r="J544" t="s">
        <v>211</v>
      </c>
      <c r="K544" t="s">
        <v>1943</v>
      </c>
      <c r="R544">
        <v>46</v>
      </c>
    </row>
    <row r="545" spans="1:18" x14ac:dyDescent="0.25">
      <c r="A545" t="s">
        <v>2223</v>
      </c>
      <c r="B545" s="1">
        <v>44361</v>
      </c>
      <c r="C545" t="s">
        <v>380</v>
      </c>
      <c r="D545" t="s">
        <v>63</v>
      </c>
      <c r="E545" t="s">
        <v>24</v>
      </c>
      <c r="F545" t="s">
        <v>200</v>
      </c>
      <c r="G545">
        <v>10</v>
      </c>
      <c r="H545" t="s">
        <v>188</v>
      </c>
      <c r="I545" t="s">
        <v>238</v>
      </c>
      <c r="J545" t="s">
        <v>731</v>
      </c>
      <c r="K545" t="s">
        <v>2224</v>
      </c>
      <c r="R545">
        <v>34</v>
      </c>
    </row>
    <row r="546" spans="1:18" x14ac:dyDescent="0.25">
      <c r="A546" t="s">
        <v>2225</v>
      </c>
      <c r="B546" s="1">
        <v>44361</v>
      </c>
      <c r="C546" t="s">
        <v>1107</v>
      </c>
      <c r="D546" t="s">
        <v>63</v>
      </c>
      <c r="E546" t="s">
        <v>24</v>
      </c>
      <c r="F546" t="s">
        <v>243</v>
      </c>
      <c r="G546">
        <v>20</v>
      </c>
      <c r="H546" t="s">
        <v>188</v>
      </c>
      <c r="I546" t="s">
        <v>103</v>
      </c>
      <c r="J546" t="s">
        <v>2226</v>
      </c>
      <c r="K546" t="s">
        <v>2227</v>
      </c>
      <c r="R546">
        <v>64</v>
      </c>
    </row>
    <row r="547" spans="1:18" x14ac:dyDescent="0.25">
      <c r="A547" t="s">
        <v>2228</v>
      </c>
      <c r="B547" s="1">
        <v>44361</v>
      </c>
      <c r="C547" t="s">
        <v>942</v>
      </c>
      <c r="D547" t="s">
        <v>63</v>
      </c>
      <c r="E547" t="s">
        <v>24</v>
      </c>
      <c r="F547" t="s">
        <v>459</v>
      </c>
      <c r="G547">
        <v>15</v>
      </c>
      <c r="H547" t="s">
        <v>464</v>
      </c>
      <c r="I547" t="s">
        <v>763</v>
      </c>
      <c r="J547" t="s">
        <v>2229</v>
      </c>
      <c r="K547" t="s">
        <v>2230</v>
      </c>
    </row>
    <row r="548" spans="1:18" x14ac:dyDescent="0.25">
      <c r="A548" t="s">
        <v>2270</v>
      </c>
      <c r="B548" s="1">
        <v>44368</v>
      </c>
      <c r="C548" t="s">
        <v>1556</v>
      </c>
      <c r="D548" t="s">
        <v>63</v>
      </c>
      <c r="E548" t="s">
        <v>24</v>
      </c>
      <c r="F548" t="s">
        <v>335</v>
      </c>
      <c r="G548">
        <v>5</v>
      </c>
      <c r="H548" t="s">
        <v>26</v>
      </c>
      <c r="I548" t="s">
        <v>423</v>
      </c>
      <c r="J548" t="s">
        <v>505</v>
      </c>
      <c r="K548" t="s">
        <v>2271</v>
      </c>
      <c r="L548">
        <v>18</v>
      </c>
      <c r="M548">
        <v>61</v>
      </c>
      <c r="N548" s="2">
        <v>0.28000000000000003</v>
      </c>
      <c r="O548">
        <v>89</v>
      </c>
      <c r="P548">
        <v>12.99</v>
      </c>
      <c r="Q548">
        <v>1.08</v>
      </c>
      <c r="R548">
        <v>23</v>
      </c>
    </row>
    <row r="549" spans="1:18" x14ac:dyDescent="0.25">
      <c r="A549" t="s">
        <v>2272</v>
      </c>
      <c r="B549" s="1">
        <v>44368</v>
      </c>
      <c r="C549" t="s">
        <v>1532</v>
      </c>
      <c r="D549" t="s">
        <v>63</v>
      </c>
      <c r="E549" t="s">
        <v>24</v>
      </c>
      <c r="F549" t="s">
        <v>323</v>
      </c>
      <c r="G549">
        <v>60</v>
      </c>
      <c r="H549" t="s">
        <v>26</v>
      </c>
      <c r="I549" t="s">
        <v>370</v>
      </c>
      <c r="J549" t="s">
        <v>498</v>
      </c>
      <c r="K549" t="s">
        <v>2273</v>
      </c>
      <c r="L549">
        <v>359</v>
      </c>
      <c r="M549">
        <v>100</v>
      </c>
      <c r="N549" s="2">
        <v>0.38</v>
      </c>
      <c r="O549">
        <v>83</v>
      </c>
      <c r="P549">
        <v>16.13</v>
      </c>
      <c r="Q549">
        <v>16.14</v>
      </c>
      <c r="R549">
        <v>443</v>
      </c>
    </row>
    <row r="550" spans="1:18" x14ac:dyDescent="0.25">
      <c r="A550" t="s">
        <v>2274</v>
      </c>
      <c r="B550" s="1">
        <v>44368</v>
      </c>
      <c r="C550" t="s">
        <v>1664</v>
      </c>
      <c r="D550" t="s">
        <v>63</v>
      </c>
      <c r="E550" t="s">
        <v>24</v>
      </c>
      <c r="F550" t="s">
        <v>323</v>
      </c>
      <c r="G550">
        <v>5</v>
      </c>
      <c r="H550" t="s">
        <v>49</v>
      </c>
      <c r="I550" t="s">
        <v>50</v>
      </c>
      <c r="J550" t="s">
        <v>51</v>
      </c>
      <c r="K550" t="s">
        <v>1656</v>
      </c>
      <c r="R550">
        <v>12</v>
      </c>
    </row>
    <row r="551" spans="1:18" x14ac:dyDescent="0.25">
      <c r="A551" t="s">
        <v>2275</v>
      </c>
      <c r="B551" s="1">
        <v>44368</v>
      </c>
      <c r="C551" t="s">
        <v>2276</v>
      </c>
      <c r="D551" t="s">
        <v>63</v>
      </c>
      <c r="E551" t="s">
        <v>24</v>
      </c>
      <c r="F551" t="s">
        <v>237</v>
      </c>
      <c r="G551">
        <v>30</v>
      </c>
      <c r="H551" t="s">
        <v>188</v>
      </c>
      <c r="I551" t="s">
        <v>238</v>
      </c>
      <c r="J551" t="s">
        <v>1956</v>
      </c>
      <c r="K551" t="s">
        <v>2277</v>
      </c>
      <c r="R551">
        <v>100</v>
      </c>
    </row>
    <row r="552" spans="1:18" x14ac:dyDescent="0.25">
      <c r="A552" t="s">
        <v>2278</v>
      </c>
      <c r="B552" s="1">
        <v>44368</v>
      </c>
      <c r="C552" t="s">
        <v>2279</v>
      </c>
      <c r="D552" t="s">
        <v>63</v>
      </c>
      <c r="E552" t="s">
        <v>24</v>
      </c>
      <c r="F552" t="s">
        <v>459</v>
      </c>
      <c r="G552">
        <v>20</v>
      </c>
      <c r="H552" t="s">
        <v>464</v>
      </c>
      <c r="I552" t="s">
        <v>103</v>
      </c>
      <c r="J552" t="s">
        <v>2280</v>
      </c>
      <c r="K552" t="s">
        <v>2281</v>
      </c>
    </row>
    <row r="553" spans="1:18" x14ac:dyDescent="0.25">
      <c r="A553" t="s">
        <v>2356</v>
      </c>
      <c r="B553" s="1">
        <v>44375</v>
      </c>
      <c r="C553" t="s">
        <v>2357</v>
      </c>
      <c r="D553" t="s">
        <v>63</v>
      </c>
      <c r="E553" t="s">
        <v>24</v>
      </c>
      <c r="F553" t="s">
        <v>323</v>
      </c>
      <c r="G553">
        <v>60</v>
      </c>
      <c r="H553" t="s">
        <v>26</v>
      </c>
      <c r="I553" t="s">
        <v>370</v>
      </c>
      <c r="J553" t="s">
        <v>498</v>
      </c>
      <c r="K553" t="s">
        <v>2358</v>
      </c>
      <c r="L553">
        <v>367</v>
      </c>
      <c r="M553">
        <v>102</v>
      </c>
      <c r="N553" s="2">
        <v>0.38</v>
      </c>
      <c r="O553">
        <v>82</v>
      </c>
      <c r="P553">
        <v>16.25</v>
      </c>
      <c r="Q553">
        <v>16.25</v>
      </c>
      <c r="R553">
        <v>453</v>
      </c>
    </row>
    <row r="554" spans="1:18" x14ac:dyDescent="0.25">
      <c r="A554" t="s">
        <v>2359</v>
      </c>
      <c r="B554" s="1">
        <v>44375</v>
      </c>
      <c r="C554" t="s">
        <v>2360</v>
      </c>
      <c r="D554" t="s">
        <v>63</v>
      </c>
      <c r="E554" t="s">
        <v>24</v>
      </c>
      <c r="F554" t="s">
        <v>323</v>
      </c>
      <c r="G554">
        <v>5</v>
      </c>
      <c r="H554" t="s">
        <v>49</v>
      </c>
      <c r="I554" t="s">
        <v>50</v>
      </c>
      <c r="J554" t="s">
        <v>51</v>
      </c>
      <c r="K554" t="s">
        <v>1656</v>
      </c>
      <c r="R554">
        <v>12</v>
      </c>
    </row>
    <row r="555" spans="1:18" x14ac:dyDescent="0.25">
      <c r="A555" t="s">
        <v>2361</v>
      </c>
      <c r="B555" s="1">
        <v>44375</v>
      </c>
      <c r="C555" t="s">
        <v>1398</v>
      </c>
      <c r="D555" t="s">
        <v>63</v>
      </c>
      <c r="E555" t="s">
        <v>24</v>
      </c>
      <c r="F555" t="s">
        <v>208</v>
      </c>
      <c r="G555">
        <v>20</v>
      </c>
      <c r="H555" t="s">
        <v>464</v>
      </c>
      <c r="I555" t="s">
        <v>943</v>
      </c>
      <c r="J555" t="s">
        <v>1347</v>
      </c>
      <c r="K555" t="s">
        <v>2362</v>
      </c>
    </row>
    <row r="556" spans="1:18" x14ac:dyDescent="0.25">
      <c r="A556" t="s">
        <v>2412</v>
      </c>
      <c r="B556" s="1">
        <v>44382</v>
      </c>
      <c r="C556" t="s">
        <v>2413</v>
      </c>
      <c r="D556" t="s">
        <v>63</v>
      </c>
      <c r="E556" t="s">
        <v>24</v>
      </c>
      <c r="F556" t="s">
        <v>200</v>
      </c>
      <c r="G556">
        <v>20</v>
      </c>
      <c r="H556" t="s">
        <v>464</v>
      </c>
      <c r="I556" t="s">
        <v>943</v>
      </c>
      <c r="J556" t="s">
        <v>1347</v>
      </c>
      <c r="K556" t="s">
        <v>2386</v>
      </c>
    </row>
    <row r="557" spans="1:18" x14ac:dyDescent="0.25">
      <c r="A557" t="s">
        <v>2414</v>
      </c>
      <c r="B557" s="1">
        <v>44382</v>
      </c>
      <c r="C557" t="s">
        <v>2415</v>
      </c>
      <c r="D557" t="s">
        <v>63</v>
      </c>
      <c r="E557" t="s">
        <v>24</v>
      </c>
      <c r="F557" t="s">
        <v>208</v>
      </c>
      <c r="G557">
        <v>20</v>
      </c>
      <c r="H557" t="s">
        <v>464</v>
      </c>
      <c r="I557" t="s">
        <v>943</v>
      </c>
      <c r="J557" t="s">
        <v>1347</v>
      </c>
      <c r="K557" t="s">
        <v>2362</v>
      </c>
    </row>
    <row r="558" spans="1:18" x14ac:dyDescent="0.25">
      <c r="A558" t="s">
        <v>2472</v>
      </c>
      <c r="B558" s="1">
        <v>44389</v>
      </c>
      <c r="C558" t="s">
        <v>2473</v>
      </c>
      <c r="D558" t="s">
        <v>63</v>
      </c>
      <c r="E558" t="s">
        <v>24</v>
      </c>
      <c r="F558" t="s">
        <v>323</v>
      </c>
      <c r="G558">
        <v>60</v>
      </c>
      <c r="H558" t="s">
        <v>26</v>
      </c>
      <c r="I558" t="s">
        <v>370</v>
      </c>
      <c r="J558" t="s">
        <v>498</v>
      </c>
      <c r="K558" t="s">
        <v>2474</v>
      </c>
      <c r="L558">
        <v>343</v>
      </c>
      <c r="M558">
        <v>95</v>
      </c>
      <c r="N558" s="2">
        <v>0.38</v>
      </c>
      <c r="O558">
        <v>81</v>
      </c>
      <c r="P558">
        <v>15.78</v>
      </c>
      <c r="Q558">
        <v>15.79</v>
      </c>
      <c r="R558">
        <v>423</v>
      </c>
    </row>
    <row r="559" spans="1:18" x14ac:dyDescent="0.25">
      <c r="A559" t="s">
        <v>2475</v>
      </c>
      <c r="B559" s="1">
        <v>44389</v>
      </c>
      <c r="C559" t="s">
        <v>1391</v>
      </c>
      <c r="D559" t="s">
        <v>63</v>
      </c>
      <c r="E559" t="s">
        <v>24</v>
      </c>
      <c r="F559" t="s">
        <v>323</v>
      </c>
      <c r="G559">
        <v>5</v>
      </c>
      <c r="H559" t="s">
        <v>49</v>
      </c>
      <c r="I559" t="s">
        <v>50</v>
      </c>
      <c r="J559" t="s">
        <v>51</v>
      </c>
      <c r="K559" t="s">
        <v>1656</v>
      </c>
      <c r="R559">
        <v>12</v>
      </c>
    </row>
    <row r="560" spans="1:18" x14ac:dyDescent="0.25">
      <c r="A560" t="s">
        <v>2476</v>
      </c>
      <c r="B560" s="1">
        <v>44389</v>
      </c>
      <c r="C560" t="s">
        <v>2005</v>
      </c>
      <c r="D560" t="s">
        <v>63</v>
      </c>
      <c r="E560" t="s">
        <v>24</v>
      </c>
      <c r="F560" t="s">
        <v>2256</v>
      </c>
      <c r="G560">
        <v>10</v>
      </c>
      <c r="H560" t="s">
        <v>194</v>
      </c>
      <c r="I560" t="s">
        <v>195</v>
      </c>
      <c r="J560" t="s">
        <v>211</v>
      </c>
      <c r="K560" t="s">
        <v>2443</v>
      </c>
      <c r="R560">
        <v>46</v>
      </c>
    </row>
    <row r="561" spans="1:19" x14ac:dyDescent="0.25">
      <c r="A561" t="s">
        <v>2477</v>
      </c>
      <c r="B561" s="1">
        <v>44389</v>
      </c>
      <c r="C561" t="s">
        <v>2478</v>
      </c>
      <c r="D561" t="s">
        <v>63</v>
      </c>
      <c r="E561" t="s">
        <v>24</v>
      </c>
      <c r="F561" t="s">
        <v>243</v>
      </c>
      <c r="G561">
        <v>10</v>
      </c>
      <c r="H561" t="s">
        <v>188</v>
      </c>
      <c r="I561" t="s">
        <v>2479</v>
      </c>
      <c r="J561" t="s">
        <v>2480</v>
      </c>
      <c r="K561" t="s">
        <v>2481</v>
      </c>
      <c r="R561">
        <v>27</v>
      </c>
    </row>
    <row r="562" spans="1:19" x14ac:dyDescent="0.25">
      <c r="A562" t="s">
        <v>2482</v>
      </c>
      <c r="B562" s="1">
        <v>44389</v>
      </c>
      <c r="C562" t="s">
        <v>2483</v>
      </c>
      <c r="D562" t="s">
        <v>63</v>
      </c>
      <c r="E562" t="s">
        <v>24</v>
      </c>
      <c r="F562" t="s">
        <v>459</v>
      </c>
      <c r="G562">
        <v>5</v>
      </c>
      <c r="H562" t="s">
        <v>464</v>
      </c>
      <c r="I562" t="s">
        <v>579</v>
      </c>
      <c r="J562" t="s">
        <v>2484</v>
      </c>
      <c r="K562" t="s">
        <v>1785</v>
      </c>
    </row>
    <row r="563" spans="1:19" x14ac:dyDescent="0.25">
      <c r="A563" t="s">
        <v>2527</v>
      </c>
      <c r="B563" s="1">
        <v>44396</v>
      </c>
      <c r="C563" t="s">
        <v>2232</v>
      </c>
      <c r="D563" t="s">
        <v>63</v>
      </c>
      <c r="E563" t="s">
        <v>24</v>
      </c>
      <c r="F563" t="s">
        <v>323</v>
      </c>
      <c r="G563">
        <v>45</v>
      </c>
      <c r="H563" t="s">
        <v>26</v>
      </c>
      <c r="I563" t="s">
        <v>370</v>
      </c>
      <c r="J563" t="s">
        <v>479</v>
      </c>
      <c r="K563" t="s">
        <v>2528</v>
      </c>
      <c r="L563">
        <v>274</v>
      </c>
      <c r="M563">
        <v>102</v>
      </c>
      <c r="N563" s="2">
        <v>0.36</v>
      </c>
      <c r="O563">
        <v>86</v>
      </c>
      <c r="P563">
        <v>15.93</v>
      </c>
      <c r="Q563">
        <v>11.94</v>
      </c>
      <c r="R563">
        <v>338</v>
      </c>
    </row>
    <row r="564" spans="1:19" x14ac:dyDescent="0.25">
      <c r="A564" t="s">
        <v>2529</v>
      </c>
      <c r="B564" s="1">
        <v>44396</v>
      </c>
      <c r="C564" t="s">
        <v>2530</v>
      </c>
      <c r="D564" t="s">
        <v>63</v>
      </c>
      <c r="E564" t="s">
        <v>24</v>
      </c>
      <c r="F564" t="s">
        <v>323</v>
      </c>
      <c r="G564">
        <v>10</v>
      </c>
      <c r="H564" t="s">
        <v>26</v>
      </c>
      <c r="I564" t="s">
        <v>39</v>
      </c>
      <c r="J564" t="s">
        <v>431</v>
      </c>
      <c r="K564" t="s">
        <v>2531</v>
      </c>
      <c r="L564">
        <v>42</v>
      </c>
      <c r="M564">
        <v>69</v>
      </c>
      <c r="N564" s="2">
        <v>0.31</v>
      </c>
      <c r="O564">
        <v>87</v>
      </c>
      <c r="P564">
        <v>13.85</v>
      </c>
      <c r="Q564">
        <v>2.31</v>
      </c>
      <c r="R564">
        <v>51</v>
      </c>
    </row>
    <row r="565" spans="1:19" x14ac:dyDescent="0.25">
      <c r="A565" t="s">
        <v>2532</v>
      </c>
      <c r="B565" s="1">
        <v>44396</v>
      </c>
      <c r="C565" t="s">
        <v>1391</v>
      </c>
      <c r="D565" t="s">
        <v>63</v>
      </c>
      <c r="E565" t="s">
        <v>24</v>
      </c>
      <c r="F565" t="s">
        <v>354</v>
      </c>
      <c r="G565">
        <v>10</v>
      </c>
      <c r="H565" t="s">
        <v>194</v>
      </c>
      <c r="I565" t="s">
        <v>700</v>
      </c>
      <c r="J565" t="s">
        <v>1282</v>
      </c>
      <c r="K565" t="s">
        <v>2533</v>
      </c>
      <c r="R565">
        <v>0</v>
      </c>
    </row>
    <row r="566" spans="1:19" x14ac:dyDescent="0.25">
      <c r="A566" t="s">
        <v>2534</v>
      </c>
      <c r="B566" s="1">
        <v>44396</v>
      </c>
      <c r="C566" t="s">
        <v>2371</v>
      </c>
      <c r="D566" t="s">
        <v>63</v>
      </c>
      <c r="E566" t="s">
        <v>24</v>
      </c>
      <c r="F566" t="s">
        <v>170</v>
      </c>
      <c r="G566">
        <v>10</v>
      </c>
      <c r="H566" t="s">
        <v>194</v>
      </c>
      <c r="I566" t="s">
        <v>195</v>
      </c>
      <c r="J566" t="s">
        <v>211</v>
      </c>
      <c r="K566" t="s">
        <v>2535</v>
      </c>
      <c r="R566">
        <v>46</v>
      </c>
    </row>
    <row r="567" spans="1:19" x14ac:dyDescent="0.25">
      <c r="A567" t="s">
        <v>2536</v>
      </c>
      <c r="B567" s="1">
        <v>44396</v>
      </c>
      <c r="C567" t="s">
        <v>2313</v>
      </c>
      <c r="D567" t="s">
        <v>63</v>
      </c>
      <c r="E567" t="s">
        <v>24</v>
      </c>
      <c r="F567" t="s">
        <v>243</v>
      </c>
      <c r="G567">
        <v>5</v>
      </c>
      <c r="H567" t="s">
        <v>49</v>
      </c>
      <c r="I567" t="s">
        <v>50</v>
      </c>
      <c r="J567" t="s">
        <v>51</v>
      </c>
      <c r="K567" t="s">
        <v>2042</v>
      </c>
      <c r="R567">
        <v>11</v>
      </c>
    </row>
    <row r="568" spans="1:19" x14ac:dyDescent="0.25">
      <c r="A568" t="s">
        <v>2537</v>
      </c>
      <c r="B568" s="1">
        <v>44396</v>
      </c>
      <c r="C568" t="s">
        <v>2538</v>
      </c>
      <c r="D568" t="s">
        <v>63</v>
      </c>
      <c r="E568" t="s">
        <v>24</v>
      </c>
      <c r="F568" t="s">
        <v>237</v>
      </c>
      <c r="G568">
        <v>10</v>
      </c>
      <c r="H568" t="s">
        <v>188</v>
      </c>
      <c r="I568" t="s">
        <v>2479</v>
      </c>
      <c r="J568" t="s">
        <v>2539</v>
      </c>
      <c r="K568" t="s">
        <v>2540</v>
      </c>
      <c r="R568">
        <v>35</v>
      </c>
    </row>
    <row r="569" spans="1:19" x14ac:dyDescent="0.25">
      <c r="A569" t="s">
        <v>2541</v>
      </c>
      <c r="B569" s="1">
        <v>44396</v>
      </c>
      <c r="C569" t="s">
        <v>2295</v>
      </c>
      <c r="D569" t="s">
        <v>63</v>
      </c>
      <c r="E569" t="s">
        <v>24</v>
      </c>
      <c r="F569" t="s">
        <v>208</v>
      </c>
      <c r="G569">
        <v>15</v>
      </c>
      <c r="H569" t="s">
        <v>464</v>
      </c>
      <c r="I569" t="s">
        <v>943</v>
      </c>
      <c r="J569" t="s">
        <v>1709</v>
      </c>
      <c r="K569" t="s">
        <v>2542</v>
      </c>
    </row>
    <row r="570" spans="1:19" x14ac:dyDescent="0.25">
      <c r="A570" t="s">
        <v>2599</v>
      </c>
      <c r="B570" s="1">
        <v>44403</v>
      </c>
      <c r="C570" t="s">
        <v>2600</v>
      </c>
      <c r="D570" t="s">
        <v>63</v>
      </c>
      <c r="E570" t="s">
        <v>24</v>
      </c>
      <c r="F570" t="s">
        <v>328</v>
      </c>
      <c r="G570">
        <v>45</v>
      </c>
      <c r="H570" t="s">
        <v>26</v>
      </c>
      <c r="I570" t="s">
        <v>370</v>
      </c>
      <c r="J570" t="s">
        <v>479</v>
      </c>
      <c r="K570" t="s">
        <v>2601</v>
      </c>
      <c r="L570">
        <v>285</v>
      </c>
      <c r="M570">
        <v>105</v>
      </c>
      <c r="N570" s="2">
        <v>0.38</v>
      </c>
      <c r="O570">
        <v>83</v>
      </c>
      <c r="P570">
        <v>16.34</v>
      </c>
      <c r="Q570">
        <v>12.26</v>
      </c>
      <c r="R570">
        <v>351</v>
      </c>
    </row>
    <row r="571" spans="1:19" x14ac:dyDescent="0.25">
      <c r="A571" t="s">
        <v>2602</v>
      </c>
      <c r="B571" s="1">
        <v>44403</v>
      </c>
      <c r="C571" t="s">
        <v>2603</v>
      </c>
      <c r="D571" t="s">
        <v>63</v>
      </c>
      <c r="E571" t="s">
        <v>24</v>
      </c>
      <c r="F571" t="s">
        <v>328</v>
      </c>
      <c r="G571">
        <v>10</v>
      </c>
      <c r="H571" t="s">
        <v>26</v>
      </c>
      <c r="I571" t="s">
        <v>358</v>
      </c>
      <c r="J571" t="s">
        <v>389</v>
      </c>
      <c r="K571" t="s">
        <v>2604</v>
      </c>
      <c r="L571">
        <v>52</v>
      </c>
      <c r="M571">
        <v>86</v>
      </c>
      <c r="N571" s="2">
        <v>0.35</v>
      </c>
      <c r="O571">
        <v>82</v>
      </c>
      <c r="P571">
        <v>15.09</v>
      </c>
      <c r="Q571">
        <v>2.52</v>
      </c>
      <c r="R571">
        <v>64</v>
      </c>
    </row>
    <row r="572" spans="1:19" x14ac:dyDescent="0.25">
      <c r="A572" t="s">
        <v>2605</v>
      </c>
      <c r="B572" s="1">
        <v>44403</v>
      </c>
      <c r="C572" t="s">
        <v>1111</v>
      </c>
      <c r="D572" t="s">
        <v>63</v>
      </c>
      <c r="E572" t="s">
        <v>24</v>
      </c>
      <c r="F572" t="s">
        <v>335</v>
      </c>
      <c r="G572">
        <v>10</v>
      </c>
      <c r="H572" t="s">
        <v>194</v>
      </c>
      <c r="I572" t="s">
        <v>195</v>
      </c>
      <c r="J572" t="s">
        <v>211</v>
      </c>
      <c r="K572" t="s">
        <v>2606</v>
      </c>
      <c r="R572">
        <v>46</v>
      </c>
    </row>
    <row r="573" spans="1:19" x14ac:dyDescent="0.25">
      <c r="A573" t="s">
        <v>2607</v>
      </c>
      <c r="B573" s="1">
        <v>44403</v>
      </c>
      <c r="C573" t="s">
        <v>392</v>
      </c>
      <c r="D573" t="s">
        <v>63</v>
      </c>
      <c r="E573" t="s">
        <v>24</v>
      </c>
      <c r="F573" t="s">
        <v>243</v>
      </c>
      <c r="G573">
        <v>10</v>
      </c>
      <c r="H573" t="s">
        <v>188</v>
      </c>
      <c r="I573" t="s">
        <v>238</v>
      </c>
      <c r="J573" t="s">
        <v>731</v>
      </c>
      <c r="K573" t="s">
        <v>2608</v>
      </c>
      <c r="R573">
        <v>33</v>
      </c>
      <c r="S573">
        <v>94.67</v>
      </c>
    </row>
    <row r="574" spans="1:19" x14ac:dyDescent="0.25">
      <c r="A574" t="s">
        <v>2609</v>
      </c>
      <c r="B574" s="1">
        <v>44403</v>
      </c>
      <c r="C574" t="s">
        <v>1637</v>
      </c>
      <c r="D574" t="s">
        <v>63</v>
      </c>
      <c r="E574" t="s">
        <v>24</v>
      </c>
      <c r="F574" t="s">
        <v>459</v>
      </c>
      <c r="G574">
        <v>20</v>
      </c>
      <c r="H574" t="s">
        <v>464</v>
      </c>
      <c r="I574" t="s">
        <v>579</v>
      </c>
      <c r="J574" t="s">
        <v>2029</v>
      </c>
      <c r="K574" t="s">
        <v>2610</v>
      </c>
    </row>
    <row r="575" spans="1:19" x14ac:dyDescent="0.25">
      <c r="A575" t="s">
        <v>2665</v>
      </c>
      <c r="B575" s="1">
        <v>44410</v>
      </c>
      <c r="C575" t="s">
        <v>2666</v>
      </c>
      <c r="D575" t="s">
        <v>63</v>
      </c>
      <c r="E575" t="s">
        <v>24</v>
      </c>
      <c r="F575" t="s">
        <v>323</v>
      </c>
      <c r="G575">
        <v>45</v>
      </c>
      <c r="H575" t="s">
        <v>26</v>
      </c>
      <c r="I575" t="s">
        <v>370</v>
      </c>
      <c r="J575" t="s">
        <v>479</v>
      </c>
      <c r="K575" t="s">
        <v>2528</v>
      </c>
      <c r="L575">
        <v>276</v>
      </c>
      <c r="M575">
        <v>102</v>
      </c>
      <c r="N575" s="2">
        <v>0.36</v>
      </c>
      <c r="O575">
        <v>86</v>
      </c>
      <c r="P575">
        <v>15.9</v>
      </c>
      <c r="Q575">
        <v>11.93</v>
      </c>
      <c r="R575">
        <v>340</v>
      </c>
    </row>
    <row r="576" spans="1:19" x14ac:dyDescent="0.25">
      <c r="A576" t="s">
        <v>2667</v>
      </c>
      <c r="B576" s="1">
        <v>44410</v>
      </c>
      <c r="C576" t="s">
        <v>2668</v>
      </c>
      <c r="D576" t="s">
        <v>63</v>
      </c>
      <c r="E576" t="s">
        <v>24</v>
      </c>
      <c r="F576" t="s">
        <v>323</v>
      </c>
      <c r="G576">
        <v>5</v>
      </c>
      <c r="H576" t="s">
        <v>26</v>
      </c>
      <c r="I576" t="s">
        <v>358</v>
      </c>
      <c r="J576" t="s">
        <v>359</v>
      </c>
      <c r="K576" t="s">
        <v>1842</v>
      </c>
      <c r="L576">
        <v>19</v>
      </c>
      <c r="M576">
        <v>62</v>
      </c>
      <c r="N576" s="2">
        <v>0.3</v>
      </c>
      <c r="O576">
        <v>85</v>
      </c>
      <c r="P576">
        <v>13.17</v>
      </c>
      <c r="Q576">
        <v>1.1000000000000001</v>
      </c>
      <c r="R576">
        <v>23</v>
      </c>
    </row>
    <row r="577" spans="1:19" x14ac:dyDescent="0.25">
      <c r="A577" t="s">
        <v>2669</v>
      </c>
      <c r="B577" s="1">
        <v>44410</v>
      </c>
      <c r="C577" t="s">
        <v>2603</v>
      </c>
      <c r="D577" t="s">
        <v>63</v>
      </c>
      <c r="E577" t="s">
        <v>24</v>
      </c>
      <c r="F577" t="s">
        <v>323</v>
      </c>
      <c r="G577">
        <v>5</v>
      </c>
      <c r="H577" t="s">
        <v>49</v>
      </c>
      <c r="I577" t="s">
        <v>50</v>
      </c>
      <c r="J577" t="s">
        <v>51</v>
      </c>
      <c r="K577" t="s">
        <v>1656</v>
      </c>
      <c r="R577">
        <v>12</v>
      </c>
    </row>
    <row r="578" spans="1:19" x14ac:dyDescent="0.25">
      <c r="A578" t="s">
        <v>2670</v>
      </c>
      <c r="B578" s="1">
        <v>44410</v>
      </c>
      <c r="C578" t="s">
        <v>2240</v>
      </c>
      <c r="D578" t="s">
        <v>63</v>
      </c>
      <c r="E578" t="s">
        <v>24</v>
      </c>
      <c r="F578" t="s">
        <v>200</v>
      </c>
      <c r="G578">
        <v>15</v>
      </c>
      <c r="H578" t="s">
        <v>464</v>
      </c>
      <c r="I578" t="s">
        <v>579</v>
      </c>
      <c r="J578" t="s">
        <v>2671</v>
      </c>
      <c r="K578" t="s">
        <v>2672</v>
      </c>
    </row>
    <row r="579" spans="1:19" x14ac:dyDescent="0.25">
      <c r="A579" t="s">
        <v>2717</v>
      </c>
      <c r="B579" s="1">
        <v>44417</v>
      </c>
      <c r="C579" t="s">
        <v>468</v>
      </c>
      <c r="D579" t="s">
        <v>63</v>
      </c>
      <c r="E579" t="s">
        <v>24</v>
      </c>
      <c r="F579" t="s">
        <v>243</v>
      </c>
      <c r="G579">
        <v>45</v>
      </c>
      <c r="H579" t="s">
        <v>188</v>
      </c>
      <c r="I579" t="s">
        <v>189</v>
      </c>
      <c r="J579" t="s">
        <v>244</v>
      </c>
      <c r="K579" t="s">
        <v>2718</v>
      </c>
      <c r="R579">
        <v>157</v>
      </c>
      <c r="S579">
        <v>89.68</v>
      </c>
    </row>
    <row r="580" spans="1:19" x14ac:dyDescent="0.25">
      <c r="A580" t="s">
        <v>2719</v>
      </c>
      <c r="B580" s="1">
        <v>44417</v>
      </c>
      <c r="C580" t="s">
        <v>2720</v>
      </c>
      <c r="D580" t="s">
        <v>63</v>
      </c>
      <c r="E580" t="s">
        <v>24</v>
      </c>
      <c r="F580" t="s">
        <v>323</v>
      </c>
      <c r="G580">
        <v>75</v>
      </c>
      <c r="H580" t="s">
        <v>26</v>
      </c>
      <c r="I580" t="s">
        <v>370</v>
      </c>
      <c r="J580" t="s">
        <v>1081</v>
      </c>
      <c r="K580" t="s">
        <v>2721</v>
      </c>
      <c r="L580">
        <v>460</v>
      </c>
      <c r="M580">
        <v>102</v>
      </c>
      <c r="N580" s="2">
        <v>0.38</v>
      </c>
      <c r="O580">
        <v>83</v>
      </c>
      <c r="P580">
        <v>16.28</v>
      </c>
      <c r="Q580">
        <v>20.350000000000001</v>
      </c>
      <c r="R580">
        <v>567</v>
      </c>
    </row>
    <row r="581" spans="1:19" x14ac:dyDescent="0.25">
      <c r="A581" t="s">
        <v>2722</v>
      </c>
      <c r="B581" s="1">
        <v>44417</v>
      </c>
      <c r="C581" t="s">
        <v>2723</v>
      </c>
      <c r="D581" t="s">
        <v>63</v>
      </c>
      <c r="E581" t="s">
        <v>24</v>
      </c>
      <c r="F581" t="s">
        <v>328</v>
      </c>
      <c r="G581">
        <v>10</v>
      </c>
      <c r="H581" t="s">
        <v>194</v>
      </c>
      <c r="I581" t="s">
        <v>195</v>
      </c>
      <c r="J581" t="s">
        <v>211</v>
      </c>
      <c r="K581" t="s">
        <v>2724</v>
      </c>
      <c r="R581">
        <v>46</v>
      </c>
    </row>
    <row r="582" spans="1:19" x14ac:dyDescent="0.25">
      <c r="A582" t="s">
        <v>2725</v>
      </c>
      <c r="B582" s="1">
        <v>44417</v>
      </c>
      <c r="C582" t="s">
        <v>2726</v>
      </c>
      <c r="D582" t="s">
        <v>63</v>
      </c>
      <c r="E582" t="s">
        <v>24</v>
      </c>
      <c r="F582" t="s">
        <v>459</v>
      </c>
      <c r="G582">
        <v>10</v>
      </c>
      <c r="H582" t="s">
        <v>464</v>
      </c>
      <c r="I582" t="s">
        <v>943</v>
      </c>
      <c r="J582" t="s">
        <v>944</v>
      </c>
      <c r="K582" t="s">
        <v>2727</v>
      </c>
    </row>
    <row r="583" spans="1:19" x14ac:dyDescent="0.25">
      <c r="A583" t="s">
        <v>2783</v>
      </c>
      <c r="B583" s="1">
        <v>44424</v>
      </c>
      <c r="C583" t="s">
        <v>2784</v>
      </c>
      <c r="D583" t="s">
        <v>63</v>
      </c>
      <c r="E583" t="s">
        <v>24</v>
      </c>
      <c r="F583" t="s">
        <v>215</v>
      </c>
      <c r="G583">
        <v>30</v>
      </c>
      <c r="H583" t="s">
        <v>188</v>
      </c>
      <c r="I583" t="s">
        <v>189</v>
      </c>
      <c r="J583" t="s">
        <v>201</v>
      </c>
      <c r="K583" t="s">
        <v>2785</v>
      </c>
      <c r="R583">
        <v>100</v>
      </c>
    </row>
    <row r="584" spans="1:19" x14ac:dyDescent="0.25">
      <c r="A584" t="s">
        <v>2786</v>
      </c>
      <c r="B584" s="1">
        <v>44424</v>
      </c>
      <c r="C584" t="s">
        <v>2787</v>
      </c>
      <c r="D584" t="s">
        <v>63</v>
      </c>
      <c r="E584" t="s">
        <v>24</v>
      </c>
      <c r="F584" t="s">
        <v>323</v>
      </c>
      <c r="G584">
        <v>45</v>
      </c>
      <c r="H584" t="s">
        <v>26</v>
      </c>
      <c r="I584" t="s">
        <v>370</v>
      </c>
      <c r="J584" t="s">
        <v>1256</v>
      </c>
      <c r="K584" t="s">
        <v>2788</v>
      </c>
      <c r="L584">
        <v>288</v>
      </c>
      <c r="M584">
        <v>107</v>
      </c>
      <c r="N584" s="2">
        <v>0.36</v>
      </c>
      <c r="O584">
        <v>88</v>
      </c>
      <c r="P584">
        <v>15.98</v>
      </c>
      <c r="Q584">
        <v>11.99</v>
      </c>
      <c r="R584">
        <v>356</v>
      </c>
    </row>
    <row r="585" spans="1:19" x14ac:dyDescent="0.25">
      <c r="A585" t="s">
        <v>2789</v>
      </c>
      <c r="B585" s="1">
        <v>44424</v>
      </c>
      <c r="C585" t="s">
        <v>2790</v>
      </c>
      <c r="D585" t="s">
        <v>63</v>
      </c>
      <c r="E585" t="s">
        <v>24</v>
      </c>
      <c r="F585" t="s">
        <v>323</v>
      </c>
      <c r="G585">
        <v>5</v>
      </c>
      <c r="H585" t="s">
        <v>26</v>
      </c>
      <c r="I585" t="s">
        <v>358</v>
      </c>
      <c r="J585" t="s">
        <v>359</v>
      </c>
      <c r="K585" t="s">
        <v>2791</v>
      </c>
      <c r="L585">
        <v>12</v>
      </c>
      <c r="M585">
        <v>42</v>
      </c>
      <c r="N585" s="2">
        <v>0.24</v>
      </c>
      <c r="O585">
        <v>87</v>
      </c>
      <c r="P585">
        <v>10.97</v>
      </c>
      <c r="Q585">
        <v>0.91</v>
      </c>
      <c r="R585">
        <v>15</v>
      </c>
    </row>
    <row r="586" spans="1:19" x14ac:dyDescent="0.25">
      <c r="A586" t="s">
        <v>2792</v>
      </c>
      <c r="B586" s="1">
        <v>44424</v>
      </c>
      <c r="C586" t="s">
        <v>2142</v>
      </c>
      <c r="D586" t="s">
        <v>63</v>
      </c>
      <c r="E586" t="s">
        <v>24</v>
      </c>
      <c r="F586" t="s">
        <v>323</v>
      </c>
      <c r="G586">
        <v>5</v>
      </c>
      <c r="H586" t="s">
        <v>49</v>
      </c>
      <c r="I586" t="s">
        <v>50</v>
      </c>
      <c r="J586" t="s">
        <v>51</v>
      </c>
      <c r="K586" t="s">
        <v>2791</v>
      </c>
      <c r="R586">
        <v>12</v>
      </c>
    </row>
    <row r="587" spans="1:19" x14ac:dyDescent="0.25">
      <c r="A587" t="s">
        <v>2793</v>
      </c>
      <c r="B587" s="1">
        <v>44424</v>
      </c>
      <c r="C587" t="s">
        <v>2794</v>
      </c>
      <c r="D587" t="s">
        <v>63</v>
      </c>
      <c r="E587" t="s">
        <v>24</v>
      </c>
      <c r="F587" t="s">
        <v>243</v>
      </c>
      <c r="G587">
        <v>10</v>
      </c>
      <c r="H587" t="s">
        <v>188</v>
      </c>
      <c r="I587" t="s">
        <v>238</v>
      </c>
      <c r="J587" t="s">
        <v>731</v>
      </c>
      <c r="K587" t="s">
        <v>2608</v>
      </c>
      <c r="R587">
        <v>33</v>
      </c>
    </row>
    <row r="588" spans="1:19" x14ac:dyDescent="0.25">
      <c r="A588" t="s">
        <v>2795</v>
      </c>
      <c r="B588" s="1">
        <v>44424</v>
      </c>
      <c r="C588" t="s">
        <v>1669</v>
      </c>
      <c r="D588" t="s">
        <v>63</v>
      </c>
      <c r="E588" t="s">
        <v>24</v>
      </c>
      <c r="F588" t="s">
        <v>208</v>
      </c>
      <c r="G588">
        <v>10</v>
      </c>
      <c r="H588" t="s">
        <v>464</v>
      </c>
      <c r="I588" t="s">
        <v>943</v>
      </c>
      <c r="J588" t="s">
        <v>944</v>
      </c>
      <c r="K588" t="s">
        <v>2796</v>
      </c>
    </row>
    <row r="589" spans="1:19" x14ac:dyDescent="0.25">
      <c r="A589" t="s">
        <v>2840</v>
      </c>
      <c r="B589" s="1">
        <v>44431</v>
      </c>
      <c r="C589" t="s">
        <v>489</v>
      </c>
      <c r="D589" t="s">
        <v>63</v>
      </c>
      <c r="E589" t="s">
        <v>24</v>
      </c>
      <c r="F589" t="s">
        <v>243</v>
      </c>
      <c r="G589">
        <v>45</v>
      </c>
      <c r="H589" t="s">
        <v>188</v>
      </c>
      <c r="I589" t="s">
        <v>189</v>
      </c>
      <c r="J589" t="s">
        <v>244</v>
      </c>
      <c r="K589" t="s">
        <v>2841</v>
      </c>
      <c r="R589">
        <v>147</v>
      </c>
    </row>
    <row r="590" spans="1:19" x14ac:dyDescent="0.25">
      <c r="A590" t="s">
        <v>2842</v>
      </c>
      <c r="B590" s="1">
        <v>44431</v>
      </c>
      <c r="C590" t="s">
        <v>2171</v>
      </c>
      <c r="D590" t="s">
        <v>63</v>
      </c>
      <c r="E590" t="s">
        <v>24</v>
      </c>
      <c r="F590" t="s">
        <v>323</v>
      </c>
      <c r="G590">
        <v>60</v>
      </c>
      <c r="H590" t="s">
        <v>26</v>
      </c>
      <c r="I590" t="s">
        <v>370</v>
      </c>
      <c r="J590" t="s">
        <v>646</v>
      </c>
      <c r="K590" t="s">
        <v>2843</v>
      </c>
      <c r="L590">
        <v>389</v>
      </c>
      <c r="M590">
        <v>108</v>
      </c>
      <c r="N590" s="2">
        <v>0.37</v>
      </c>
      <c r="O590">
        <v>86</v>
      </c>
      <c r="P590">
        <v>16.43</v>
      </c>
      <c r="Q590">
        <v>16.440000000000001</v>
      </c>
      <c r="R590">
        <v>480</v>
      </c>
    </row>
    <row r="591" spans="1:19" x14ac:dyDescent="0.25">
      <c r="A591" t="s">
        <v>2844</v>
      </c>
      <c r="B591" s="1">
        <v>44431</v>
      </c>
      <c r="C591" t="s">
        <v>2845</v>
      </c>
      <c r="D591" t="s">
        <v>63</v>
      </c>
      <c r="E591" t="s">
        <v>24</v>
      </c>
      <c r="F591" t="s">
        <v>323</v>
      </c>
      <c r="G591">
        <v>5</v>
      </c>
      <c r="H591" t="s">
        <v>26</v>
      </c>
      <c r="I591" t="s">
        <v>358</v>
      </c>
      <c r="J591" t="s">
        <v>359</v>
      </c>
      <c r="K591" t="s">
        <v>2791</v>
      </c>
      <c r="L591">
        <v>18</v>
      </c>
      <c r="M591">
        <v>59</v>
      </c>
      <c r="N591" s="2">
        <v>0.28000000000000003</v>
      </c>
      <c r="O591">
        <v>89</v>
      </c>
      <c r="P591">
        <v>12.86</v>
      </c>
      <c r="Q591">
        <v>1.07</v>
      </c>
      <c r="R591">
        <v>22</v>
      </c>
    </row>
    <row r="592" spans="1:19" x14ac:dyDescent="0.25">
      <c r="A592" t="s">
        <v>2846</v>
      </c>
      <c r="B592" s="1">
        <v>44431</v>
      </c>
      <c r="C592" t="s">
        <v>2847</v>
      </c>
      <c r="D592" t="s">
        <v>63</v>
      </c>
      <c r="E592" t="s">
        <v>24</v>
      </c>
      <c r="F592" t="s">
        <v>768</v>
      </c>
      <c r="G592">
        <v>10</v>
      </c>
      <c r="H592" t="s">
        <v>194</v>
      </c>
      <c r="I592" t="s">
        <v>700</v>
      </c>
      <c r="J592" t="s">
        <v>1282</v>
      </c>
      <c r="K592" t="s">
        <v>2848</v>
      </c>
      <c r="R592">
        <v>46</v>
      </c>
    </row>
    <row r="593" spans="1:18" x14ac:dyDescent="0.25">
      <c r="A593" t="s">
        <v>2902</v>
      </c>
      <c r="B593" s="1">
        <v>44438</v>
      </c>
      <c r="C593" t="s">
        <v>2153</v>
      </c>
      <c r="D593" t="s">
        <v>63</v>
      </c>
      <c r="E593" t="s">
        <v>24</v>
      </c>
      <c r="F593" t="s">
        <v>323</v>
      </c>
      <c r="G593">
        <v>45</v>
      </c>
      <c r="H593" t="s">
        <v>26</v>
      </c>
      <c r="I593" t="s">
        <v>370</v>
      </c>
      <c r="J593" t="s">
        <v>439</v>
      </c>
      <c r="K593" t="s">
        <v>1790</v>
      </c>
      <c r="L593">
        <v>263</v>
      </c>
      <c r="M593">
        <v>97</v>
      </c>
      <c r="N593" s="2">
        <v>0.37</v>
      </c>
      <c r="O593">
        <v>84</v>
      </c>
      <c r="P593">
        <v>15.93</v>
      </c>
      <c r="Q593">
        <v>11.95</v>
      </c>
      <c r="R593">
        <v>324</v>
      </c>
    </row>
    <row r="594" spans="1:18" x14ac:dyDescent="0.25">
      <c r="A594" t="s">
        <v>2903</v>
      </c>
      <c r="B594" s="1">
        <v>44438</v>
      </c>
      <c r="C594" t="s">
        <v>2010</v>
      </c>
      <c r="D594" t="s">
        <v>63</v>
      </c>
      <c r="E594" t="s">
        <v>24</v>
      </c>
      <c r="F594" t="s">
        <v>208</v>
      </c>
      <c r="G594">
        <v>10</v>
      </c>
      <c r="H594" t="s">
        <v>464</v>
      </c>
      <c r="I594" t="s">
        <v>943</v>
      </c>
      <c r="J594" t="s">
        <v>944</v>
      </c>
      <c r="K594" t="s">
        <v>2904</v>
      </c>
    </row>
    <row r="595" spans="1:18" x14ac:dyDescent="0.25">
      <c r="A595" t="s">
        <v>2960</v>
      </c>
      <c r="B595" s="1">
        <v>44445</v>
      </c>
      <c r="C595" t="s">
        <v>2961</v>
      </c>
      <c r="D595" t="s">
        <v>63</v>
      </c>
      <c r="E595" t="s">
        <v>24</v>
      </c>
      <c r="F595" t="s">
        <v>459</v>
      </c>
      <c r="G595">
        <v>5</v>
      </c>
      <c r="H595" t="s">
        <v>464</v>
      </c>
      <c r="I595" t="s">
        <v>943</v>
      </c>
      <c r="J595" t="s">
        <v>2962</v>
      </c>
      <c r="K595" t="s">
        <v>2963</v>
      </c>
    </row>
    <row r="596" spans="1:18" x14ac:dyDescent="0.25">
      <c r="A596" t="s">
        <v>3031</v>
      </c>
      <c r="B596" s="1">
        <v>44452</v>
      </c>
      <c r="C596" t="s">
        <v>656</v>
      </c>
      <c r="D596" t="s">
        <v>63</v>
      </c>
      <c r="E596" t="s">
        <v>24</v>
      </c>
      <c r="F596" t="s">
        <v>215</v>
      </c>
      <c r="G596">
        <v>20</v>
      </c>
      <c r="H596" t="s">
        <v>188</v>
      </c>
      <c r="I596" t="s">
        <v>254</v>
      </c>
      <c r="J596" t="s">
        <v>516</v>
      </c>
      <c r="K596" t="s">
        <v>3032</v>
      </c>
      <c r="R596">
        <v>65</v>
      </c>
    </row>
    <row r="597" spans="1:18" x14ac:dyDescent="0.25">
      <c r="A597" t="s">
        <v>3033</v>
      </c>
      <c r="B597" s="1">
        <v>44452</v>
      </c>
      <c r="C597" t="s">
        <v>3034</v>
      </c>
      <c r="D597" t="s">
        <v>63</v>
      </c>
      <c r="E597" t="s">
        <v>24</v>
      </c>
      <c r="F597" t="s">
        <v>243</v>
      </c>
      <c r="G597">
        <v>60</v>
      </c>
      <c r="H597" t="s">
        <v>26</v>
      </c>
      <c r="I597" t="s">
        <v>370</v>
      </c>
      <c r="J597" t="s">
        <v>498</v>
      </c>
      <c r="K597" t="s">
        <v>1790</v>
      </c>
      <c r="L597">
        <v>364</v>
      </c>
      <c r="M597">
        <v>101</v>
      </c>
      <c r="N597" s="2">
        <v>0.39</v>
      </c>
      <c r="O597">
        <v>81</v>
      </c>
      <c r="P597">
        <v>16.18</v>
      </c>
      <c r="Q597">
        <v>16.18</v>
      </c>
      <c r="R597">
        <v>449</v>
      </c>
    </row>
    <row r="598" spans="1:18" x14ac:dyDescent="0.25">
      <c r="A598" t="s">
        <v>3035</v>
      </c>
      <c r="B598" s="1">
        <v>44452</v>
      </c>
      <c r="C598" t="s">
        <v>3036</v>
      </c>
      <c r="D598" t="s">
        <v>63</v>
      </c>
      <c r="E598" t="s">
        <v>24</v>
      </c>
      <c r="F598" t="s">
        <v>25</v>
      </c>
      <c r="G598">
        <v>5</v>
      </c>
      <c r="H598" t="s">
        <v>26</v>
      </c>
      <c r="I598" t="s">
        <v>358</v>
      </c>
      <c r="J598" t="s">
        <v>359</v>
      </c>
      <c r="K598" t="s">
        <v>3037</v>
      </c>
      <c r="L598">
        <v>16</v>
      </c>
      <c r="M598">
        <v>52</v>
      </c>
      <c r="N598" s="2">
        <v>0.3</v>
      </c>
      <c r="O598">
        <v>77</v>
      </c>
      <c r="P598">
        <v>12.05</v>
      </c>
      <c r="Q598">
        <v>1</v>
      </c>
      <c r="R598">
        <v>19</v>
      </c>
    </row>
    <row r="599" spans="1:18" x14ac:dyDescent="0.25">
      <c r="A599" t="s">
        <v>3038</v>
      </c>
      <c r="B599" s="1">
        <v>44452</v>
      </c>
      <c r="C599" t="s">
        <v>2171</v>
      </c>
      <c r="D599" t="s">
        <v>63</v>
      </c>
      <c r="E599" t="s">
        <v>24</v>
      </c>
      <c r="F599" t="s">
        <v>180</v>
      </c>
      <c r="G599">
        <v>5</v>
      </c>
      <c r="H599" t="s">
        <v>49</v>
      </c>
      <c r="I599" t="s">
        <v>50</v>
      </c>
      <c r="J599" t="s">
        <v>51</v>
      </c>
      <c r="K599" t="s">
        <v>3039</v>
      </c>
      <c r="R599">
        <v>11</v>
      </c>
    </row>
    <row r="600" spans="1:18" x14ac:dyDescent="0.25">
      <c r="A600" t="s">
        <v>3040</v>
      </c>
      <c r="B600" s="1">
        <v>44452</v>
      </c>
      <c r="C600" t="s">
        <v>2568</v>
      </c>
      <c r="D600" t="s">
        <v>63</v>
      </c>
      <c r="E600" t="s">
        <v>24</v>
      </c>
      <c r="F600" t="s">
        <v>200</v>
      </c>
      <c r="G600">
        <v>5</v>
      </c>
      <c r="H600" t="s">
        <v>464</v>
      </c>
      <c r="I600" t="s">
        <v>943</v>
      </c>
      <c r="J600" t="s">
        <v>2205</v>
      </c>
      <c r="K600" t="s">
        <v>3041</v>
      </c>
    </row>
    <row r="601" spans="1:18" x14ac:dyDescent="0.25">
      <c r="A601" t="s">
        <v>3080</v>
      </c>
      <c r="B601" s="1">
        <v>44459</v>
      </c>
      <c r="C601" t="s">
        <v>1986</v>
      </c>
      <c r="D601" t="s">
        <v>63</v>
      </c>
      <c r="E601" t="s">
        <v>24</v>
      </c>
      <c r="F601" t="s">
        <v>237</v>
      </c>
      <c r="G601">
        <v>30</v>
      </c>
      <c r="H601" t="s">
        <v>188</v>
      </c>
      <c r="I601" t="s">
        <v>189</v>
      </c>
      <c r="J601" t="s">
        <v>3081</v>
      </c>
      <c r="K601" t="s">
        <v>3082</v>
      </c>
      <c r="R601">
        <v>102</v>
      </c>
    </row>
    <row r="602" spans="1:18" x14ac:dyDescent="0.25">
      <c r="A602" t="s">
        <v>3083</v>
      </c>
      <c r="B602" s="1">
        <v>44459</v>
      </c>
      <c r="C602" t="s">
        <v>2166</v>
      </c>
      <c r="D602" t="s">
        <v>63</v>
      </c>
      <c r="E602" t="s">
        <v>24</v>
      </c>
      <c r="F602" t="s">
        <v>215</v>
      </c>
      <c r="G602">
        <v>20</v>
      </c>
      <c r="H602" t="s">
        <v>188</v>
      </c>
      <c r="I602" t="s">
        <v>189</v>
      </c>
      <c r="J602" t="s">
        <v>796</v>
      </c>
      <c r="K602" t="s">
        <v>3084</v>
      </c>
      <c r="R602">
        <v>67</v>
      </c>
    </row>
    <row r="603" spans="1:18" x14ac:dyDescent="0.25">
      <c r="A603" t="s">
        <v>3085</v>
      </c>
      <c r="B603" s="1">
        <v>44459</v>
      </c>
      <c r="C603" t="s">
        <v>3086</v>
      </c>
      <c r="D603" t="s">
        <v>63</v>
      </c>
      <c r="E603" t="s">
        <v>24</v>
      </c>
      <c r="F603" t="s">
        <v>323</v>
      </c>
      <c r="G603">
        <v>45</v>
      </c>
      <c r="H603" t="s">
        <v>26</v>
      </c>
      <c r="I603" t="s">
        <v>370</v>
      </c>
      <c r="J603" t="s">
        <v>479</v>
      </c>
      <c r="K603" t="s">
        <v>1790</v>
      </c>
      <c r="L603">
        <v>291</v>
      </c>
      <c r="M603">
        <v>108</v>
      </c>
      <c r="N603" s="2">
        <v>0.37</v>
      </c>
      <c r="O603">
        <v>86</v>
      </c>
      <c r="P603">
        <v>16.47</v>
      </c>
      <c r="Q603">
        <v>12.35</v>
      </c>
      <c r="R603">
        <v>358</v>
      </c>
    </row>
    <row r="604" spans="1:18" x14ac:dyDescent="0.25">
      <c r="A604" t="s">
        <v>3087</v>
      </c>
      <c r="B604" s="1">
        <v>44459</v>
      </c>
      <c r="C604" t="s">
        <v>3088</v>
      </c>
      <c r="D604" t="s">
        <v>63</v>
      </c>
      <c r="E604" t="s">
        <v>24</v>
      </c>
      <c r="F604" t="s">
        <v>335</v>
      </c>
      <c r="G604">
        <v>10</v>
      </c>
      <c r="H604" t="s">
        <v>26</v>
      </c>
      <c r="I604" t="s">
        <v>39</v>
      </c>
      <c r="J604" t="s">
        <v>431</v>
      </c>
      <c r="K604" t="s">
        <v>3089</v>
      </c>
      <c r="L604">
        <v>40</v>
      </c>
      <c r="M604">
        <v>66</v>
      </c>
      <c r="N604" s="2">
        <v>0.3</v>
      </c>
      <c r="O604">
        <v>86</v>
      </c>
      <c r="P604">
        <v>13.52</v>
      </c>
      <c r="Q604">
        <v>2.25</v>
      </c>
      <c r="R604">
        <v>49</v>
      </c>
    </row>
    <row r="605" spans="1:18" x14ac:dyDescent="0.25">
      <c r="A605" t="s">
        <v>3090</v>
      </c>
      <c r="B605" s="1">
        <v>44459</v>
      </c>
      <c r="C605" t="s">
        <v>3091</v>
      </c>
      <c r="D605" t="s">
        <v>63</v>
      </c>
      <c r="E605" t="s">
        <v>24</v>
      </c>
      <c r="F605" t="s">
        <v>180</v>
      </c>
      <c r="G605">
        <v>5</v>
      </c>
      <c r="H605" t="s">
        <v>49</v>
      </c>
      <c r="I605" t="s">
        <v>50</v>
      </c>
      <c r="J605" t="s">
        <v>51</v>
      </c>
      <c r="K605" t="s">
        <v>2988</v>
      </c>
      <c r="R605">
        <v>11</v>
      </c>
    </row>
    <row r="606" spans="1:18" x14ac:dyDescent="0.25">
      <c r="A606" t="s">
        <v>3092</v>
      </c>
      <c r="B606" s="1">
        <v>44459</v>
      </c>
      <c r="C606" t="s">
        <v>2881</v>
      </c>
      <c r="D606" t="s">
        <v>63</v>
      </c>
      <c r="E606" t="s">
        <v>24</v>
      </c>
      <c r="F606" t="s">
        <v>2256</v>
      </c>
      <c r="G606">
        <v>5</v>
      </c>
      <c r="H606" t="s">
        <v>194</v>
      </c>
      <c r="I606" t="s">
        <v>195</v>
      </c>
      <c r="J606" t="s">
        <v>196</v>
      </c>
      <c r="K606" t="s">
        <v>3093</v>
      </c>
      <c r="R606">
        <v>23</v>
      </c>
    </row>
    <row r="607" spans="1:18" x14ac:dyDescent="0.25">
      <c r="A607" t="s">
        <v>3094</v>
      </c>
      <c r="B607" s="1">
        <v>44459</v>
      </c>
      <c r="C607" t="s">
        <v>2629</v>
      </c>
      <c r="D607" t="s">
        <v>63</v>
      </c>
      <c r="E607" t="s">
        <v>24</v>
      </c>
      <c r="F607" t="s">
        <v>215</v>
      </c>
      <c r="G607">
        <v>10</v>
      </c>
      <c r="H607" t="s">
        <v>464</v>
      </c>
      <c r="I607" t="s">
        <v>943</v>
      </c>
      <c r="J607" t="s">
        <v>944</v>
      </c>
      <c r="K607" t="s">
        <v>3095</v>
      </c>
    </row>
    <row r="608" spans="1:18" x14ac:dyDescent="0.25">
      <c r="A608" t="s">
        <v>3145</v>
      </c>
      <c r="B608" s="1">
        <v>44466</v>
      </c>
      <c r="C608" t="s">
        <v>3146</v>
      </c>
      <c r="D608" t="s">
        <v>63</v>
      </c>
      <c r="E608" t="s">
        <v>24</v>
      </c>
      <c r="F608" t="s">
        <v>208</v>
      </c>
      <c r="G608">
        <v>10</v>
      </c>
      <c r="H608" t="s">
        <v>464</v>
      </c>
      <c r="I608" t="s">
        <v>763</v>
      </c>
      <c r="J608" t="s">
        <v>914</v>
      </c>
      <c r="K608" t="s">
        <v>3147</v>
      </c>
    </row>
    <row r="609" spans="1:18" x14ac:dyDescent="0.25">
      <c r="A609" t="s">
        <v>3148</v>
      </c>
      <c r="B609" s="1">
        <v>44466</v>
      </c>
      <c r="C609" t="s">
        <v>2729</v>
      </c>
      <c r="D609" t="s">
        <v>63</v>
      </c>
      <c r="E609" t="s">
        <v>24</v>
      </c>
      <c r="F609" t="s">
        <v>215</v>
      </c>
      <c r="G609">
        <v>30</v>
      </c>
      <c r="H609" t="s">
        <v>188</v>
      </c>
      <c r="I609" t="s">
        <v>189</v>
      </c>
      <c r="J609" t="s">
        <v>3149</v>
      </c>
      <c r="K609" t="s">
        <v>3150</v>
      </c>
      <c r="R609">
        <v>98</v>
      </c>
    </row>
    <row r="610" spans="1:18" x14ac:dyDescent="0.25">
      <c r="A610" t="s">
        <v>3151</v>
      </c>
      <c r="B610" s="1">
        <v>44466</v>
      </c>
      <c r="C610" t="s">
        <v>3152</v>
      </c>
      <c r="D610" t="s">
        <v>63</v>
      </c>
      <c r="E610" t="s">
        <v>24</v>
      </c>
      <c r="F610" t="s">
        <v>323</v>
      </c>
      <c r="G610">
        <v>5</v>
      </c>
      <c r="H610" t="s">
        <v>26</v>
      </c>
      <c r="I610" t="s">
        <v>423</v>
      </c>
      <c r="J610" t="s">
        <v>505</v>
      </c>
      <c r="K610" t="s">
        <v>3115</v>
      </c>
      <c r="L610">
        <v>24</v>
      </c>
      <c r="M610">
        <v>79</v>
      </c>
      <c r="N610" s="2">
        <v>0.31</v>
      </c>
      <c r="O610">
        <v>92</v>
      </c>
      <c r="P610">
        <v>14.7</v>
      </c>
      <c r="Q610">
        <v>1.22</v>
      </c>
      <c r="R610">
        <v>29</v>
      </c>
    </row>
    <row r="611" spans="1:18" x14ac:dyDescent="0.25">
      <c r="A611" t="s">
        <v>3153</v>
      </c>
      <c r="B611" s="1">
        <v>44466</v>
      </c>
      <c r="C611" t="s">
        <v>3154</v>
      </c>
      <c r="D611" t="s">
        <v>63</v>
      </c>
      <c r="E611" t="s">
        <v>24</v>
      </c>
      <c r="F611" t="s">
        <v>243</v>
      </c>
      <c r="G611">
        <v>45</v>
      </c>
      <c r="H611" t="s">
        <v>26</v>
      </c>
      <c r="I611" t="s">
        <v>370</v>
      </c>
      <c r="J611" t="s">
        <v>439</v>
      </c>
      <c r="K611" t="s">
        <v>3155</v>
      </c>
      <c r="L611">
        <v>265</v>
      </c>
      <c r="M611">
        <v>98</v>
      </c>
      <c r="N611" s="2">
        <v>0.37</v>
      </c>
      <c r="O611">
        <v>82</v>
      </c>
      <c r="P611">
        <v>15.98</v>
      </c>
      <c r="Q611">
        <v>11.99</v>
      </c>
      <c r="R611">
        <v>327</v>
      </c>
    </row>
    <row r="612" spans="1:18" x14ac:dyDescent="0.25">
      <c r="A612" t="s">
        <v>3156</v>
      </c>
      <c r="B612" s="1">
        <v>44466</v>
      </c>
      <c r="C612" t="s">
        <v>2916</v>
      </c>
      <c r="D612" t="s">
        <v>63</v>
      </c>
      <c r="E612" t="s">
        <v>24</v>
      </c>
      <c r="F612" t="s">
        <v>243</v>
      </c>
      <c r="G612">
        <v>5</v>
      </c>
      <c r="H612" t="s">
        <v>26</v>
      </c>
      <c r="I612" t="s">
        <v>358</v>
      </c>
      <c r="J612" t="s">
        <v>359</v>
      </c>
      <c r="K612" t="s">
        <v>3123</v>
      </c>
      <c r="L612">
        <v>17</v>
      </c>
      <c r="M612">
        <v>55</v>
      </c>
      <c r="N612" s="2">
        <v>0.28999999999999998</v>
      </c>
      <c r="O612">
        <v>79</v>
      </c>
      <c r="P612">
        <v>12.45</v>
      </c>
      <c r="Q612">
        <v>1.04</v>
      </c>
      <c r="R612">
        <v>20</v>
      </c>
    </row>
    <row r="613" spans="1:18" x14ac:dyDescent="0.25">
      <c r="A613" t="s">
        <v>3157</v>
      </c>
      <c r="B613" s="1">
        <v>44466</v>
      </c>
      <c r="C613" t="s">
        <v>1838</v>
      </c>
      <c r="D613" t="s">
        <v>63</v>
      </c>
      <c r="E613" t="s">
        <v>24</v>
      </c>
      <c r="F613" t="s">
        <v>328</v>
      </c>
      <c r="G613">
        <v>10</v>
      </c>
      <c r="H613" t="s">
        <v>194</v>
      </c>
      <c r="I613" t="s">
        <v>700</v>
      </c>
      <c r="J613" t="s">
        <v>1282</v>
      </c>
      <c r="K613" t="s">
        <v>3158</v>
      </c>
      <c r="R613">
        <v>46</v>
      </c>
    </row>
    <row r="614" spans="1:18" x14ac:dyDescent="0.25">
      <c r="A614" t="s">
        <v>3159</v>
      </c>
      <c r="B614" s="1">
        <v>44466</v>
      </c>
      <c r="C614" t="s">
        <v>253</v>
      </c>
      <c r="D614" t="s">
        <v>63</v>
      </c>
      <c r="E614" t="s">
        <v>24</v>
      </c>
      <c r="F614" t="s">
        <v>208</v>
      </c>
      <c r="G614">
        <v>15</v>
      </c>
      <c r="H614" t="s">
        <v>464</v>
      </c>
      <c r="I614" t="s">
        <v>579</v>
      </c>
      <c r="J614" t="s">
        <v>3160</v>
      </c>
      <c r="K614" t="s">
        <v>3161</v>
      </c>
    </row>
    <row r="615" spans="1:18" x14ac:dyDescent="0.25">
      <c r="A615" t="s">
        <v>3221</v>
      </c>
      <c r="B615" s="1">
        <v>44473</v>
      </c>
      <c r="C615" t="s">
        <v>3222</v>
      </c>
      <c r="D615" t="s">
        <v>63</v>
      </c>
      <c r="E615" t="s">
        <v>24</v>
      </c>
      <c r="F615" t="s">
        <v>237</v>
      </c>
      <c r="G615">
        <v>30</v>
      </c>
      <c r="H615" t="s">
        <v>188</v>
      </c>
      <c r="I615" t="s">
        <v>189</v>
      </c>
      <c r="J615" t="s">
        <v>201</v>
      </c>
      <c r="K615" t="s">
        <v>3223</v>
      </c>
      <c r="R615">
        <v>102</v>
      </c>
    </row>
    <row r="616" spans="1:18" x14ac:dyDescent="0.25">
      <c r="A616" t="s">
        <v>3224</v>
      </c>
      <c r="B616" s="1">
        <v>44473</v>
      </c>
      <c r="C616" t="s">
        <v>3225</v>
      </c>
      <c r="D616" t="s">
        <v>63</v>
      </c>
      <c r="E616" t="s">
        <v>24</v>
      </c>
      <c r="F616" t="s">
        <v>328</v>
      </c>
      <c r="G616">
        <v>30</v>
      </c>
      <c r="H616" t="s">
        <v>26</v>
      </c>
      <c r="I616" t="s">
        <v>370</v>
      </c>
      <c r="J616" t="s">
        <v>396</v>
      </c>
      <c r="K616" t="s">
        <v>3226</v>
      </c>
      <c r="L616">
        <v>171</v>
      </c>
      <c r="M616">
        <v>95</v>
      </c>
      <c r="N616" s="2">
        <v>0.36</v>
      </c>
      <c r="O616">
        <v>84</v>
      </c>
      <c r="P616">
        <v>15.71</v>
      </c>
      <c r="Q616">
        <v>7.85</v>
      </c>
      <c r="R616">
        <v>211</v>
      </c>
    </row>
    <row r="617" spans="1:18" x14ac:dyDescent="0.25">
      <c r="A617" t="s">
        <v>3227</v>
      </c>
      <c r="B617" s="1">
        <v>44473</v>
      </c>
      <c r="C617" t="s">
        <v>3228</v>
      </c>
      <c r="D617" t="s">
        <v>63</v>
      </c>
      <c r="E617" t="s">
        <v>24</v>
      </c>
      <c r="F617" t="s">
        <v>180</v>
      </c>
      <c r="G617">
        <v>10</v>
      </c>
      <c r="H617" t="s">
        <v>194</v>
      </c>
      <c r="I617" t="s">
        <v>700</v>
      </c>
      <c r="J617" t="s">
        <v>1282</v>
      </c>
      <c r="K617" t="s">
        <v>3229</v>
      </c>
      <c r="R617">
        <v>46</v>
      </c>
    </row>
    <row r="618" spans="1:18" x14ac:dyDescent="0.25">
      <c r="A618" t="s">
        <v>3230</v>
      </c>
      <c r="B618" s="1">
        <v>44473</v>
      </c>
      <c r="C618" t="s">
        <v>3231</v>
      </c>
      <c r="D618" t="s">
        <v>63</v>
      </c>
      <c r="E618" t="s">
        <v>24</v>
      </c>
      <c r="F618" t="s">
        <v>297</v>
      </c>
      <c r="G618">
        <v>10</v>
      </c>
      <c r="H618" t="s">
        <v>194</v>
      </c>
      <c r="I618" t="s">
        <v>195</v>
      </c>
      <c r="J618" t="s">
        <v>211</v>
      </c>
      <c r="K618" t="s">
        <v>3232</v>
      </c>
      <c r="R618">
        <v>46</v>
      </c>
    </row>
    <row r="619" spans="1:18" x14ac:dyDescent="0.25">
      <c r="A619" t="s">
        <v>3233</v>
      </c>
      <c r="B619" s="1">
        <v>44473</v>
      </c>
      <c r="C619" t="s">
        <v>3234</v>
      </c>
      <c r="D619" t="s">
        <v>63</v>
      </c>
      <c r="E619" t="s">
        <v>24</v>
      </c>
      <c r="F619" t="s">
        <v>180</v>
      </c>
      <c r="G619">
        <v>5</v>
      </c>
      <c r="H619" t="s">
        <v>49</v>
      </c>
      <c r="I619" t="s">
        <v>50</v>
      </c>
      <c r="J619" t="s">
        <v>51</v>
      </c>
      <c r="K619" t="s">
        <v>2988</v>
      </c>
      <c r="R619">
        <v>11</v>
      </c>
    </row>
    <row r="620" spans="1:18" x14ac:dyDescent="0.25">
      <c r="A620" t="s">
        <v>3235</v>
      </c>
      <c r="B620" s="1">
        <v>44473</v>
      </c>
      <c r="C620" t="s">
        <v>1639</v>
      </c>
      <c r="D620" t="s">
        <v>63</v>
      </c>
      <c r="E620" t="s">
        <v>24</v>
      </c>
      <c r="F620" t="s">
        <v>208</v>
      </c>
      <c r="G620">
        <v>10</v>
      </c>
      <c r="H620" t="s">
        <v>464</v>
      </c>
      <c r="I620" t="s">
        <v>579</v>
      </c>
      <c r="J620" t="s">
        <v>1000</v>
      </c>
      <c r="K620" t="s">
        <v>3236</v>
      </c>
    </row>
    <row r="621" spans="1:18" x14ac:dyDescent="0.25">
      <c r="A621" t="s">
        <v>3293</v>
      </c>
      <c r="B621" s="1">
        <v>44480</v>
      </c>
      <c r="C621" t="s">
        <v>489</v>
      </c>
      <c r="D621" t="s">
        <v>63</v>
      </c>
      <c r="E621" t="s">
        <v>24</v>
      </c>
      <c r="F621" t="s">
        <v>237</v>
      </c>
      <c r="G621">
        <v>45</v>
      </c>
      <c r="H621" t="s">
        <v>188</v>
      </c>
      <c r="I621" t="s">
        <v>254</v>
      </c>
      <c r="J621" t="s">
        <v>1741</v>
      </c>
      <c r="K621" t="s">
        <v>3294</v>
      </c>
      <c r="R621">
        <v>154</v>
      </c>
    </row>
    <row r="622" spans="1:18" x14ac:dyDescent="0.25">
      <c r="A622" t="s">
        <v>3295</v>
      </c>
      <c r="B622" s="1">
        <v>44480</v>
      </c>
      <c r="C622" t="s">
        <v>3296</v>
      </c>
      <c r="D622" t="s">
        <v>63</v>
      </c>
      <c r="E622" t="s">
        <v>24</v>
      </c>
      <c r="F622" t="s">
        <v>243</v>
      </c>
      <c r="G622">
        <v>45</v>
      </c>
      <c r="H622" t="s">
        <v>26</v>
      </c>
      <c r="I622" t="s">
        <v>370</v>
      </c>
      <c r="J622" t="s">
        <v>479</v>
      </c>
      <c r="K622" t="s">
        <v>3297</v>
      </c>
      <c r="L622">
        <v>279</v>
      </c>
      <c r="M622">
        <v>103</v>
      </c>
      <c r="N622" s="2">
        <v>0.37</v>
      </c>
      <c r="O622">
        <v>83</v>
      </c>
      <c r="P622">
        <v>16.010000000000002</v>
      </c>
      <c r="Q622">
        <v>12.01</v>
      </c>
      <c r="R622">
        <v>344</v>
      </c>
    </row>
    <row r="623" spans="1:18" x14ac:dyDescent="0.25">
      <c r="A623" t="s">
        <v>3298</v>
      </c>
      <c r="B623" s="1">
        <v>44480</v>
      </c>
      <c r="C623" t="s">
        <v>3231</v>
      </c>
      <c r="D623" t="s">
        <v>63</v>
      </c>
      <c r="E623" t="s">
        <v>24</v>
      </c>
      <c r="F623" t="s">
        <v>33</v>
      </c>
      <c r="G623">
        <v>5</v>
      </c>
      <c r="H623" t="s">
        <v>26</v>
      </c>
      <c r="I623" t="s">
        <v>358</v>
      </c>
      <c r="J623" t="s">
        <v>359</v>
      </c>
      <c r="K623" t="s">
        <v>3299</v>
      </c>
      <c r="L623">
        <v>9</v>
      </c>
      <c r="M623">
        <v>31</v>
      </c>
      <c r="N623" s="2">
        <v>0.2</v>
      </c>
      <c r="O623">
        <v>85</v>
      </c>
      <c r="P623">
        <v>9.42</v>
      </c>
      <c r="Q623">
        <v>0.79</v>
      </c>
      <c r="R623">
        <v>11</v>
      </c>
    </row>
    <row r="624" spans="1:18" x14ac:dyDescent="0.25">
      <c r="A624" t="s">
        <v>3300</v>
      </c>
      <c r="B624" s="1">
        <v>44480</v>
      </c>
      <c r="C624" t="s">
        <v>3301</v>
      </c>
      <c r="D624" t="s">
        <v>63</v>
      </c>
      <c r="E624" t="s">
        <v>24</v>
      </c>
      <c r="F624" t="s">
        <v>33</v>
      </c>
      <c r="G624">
        <v>5</v>
      </c>
      <c r="H624" t="s">
        <v>49</v>
      </c>
      <c r="I624" t="s">
        <v>50</v>
      </c>
      <c r="J624" t="s">
        <v>51</v>
      </c>
      <c r="K624" t="s">
        <v>3123</v>
      </c>
      <c r="R624">
        <v>11</v>
      </c>
    </row>
    <row r="625" spans="1:18" x14ac:dyDescent="0.25">
      <c r="A625" t="s">
        <v>3302</v>
      </c>
      <c r="B625" s="1">
        <v>44480</v>
      </c>
      <c r="C625" t="s">
        <v>1460</v>
      </c>
      <c r="D625" t="s">
        <v>63</v>
      </c>
      <c r="E625" t="s">
        <v>24</v>
      </c>
      <c r="F625" t="s">
        <v>328</v>
      </c>
      <c r="G625">
        <v>5</v>
      </c>
      <c r="H625" t="s">
        <v>194</v>
      </c>
      <c r="I625" t="s">
        <v>195</v>
      </c>
      <c r="J625" t="s">
        <v>196</v>
      </c>
      <c r="K625" t="s">
        <v>3303</v>
      </c>
      <c r="R625">
        <v>23</v>
      </c>
    </row>
    <row r="626" spans="1:18" x14ac:dyDescent="0.25">
      <c r="A626" t="s">
        <v>3304</v>
      </c>
      <c r="B626" s="1">
        <v>44480</v>
      </c>
      <c r="C626" t="s">
        <v>1398</v>
      </c>
      <c r="D626" t="s">
        <v>63</v>
      </c>
      <c r="E626" t="s">
        <v>24</v>
      </c>
      <c r="F626" t="s">
        <v>459</v>
      </c>
      <c r="G626">
        <v>10</v>
      </c>
      <c r="H626" t="s">
        <v>464</v>
      </c>
      <c r="I626" t="s">
        <v>103</v>
      </c>
      <c r="J626" t="s">
        <v>3305</v>
      </c>
      <c r="K626" t="s">
        <v>3306</v>
      </c>
    </row>
    <row r="627" spans="1:18" x14ac:dyDescent="0.25">
      <c r="A627" t="s">
        <v>3361</v>
      </c>
      <c r="B627" s="1">
        <v>44487</v>
      </c>
      <c r="C627" t="s">
        <v>1986</v>
      </c>
      <c r="D627" t="s">
        <v>63</v>
      </c>
      <c r="E627" t="s">
        <v>24</v>
      </c>
      <c r="F627" t="s">
        <v>200</v>
      </c>
      <c r="G627">
        <v>30</v>
      </c>
      <c r="H627" t="s">
        <v>188</v>
      </c>
      <c r="I627" t="s">
        <v>189</v>
      </c>
      <c r="J627" t="s">
        <v>201</v>
      </c>
      <c r="K627" t="s">
        <v>3362</v>
      </c>
      <c r="R627">
        <v>94</v>
      </c>
    </row>
    <row r="628" spans="1:18" x14ac:dyDescent="0.25">
      <c r="A628" t="s">
        <v>3363</v>
      </c>
      <c r="B628" s="1">
        <v>44487</v>
      </c>
      <c r="C628" t="s">
        <v>3364</v>
      </c>
      <c r="D628" t="s">
        <v>63</v>
      </c>
      <c r="E628" t="s">
        <v>24</v>
      </c>
      <c r="F628" t="s">
        <v>243</v>
      </c>
      <c r="G628">
        <v>45</v>
      </c>
      <c r="H628" t="s">
        <v>26</v>
      </c>
      <c r="I628" t="s">
        <v>370</v>
      </c>
      <c r="J628" t="s">
        <v>439</v>
      </c>
      <c r="K628" t="s">
        <v>3365</v>
      </c>
      <c r="L628">
        <v>263</v>
      </c>
      <c r="M628">
        <v>97</v>
      </c>
      <c r="N628" s="2">
        <v>0.37</v>
      </c>
      <c r="O628">
        <v>84</v>
      </c>
      <c r="P628">
        <v>15.89</v>
      </c>
      <c r="Q628">
        <v>11.92</v>
      </c>
      <c r="R628">
        <v>325</v>
      </c>
    </row>
    <row r="629" spans="1:18" x14ac:dyDescent="0.25">
      <c r="A629" t="s">
        <v>3366</v>
      </c>
      <c r="B629" s="1">
        <v>44487</v>
      </c>
      <c r="C629" t="s">
        <v>3154</v>
      </c>
      <c r="D629" t="s">
        <v>63</v>
      </c>
      <c r="E629" t="s">
        <v>24</v>
      </c>
      <c r="F629" t="s">
        <v>323</v>
      </c>
      <c r="G629">
        <v>10</v>
      </c>
      <c r="H629" t="s">
        <v>26</v>
      </c>
      <c r="I629" t="s">
        <v>358</v>
      </c>
      <c r="J629" t="s">
        <v>389</v>
      </c>
      <c r="K629" t="s">
        <v>3367</v>
      </c>
      <c r="L629">
        <v>40</v>
      </c>
      <c r="M629">
        <v>66</v>
      </c>
      <c r="N629" s="2">
        <v>0.28999999999999998</v>
      </c>
      <c r="O629">
        <v>92</v>
      </c>
      <c r="P629">
        <v>13.56</v>
      </c>
      <c r="Q629">
        <v>2.2599999999999998</v>
      </c>
      <c r="R629">
        <v>49</v>
      </c>
    </row>
    <row r="630" spans="1:18" x14ac:dyDescent="0.25">
      <c r="A630" t="s">
        <v>3368</v>
      </c>
      <c r="B630" s="1">
        <v>44487</v>
      </c>
      <c r="C630" t="s">
        <v>3369</v>
      </c>
      <c r="D630" t="s">
        <v>63</v>
      </c>
      <c r="E630" t="s">
        <v>24</v>
      </c>
      <c r="F630" t="s">
        <v>292</v>
      </c>
      <c r="G630">
        <v>10</v>
      </c>
      <c r="H630" t="s">
        <v>194</v>
      </c>
      <c r="I630" t="s">
        <v>1445</v>
      </c>
      <c r="J630" t="s">
        <v>2809</v>
      </c>
      <c r="K630" t="s">
        <v>3232</v>
      </c>
      <c r="R630">
        <v>46</v>
      </c>
    </row>
    <row r="631" spans="1:18" x14ac:dyDescent="0.25">
      <c r="A631" t="s">
        <v>3370</v>
      </c>
      <c r="B631" s="1">
        <v>44487</v>
      </c>
      <c r="C631" t="s">
        <v>3371</v>
      </c>
      <c r="D631" t="s">
        <v>63</v>
      </c>
      <c r="E631" t="s">
        <v>24</v>
      </c>
      <c r="F631" t="s">
        <v>292</v>
      </c>
      <c r="G631">
        <v>5</v>
      </c>
      <c r="H631" t="s">
        <v>194</v>
      </c>
      <c r="I631" t="s">
        <v>195</v>
      </c>
      <c r="J631" t="s">
        <v>196</v>
      </c>
      <c r="K631" t="s">
        <v>3372</v>
      </c>
      <c r="R631">
        <v>23</v>
      </c>
    </row>
    <row r="632" spans="1:18" x14ac:dyDescent="0.25">
      <c r="A632" t="s">
        <v>3373</v>
      </c>
      <c r="B632" s="1">
        <v>44487</v>
      </c>
      <c r="C632" t="s">
        <v>2153</v>
      </c>
      <c r="D632" t="s">
        <v>63</v>
      </c>
      <c r="E632" t="s">
        <v>24</v>
      </c>
      <c r="F632" t="s">
        <v>328</v>
      </c>
      <c r="G632">
        <v>5</v>
      </c>
      <c r="H632" t="s">
        <v>49</v>
      </c>
      <c r="I632" t="s">
        <v>50</v>
      </c>
      <c r="J632" t="s">
        <v>51</v>
      </c>
      <c r="K632" t="s">
        <v>2859</v>
      </c>
      <c r="R632">
        <v>11</v>
      </c>
    </row>
    <row r="633" spans="1:18" x14ac:dyDescent="0.25">
      <c r="A633" t="s">
        <v>3374</v>
      </c>
      <c r="B633" s="1">
        <v>44487</v>
      </c>
      <c r="C633" t="s">
        <v>1540</v>
      </c>
      <c r="D633" t="s">
        <v>63</v>
      </c>
      <c r="E633" t="s">
        <v>24</v>
      </c>
      <c r="F633" t="s">
        <v>200</v>
      </c>
      <c r="G633">
        <v>10</v>
      </c>
      <c r="H633" t="s">
        <v>464</v>
      </c>
      <c r="I633" t="s">
        <v>763</v>
      </c>
      <c r="J633" t="s">
        <v>914</v>
      </c>
      <c r="K633" t="s">
        <v>3375</v>
      </c>
    </row>
    <row r="634" spans="1:18" x14ac:dyDescent="0.25">
      <c r="A634" t="s">
        <v>3404</v>
      </c>
      <c r="B634" s="1">
        <v>44494</v>
      </c>
      <c r="C634" t="s">
        <v>626</v>
      </c>
      <c r="D634" t="s">
        <v>63</v>
      </c>
      <c r="E634" t="s">
        <v>24</v>
      </c>
      <c r="F634" t="s">
        <v>215</v>
      </c>
      <c r="G634">
        <v>30</v>
      </c>
      <c r="H634" t="s">
        <v>188</v>
      </c>
      <c r="I634" t="s">
        <v>238</v>
      </c>
      <c r="J634" t="s">
        <v>3405</v>
      </c>
      <c r="K634" t="s">
        <v>3406</v>
      </c>
      <c r="R634">
        <v>100</v>
      </c>
    </row>
    <row r="635" spans="1:18" x14ac:dyDescent="0.25">
      <c r="A635" t="s">
        <v>3407</v>
      </c>
      <c r="B635" s="1">
        <v>44494</v>
      </c>
      <c r="C635" t="s">
        <v>3408</v>
      </c>
      <c r="D635" t="s">
        <v>63</v>
      </c>
      <c r="E635" t="s">
        <v>24</v>
      </c>
      <c r="F635" t="s">
        <v>243</v>
      </c>
      <c r="G635">
        <v>45</v>
      </c>
      <c r="H635" t="s">
        <v>26</v>
      </c>
      <c r="I635" t="s">
        <v>370</v>
      </c>
      <c r="J635" t="s">
        <v>479</v>
      </c>
      <c r="K635" t="s">
        <v>3409</v>
      </c>
      <c r="L635">
        <v>291</v>
      </c>
      <c r="M635">
        <v>108</v>
      </c>
      <c r="N635" s="2">
        <v>0.37</v>
      </c>
      <c r="O635">
        <v>85</v>
      </c>
      <c r="P635">
        <v>16.329999999999998</v>
      </c>
      <c r="Q635">
        <v>12.25</v>
      </c>
      <c r="R635">
        <v>359</v>
      </c>
    </row>
    <row r="636" spans="1:18" x14ac:dyDescent="0.25">
      <c r="A636" t="s">
        <v>3410</v>
      </c>
      <c r="B636" s="1">
        <v>44494</v>
      </c>
      <c r="C636" t="s">
        <v>3411</v>
      </c>
      <c r="D636" t="s">
        <v>63</v>
      </c>
      <c r="E636" t="s">
        <v>24</v>
      </c>
      <c r="F636" t="s">
        <v>243</v>
      </c>
      <c r="G636">
        <v>5</v>
      </c>
      <c r="H636" t="s">
        <v>26</v>
      </c>
      <c r="I636" t="s">
        <v>358</v>
      </c>
      <c r="J636" t="s">
        <v>359</v>
      </c>
      <c r="K636" t="s">
        <v>3123</v>
      </c>
      <c r="L636">
        <v>15</v>
      </c>
      <c r="M636">
        <v>50</v>
      </c>
      <c r="N636" s="2">
        <v>0.28000000000000003</v>
      </c>
      <c r="O636">
        <v>79</v>
      </c>
      <c r="P636">
        <v>11.95</v>
      </c>
      <c r="Q636">
        <v>0.99</v>
      </c>
      <c r="R636">
        <v>19</v>
      </c>
    </row>
    <row r="637" spans="1:18" x14ac:dyDescent="0.25">
      <c r="A637" t="s">
        <v>3412</v>
      </c>
      <c r="B637" s="1">
        <v>44494</v>
      </c>
      <c r="C637" t="s">
        <v>3413</v>
      </c>
      <c r="D637" t="s">
        <v>63</v>
      </c>
      <c r="E637" t="s">
        <v>24</v>
      </c>
      <c r="F637" t="s">
        <v>243</v>
      </c>
      <c r="G637">
        <v>5</v>
      </c>
      <c r="H637" t="s">
        <v>49</v>
      </c>
      <c r="I637" t="s">
        <v>50</v>
      </c>
      <c r="J637" t="s">
        <v>51</v>
      </c>
      <c r="K637" t="s">
        <v>2042</v>
      </c>
      <c r="R637">
        <v>11</v>
      </c>
    </row>
    <row r="638" spans="1:18" x14ac:dyDescent="0.25">
      <c r="A638" t="s">
        <v>3414</v>
      </c>
      <c r="B638" s="1">
        <v>44494</v>
      </c>
      <c r="C638" t="s">
        <v>2240</v>
      </c>
      <c r="D638" t="s">
        <v>63</v>
      </c>
      <c r="E638" t="s">
        <v>24</v>
      </c>
      <c r="F638" t="s">
        <v>200</v>
      </c>
      <c r="G638">
        <v>10</v>
      </c>
      <c r="H638" t="s">
        <v>464</v>
      </c>
      <c r="I638" t="s">
        <v>579</v>
      </c>
      <c r="J638" t="s">
        <v>602</v>
      </c>
      <c r="K638" t="s">
        <v>3415</v>
      </c>
    </row>
    <row r="639" spans="1:18" x14ac:dyDescent="0.25">
      <c r="A639" t="s">
        <v>3466</v>
      </c>
      <c r="B639" s="1">
        <v>44501</v>
      </c>
      <c r="C639" t="s">
        <v>1157</v>
      </c>
      <c r="D639" t="s">
        <v>63</v>
      </c>
      <c r="E639" t="s">
        <v>24</v>
      </c>
      <c r="F639" t="s">
        <v>243</v>
      </c>
      <c r="G639">
        <v>20</v>
      </c>
      <c r="H639" t="s">
        <v>188</v>
      </c>
      <c r="I639" t="s">
        <v>238</v>
      </c>
      <c r="J639" t="s">
        <v>796</v>
      </c>
      <c r="K639" t="s">
        <v>3467</v>
      </c>
      <c r="R639">
        <v>64</v>
      </c>
    </row>
    <row r="640" spans="1:18" x14ac:dyDescent="0.25">
      <c r="A640" t="s">
        <v>3468</v>
      </c>
      <c r="B640" s="1">
        <v>44501</v>
      </c>
      <c r="C640" t="s">
        <v>3469</v>
      </c>
      <c r="D640" t="s">
        <v>63</v>
      </c>
      <c r="E640" t="s">
        <v>24</v>
      </c>
      <c r="F640" t="s">
        <v>237</v>
      </c>
      <c r="G640">
        <v>15</v>
      </c>
      <c r="H640" t="s">
        <v>464</v>
      </c>
      <c r="I640" t="s">
        <v>943</v>
      </c>
      <c r="J640" t="s">
        <v>1709</v>
      </c>
      <c r="K640" t="s">
        <v>3433</v>
      </c>
    </row>
    <row r="641" spans="1:18" x14ac:dyDescent="0.25">
      <c r="A641" t="s">
        <v>3516</v>
      </c>
      <c r="B641" s="1">
        <v>44508</v>
      </c>
      <c r="C641" t="s">
        <v>530</v>
      </c>
      <c r="D641" t="s">
        <v>63</v>
      </c>
      <c r="E641" t="s">
        <v>24</v>
      </c>
      <c r="F641" t="s">
        <v>200</v>
      </c>
      <c r="G641">
        <v>45</v>
      </c>
      <c r="H641" t="s">
        <v>188</v>
      </c>
      <c r="I641" t="s">
        <v>189</v>
      </c>
      <c r="J641" t="s">
        <v>244</v>
      </c>
      <c r="K641" t="s">
        <v>3517</v>
      </c>
      <c r="R641">
        <v>149</v>
      </c>
    </row>
    <row r="642" spans="1:18" x14ac:dyDescent="0.25">
      <c r="A642" t="s">
        <v>3518</v>
      </c>
      <c r="B642" s="1">
        <v>44508</v>
      </c>
      <c r="C642" t="s">
        <v>3489</v>
      </c>
      <c r="D642" t="s">
        <v>63</v>
      </c>
      <c r="E642" t="s">
        <v>24</v>
      </c>
      <c r="F642" t="s">
        <v>314</v>
      </c>
      <c r="G642">
        <v>5</v>
      </c>
      <c r="H642" t="s">
        <v>194</v>
      </c>
      <c r="I642" t="s">
        <v>195</v>
      </c>
      <c r="J642" t="s">
        <v>196</v>
      </c>
      <c r="K642" t="s">
        <v>3519</v>
      </c>
      <c r="R642">
        <v>23</v>
      </c>
    </row>
    <row r="643" spans="1:18" x14ac:dyDescent="0.25">
      <c r="A643" t="s">
        <v>3520</v>
      </c>
      <c r="B643" s="1">
        <v>44508</v>
      </c>
      <c r="C643" t="s">
        <v>3521</v>
      </c>
      <c r="D643" t="s">
        <v>63</v>
      </c>
      <c r="E643" t="s">
        <v>24</v>
      </c>
      <c r="F643" t="s">
        <v>243</v>
      </c>
      <c r="G643">
        <v>20</v>
      </c>
      <c r="H643" t="s">
        <v>26</v>
      </c>
      <c r="I643" t="s">
        <v>39</v>
      </c>
      <c r="J643" t="s">
        <v>870</v>
      </c>
      <c r="K643" t="s">
        <v>3522</v>
      </c>
      <c r="L643">
        <v>100</v>
      </c>
      <c r="M643">
        <v>83</v>
      </c>
      <c r="N643" s="2">
        <v>0.35</v>
      </c>
      <c r="O643">
        <v>81</v>
      </c>
      <c r="P643">
        <v>14.84</v>
      </c>
      <c r="Q643">
        <v>4.95</v>
      </c>
      <c r="R643">
        <v>123</v>
      </c>
    </row>
    <row r="644" spans="1:18" x14ac:dyDescent="0.25">
      <c r="A644" t="s">
        <v>3523</v>
      </c>
      <c r="B644" s="1">
        <v>44508</v>
      </c>
      <c r="C644" t="s">
        <v>3524</v>
      </c>
      <c r="D644" t="s">
        <v>63</v>
      </c>
      <c r="E644" t="s">
        <v>24</v>
      </c>
      <c r="F644" t="s">
        <v>323</v>
      </c>
      <c r="G644">
        <v>30</v>
      </c>
      <c r="H644" t="s">
        <v>26</v>
      </c>
      <c r="I644" t="s">
        <v>370</v>
      </c>
      <c r="J644" t="s">
        <v>2588</v>
      </c>
      <c r="K644" t="s">
        <v>3525</v>
      </c>
      <c r="L644">
        <v>164</v>
      </c>
      <c r="M644">
        <v>91</v>
      </c>
      <c r="N644" s="2">
        <v>0.35</v>
      </c>
      <c r="O644">
        <v>84</v>
      </c>
      <c r="P644">
        <v>15.4</v>
      </c>
      <c r="Q644">
        <v>7.7</v>
      </c>
      <c r="R644">
        <v>202</v>
      </c>
    </row>
    <row r="645" spans="1:18" x14ac:dyDescent="0.25">
      <c r="A645" t="s">
        <v>3526</v>
      </c>
      <c r="B645" s="1">
        <v>44508</v>
      </c>
      <c r="C645" t="s">
        <v>3527</v>
      </c>
      <c r="D645" t="s">
        <v>63</v>
      </c>
      <c r="E645" t="s">
        <v>24</v>
      </c>
      <c r="F645" t="s">
        <v>2833</v>
      </c>
      <c r="G645">
        <v>10</v>
      </c>
      <c r="H645" t="s">
        <v>194</v>
      </c>
      <c r="I645" t="s">
        <v>700</v>
      </c>
      <c r="J645" t="s">
        <v>1282</v>
      </c>
      <c r="K645" t="s">
        <v>3528</v>
      </c>
      <c r="R645">
        <v>46</v>
      </c>
    </row>
    <row r="646" spans="1:18" x14ac:dyDescent="0.25">
      <c r="A646" t="s">
        <v>3529</v>
      </c>
      <c r="B646" s="1">
        <v>44508</v>
      </c>
      <c r="C646" t="s">
        <v>3530</v>
      </c>
      <c r="D646" t="s">
        <v>63</v>
      </c>
      <c r="E646" t="s">
        <v>24</v>
      </c>
      <c r="F646" t="s">
        <v>2256</v>
      </c>
      <c r="G646">
        <v>5</v>
      </c>
      <c r="H646" t="s">
        <v>49</v>
      </c>
      <c r="I646" t="s">
        <v>50</v>
      </c>
      <c r="J646" t="s">
        <v>51</v>
      </c>
      <c r="K646" t="s">
        <v>3531</v>
      </c>
      <c r="R646">
        <v>11</v>
      </c>
    </row>
    <row r="647" spans="1:18" x14ac:dyDescent="0.25">
      <c r="A647" t="s">
        <v>3532</v>
      </c>
      <c r="B647" s="1">
        <v>44508</v>
      </c>
      <c r="C647" t="s">
        <v>3533</v>
      </c>
      <c r="D647" t="s">
        <v>63</v>
      </c>
      <c r="E647" t="s">
        <v>24</v>
      </c>
      <c r="F647" t="s">
        <v>459</v>
      </c>
      <c r="G647">
        <v>10</v>
      </c>
      <c r="H647" t="s">
        <v>464</v>
      </c>
      <c r="I647" t="s">
        <v>763</v>
      </c>
      <c r="J647" t="s">
        <v>764</v>
      </c>
      <c r="K647" t="s">
        <v>3534</v>
      </c>
    </row>
    <row r="648" spans="1:18" x14ac:dyDescent="0.25">
      <c r="A648" t="s">
        <v>3608</v>
      </c>
      <c r="B648" s="1">
        <v>44515</v>
      </c>
      <c r="C648" t="s">
        <v>3609</v>
      </c>
      <c r="D648" t="s">
        <v>63</v>
      </c>
      <c r="E648" t="s">
        <v>24</v>
      </c>
      <c r="F648" t="s">
        <v>208</v>
      </c>
      <c r="G648">
        <v>10</v>
      </c>
      <c r="H648" t="s">
        <v>464</v>
      </c>
      <c r="I648" t="s">
        <v>943</v>
      </c>
      <c r="J648" t="s">
        <v>3487</v>
      </c>
      <c r="K648" t="s">
        <v>2743</v>
      </c>
    </row>
    <row r="649" spans="1:18" x14ac:dyDescent="0.25">
      <c r="A649" t="s">
        <v>3610</v>
      </c>
      <c r="B649" s="1">
        <v>44515</v>
      </c>
      <c r="C649" t="s">
        <v>3611</v>
      </c>
      <c r="D649" t="s">
        <v>63</v>
      </c>
      <c r="E649" t="s">
        <v>24</v>
      </c>
      <c r="F649" t="s">
        <v>208</v>
      </c>
      <c r="G649">
        <v>10</v>
      </c>
      <c r="H649" t="s">
        <v>464</v>
      </c>
      <c r="I649" t="s">
        <v>943</v>
      </c>
      <c r="J649" t="s">
        <v>3487</v>
      </c>
      <c r="K649" t="s">
        <v>2743</v>
      </c>
    </row>
    <row r="650" spans="1:18" x14ac:dyDescent="0.25">
      <c r="A650" t="s">
        <v>3612</v>
      </c>
      <c r="B650" s="1">
        <v>44515</v>
      </c>
      <c r="C650" t="s">
        <v>1012</v>
      </c>
      <c r="D650" t="s">
        <v>63</v>
      </c>
      <c r="E650" t="s">
        <v>24</v>
      </c>
      <c r="F650" t="s">
        <v>243</v>
      </c>
      <c r="G650">
        <v>30</v>
      </c>
      <c r="H650" t="s">
        <v>188</v>
      </c>
      <c r="I650" t="s">
        <v>254</v>
      </c>
      <c r="J650" t="s">
        <v>255</v>
      </c>
      <c r="K650" t="s">
        <v>3613</v>
      </c>
      <c r="R650">
        <v>100</v>
      </c>
    </row>
    <row r="651" spans="1:18" x14ac:dyDescent="0.25">
      <c r="A651" t="s">
        <v>3614</v>
      </c>
      <c r="B651" s="1">
        <v>44515</v>
      </c>
      <c r="C651" t="s">
        <v>3615</v>
      </c>
      <c r="D651" t="s">
        <v>63</v>
      </c>
      <c r="E651" t="s">
        <v>24</v>
      </c>
      <c r="F651" t="s">
        <v>243</v>
      </c>
      <c r="G651">
        <v>15</v>
      </c>
      <c r="H651" t="s">
        <v>188</v>
      </c>
      <c r="I651" t="s">
        <v>238</v>
      </c>
      <c r="J651" t="s">
        <v>3616</v>
      </c>
      <c r="K651" t="s">
        <v>3617</v>
      </c>
      <c r="R651">
        <v>52</v>
      </c>
    </row>
    <row r="652" spans="1:18" x14ac:dyDescent="0.25">
      <c r="A652" t="s">
        <v>3618</v>
      </c>
      <c r="B652" s="1">
        <v>44515</v>
      </c>
      <c r="C652" t="s">
        <v>3619</v>
      </c>
      <c r="D652" t="s">
        <v>63</v>
      </c>
      <c r="E652" t="s">
        <v>24</v>
      </c>
      <c r="F652" t="s">
        <v>323</v>
      </c>
      <c r="G652">
        <v>30</v>
      </c>
      <c r="H652" t="s">
        <v>26</v>
      </c>
      <c r="I652" t="s">
        <v>370</v>
      </c>
      <c r="J652" t="s">
        <v>396</v>
      </c>
      <c r="K652" t="s">
        <v>3620</v>
      </c>
      <c r="L652">
        <v>148</v>
      </c>
      <c r="M652">
        <v>82</v>
      </c>
      <c r="N652" s="2">
        <v>0.33</v>
      </c>
      <c r="O652">
        <v>87</v>
      </c>
      <c r="P652">
        <v>14.83</v>
      </c>
      <c r="Q652">
        <v>7.41</v>
      </c>
      <c r="R652">
        <v>182</v>
      </c>
    </row>
    <row r="653" spans="1:18" x14ac:dyDescent="0.25">
      <c r="A653" t="s">
        <v>3621</v>
      </c>
      <c r="B653" s="1">
        <v>44515</v>
      </c>
      <c r="C653" t="s">
        <v>3622</v>
      </c>
      <c r="D653" t="s">
        <v>63</v>
      </c>
      <c r="E653" t="s">
        <v>24</v>
      </c>
      <c r="F653" t="s">
        <v>335</v>
      </c>
      <c r="G653">
        <v>15</v>
      </c>
      <c r="H653" t="s">
        <v>194</v>
      </c>
      <c r="I653" t="s">
        <v>1445</v>
      </c>
      <c r="J653" t="s">
        <v>3623</v>
      </c>
      <c r="K653" t="s">
        <v>3624</v>
      </c>
      <c r="R653">
        <v>69</v>
      </c>
    </row>
    <row r="654" spans="1:18" x14ac:dyDescent="0.25">
      <c r="A654" t="s">
        <v>3625</v>
      </c>
      <c r="B654" s="1">
        <v>44515</v>
      </c>
      <c r="C654" t="s">
        <v>3626</v>
      </c>
      <c r="D654" t="s">
        <v>63</v>
      </c>
      <c r="E654" t="s">
        <v>24</v>
      </c>
      <c r="F654" t="s">
        <v>180</v>
      </c>
      <c r="G654">
        <v>10</v>
      </c>
      <c r="H654" t="s">
        <v>194</v>
      </c>
      <c r="I654" t="s">
        <v>195</v>
      </c>
      <c r="J654" t="s">
        <v>211</v>
      </c>
      <c r="K654" t="s">
        <v>3627</v>
      </c>
      <c r="R654">
        <v>46</v>
      </c>
    </row>
    <row r="655" spans="1:18" x14ac:dyDescent="0.25">
      <c r="A655" t="s">
        <v>3628</v>
      </c>
      <c r="B655" s="1">
        <v>44515</v>
      </c>
      <c r="C655" t="s">
        <v>1575</v>
      </c>
      <c r="D655" t="s">
        <v>63</v>
      </c>
      <c r="E655" t="s">
        <v>24</v>
      </c>
      <c r="F655" t="s">
        <v>2708</v>
      </c>
      <c r="G655">
        <v>10</v>
      </c>
      <c r="H655" t="s">
        <v>464</v>
      </c>
      <c r="I655" t="s">
        <v>1249</v>
      </c>
      <c r="J655" t="s">
        <v>3629</v>
      </c>
      <c r="K655" t="s">
        <v>3630</v>
      </c>
    </row>
    <row r="656" spans="1:18" x14ac:dyDescent="0.25">
      <c r="A656" t="s">
        <v>3713</v>
      </c>
      <c r="B656" s="1">
        <v>44522</v>
      </c>
      <c r="C656" t="s">
        <v>630</v>
      </c>
      <c r="D656" t="s">
        <v>63</v>
      </c>
      <c r="E656" t="s">
        <v>24</v>
      </c>
      <c r="F656" t="s">
        <v>1987</v>
      </c>
      <c r="G656">
        <v>20</v>
      </c>
      <c r="H656" t="s">
        <v>188</v>
      </c>
      <c r="I656" t="s">
        <v>238</v>
      </c>
      <c r="J656" t="s">
        <v>3714</v>
      </c>
      <c r="K656" t="s">
        <v>3715</v>
      </c>
      <c r="R656">
        <v>65</v>
      </c>
    </row>
    <row r="657" spans="1:18" x14ac:dyDescent="0.25">
      <c r="A657" t="s">
        <v>3716</v>
      </c>
      <c r="B657" s="1">
        <v>44522</v>
      </c>
      <c r="C657" t="s">
        <v>3668</v>
      </c>
      <c r="D657" t="s">
        <v>63</v>
      </c>
      <c r="E657" t="s">
        <v>24</v>
      </c>
      <c r="F657" t="s">
        <v>33</v>
      </c>
      <c r="G657">
        <v>5</v>
      </c>
      <c r="H657" t="s">
        <v>26</v>
      </c>
      <c r="I657" t="s">
        <v>423</v>
      </c>
      <c r="J657" t="s">
        <v>505</v>
      </c>
      <c r="K657" t="s">
        <v>3717</v>
      </c>
      <c r="L657">
        <v>19</v>
      </c>
      <c r="M657">
        <v>63</v>
      </c>
      <c r="N657" s="2">
        <v>0.28999999999999998</v>
      </c>
      <c r="O657">
        <v>87</v>
      </c>
      <c r="P657">
        <v>13.26</v>
      </c>
      <c r="Q657">
        <v>1.1000000000000001</v>
      </c>
      <c r="R657">
        <v>23</v>
      </c>
    </row>
    <row r="658" spans="1:18" x14ac:dyDescent="0.25">
      <c r="A658" t="s">
        <v>3718</v>
      </c>
      <c r="B658" s="1">
        <v>44522</v>
      </c>
      <c r="C658" t="s">
        <v>3719</v>
      </c>
      <c r="D658" t="s">
        <v>63</v>
      </c>
      <c r="E658" t="s">
        <v>24</v>
      </c>
      <c r="F658" t="s">
        <v>323</v>
      </c>
      <c r="G658">
        <v>45</v>
      </c>
      <c r="H658" t="s">
        <v>26</v>
      </c>
      <c r="I658" t="s">
        <v>370</v>
      </c>
      <c r="J658" t="s">
        <v>479</v>
      </c>
      <c r="K658" t="s">
        <v>3720</v>
      </c>
      <c r="L658">
        <v>280</v>
      </c>
      <c r="M658">
        <v>104</v>
      </c>
      <c r="N658" s="2">
        <v>0.37</v>
      </c>
      <c r="O658">
        <v>84</v>
      </c>
      <c r="P658">
        <v>16.22</v>
      </c>
      <c r="Q658">
        <v>12.17</v>
      </c>
      <c r="R658">
        <v>346</v>
      </c>
    </row>
    <row r="659" spans="1:18" x14ac:dyDescent="0.25">
      <c r="A659" t="s">
        <v>3721</v>
      </c>
      <c r="B659" s="1">
        <v>44522</v>
      </c>
      <c r="C659" t="s">
        <v>3673</v>
      </c>
      <c r="D659" t="s">
        <v>63</v>
      </c>
      <c r="E659" t="s">
        <v>24</v>
      </c>
      <c r="F659" t="s">
        <v>323</v>
      </c>
      <c r="G659">
        <v>5</v>
      </c>
      <c r="H659" t="s">
        <v>26</v>
      </c>
      <c r="I659" t="s">
        <v>358</v>
      </c>
      <c r="J659" t="s">
        <v>359</v>
      </c>
      <c r="K659" t="s">
        <v>3597</v>
      </c>
      <c r="L659">
        <v>20</v>
      </c>
      <c r="M659">
        <v>66</v>
      </c>
      <c r="N659" s="2">
        <v>0.3</v>
      </c>
      <c r="O659">
        <v>87</v>
      </c>
      <c r="P659">
        <v>13.55</v>
      </c>
      <c r="Q659">
        <v>1.1299999999999999</v>
      </c>
      <c r="R659">
        <v>24</v>
      </c>
    </row>
    <row r="660" spans="1:18" x14ac:dyDescent="0.25">
      <c r="A660" t="s">
        <v>3722</v>
      </c>
      <c r="B660" s="1">
        <v>44522</v>
      </c>
      <c r="C660" t="s">
        <v>3723</v>
      </c>
      <c r="D660" t="s">
        <v>63</v>
      </c>
      <c r="E660" t="s">
        <v>24</v>
      </c>
      <c r="F660" t="s">
        <v>292</v>
      </c>
      <c r="G660">
        <v>20</v>
      </c>
      <c r="H660" t="s">
        <v>194</v>
      </c>
      <c r="I660" t="s">
        <v>1445</v>
      </c>
      <c r="J660" t="s">
        <v>3191</v>
      </c>
      <c r="K660" t="s">
        <v>3724</v>
      </c>
      <c r="R660">
        <v>92</v>
      </c>
    </row>
    <row r="661" spans="1:18" x14ac:dyDescent="0.25">
      <c r="A661" t="s">
        <v>3725</v>
      </c>
      <c r="B661" s="1">
        <v>44522</v>
      </c>
      <c r="C661" t="s">
        <v>3726</v>
      </c>
      <c r="D661" t="s">
        <v>63</v>
      </c>
      <c r="E661" t="s">
        <v>24</v>
      </c>
      <c r="F661" t="s">
        <v>180</v>
      </c>
      <c r="G661">
        <v>5</v>
      </c>
      <c r="H661" t="s">
        <v>49</v>
      </c>
      <c r="I661" t="s">
        <v>226</v>
      </c>
      <c r="J661" t="s">
        <v>227</v>
      </c>
      <c r="K661" t="s">
        <v>3727</v>
      </c>
      <c r="R661">
        <v>11</v>
      </c>
    </row>
    <row r="662" spans="1:18" x14ac:dyDescent="0.25">
      <c r="A662" t="s">
        <v>3728</v>
      </c>
      <c r="B662" s="1">
        <v>44522</v>
      </c>
      <c r="C662" t="s">
        <v>1649</v>
      </c>
      <c r="D662" t="s">
        <v>63</v>
      </c>
      <c r="E662" t="s">
        <v>24</v>
      </c>
      <c r="F662" t="s">
        <v>2708</v>
      </c>
      <c r="G662">
        <v>10</v>
      </c>
      <c r="H662" t="s">
        <v>464</v>
      </c>
      <c r="I662" t="s">
        <v>579</v>
      </c>
      <c r="J662" t="s">
        <v>1000</v>
      </c>
      <c r="K662" t="s">
        <v>3630</v>
      </c>
    </row>
    <row r="663" spans="1:18" x14ac:dyDescent="0.25">
      <c r="A663" t="s">
        <v>3773</v>
      </c>
      <c r="B663" s="1">
        <v>44529</v>
      </c>
      <c r="C663" t="s">
        <v>3774</v>
      </c>
      <c r="D663" t="s">
        <v>63</v>
      </c>
      <c r="E663" t="s">
        <v>24</v>
      </c>
      <c r="F663" t="s">
        <v>2833</v>
      </c>
      <c r="G663">
        <v>5</v>
      </c>
      <c r="H663" t="s">
        <v>26</v>
      </c>
      <c r="I663" t="s">
        <v>423</v>
      </c>
      <c r="J663" t="s">
        <v>505</v>
      </c>
      <c r="K663" t="s">
        <v>3775</v>
      </c>
      <c r="L663">
        <v>26</v>
      </c>
      <c r="M663">
        <v>86</v>
      </c>
      <c r="N663" s="2">
        <v>0.33</v>
      </c>
      <c r="O663">
        <v>89</v>
      </c>
      <c r="P663">
        <v>15.25</v>
      </c>
      <c r="Q663">
        <v>1.27</v>
      </c>
      <c r="R663">
        <v>32</v>
      </c>
    </row>
    <row r="664" spans="1:18" x14ac:dyDescent="0.25">
      <c r="A664" t="s">
        <v>3776</v>
      </c>
      <c r="B664" s="1">
        <v>44529</v>
      </c>
      <c r="C664" t="s">
        <v>3777</v>
      </c>
      <c r="D664" t="s">
        <v>63</v>
      </c>
      <c r="E664" t="s">
        <v>24</v>
      </c>
      <c r="F664" t="s">
        <v>335</v>
      </c>
      <c r="G664">
        <v>45</v>
      </c>
      <c r="H664" t="s">
        <v>26</v>
      </c>
      <c r="I664" t="s">
        <v>370</v>
      </c>
      <c r="J664" t="s">
        <v>479</v>
      </c>
      <c r="K664" t="s">
        <v>3778</v>
      </c>
      <c r="L664">
        <v>274</v>
      </c>
      <c r="M664">
        <v>101</v>
      </c>
      <c r="N664" s="2">
        <v>0.36</v>
      </c>
      <c r="O664">
        <v>86</v>
      </c>
      <c r="P664">
        <v>16</v>
      </c>
      <c r="Q664">
        <v>12</v>
      </c>
      <c r="R664">
        <v>338</v>
      </c>
    </row>
    <row r="665" spans="1:18" x14ac:dyDescent="0.25">
      <c r="A665" t="s">
        <v>3779</v>
      </c>
      <c r="B665" s="1">
        <v>44529</v>
      </c>
      <c r="C665" t="s">
        <v>3780</v>
      </c>
      <c r="D665" t="s">
        <v>63</v>
      </c>
      <c r="E665" t="s">
        <v>24</v>
      </c>
      <c r="F665" t="s">
        <v>335</v>
      </c>
      <c r="G665">
        <v>5</v>
      </c>
      <c r="H665" t="s">
        <v>26</v>
      </c>
      <c r="I665" t="s">
        <v>358</v>
      </c>
      <c r="J665" t="s">
        <v>359</v>
      </c>
      <c r="K665" t="s">
        <v>3781</v>
      </c>
      <c r="L665">
        <v>22</v>
      </c>
      <c r="M665">
        <v>73</v>
      </c>
      <c r="N665" s="2">
        <v>0.31</v>
      </c>
      <c r="O665">
        <v>88</v>
      </c>
      <c r="P665">
        <v>14.11</v>
      </c>
      <c r="Q665">
        <v>1.17</v>
      </c>
      <c r="R665">
        <v>27</v>
      </c>
    </row>
    <row r="666" spans="1:18" x14ac:dyDescent="0.25">
      <c r="A666" t="s">
        <v>3782</v>
      </c>
      <c r="B666" s="1">
        <v>44529</v>
      </c>
      <c r="C666" t="s">
        <v>3783</v>
      </c>
      <c r="D666" t="s">
        <v>63</v>
      </c>
      <c r="E666" t="s">
        <v>24</v>
      </c>
      <c r="F666" t="s">
        <v>335</v>
      </c>
      <c r="G666">
        <v>10</v>
      </c>
      <c r="H666" t="s">
        <v>194</v>
      </c>
      <c r="I666" t="s">
        <v>700</v>
      </c>
      <c r="J666" t="s">
        <v>1282</v>
      </c>
      <c r="K666" t="s">
        <v>3784</v>
      </c>
      <c r="R666">
        <v>46</v>
      </c>
    </row>
    <row r="667" spans="1:18" x14ac:dyDescent="0.25">
      <c r="A667" t="s">
        <v>3785</v>
      </c>
      <c r="B667" s="1">
        <v>44529</v>
      </c>
      <c r="C667" t="s">
        <v>3786</v>
      </c>
      <c r="D667" t="s">
        <v>63</v>
      </c>
      <c r="E667" t="s">
        <v>24</v>
      </c>
      <c r="F667" t="s">
        <v>180</v>
      </c>
      <c r="G667">
        <v>5</v>
      </c>
      <c r="H667" t="s">
        <v>194</v>
      </c>
      <c r="I667" t="s">
        <v>195</v>
      </c>
      <c r="J667" t="s">
        <v>196</v>
      </c>
      <c r="K667" t="s">
        <v>3787</v>
      </c>
      <c r="R667">
        <v>23</v>
      </c>
    </row>
    <row r="668" spans="1:18" x14ac:dyDescent="0.25">
      <c r="A668" t="s">
        <v>3788</v>
      </c>
      <c r="B668" s="1">
        <v>44529</v>
      </c>
      <c r="C668" t="s">
        <v>3789</v>
      </c>
      <c r="D668" t="s">
        <v>63</v>
      </c>
      <c r="E668" t="s">
        <v>24</v>
      </c>
      <c r="F668" t="s">
        <v>180</v>
      </c>
      <c r="G668">
        <v>10</v>
      </c>
      <c r="H668" t="s">
        <v>194</v>
      </c>
      <c r="I668" t="s">
        <v>195</v>
      </c>
      <c r="J668" t="s">
        <v>211</v>
      </c>
      <c r="K668" t="s">
        <v>3790</v>
      </c>
      <c r="R668">
        <v>46</v>
      </c>
    </row>
    <row r="669" spans="1:18" x14ac:dyDescent="0.25">
      <c r="A669" t="s">
        <v>3791</v>
      </c>
      <c r="B669" s="1">
        <v>44529</v>
      </c>
      <c r="C669" t="s">
        <v>3792</v>
      </c>
      <c r="D669" t="s">
        <v>63</v>
      </c>
      <c r="E669" t="s">
        <v>24</v>
      </c>
      <c r="F669" t="s">
        <v>208</v>
      </c>
      <c r="G669">
        <v>20</v>
      </c>
      <c r="H669" t="s">
        <v>464</v>
      </c>
      <c r="I669" t="s">
        <v>943</v>
      </c>
      <c r="J669" t="s">
        <v>1347</v>
      </c>
      <c r="K669" t="s">
        <v>3793</v>
      </c>
    </row>
    <row r="670" spans="1:18" x14ac:dyDescent="0.25">
      <c r="A670" t="s">
        <v>3888</v>
      </c>
      <c r="B670" s="1">
        <v>44536</v>
      </c>
      <c r="C670" t="s">
        <v>3889</v>
      </c>
      <c r="D670" t="s">
        <v>63</v>
      </c>
      <c r="E670" t="s">
        <v>24</v>
      </c>
      <c r="F670" t="s">
        <v>200</v>
      </c>
      <c r="G670">
        <v>5</v>
      </c>
      <c r="H670" t="s">
        <v>464</v>
      </c>
      <c r="I670" t="s">
        <v>943</v>
      </c>
      <c r="J670" t="s">
        <v>2962</v>
      </c>
      <c r="K670" t="s">
        <v>3890</v>
      </c>
    </row>
    <row r="671" spans="1:18" x14ac:dyDescent="0.25">
      <c r="A671" t="s">
        <v>3891</v>
      </c>
      <c r="B671" s="1">
        <v>44536</v>
      </c>
      <c r="C671" t="s">
        <v>3892</v>
      </c>
      <c r="D671" t="s">
        <v>63</v>
      </c>
      <c r="E671" t="s">
        <v>24</v>
      </c>
      <c r="F671" t="s">
        <v>243</v>
      </c>
      <c r="G671">
        <v>30</v>
      </c>
      <c r="H671" t="s">
        <v>188</v>
      </c>
      <c r="I671" t="s">
        <v>189</v>
      </c>
      <c r="J671" t="s">
        <v>201</v>
      </c>
      <c r="K671" t="s">
        <v>3893</v>
      </c>
      <c r="R671">
        <v>95</v>
      </c>
    </row>
    <row r="672" spans="1:18" x14ac:dyDescent="0.25">
      <c r="A672" t="s">
        <v>3894</v>
      </c>
      <c r="B672" s="1">
        <v>44536</v>
      </c>
      <c r="C672" t="s">
        <v>3895</v>
      </c>
      <c r="D672" t="s">
        <v>63</v>
      </c>
      <c r="E672" t="s">
        <v>24</v>
      </c>
      <c r="F672" t="s">
        <v>180</v>
      </c>
      <c r="G672">
        <v>10</v>
      </c>
      <c r="H672" t="s">
        <v>194</v>
      </c>
      <c r="I672" t="s">
        <v>195</v>
      </c>
      <c r="J672" t="s">
        <v>211</v>
      </c>
      <c r="K672" t="s">
        <v>228</v>
      </c>
      <c r="R672">
        <v>46</v>
      </c>
    </row>
    <row r="673" spans="1:18" x14ac:dyDescent="0.25">
      <c r="A673" t="s">
        <v>3896</v>
      </c>
      <c r="B673" s="1">
        <v>44536</v>
      </c>
      <c r="C673" t="s">
        <v>3653</v>
      </c>
      <c r="D673" t="s">
        <v>63</v>
      </c>
      <c r="E673" t="s">
        <v>24</v>
      </c>
      <c r="F673" t="s">
        <v>180</v>
      </c>
      <c r="G673">
        <v>10</v>
      </c>
      <c r="H673" t="s">
        <v>26</v>
      </c>
      <c r="I673" t="s">
        <v>39</v>
      </c>
      <c r="J673" t="s">
        <v>431</v>
      </c>
      <c r="K673" t="s">
        <v>3897</v>
      </c>
      <c r="L673">
        <v>50</v>
      </c>
      <c r="M673">
        <v>83</v>
      </c>
      <c r="N673" s="2">
        <v>0.34</v>
      </c>
      <c r="O673">
        <v>84</v>
      </c>
      <c r="P673">
        <v>14.84</v>
      </c>
      <c r="Q673">
        <v>2.4700000000000002</v>
      </c>
      <c r="R673">
        <v>61</v>
      </c>
    </row>
    <row r="674" spans="1:18" x14ac:dyDescent="0.25">
      <c r="A674" t="s">
        <v>3898</v>
      </c>
      <c r="B674" s="1">
        <v>44536</v>
      </c>
      <c r="C674" t="s">
        <v>3899</v>
      </c>
      <c r="D674" t="s">
        <v>63</v>
      </c>
      <c r="E674" t="s">
        <v>24</v>
      </c>
      <c r="F674" t="s">
        <v>323</v>
      </c>
      <c r="G674">
        <v>30</v>
      </c>
      <c r="H674" t="s">
        <v>26</v>
      </c>
      <c r="I674" t="s">
        <v>39</v>
      </c>
      <c r="J674" t="s">
        <v>407</v>
      </c>
      <c r="K674" t="s">
        <v>3900</v>
      </c>
      <c r="L674">
        <v>135</v>
      </c>
      <c r="M674">
        <v>75</v>
      </c>
      <c r="N674" s="2">
        <v>0.34</v>
      </c>
      <c r="O674">
        <v>80</v>
      </c>
      <c r="P674">
        <v>14.22</v>
      </c>
      <c r="Q674">
        <v>7.11</v>
      </c>
      <c r="R674">
        <v>166</v>
      </c>
    </row>
    <row r="675" spans="1:18" x14ac:dyDescent="0.25">
      <c r="A675" t="s">
        <v>3901</v>
      </c>
      <c r="B675" s="1">
        <v>44536</v>
      </c>
      <c r="C675" t="s">
        <v>3902</v>
      </c>
      <c r="D675" t="s">
        <v>63</v>
      </c>
      <c r="E675" t="s">
        <v>24</v>
      </c>
      <c r="F675" t="s">
        <v>170</v>
      </c>
      <c r="G675">
        <v>10</v>
      </c>
      <c r="H675" t="s">
        <v>194</v>
      </c>
      <c r="I675" t="s">
        <v>700</v>
      </c>
      <c r="J675" t="s">
        <v>1282</v>
      </c>
      <c r="K675" t="s">
        <v>3903</v>
      </c>
      <c r="R675">
        <v>46</v>
      </c>
    </row>
    <row r="676" spans="1:18" x14ac:dyDescent="0.25">
      <c r="A676" t="s">
        <v>3904</v>
      </c>
      <c r="B676" s="1">
        <v>44536</v>
      </c>
      <c r="C676" t="s">
        <v>996</v>
      </c>
      <c r="D676" t="s">
        <v>63</v>
      </c>
      <c r="E676" t="s">
        <v>24</v>
      </c>
      <c r="F676" t="s">
        <v>554</v>
      </c>
      <c r="G676">
        <v>10</v>
      </c>
      <c r="H676" t="s">
        <v>49</v>
      </c>
      <c r="I676" t="s">
        <v>1960</v>
      </c>
      <c r="J676" t="s">
        <v>3905</v>
      </c>
      <c r="K676" t="s">
        <v>3906</v>
      </c>
      <c r="R676">
        <v>23</v>
      </c>
    </row>
    <row r="677" spans="1:18" x14ac:dyDescent="0.25">
      <c r="A677" t="s">
        <v>3907</v>
      </c>
      <c r="B677" s="1">
        <v>44536</v>
      </c>
      <c r="C677" t="s">
        <v>3886</v>
      </c>
      <c r="D677" t="s">
        <v>63</v>
      </c>
      <c r="E677" t="s">
        <v>24</v>
      </c>
      <c r="F677" t="s">
        <v>459</v>
      </c>
      <c r="G677">
        <v>15</v>
      </c>
      <c r="H677" t="s">
        <v>464</v>
      </c>
      <c r="I677" t="s">
        <v>763</v>
      </c>
      <c r="J677" t="s">
        <v>2229</v>
      </c>
      <c r="K677" t="s">
        <v>3908</v>
      </c>
    </row>
    <row r="678" spans="1:18" x14ac:dyDescent="0.25">
      <c r="A678" t="s">
        <v>3997</v>
      </c>
      <c r="B678" s="1">
        <v>44543</v>
      </c>
      <c r="C678" t="s">
        <v>626</v>
      </c>
      <c r="D678" t="s">
        <v>63</v>
      </c>
      <c r="E678" t="s">
        <v>24</v>
      </c>
      <c r="F678" t="s">
        <v>2708</v>
      </c>
      <c r="G678">
        <v>30</v>
      </c>
      <c r="H678" t="s">
        <v>188</v>
      </c>
      <c r="I678" t="s">
        <v>254</v>
      </c>
      <c r="J678" t="s">
        <v>255</v>
      </c>
      <c r="K678" t="s">
        <v>3998</v>
      </c>
      <c r="R678">
        <v>95</v>
      </c>
    </row>
    <row r="679" spans="1:18" x14ac:dyDescent="0.25">
      <c r="A679" t="s">
        <v>3999</v>
      </c>
      <c r="B679" s="1">
        <v>44543</v>
      </c>
      <c r="C679" t="s">
        <v>4000</v>
      </c>
      <c r="D679" t="s">
        <v>63</v>
      </c>
      <c r="E679" t="s">
        <v>24</v>
      </c>
      <c r="F679" t="s">
        <v>323</v>
      </c>
      <c r="G679">
        <v>45</v>
      </c>
      <c r="H679" t="s">
        <v>26</v>
      </c>
      <c r="I679" t="s">
        <v>370</v>
      </c>
      <c r="J679" t="s">
        <v>4001</v>
      </c>
      <c r="K679" t="s">
        <v>4002</v>
      </c>
      <c r="L679">
        <v>269</v>
      </c>
      <c r="M679">
        <v>100</v>
      </c>
      <c r="N679" s="2">
        <v>0.36</v>
      </c>
      <c r="O679">
        <v>87</v>
      </c>
      <c r="P679">
        <v>16.100000000000001</v>
      </c>
      <c r="Q679">
        <v>12.08</v>
      </c>
      <c r="R679">
        <v>332</v>
      </c>
    </row>
    <row r="680" spans="1:18" x14ac:dyDescent="0.25">
      <c r="A680" t="s">
        <v>4003</v>
      </c>
      <c r="B680" s="1">
        <v>44543</v>
      </c>
      <c r="C680" t="s">
        <v>4004</v>
      </c>
      <c r="D680" t="s">
        <v>63</v>
      </c>
      <c r="E680" t="s">
        <v>24</v>
      </c>
      <c r="F680" t="s">
        <v>354</v>
      </c>
      <c r="G680">
        <v>10</v>
      </c>
      <c r="H680" t="s">
        <v>194</v>
      </c>
      <c r="I680" t="s">
        <v>700</v>
      </c>
      <c r="J680" t="s">
        <v>1282</v>
      </c>
      <c r="K680" t="s">
        <v>4005</v>
      </c>
      <c r="R680">
        <v>46</v>
      </c>
    </row>
    <row r="681" spans="1:18" x14ac:dyDescent="0.25">
      <c r="A681" t="s">
        <v>4006</v>
      </c>
      <c r="B681" s="1">
        <v>44543</v>
      </c>
      <c r="C681" t="s">
        <v>4007</v>
      </c>
      <c r="D681" t="s">
        <v>63</v>
      </c>
      <c r="E681" t="s">
        <v>24</v>
      </c>
      <c r="F681" t="s">
        <v>180</v>
      </c>
      <c r="G681">
        <v>10</v>
      </c>
      <c r="H681" t="s">
        <v>194</v>
      </c>
      <c r="I681" t="s">
        <v>195</v>
      </c>
      <c r="J681" t="s">
        <v>211</v>
      </c>
      <c r="K681" t="s">
        <v>3881</v>
      </c>
      <c r="R681">
        <v>46</v>
      </c>
    </row>
    <row r="682" spans="1:18" x14ac:dyDescent="0.25">
      <c r="A682" t="s">
        <v>4008</v>
      </c>
      <c r="B682" s="1">
        <v>44543</v>
      </c>
      <c r="C682" t="s">
        <v>3807</v>
      </c>
      <c r="D682" t="s">
        <v>63</v>
      </c>
      <c r="E682" t="s">
        <v>24</v>
      </c>
      <c r="F682" t="s">
        <v>180</v>
      </c>
      <c r="G682">
        <v>5</v>
      </c>
      <c r="H682" t="s">
        <v>194</v>
      </c>
      <c r="I682" t="s">
        <v>195</v>
      </c>
      <c r="J682" t="s">
        <v>196</v>
      </c>
      <c r="K682" t="s">
        <v>3727</v>
      </c>
      <c r="R682">
        <v>23</v>
      </c>
    </row>
    <row r="683" spans="1:18" x14ac:dyDescent="0.25">
      <c r="A683" t="s">
        <v>4009</v>
      </c>
      <c r="B683" s="1">
        <v>44543</v>
      </c>
      <c r="C683" t="s">
        <v>1606</v>
      </c>
      <c r="D683" t="s">
        <v>63</v>
      </c>
      <c r="E683" t="s">
        <v>24</v>
      </c>
      <c r="F683" t="s">
        <v>208</v>
      </c>
      <c r="G683">
        <v>15</v>
      </c>
      <c r="H683" t="s">
        <v>464</v>
      </c>
      <c r="I683" t="s">
        <v>579</v>
      </c>
      <c r="J683" t="s">
        <v>4010</v>
      </c>
      <c r="K683" t="s">
        <v>4011</v>
      </c>
    </row>
    <row r="684" spans="1:18" x14ac:dyDescent="0.25">
      <c r="A684" t="s">
        <v>4082</v>
      </c>
      <c r="B684" s="1">
        <v>44550</v>
      </c>
      <c r="C684" t="s">
        <v>4083</v>
      </c>
      <c r="D684" t="s">
        <v>63</v>
      </c>
      <c r="E684" t="s">
        <v>24</v>
      </c>
      <c r="F684" t="s">
        <v>215</v>
      </c>
      <c r="G684">
        <v>15</v>
      </c>
      <c r="H684" t="s">
        <v>188</v>
      </c>
      <c r="I684" t="s">
        <v>238</v>
      </c>
      <c r="J684" t="s">
        <v>4084</v>
      </c>
      <c r="K684" t="s">
        <v>4085</v>
      </c>
      <c r="R684">
        <v>47</v>
      </c>
    </row>
    <row r="685" spans="1:18" x14ac:dyDescent="0.25">
      <c r="A685" t="s">
        <v>4086</v>
      </c>
      <c r="B685" s="1">
        <v>44550</v>
      </c>
      <c r="C685" t="s">
        <v>430</v>
      </c>
      <c r="D685" t="s">
        <v>63</v>
      </c>
      <c r="E685" t="s">
        <v>24</v>
      </c>
      <c r="F685" t="s">
        <v>459</v>
      </c>
      <c r="G685">
        <v>10</v>
      </c>
      <c r="H685" t="s">
        <v>188</v>
      </c>
      <c r="I685" t="s">
        <v>238</v>
      </c>
      <c r="J685" t="s">
        <v>731</v>
      </c>
      <c r="K685" t="s">
        <v>4087</v>
      </c>
      <c r="R685">
        <v>30</v>
      </c>
    </row>
    <row r="686" spans="1:18" x14ac:dyDescent="0.25">
      <c r="A686" t="s">
        <v>4088</v>
      </c>
      <c r="B686" s="1">
        <v>44550</v>
      </c>
      <c r="C686" t="s">
        <v>3959</v>
      </c>
      <c r="D686" t="s">
        <v>63</v>
      </c>
      <c r="E686" t="s">
        <v>24</v>
      </c>
      <c r="F686" t="s">
        <v>905</v>
      </c>
      <c r="G686">
        <v>10</v>
      </c>
      <c r="H686" t="s">
        <v>26</v>
      </c>
      <c r="I686" t="s">
        <v>423</v>
      </c>
      <c r="J686" t="s">
        <v>4089</v>
      </c>
      <c r="K686" t="s">
        <v>4090</v>
      </c>
      <c r="L686">
        <v>55</v>
      </c>
      <c r="M686">
        <v>91</v>
      </c>
      <c r="N686" s="2">
        <v>0.36</v>
      </c>
      <c r="O686">
        <v>84</v>
      </c>
      <c r="P686">
        <v>15.5</v>
      </c>
      <c r="Q686">
        <v>2.59</v>
      </c>
      <c r="R686">
        <v>68</v>
      </c>
    </row>
    <row r="687" spans="1:18" x14ac:dyDescent="0.25">
      <c r="A687" t="s">
        <v>4091</v>
      </c>
      <c r="B687" s="1">
        <v>44550</v>
      </c>
      <c r="C687" t="s">
        <v>3590</v>
      </c>
      <c r="D687" t="s">
        <v>63</v>
      </c>
      <c r="E687" t="s">
        <v>24</v>
      </c>
      <c r="F687" t="s">
        <v>243</v>
      </c>
      <c r="G687">
        <v>45</v>
      </c>
      <c r="H687" t="s">
        <v>26</v>
      </c>
      <c r="I687" t="s">
        <v>370</v>
      </c>
      <c r="J687" t="s">
        <v>439</v>
      </c>
      <c r="K687" t="s">
        <v>948</v>
      </c>
      <c r="L687">
        <v>262</v>
      </c>
      <c r="M687">
        <v>97</v>
      </c>
      <c r="N687" s="2">
        <v>0.36</v>
      </c>
      <c r="O687">
        <v>86</v>
      </c>
      <c r="P687">
        <v>15.93</v>
      </c>
      <c r="Q687">
        <v>11.95</v>
      </c>
      <c r="R687">
        <v>323</v>
      </c>
    </row>
    <row r="688" spans="1:18" x14ac:dyDescent="0.25">
      <c r="A688" t="s">
        <v>4092</v>
      </c>
      <c r="B688" s="1">
        <v>44550</v>
      </c>
      <c r="C688" t="s">
        <v>3726</v>
      </c>
      <c r="D688" t="s">
        <v>63</v>
      </c>
      <c r="E688" t="s">
        <v>24</v>
      </c>
      <c r="F688" t="s">
        <v>243</v>
      </c>
      <c r="G688">
        <v>5</v>
      </c>
      <c r="H688" t="s">
        <v>26</v>
      </c>
      <c r="I688" t="s">
        <v>358</v>
      </c>
      <c r="J688" t="s">
        <v>359</v>
      </c>
      <c r="K688" t="s">
        <v>3648</v>
      </c>
      <c r="L688">
        <v>17</v>
      </c>
      <c r="M688">
        <v>57</v>
      </c>
      <c r="N688" s="2">
        <v>0.28999999999999998</v>
      </c>
      <c r="O688">
        <v>82</v>
      </c>
      <c r="P688">
        <v>12.69</v>
      </c>
      <c r="Q688">
        <v>1.06</v>
      </c>
      <c r="R688">
        <v>21</v>
      </c>
    </row>
    <row r="689" spans="1:18" x14ac:dyDescent="0.25">
      <c r="A689" t="s">
        <v>4093</v>
      </c>
      <c r="B689" s="1">
        <v>44550</v>
      </c>
      <c r="C689" t="s">
        <v>4094</v>
      </c>
      <c r="D689" t="s">
        <v>63</v>
      </c>
      <c r="E689" t="s">
        <v>24</v>
      </c>
      <c r="F689" t="s">
        <v>305</v>
      </c>
      <c r="G689">
        <v>10</v>
      </c>
      <c r="H689" t="s">
        <v>49</v>
      </c>
      <c r="I689" t="s">
        <v>226</v>
      </c>
      <c r="J689" t="s">
        <v>4095</v>
      </c>
      <c r="K689" t="s">
        <v>4096</v>
      </c>
      <c r="R689">
        <v>23</v>
      </c>
    </row>
    <row r="690" spans="1:18" x14ac:dyDescent="0.25">
      <c r="A690" t="s">
        <v>4097</v>
      </c>
      <c r="B690" s="1">
        <v>44550</v>
      </c>
      <c r="C690" t="s">
        <v>963</v>
      </c>
      <c r="D690" t="s">
        <v>63</v>
      </c>
      <c r="E690" t="s">
        <v>24</v>
      </c>
      <c r="F690" t="s">
        <v>208</v>
      </c>
      <c r="G690">
        <v>15</v>
      </c>
      <c r="H690" t="s">
        <v>464</v>
      </c>
      <c r="I690" t="s">
        <v>579</v>
      </c>
      <c r="J690" t="s">
        <v>4098</v>
      </c>
      <c r="K690" t="s">
        <v>4099</v>
      </c>
    </row>
    <row r="691" spans="1:18" x14ac:dyDescent="0.25">
      <c r="A691" t="s">
        <v>4167</v>
      </c>
      <c r="B691" s="1">
        <v>44557</v>
      </c>
      <c r="C691" t="s">
        <v>2961</v>
      </c>
      <c r="D691" t="s">
        <v>63</v>
      </c>
      <c r="E691" t="s">
        <v>24</v>
      </c>
      <c r="F691" t="s">
        <v>459</v>
      </c>
      <c r="G691">
        <v>10</v>
      </c>
      <c r="H691" t="s">
        <v>464</v>
      </c>
      <c r="I691" t="s">
        <v>763</v>
      </c>
      <c r="J691" t="s">
        <v>914</v>
      </c>
      <c r="K691" t="s">
        <v>4168</v>
      </c>
    </row>
    <row r="692" spans="1:18" x14ac:dyDescent="0.25">
      <c r="A692" t="s">
        <v>4169</v>
      </c>
      <c r="B692" s="1">
        <v>44557</v>
      </c>
      <c r="C692" t="s">
        <v>3165</v>
      </c>
      <c r="D692" t="s">
        <v>63</v>
      </c>
      <c r="E692" t="s">
        <v>24</v>
      </c>
      <c r="F692" t="s">
        <v>215</v>
      </c>
      <c r="G692">
        <v>30</v>
      </c>
      <c r="H692" t="s">
        <v>188</v>
      </c>
      <c r="I692" t="s">
        <v>254</v>
      </c>
      <c r="J692" t="s">
        <v>4013</v>
      </c>
      <c r="K692" t="s">
        <v>4170</v>
      </c>
      <c r="R692">
        <v>97</v>
      </c>
    </row>
    <row r="693" spans="1:18" x14ac:dyDescent="0.25">
      <c r="A693" t="s">
        <v>4171</v>
      </c>
      <c r="B693" s="1">
        <v>44557</v>
      </c>
      <c r="C693" t="s">
        <v>4172</v>
      </c>
      <c r="D693" t="s">
        <v>63</v>
      </c>
      <c r="E693" t="s">
        <v>24</v>
      </c>
      <c r="F693" t="s">
        <v>208</v>
      </c>
      <c r="G693">
        <v>10</v>
      </c>
      <c r="H693" t="s">
        <v>188</v>
      </c>
      <c r="I693" t="s">
        <v>238</v>
      </c>
      <c r="J693" t="s">
        <v>674</v>
      </c>
      <c r="K693" t="s">
        <v>4173</v>
      </c>
      <c r="R693">
        <v>27</v>
      </c>
    </row>
    <row r="694" spans="1:18" x14ac:dyDescent="0.25">
      <c r="A694" t="s">
        <v>4174</v>
      </c>
      <c r="B694" s="1">
        <v>44557</v>
      </c>
      <c r="C694" t="s">
        <v>4045</v>
      </c>
      <c r="D694" t="s">
        <v>63</v>
      </c>
      <c r="E694" t="s">
        <v>24</v>
      </c>
      <c r="F694" t="s">
        <v>170</v>
      </c>
      <c r="G694">
        <v>10</v>
      </c>
      <c r="H694" t="s">
        <v>26</v>
      </c>
      <c r="I694" t="s">
        <v>39</v>
      </c>
      <c r="J694" t="s">
        <v>431</v>
      </c>
      <c r="K694" t="s">
        <v>4175</v>
      </c>
      <c r="L694">
        <v>46</v>
      </c>
      <c r="M694">
        <v>77</v>
      </c>
      <c r="N694" s="2">
        <v>0.34</v>
      </c>
      <c r="O694">
        <v>83</v>
      </c>
      <c r="P694">
        <v>14.45</v>
      </c>
      <c r="Q694">
        <v>2.41</v>
      </c>
      <c r="R694">
        <v>57</v>
      </c>
    </row>
    <row r="695" spans="1:18" x14ac:dyDescent="0.25">
      <c r="A695" t="s">
        <v>4176</v>
      </c>
      <c r="B695" s="1">
        <v>44557</v>
      </c>
      <c r="C695" t="s">
        <v>4177</v>
      </c>
      <c r="D695" t="s">
        <v>63</v>
      </c>
      <c r="E695" t="s">
        <v>24</v>
      </c>
      <c r="F695" t="s">
        <v>323</v>
      </c>
      <c r="G695">
        <v>45</v>
      </c>
      <c r="H695" t="s">
        <v>26</v>
      </c>
      <c r="I695" t="s">
        <v>370</v>
      </c>
      <c r="J695" t="s">
        <v>439</v>
      </c>
      <c r="K695" t="s">
        <v>1306</v>
      </c>
      <c r="L695">
        <v>272</v>
      </c>
      <c r="M695">
        <v>101</v>
      </c>
      <c r="N695" s="2">
        <v>0.37</v>
      </c>
      <c r="O695">
        <v>84</v>
      </c>
      <c r="P695">
        <v>16.16</v>
      </c>
      <c r="Q695">
        <v>12.13</v>
      </c>
      <c r="R695">
        <v>336</v>
      </c>
    </row>
    <row r="696" spans="1:18" x14ac:dyDescent="0.25">
      <c r="A696" t="s">
        <v>4178</v>
      </c>
      <c r="B696" s="1">
        <v>44557</v>
      </c>
      <c r="C696" t="s">
        <v>3673</v>
      </c>
      <c r="D696" t="s">
        <v>63</v>
      </c>
      <c r="E696" t="s">
        <v>24</v>
      </c>
      <c r="F696" t="s">
        <v>747</v>
      </c>
      <c r="G696">
        <v>10</v>
      </c>
      <c r="H696" t="s">
        <v>194</v>
      </c>
      <c r="I696" t="s">
        <v>700</v>
      </c>
      <c r="J696" t="s">
        <v>1282</v>
      </c>
      <c r="K696" t="s">
        <v>4179</v>
      </c>
      <c r="R696">
        <v>46</v>
      </c>
    </row>
    <row r="697" spans="1:18" x14ac:dyDescent="0.25">
      <c r="A697" t="s">
        <v>4180</v>
      </c>
      <c r="B697" s="1">
        <v>44557</v>
      </c>
      <c r="C697" t="s">
        <v>4181</v>
      </c>
      <c r="D697" t="s">
        <v>63</v>
      </c>
      <c r="E697" t="s">
        <v>24</v>
      </c>
      <c r="F697" t="s">
        <v>170</v>
      </c>
      <c r="G697">
        <v>10</v>
      </c>
      <c r="H697" t="s">
        <v>194</v>
      </c>
      <c r="I697" t="s">
        <v>195</v>
      </c>
      <c r="J697" t="s">
        <v>211</v>
      </c>
      <c r="K697" t="s">
        <v>4182</v>
      </c>
      <c r="R697">
        <v>46</v>
      </c>
    </row>
    <row r="698" spans="1:18" x14ac:dyDescent="0.25">
      <c r="A698" t="s">
        <v>4183</v>
      </c>
      <c r="B698" s="1">
        <v>44557</v>
      </c>
      <c r="C698" t="s">
        <v>1009</v>
      </c>
      <c r="D698" t="s">
        <v>63</v>
      </c>
      <c r="E698" t="s">
        <v>24</v>
      </c>
      <c r="F698" t="s">
        <v>208</v>
      </c>
      <c r="G698">
        <v>5</v>
      </c>
      <c r="H698" t="s">
        <v>464</v>
      </c>
      <c r="I698" t="s">
        <v>763</v>
      </c>
      <c r="J698" t="s">
        <v>4184</v>
      </c>
      <c r="K698" t="s">
        <v>4185</v>
      </c>
    </row>
    <row r="699" spans="1:18" x14ac:dyDescent="0.25">
      <c r="A699" t="s">
        <v>4271</v>
      </c>
      <c r="B699" s="1">
        <v>44564</v>
      </c>
      <c r="C699" t="s">
        <v>1986</v>
      </c>
      <c r="D699" t="s">
        <v>63</v>
      </c>
      <c r="E699" t="s">
        <v>24</v>
      </c>
      <c r="F699" t="s">
        <v>200</v>
      </c>
      <c r="G699">
        <v>20</v>
      </c>
      <c r="H699" t="s">
        <v>188</v>
      </c>
      <c r="I699" t="s">
        <v>238</v>
      </c>
      <c r="J699" t="s">
        <v>796</v>
      </c>
      <c r="K699" t="s">
        <v>4272</v>
      </c>
      <c r="R699">
        <v>60</v>
      </c>
    </row>
    <row r="700" spans="1:18" x14ac:dyDescent="0.25">
      <c r="A700" t="s">
        <v>4273</v>
      </c>
      <c r="B700" s="1">
        <v>44564</v>
      </c>
      <c r="C700" t="s">
        <v>2929</v>
      </c>
      <c r="D700" t="s">
        <v>63</v>
      </c>
      <c r="E700" t="s">
        <v>24</v>
      </c>
      <c r="F700" t="s">
        <v>237</v>
      </c>
      <c r="G700">
        <v>10</v>
      </c>
      <c r="H700" t="s">
        <v>188</v>
      </c>
      <c r="I700" t="s">
        <v>238</v>
      </c>
      <c r="J700" t="s">
        <v>731</v>
      </c>
      <c r="K700" t="s">
        <v>4274</v>
      </c>
      <c r="R700">
        <v>31</v>
      </c>
    </row>
    <row r="701" spans="1:18" x14ac:dyDescent="0.25">
      <c r="A701" t="s">
        <v>4275</v>
      </c>
      <c r="B701" s="1">
        <v>44564</v>
      </c>
      <c r="C701" t="s">
        <v>4276</v>
      </c>
      <c r="D701" t="s">
        <v>63</v>
      </c>
      <c r="E701" t="s">
        <v>24</v>
      </c>
      <c r="F701" t="s">
        <v>335</v>
      </c>
      <c r="G701">
        <v>5</v>
      </c>
      <c r="H701" t="s">
        <v>26</v>
      </c>
      <c r="I701" t="s">
        <v>423</v>
      </c>
      <c r="J701" t="s">
        <v>505</v>
      </c>
      <c r="K701" t="s">
        <v>4277</v>
      </c>
      <c r="L701">
        <v>30</v>
      </c>
      <c r="M701">
        <v>101</v>
      </c>
      <c r="N701" s="2">
        <v>0.38</v>
      </c>
      <c r="O701">
        <v>83</v>
      </c>
      <c r="P701">
        <v>16.21</v>
      </c>
      <c r="Q701">
        <v>1.34</v>
      </c>
      <c r="R701">
        <v>37</v>
      </c>
    </row>
    <row r="702" spans="1:18" x14ac:dyDescent="0.25">
      <c r="A702" t="s">
        <v>4278</v>
      </c>
      <c r="B702" s="1">
        <v>44564</v>
      </c>
      <c r="C702" t="s">
        <v>4279</v>
      </c>
      <c r="D702" t="s">
        <v>63</v>
      </c>
      <c r="E702" t="s">
        <v>24</v>
      </c>
      <c r="F702" t="s">
        <v>335</v>
      </c>
      <c r="G702">
        <v>45</v>
      </c>
      <c r="H702" t="s">
        <v>26</v>
      </c>
      <c r="I702" t="s">
        <v>370</v>
      </c>
      <c r="J702" t="s">
        <v>4280</v>
      </c>
      <c r="K702" t="s">
        <v>4281</v>
      </c>
      <c r="L702">
        <v>277</v>
      </c>
      <c r="M702">
        <v>103</v>
      </c>
      <c r="N702" s="2">
        <v>0.38</v>
      </c>
      <c r="O702">
        <v>84</v>
      </c>
      <c r="P702">
        <v>16.309999999999999</v>
      </c>
      <c r="Q702">
        <v>12.24</v>
      </c>
      <c r="R702">
        <v>342</v>
      </c>
    </row>
    <row r="703" spans="1:18" x14ac:dyDescent="0.25">
      <c r="A703" t="s">
        <v>4282</v>
      </c>
      <c r="B703" s="1">
        <v>44564</v>
      </c>
      <c r="C703" t="s">
        <v>4283</v>
      </c>
      <c r="D703" t="s">
        <v>63</v>
      </c>
      <c r="E703" t="s">
        <v>24</v>
      </c>
      <c r="F703" t="s">
        <v>335</v>
      </c>
      <c r="G703">
        <v>5</v>
      </c>
      <c r="H703" t="s">
        <v>26</v>
      </c>
      <c r="I703" t="s">
        <v>358</v>
      </c>
      <c r="J703" t="s">
        <v>359</v>
      </c>
      <c r="K703" t="s">
        <v>4277</v>
      </c>
      <c r="L703">
        <v>26</v>
      </c>
      <c r="M703">
        <v>87</v>
      </c>
      <c r="N703" s="2">
        <v>0.39</v>
      </c>
      <c r="O703">
        <v>73</v>
      </c>
      <c r="P703">
        <v>15.17</v>
      </c>
      <c r="Q703">
        <v>1.26</v>
      </c>
      <c r="R703">
        <v>32</v>
      </c>
    </row>
    <row r="704" spans="1:18" x14ac:dyDescent="0.25">
      <c r="A704" t="s">
        <v>4284</v>
      </c>
      <c r="B704" s="1">
        <v>44564</v>
      </c>
      <c r="C704" t="s">
        <v>4285</v>
      </c>
      <c r="D704" t="s">
        <v>63</v>
      </c>
      <c r="E704" t="s">
        <v>24</v>
      </c>
      <c r="F704" t="s">
        <v>180</v>
      </c>
      <c r="G704">
        <v>10</v>
      </c>
      <c r="H704" t="s">
        <v>194</v>
      </c>
      <c r="I704" t="s">
        <v>195</v>
      </c>
      <c r="J704" t="s">
        <v>211</v>
      </c>
      <c r="K704" t="s">
        <v>4286</v>
      </c>
      <c r="R704">
        <v>46</v>
      </c>
    </row>
    <row r="705" spans="1:19" x14ac:dyDescent="0.25">
      <c r="A705" t="s">
        <v>4287</v>
      </c>
      <c r="B705" s="1">
        <v>44564</v>
      </c>
      <c r="C705" t="s">
        <v>933</v>
      </c>
      <c r="D705" t="s">
        <v>63</v>
      </c>
      <c r="E705" t="s">
        <v>24</v>
      </c>
      <c r="F705" t="s">
        <v>660</v>
      </c>
      <c r="G705">
        <v>5</v>
      </c>
      <c r="H705" t="s">
        <v>49</v>
      </c>
      <c r="I705" t="s">
        <v>50</v>
      </c>
      <c r="J705" t="s">
        <v>51</v>
      </c>
      <c r="K705" t="s">
        <v>4288</v>
      </c>
      <c r="R705">
        <v>11</v>
      </c>
    </row>
    <row r="706" spans="1:19" x14ac:dyDescent="0.25">
      <c r="A706" t="s">
        <v>4289</v>
      </c>
      <c r="B706" s="1">
        <v>44564</v>
      </c>
      <c r="C706" t="s">
        <v>1469</v>
      </c>
      <c r="D706" t="s">
        <v>63</v>
      </c>
      <c r="E706" t="s">
        <v>24</v>
      </c>
      <c r="F706" t="s">
        <v>208</v>
      </c>
      <c r="G706">
        <v>20</v>
      </c>
      <c r="H706" t="s">
        <v>464</v>
      </c>
      <c r="I706" t="s">
        <v>943</v>
      </c>
      <c r="J706" t="s">
        <v>1347</v>
      </c>
      <c r="K706" t="s">
        <v>4290</v>
      </c>
    </row>
    <row r="707" spans="1:19" x14ac:dyDescent="0.25">
      <c r="A707" t="s">
        <v>4371</v>
      </c>
      <c r="B707" s="1">
        <v>44571</v>
      </c>
      <c r="C707" t="s">
        <v>2729</v>
      </c>
      <c r="D707" t="s">
        <v>63</v>
      </c>
      <c r="E707" t="s">
        <v>24</v>
      </c>
      <c r="F707" t="s">
        <v>200</v>
      </c>
      <c r="G707">
        <v>30</v>
      </c>
      <c r="H707" t="s">
        <v>188</v>
      </c>
      <c r="I707" t="s">
        <v>189</v>
      </c>
      <c r="J707" t="s">
        <v>4372</v>
      </c>
      <c r="K707" t="s">
        <v>4373</v>
      </c>
      <c r="R707">
        <v>96</v>
      </c>
    </row>
    <row r="708" spans="1:19" x14ac:dyDescent="0.25">
      <c r="A708" t="s">
        <v>4374</v>
      </c>
      <c r="B708" s="1">
        <v>44571</v>
      </c>
      <c r="C708" t="s">
        <v>3554</v>
      </c>
      <c r="D708" t="s">
        <v>63</v>
      </c>
      <c r="E708" t="s">
        <v>24</v>
      </c>
      <c r="F708" t="s">
        <v>323</v>
      </c>
      <c r="G708">
        <v>30</v>
      </c>
      <c r="H708" t="s">
        <v>26</v>
      </c>
      <c r="I708" t="s">
        <v>370</v>
      </c>
      <c r="J708" t="s">
        <v>880</v>
      </c>
      <c r="K708" t="s">
        <v>4375</v>
      </c>
      <c r="L708">
        <v>171</v>
      </c>
      <c r="M708">
        <v>95</v>
      </c>
      <c r="N708" s="2">
        <v>0.35</v>
      </c>
      <c r="O708">
        <v>87</v>
      </c>
      <c r="P708">
        <v>15.72</v>
      </c>
      <c r="Q708">
        <v>7.86</v>
      </c>
      <c r="R708">
        <v>210</v>
      </c>
    </row>
    <row r="709" spans="1:19" x14ac:dyDescent="0.25">
      <c r="A709" t="s">
        <v>4376</v>
      </c>
      <c r="B709" s="1">
        <v>44571</v>
      </c>
      <c r="C709" t="s">
        <v>4377</v>
      </c>
      <c r="D709" t="s">
        <v>63</v>
      </c>
      <c r="E709" t="s">
        <v>24</v>
      </c>
      <c r="F709" t="s">
        <v>323</v>
      </c>
      <c r="G709">
        <v>30</v>
      </c>
      <c r="H709" t="s">
        <v>26</v>
      </c>
      <c r="I709" t="s">
        <v>39</v>
      </c>
      <c r="J709" t="s">
        <v>407</v>
      </c>
      <c r="K709" t="s">
        <v>4378</v>
      </c>
      <c r="L709">
        <v>116</v>
      </c>
      <c r="M709">
        <v>64</v>
      </c>
      <c r="N709" s="2">
        <v>0.33</v>
      </c>
      <c r="O709">
        <v>75</v>
      </c>
      <c r="P709">
        <v>13.08</v>
      </c>
      <c r="Q709">
        <v>6.54</v>
      </c>
      <c r="R709">
        <v>142</v>
      </c>
    </row>
    <row r="710" spans="1:19" x14ac:dyDescent="0.25">
      <c r="A710" t="s">
        <v>4379</v>
      </c>
      <c r="B710" s="1">
        <v>44571</v>
      </c>
      <c r="C710" t="s">
        <v>4380</v>
      </c>
      <c r="D710" t="s">
        <v>63</v>
      </c>
      <c r="E710" t="s">
        <v>24</v>
      </c>
      <c r="F710" t="s">
        <v>2256</v>
      </c>
      <c r="G710">
        <v>10</v>
      </c>
      <c r="H710" t="s">
        <v>194</v>
      </c>
      <c r="I710" t="s">
        <v>195</v>
      </c>
      <c r="J710" t="s">
        <v>211</v>
      </c>
      <c r="K710" t="s">
        <v>4381</v>
      </c>
      <c r="R710">
        <v>46</v>
      </c>
    </row>
    <row r="711" spans="1:19" x14ac:dyDescent="0.25">
      <c r="A711" t="s">
        <v>4382</v>
      </c>
      <c r="B711" s="1">
        <v>44571</v>
      </c>
      <c r="C711" t="s">
        <v>4383</v>
      </c>
      <c r="D711" t="s">
        <v>63</v>
      </c>
      <c r="E711" t="s">
        <v>24</v>
      </c>
      <c r="F711" t="s">
        <v>170</v>
      </c>
      <c r="G711">
        <v>5</v>
      </c>
      <c r="H711" t="s">
        <v>49</v>
      </c>
      <c r="I711" t="s">
        <v>50</v>
      </c>
      <c r="J711" t="s">
        <v>51</v>
      </c>
      <c r="K711" t="s">
        <v>3741</v>
      </c>
      <c r="R711">
        <v>11</v>
      </c>
    </row>
    <row r="712" spans="1:19" x14ac:dyDescent="0.25">
      <c r="A712" t="s">
        <v>4384</v>
      </c>
      <c r="B712" s="1">
        <v>44571</v>
      </c>
      <c r="C712" t="s">
        <v>1882</v>
      </c>
      <c r="D712" t="s">
        <v>63</v>
      </c>
      <c r="E712" t="s">
        <v>24</v>
      </c>
      <c r="F712" t="s">
        <v>459</v>
      </c>
      <c r="G712">
        <v>20</v>
      </c>
      <c r="H712" t="s">
        <v>464</v>
      </c>
      <c r="I712" t="s">
        <v>943</v>
      </c>
      <c r="J712" t="s">
        <v>1347</v>
      </c>
      <c r="K712" t="s">
        <v>4114</v>
      </c>
      <c r="S712">
        <v>58.57</v>
      </c>
    </row>
    <row r="713" spans="1:19" x14ac:dyDescent="0.25">
      <c r="A713" t="s">
        <v>4455</v>
      </c>
      <c r="B713" s="1">
        <v>44578</v>
      </c>
      <c r="C713" t="s">
        <v>585</v>
      </c>
      <c r="D713" t="s">
        <v>63</v>
      </c>
      <c r="E713" t="s">
        <v>24</v>
      </c>
      <c r="F713" t="s">
        <v>237</v>
      </c>
      <c r="G713">
        <v>30</v>
      </c>
      <c r="H713" t="s">
        <v>188</v>
      </c>
      <c r="I713" t="s">
        <v>189</v>
      </c>
      <c r="J713" t="s">
        <v>3149</v>
      </c>
      <c r="K713" t="s">
        <v>4456</v>
      </c>
      <c r="R713">
        <v>103</v>
      </c>
    </row>
    <row r="714" spans="1:19" x14ac:dyDescent="0.25">
      <c r="A714" t="s">
        <v>4457</v>
      </c>
      <c r="B714" s="1">
        <v>44578</v>
      </c>
      <c r="C714" t="s">
        <v>4458</v>
      </c>
      <c r="D714" t="s">
        <v>63</v>
      </c>
      <c r="E714" t="s">
        <v>24</v>
      </c>
      <c r="F714" t="s">
        <v>335</v>
      </c>
      <c r="G714">
        <v>10</v>
      </c>
      <c r="H714" t="s">
        <v>26</v>
      </c>
      <c r="I714" t="s">
        <v>39</v>
      </c>
      <c r="J714" t="s">
        <v>431</v>
      </c>
      <c r="K714" t="s">
        <v>4459</v>
      </c>
      <c r="L714">
        <v>48</v>
      </c>
      <c r="M714">
        <v>81</v>
      </c>
      <c r="N714" s="2">
        <v>0.33</v>
      </c>
      <c r="O714">
        <v>88</v>
      </c>
      <c r="P714">
        <v>14.69</v>
      </c>
      <c r="Q714">
        <v>2.4500000000000002</v>
      </c>
      <c r="R714">
        <v>60</v>
      </c>
    </row>
    <row r="715" spans="1:19" x14ac:dyDescent="0.25">
      <c r="A715" t="s">
        <v>4460</v>
      </c>
      <c r="B715" s="1">
        <v>44578</v>
      </c>
      <c r="C715" t="s">
        <v>4461</v>
      </c>
      <c r="D715" t="s">
        <v>63</v>
      </c>
      <c r="E715" t="s">
        <v>24</v>
      </c>
      <c r="F715" t="s">
        <v>335</v>
      </c>
      <c r="G715">
        <v>45</v>
      </c>
      <c r="H715" t="s">
        <v>26</v>
      </c>
      <c r="I715" t="s">
        <v>370</v>
      </c>
      <c r="J715" t="s">
        <v>479</v>
      </c>
      <c r="K715" t="s">
        <v>4462</v>
      </c>
      <c r="L715">
        <v>292</v>
      </c>
      <c r="M715">
        <v>108</v>
      </c>
      <c r="N715" s="2">
        <v>0.37</v>
      </c>
      <c r="O715">
        <v>85</v>
      </c>
      <c r="P715">
        <v>16.38</v>
      </c>
      <c r="Q715">
        <v>12.29</v>
      </c>
      <c r="R715">
        <v>360</v>
      </c>
    </row>
    <row r="716" spans="1:19" x14ac:dyDescent="0.25">
      <c r="A716" t="s">
        <v>4463</v>
      </c>
      <c r="B716" s="1">
        <v>44578</v>
      </c>
      <c r="C716" t="s">
        <v>4383</v>
      </c>
      <c r="D716" t="s">
        <v>63</v>
      </c>
      <c r="E716" t="s">
        <v>24</v>
      </c>
      <c r="F716" t="s">
        <v>335</v>
      </c>
      <c r="G716">
        <v>5</v>
      </c>
      <c r="H716" t="s">
        <v>26</v>
      </c>
      <c r="I716" t="s">
        <v>358</v>
      </c>
      <c r="J716" t="s">
        <v>359</v>
      </c>
      <c r="K716" t="s">
        <v>4277</v>
      </c>
      <c r="L716">
        <v>23</v>
      </c>
      <c r="M716">
        <v>78</v>
      </c>
      <c r="N716" s="2">
        <v>0.33</v>
      </c>
      <c r="O716">
        <v>84</v>
      </c>
      <c r="P716">
        <v>14.47</v>
      </c>
      <c r="Q716">
        <v>1.2</v>
      </c>
      <c r="R716">
        <v>29</v>
      </c>
    </row>
    <row r="717" spans="1:19" x14ac:dyDescent="0.25">
      <c r="A717" t="s">
        <v>4464</v>
      </c>
      <c r="B717" s="1">
        <v>44578</v>
      </c>
      <c r="C717" t="s">
        <v>1265</v>
      </c>
      <c r="D717" t="s">
        <v>63</v>
      </c>
      <c r="E717" t="s">
        <v>24</v>
      </c>
      <c r="F717" t="s">
        <v>180</v>
      </c>
      <c r="G717">
        <v>10</v>
      </c>
      <c r="H717" t="s">
        <v>194</v>
      </c>
      <c r="I717" t="s">
        <v>700</v>
      </c>
      <c r="J717" t="s">
        <v>1282</v>
      </c>
      <c r="K717" t="s">
        <v>4465</v>
      </c>
      <c r="R717">
        <v>46</v>
      </c>
    </row>
    <row r="718" spans="1:19" x14ac:dyDescent="0.25">
      <c r="A718" t="s">
        <v>4466</v>
      </c>
      <c r="B718" s="1">
        <v>44578</v>
      </c>
      <c r="C718" t="s">
        <v>4467</v>
      </c>
      <c r="D718" t="s">
        <v>63</v>
      </c>
      <c r="E718" t="s">
        <v>24</v>
      </c>
      <c r="F718" t="s">
        <v>180</v>
      </c>
      <c r="G718">
        <v>5</v>
      </c>
      <c r="H718" t="s">
        <v>194</v>
      </c>
      <c r="I718" t="s">
        <v>195</v>
      </c>
      <c r="J718" t="s">
        <v>196</v>
      </c>
      <c r="K718" t="s">
        <v>4468</v>
      </c>
      <c r="R718">
        <v>23</v>
      </c>
    </row>
    <row r="719" spans="1:19" x14ac:dyDescent="0.25">
      <c r="A719" t="s">
        <v>4469</v>
      </c>
      <c r="B719" s="1">
        <v>44578</v>
      </c>
      <c r="C719" t="s">
        <v>4470</v>
      </c>
      <c r="D719" t="s">
        <v>63</v>
      </c>
      <c r="E719" t="s">
        <v>24</v>
      </c>
      <c r="F719" t="s">
        <v>768</v>
      </c>
      <c r="G719">
        <v>5</v>
      </c>
      <c r="H719" t="s">
        <v>49</v>
      </c>
      <c r="I719" t="s">
        <v>50</v>
      </c>
      <c r="J719" t="s">
        <v>51</v>
      </c>
      <c r="K719" t="s">
        <v>4471</v>
      </c>
      <c r="R719">
        <v>11</v>
      </c>
    </row>
    <row r="720" spans="1:19" x14ac:dyDescent="0.25">
      <c r="A720" t="s">
        <v>4472</v>
      </c>
      <c r="B720" s="1">
        <v>44578</v>
      </c>
      <c r="C720" t="s">
        <v>1507</v>
      </c>
      <c r="D720" t="s">
        <v>63</v>
      </c>
      <c r="E720" t="s">
        <v>24</v>
      </c>
      <c r="F720" t="s">
        <v>208</v>
      </c>
      <c r="G720">
        <v>10</v>
      </c>
      <c r="H720" t="s">
        <v>464</v>
      </c>
      <c r="I720" t="s">
        <v>943</v>
      </c>
      <c r="J720" t="s">
        <v>944</v>
      </c>
      <c r="K720" t="s">
        <v>4473</v>
      </c>
    </row>
    <row r="721" spans="1:19" x14ac:dyDescent="0.25">
      <c r="A721" t="s">
        <v>4537</v>
      </c>
      <c r="B721" s="1">
        <v>44585</v>
      </c>
      <c r="C721" t="s">
        <v>3910</v>
      </c>
      <c r="D721" t="s">
        <v>63</v>
      </c>
      <c r="E721" t="s">
        <v>24</v>
      </c>
      <c r="F721" t="s">
        <v>243</v>
      </c>
      <c r="G721">
        <v>30</v>
      </c>
      <c r="H721" t="s">
        <v>188</v>
      </c>
      <c r="I721" t="s">
        <v>254</v>
      </c>
      <c r="J721" t="s">
        <v>255</v>
      </c>
      <c r="K721" t="s">
        <v>4538</v>
      </c>
      <c r="R721">
        <v>92</v>
      </c>
    </row>
    <row r="722" spans="1:19" x14ac:dyDescent="0.25">
      <c r="A722" t="s">
        <v>4539</v>
      </c>
      <c r="B722" s="1">
        <v>44585</v>
      </c>
      <c r="C722" t="s">
        <v>652</v>
      </c>
      <c r="D722" t="s">
        <v>63</v>
      </c>
      <c r="E722" t="s">
        <v>24</v>
      </c>
      <c r="F722" t="s">
        <v>180</v>
      </c>
      <c r="G722">
        <v>5</v>
      </c>
      <c r="H722" t="s">
        <v>194</v>
      </c>
      <c r="I722" t="s">
        <v>195</v>
      </c>
      <c r="J722" t="s">
        <v>196</v>
      </c>
      <c r="K722" t="s">
        <v>4540</v>
      </c>
      <c r="R722">
        <v>22</v>
      </c>
    </row>
    <row r="723" spans="1:19" x14ac:dyDescent="0.25">
      <c r="A723" t="s">
        <v>4541</v>
      </c>
      <c r="B723" s="1">
        <v>44585</v>
      </c>
      <c r="C723" t="s">
        <v>2478</v>
      </c>
      <c r="D723" t="s">
        <v>63</v>
      </c>
      <c r="E723" t="s">
        <v>24</v>
      </c>
      <c r="F723" t="s">
        <v>297</v>
      </c>
      <c r="G723">
        <v>30</v>
      </c>
      <c r="H723" t="s">
        <v>1856</v>
      </c>
      <c r="I723" t="s">
        <v>2096</v>
      </c>
      <c r="J723" t="s">
        <v>4039</v>
      </c>
      <c r="K723" t="s">
        <v>4542</v>
      </c>
      <c r="L723">
        <v>0</v>
      </c>
      <c r="P723">
        <v>0</v>
      </c>
      <c r="Q723">
        <v>0</v>
      </c>
      <c r="R723">
        <v>69</v>
      </c>
      <c r="S723">
        <v>103</v>
      </c>
    </row>
    <row r="724" spans="1:19" x14ac:dyDescent="0.25">
      <c r="A724" t="s">
        <v>4543</v>
      </c>
      <c r="B724" s="1">
        <v>44585</v>
      </c>
      <c r="C724" t="s">
        <v>4458</v>
      </c>
      <c r="D724" t="s">
        <v>63</v>
      </c>
      <c r="E724" t="s">
        <v>24</v>
      </c>
      <c r="F724" t="s">
        <v>323</v>
      </c>
      <c r="G724">
        <v>45</v>
      </c>
      <c r="H724" t="s">
        <v>26</v>
      </c>
      <c r="I724" t="s">
        <v>370</v>
      </c>
      <c r="J724" t="s">
        <v>479</v>
      </c>
      <c r="K724" t="s">
        <v>4544</v>
      </c>
      <c r="L724">
        <v>291</v>
      </c>
      <c r="M724">
        <v>108</v>
      </c>
      <c r="N724" s="2">
        <v>0.36</v>
      </c>
      <c r="O724">
        <v>87</v>
      </c>
      <c r="P724">
        <v>16.11</v>
      </c>
      <c r="Q724">
        <v>12.08</v>
      </c>
      <c r="R724">
        <v>359</v>
      </c>
    </row>
    <row r="725" spans="1:19" x14ac:dyDescent="0.25">
      <c r="A725" t="s">
        <v>4545</v>
      </c>
      <c r="B725" s="1">
        <v>44585</v>
      </c>
      <c r="C725" t="s">
        <v>4546</v>
      </c>
      <c r="D725" t="s">
        <v>63</v>
      </c>
      <c r="E725" t="s">
        <v>24</v>
      </c>
      <c r="F725" t="s">
        <v>768</v>
      </c>
      <c r="G725">
        <v>5</v>
      </c>
      <c r="H725" t="s">
        <v>26</v>
      </c>
      <c r="I725" t="s">
        <v>358</v>
      </c>
      <c r="J725" t="s">
        <v>359</v>
      </c>
      <c r="K725" t="s">
        <v>4471</v>
      </c>
      <c r="L725">
        <v>22</v>
      </c>
      <c r="M725">
        <v>72</v>
      </c>
      <c r="N725" s="2">
        <v>0.33</v>
      </c>
      <c r="O725">
        <v>81</v>
      </c>
      <c r="P725">
        <v>14.07</v>
      </c>
      <c r="Q725">
        <v>1.17</v>
      </c>
      <c r="R725">
        <v>27</v>
      </c>
    </row>
    <row r="726" spans="1:19" x14ac:dyDescent="0.25">
      <c r="A726" t="s">
        <v>4547</v>
      </c>
      <c r="B726" s="1">
        <v>44585</v>
      </c>
      <c r="C726" t="s">
        <v>970</v>
      </c>
      <c r="D726" t="s">
        <v>63</v>
      </c>
      <c r="E726" t="s">
        <v>24</v>
      </c>
      <c r="F726" t="s">
        <v>768</v>
      </c>
      <c r="G726">
        <v>10</v>
      </c>
      <c r="H726" t="s">
        <v>194</v>
      </c>
      <c r="I726" t="s">
        <v>700</v>
      </c>
      <c r="J726" t="s">
        <v>1282</v>
      </c>
      <c r="K726" t="s">
        <v>4548</v>
      </c>
      <c r="R726">
        <v>46</v>
      </c>
    </row>
    <row r="727" spans="1:19" x14ac:dyDescent="0.25">
      <c r="A727" t="s">
        <v>4549</v>
      </c>
      <c r="B727" s="1">
        <v>44585</v>
      </c>
      <c r="C727" t="s">
        <v>4550</v>
      </c>
      <c r="D727" t="s">
        <v>63</v>
      </c>
      <c r="E727" t="s">
        <v>24</v>
      </c>
      <c r="F727" t="s">
        <v>200</v>
      </c>
      <c r="G727">
        <v>20</v>
      </c>
      <c r="H727" t="s">
        <v>464</v>
      </c>
      <c r="I727" t="s">
        <v>763</v>
      </c>
      <c r="J727" t="s">
        <v>1385</v>
      </c>
      <c r="K727" t="s">
        <v>4551</v>
      </c>
    </row>
    <row r="728" spans="1:19" x14ac:dyDescent="0.25">
      <c r="A728" t="s">
        <v>4626</v>
      </c>
      <c r="B728" s="1">
        <v>44592</v>
      </c>
      <c r="C728" t="s">
        <v>475</v>
      </c>
      <c r="D728" t="s">
        <v>63</v>
      </c>
      <c r="E728" t="s">
        <v>24</v>
      </c>
      <c r="F728" t="s">
        <v>200</v>
      </c>
      <c r="G728">
        <v>30</v>
      </c>
      <c r="H728" t="s">
        <v>188</v>
      </c>
      <c r="I728" t="s">
        <v>189</v>
      </c>
      <c r="J728" t="s">
        <v>4627</v>
      </c>
      <c r="K728" t="s">
        <v>4628</v>
      </c>
      <c r="R728">
        <v>97</v>
      </c>
    </row>
    <row r="729" spans="1:19" x14ac:dyDescent="0.25">
      <c r="A729" t="s">
        <v>4629</v>
      </c>
      <c r="B729" s="1">
        <v>44592</v>
      </c>
      <c r="C729" t="s">
        <v>4630</v>
      </c>
      <c r="D729" t="s">
        <v>63</v>
      </c>
      <c r="E729" t="s">
        <v>24</v>
      </c>
      <c r="F729" t="s">
        <v>231</v>
      </c>
      <c r="G729">
        <v>45</v>
      </c>
      <c r="H729" t="s">
        <v>1856</v>
      </c>
      <c r="I729" t="s">
        <v>2096</v>
      </c>
      <c r="J729" t="s">
        <v>4587</v>
      </c>
      <c r="K729" t="s">
        <v>4631</v>
      </c>
      <c r="L729">
        <v>0</v>
      </c>
      <c r="P729">
        <v>0</v>
      </c>
      <c r="Q729">
        <v>0</v>
      </c>
      <c r="R729">
        <v>150</v>
      </c>
    </row>
    <row r="730" spans="1:19" x14ac:dyDescent="0.25">
      <c r="A730" t="s">
        <v>4632</v>
      </c>
      <c r="B730" s="1">
        <v>44592</v>
      </c>
      <c r="C730" t="s">
        <v>3647</v>
      </c>
      <c r="D730" t="s">
        <v>63</v>
      </c>
      <c r="E730" t="s">
        <v>24</v>
      </c>
      <c r="F730" t="s">
        <v>243</v>
      </c>
      <c r="G730">
        <v>20</v>
      </c>
      <c r="H730" t="s">
        <v>26</v>
      </c>
      <c r="I730" t="s">
        <v>39</v>
      </c>
      <c r="J730" t="s">
        <v>870</v>
      </c>
      <c r="K730" t="s">
        <v>4633</v>
      </c>
      <c r="L730">
        <v>97</v>
      </c>
      <c r="M730">
        <v>81</v>
      </c>
      <c r="N730" s="2">
        <v>0.35</v>
      </c>
      <c r="O730">
        <v>81</v>
      </c>
      <c r="P730">
        <v>14.69</v>
      </c>
      <c r="Q730">
        <v>4.9000000000000004</v>
      </c>
      <c r="R730">
        <v>120</v>
      </c>
    </row>
    <row r="731" spans="1:19" x14ac:dyDescent="0.25">
      <c r="A731" t="s">
        <v>4634</v>
      </c>
      <c r="B731" s="1">
        <v>44592</v>
      </c>
      <c r="C731" t="s">
        <v>4635</v>
      </c>
      <c r="D731" t="s">
        <v>63</v>
      </c>
      <c r="E731" t="s">
        <v>24</v>
      </c>
      <c r="F731" t="s">
        <v>243</v>
      </c>
      <c r="G731">
        <v>30</v>
      </c>
      <c r="H731" t="s">
        <v>26</v>
      </c>
      <c r="I731" t="s">
        <v>370</v>
      </c>
      <c r="J731" t="s">
        <v>1260</v>
      </c>
      <c r="K731" t="s">
        <v>1261</v>
      </c>
      <c r="L731">
        <v>181</v>
      </c>
      <c r="M731">
        <v>100</v>
      </c>
      <c r="N731" s="2">
        <v>0.36</v>
      </c>
      <c r="O731">
        <v>87</v>
      </c>
      <c r="P731">
        <v>16.05</v>
      </c>
      <c r="Q731">
        <v>8.0299999999999994</v>
      </c>
      <c r="R731">
        <v>223</v>
      </c>
    </row>
    <row r="732" spans="1:19" x14ac:dyDescent="0.25">
      <c r="A732" t="s">
        <v>4636</v>
      </c>
      <c r="B732" s="1">
        <v>44592</v>
      </c>
      <c r="C732" t="s">
        <v>4126</v>
      </c>
      <c r="D732" t="s">
        <v>63</v>
      </c>
      <c r="E732" t="s">
        <v>24</v>
      </c>
      <c r="F732" t="s">
        <v>323</v>
      </c>
      <c r="G732">
        <v>5</v>
      </c>
      <c r="H732" t="s">
        <v>49</v>
      </c>
      <c r="I732" t="s">
        <v>50</v>
      </c>
      <c r="J732" t="s">
        <v>51</v>
      </c>
      <c r="K732" t="s">
        <v>4332</v>
      </c>
      <c r="R732">
        <v>12</v>
      </c>
    </row>
    <row r="733" spans="1:19" x14ac:dyDescent="0.25">
      <c r="A733" t="s">
        <v>4637</v>
      </c>
      <c r="B733" s="1">
        <v>44592</v>
      </c>
      <c r="C733" t="s">
        <v>251</v>
      </c>
      <c r="D733" t="s">
        <v>63</v>
      </c>
      <c r="E733" t="s">
        <v>24</v>
      </c>
      <c r="F733" t="s">
        <v>237</v>
      </c>
      <c r="G733">
        <v>20</v>
      </c>
      <c r="H733" t="s">
        <v>464</v>
      </c>
      <c r="I733" t="s">
        <v>763</v>
      </c>
      <c r="J733" t="s">
        <v>1335</v>
      </c>
      <c r="K733" t="s">
        <v>4638</v>
      </c>
    </row>
    <row r="734" spans="1:19" x14ac:dyDescent="0.25">
      <c r="A734" t="s">
        <v>4708</v>
      </c>
      <c r="B734" s="1">
        <v>44599</v>
      </c>
      <c r="C734" t="s">
        <v>2850</v>
      </c>
      <c r="D734" t="s">
        <v>63</v>
      </c>
      <c r="E734" t="s">
        <v>24</v>
      </c>
      <c r="F734" t="s">
        <v>200</v>
      </c>
      <c r="G734">
        <v>20</v>
      </c>
      <c r="H734" t="s">
        <v>188</v>
      </c>
      <c r="I734" t="s">
        <v>238</v>
      </c>
      <c r="J734" t="s">
        <v>4709</v>
      </c>
      <c r="K734" t="s">
        <v>4710</v>
      </c>
      <c r="R734">
        <v>61</v>
      </c>
    </row>
    <row r="735" spans="1:19" x14ac:dyDescent="0.25">
      <c r="A735" t="s">
        <v>4711</v>
      </c>
      <c r="B735" s="1">
        <v>44599</v>
      </c>
      <c r="C735" t="s">
        <v>4595</v>
      </c>
      <c r="D735" t="s">
        <v>63</v>
      </c>
      <c r="E735" t="s">
        <v>24</v>
      </c>
      <c r="F735" t="s">
        <v>180</v>
      </c>
      <c r="G735">
        <v>10</v>
      </c>
      <c r="H735" t="s">
        <v>194</v>
      </c>
      <c r="I735" t="s">
        <v>195</v>
      </c>
      <c r="J735" t="s">
        <v>211</v>
      </c>
      <c r="K735" t="s">
        <v>4540</v>
      </c>
      <c r="R735">
        <v>45</v>
      </c>
    </row>
    <row r="736" spans="1:19" x14ac:dyDescent="0.25">
      <c r="A736" t="s">
        <v>4712</v>
      </c>
      <c r="B736" s="1">
        <v>44599</v>
      </c>
      <c r="C736" t="s">
        <v>133</v>
      </c>
      <c r="D736" t="s">
        <v>63</v>
      </c>
      <c r="E736" t="s">
        <v>24</v>
      </c>
      <c r="F736" t="s">
        <v>3955</v>
      </c>
      <c r="G736">
        <v>30</v>
      </c>
      <c r="H736" t="s">
        <v>1856</v>
      </c>
      <c r="I736" t="s">
        <v>2096</v>
      </c>
      <c r="J736" t="s">
        <v>4713</v>
      </c>
      <c r="K736" t="s">
        <v>4714</v>
      </c>
      <c r="L736">
        <v>0</v>
      </c>
      <c r="P736">
        <v>0</v>
      </c>
      <c r="Q736">
        <v>0</v>
      </c>
      <c r="R736">
        <v>110</v>
      </c>
      <c r="S736">
        <v>129.68</v>
      </c>
    </row>
    <row r="737" spans="1:18" x14ac:dyDescent="0.25">
      <c r="A737" t="s">
        <v>4715</v>
      </c>
      <c r="B737" s="1">
        <v>44599</v>
      </c>
      <c r="C737" t="s">
        <v>4343</v>
      </c>
      <c r="D737" t="s">
        <v>63</v>
      </c>
      <c r="E737" t="s">
        <v>24</v>
      </c>
      <c r="F737" t="s">
        <v>180</v>
      </c>
      <c r="G737">
        <v>30</v>
      </c>
      <c r="H737" t="s">
        <v>26</v>
      </c>
      <c r="I737" t="s">
        <v>39</v>
      </c>
      <c r="J737" t="s">
        <v>407</v>
      </c>
      <c r="K737" t="s">
        <v>4716</v>
      </c>
      <c r="L737">
        <v>165</v>
      </c>
      <c r="M737">
        <v>92</v>
      </c>
      <c r="N737" s="2">
        <v>0.36</v>
      </c>
      <c r="O737">
        <v>85</v>
      </c>
      <c r="P737">
        <v>15.58</v>
      </c>
      <c r="Q737">
        <v>7.79</v>
      </c>
      <c r="R737">
        <v>204</v>
      </c>
    </row>
    <row r="738" spans="1:18" x14ac:dyDescent="0.25">
      <c r="A738" t="s">
        <v>4717</v>
      </c>
      <c r="B738" s="1">
        <v>44599</v>
      </c>
      <c r="C738" t="s">
        <v>4283</v>
      </c>
      <c r="D738" t="s">
        <v>63</v>
      </c>
      <c r="E738" t="s">
        <v>24</v>
      </c>
      <c r="F738" t="s">
        <v>180</v>
      </c>
      <c r="G738">
        <v>10</v>
      </c>
      <c r="H738" t="s">
        <v>194</v>
      </c>
      <c r="I738" t="s">
        <v>700</v>
      </c>
      <c r="J738" t="s">
        <v>1282</v>
      </c>
      <c r="K738" t="s">
        <v>4718</v>
      </c>
      <c r="R738">
        <v>46</v>
      </c>
    </row>
    <row r="739" spans="1:18" x14ac:dyDescent="0.25">
      <c r="A739" t="s">
        <v>4719</v>
      </c>
      <c r="B739" s="1">
        <v>44599</v>
      </c>
      <c r="C739" t="s">
        <v>913</v>
      </c>
      <c r="D739" t="s">
        <v>63</v>
      </c>
      <c r="E739" t="s">
        <v>24</v>
      </c>
      <c r="F739" t="s">
        <v>200</v>
      </c>
      <c r="G739">
        <v>5</v>
      </c>
      <c r="H739" t="s">
        <v>464</v>
      </c>
      <c r="I739" t="s">
        <v>763</v>
      </c>
      <c r="J739" t="s">
        <v>4184</v>
      </c>
      <c r="K739" t="s">
        <v>4720</v>
      </c>
    </row>
    <row r="740" spans="1:18" x14ac:dyDescent="0.25">
      <c r="A740" t="s">
        <v>4721</v>
      </c>
      <c r="B740" s="1">
        <v>44599</v>
      </c>
      <c r="C740" t="s">
        <v>4057</v>
      </c>
      <c r="D740" t="s">
        <v>63</v>
      </c>
      <c r="E740" t="s">
        <v>24</v>
      </c>
      <c r="F740" t="s">
        <v>215</v>
      </c>
      <c r="G740">
        <v>15</v>
      </c>
      <c r="H740" t="s">
        <v>464</v>
      </c>
      <c r="I740" t="s">
        <v>943</v>
      </c>
      <c r="J740" t="s">
        <v>1709</v>
      </c>
      <c r="K740" t="s">
        <v>4722</v>
      </c>
    </row>
    <row r="741" spans="1:18" x14ac:dyDescent="0.25">
      <c r="A741" t="s">
        <v>4795</v>
      </c>
      <c r="B741" s="1">
        <v>44606</v>
      </c>
      <c r="C741" t="s">
        <v>4796</v>
      </c>
      <c r="D741" t="s">
        <v>63</v>
      </c>
      <c r="E741" t="s">
        <v>24</v>
      </c>
      <c r="F741" t="s">
        <v>180</v>
      </c>
      <c r="G741">
        <v>10</v>
      </c>
      <c r="H741" t="s">
        <v>194</v>
      </c>
      <c r="I741" t="s">
        <v>195</v>
      </c>
      <c r="J741" t="s">
        <v>211</v>
      </c>
      <c r="K741" t="s">
        <v>4540</v>
      </c>
      <c r="R741">
        <v>45</v>
      </c>
    </row>
    <row r="742" spans="1:18" x14ac:dyDescent="0.25">
      <c r="A742" t="s">
        <v>4797</v>
      </c>
      <c r="B742" s="1">
        <v>44606</v>
      </c>
      <c r="C742" t="s">
        <v>157</v>
      </c>
      <c r="D742" t="s">
        <v>63</v>
      </c>
      <c r="E742" t="s">
        <v>24</v>
      </c>
      <c r="F742" t="s">
        <v>215</v>
      </c>
      <c r="G742">
        <v>30</v>
      </c>
      <c r="H742" t="s">
        <v>188</v>
      </c>
      <c r="I742" t="s">
        <v>189</v>
      </c>
      <c r="J742" t="s">
        <v>4798</v>
      </c>
      <c r="K742" t="s">
        <v>4799</v>
      </c>
      <c r="R742">
        <v>96</v>
      </c>
    </row>
    <row r="743" spans="1:18" x14ac:dyDescent="0.25">
      <c r="A743" t="s">
        <v>4800</v>
      </c>
      <c r="B743" s="1">
        <v>44606</v>
      </c>
      <c r="C743" t="s">
        <v>4801</v>
      </c>
      <c r="D743" t="s">
        <v>63</v>
      </c>
      <c r="E743" t="s">
        <v>24</v>
      </c>
      <c r="F743" t="s">
        <v>292</v>
      </c>
      <c r="G743">
        <v>20</v>
      </c>
      <c r="H743" t="s">
        <v>194</v>
      </c>
      <c r="I743" t="s">
        <v>691</v>
      </c>
      <c r="J743" t="s">
        <v>920</v>
      </c>
      <c r="K743" t="s">
        <v>4802</v>
      </c>
      <c r="R743">
        <v>92</v>
      </c>
    </row>
    <row r="744" spans="1:18" x14ac:dyDescent="0.25">
      <c r="A744" t="s">
        <v>4803</v>
      </c>
      <c r="B744" s="1">
        <v>44606</v>
      </c>
      <c r="C744" t="s">
        <v>3959</v>
      </c>
      <c r="D744" t="s">
        <v>63</v>
      </c>
      <c r="E744" t="s">
        <v>24</v>
      </c>
      <c r="F744" t="s">
        <v>328</v>
      </c>
      <c r="G744">
        <v>30</v>
      </c>
      <c r="H744" t="s">
        <v>26</v>
      </c>
      <c r="I744" t="s">
        <v>370</v>
      </c>
      <c r="J744" t="s">
        <v>396</v>
      </c>
      <c r="K744" t="s">
        <v>4804</v>
      </c>
      <c r="L744">
        <v>165</v>
      </c>
      <c r="M744">
        <v>92</v>
      </c>
      <c r="N744" s="2">
        <v>0.34</v>
      </c>
      <c r="O744">
        <v>89</v>
      </c>
      <c r="P744">
        <v>15.45</v>
      </c>
      <c r="Q744">
        <v>7.73</v>
      </c>
      <c r="R744">
        <v>204</v>
      </c>
    </row>
    <row r="745" spans="1:18" x14ac:dyDescent="0.25">
      <c r="A745" t="s">
        <v>4805</v>
      </c>
      <c r="B745" s="1">
        <v>44606</v>
      </c>
      <c r="C745" t="s">
        <v>4806</v>
      </c>
      <c r="D745" t="s">
        <v>63</v>
      </c>
      <c r="E745" t="s">
        <v>24</v>
      </c>
      <c r="F745" t="s">
        <v>328</v>
      </c>
      <c r="G745">
        <v>10</v>
      </c>
      <c r="H745" t="s">
        <v>194</v>
      </c>
      <c r="I745" t="s">
        <v>700</v>
      </c>
      <c r="J745" t="s">
        <v>1282</v>
      </c>
      <c r="K745" t="s">
        <v>4807</v>
      </c>
      <c r="R745">
        <v>46</v>
      </c>
    </row>
    <row r="746" spans="1:18" x14ac:dyDescent="0.25">
      <c r="A746" t="s">
        <v>4808</v>
      </c>
      <c r="B746" s="1">
        <v>44606</v>
      </c>
      <c r="C746" t="s">
        <v>2804</v>
      </c>
      <c r="D746" t="s">
        <v>63</v>
      </c>
      <c r="E746" t="s">
        <v>24</v>
      </c>
      <c r="F746" t="s">
        <v>208</v>
      </c>
      <c r="G746">
        <v>20</v>
      </c>
      <c r="H746" t="s">
        <v>464</v>
      </c>
      <c r="I746" t="s">
        <v>763</v>
      </c>
      <c r="J746" t="s">
        <v>1335</v>
      </c>
      <c r="K746" t="s">
        <v>4809</v>
      </c>
    </row>
    <row r="747" spans="1:18" x14ac:dyDescent="0.25">
      <c r="A747" t="s">
        <v>4862</v>
      </c>
      <c r="B747" s="1">
        <v>44613</v>
      </c>
      <c r="C747" t="s">
        <v>652</v>
      </c>
      <c r="D747" t="s">
        <v>63</v>
      </c>
      <c r="E747" t="s">
        <v>24</v>
      </c>
      <c r="F747" t="s">
        <v>2256</v>
      </c>
      <c r="G747">
        <v>10</v>
      </c>
      <c r="H747" t="s">
        <v>194</v>
      </c>
      <c r="I747" t="s">
        <v>195</v>
      </c>
      <c r="J747" t="s">
        <v>4863</v>
      </c>
      <c r="K747" t="s">
        <v>4864</v>
      </c>
      <c r="R747">
        <v>45</v>
      </c>
    </row>
    <row r="748" spans="1:18" x14ac:dyDescent="0.25">
      <c r="A748" t="s">
        <v>4865</v>
      </c>
      <c r="B748" s="1">
        <v>44613</v>
      </c>
      <c r="C748" t="s">
        <v>4866</v>
      </c>
      <c r="D748" t="s">
        <v>63</v>
      </c>
      <c r="E748" t="s">
        <v>24</v>
      </c>
      <c r="F748" t="s">
        <v>215</v>
      </c>
      <c r="G748">
        <v>10</v>
      </c>
      <c r="H748" t="s">
        <v>188</v>
      </c>
      <c r="I748" t="s">
        <v>238</v>
      </c>
      <c r="J748" t="s">
        <v>4867</v>
      </c>
      <c r="K748" t="s">
        <v>4868</v>
      </c>
      <c r="R748">
        <v>33</v>
      </c>
    </row>
    <row r="749" spans="1:18" x14ac:dyDescent="0.25">
      <c r="A749" t="s">
        <v>4869</v>
      </c>
      <c r="B749" s="1">
        <v>44613</v>
      </c>
      <c r="C749" t="s">
        <v>4369</v>
      </c>
      <c r="D749" t="s">
        <v>63</v>
      </c>
      <c r="E749" t="s">
        <v>24</v>
      </c>
      <c r="F749" t="s">
        <v>208</v>
      </c>
      <c r="G749">
        <v>20</v>
      </c>
      <c r="H749" t="s">
        <v>464</v>
      </c>
      <c r="I749" t="s">
        <v>943</v>
      </c>
      <c r="J749" t="s">
        <v>1347</v>
      </c>
      <c r="K749" t="s">
        <v>4870</v>
      </c>
    </row>
    <row r="750" spans="1:18" x14ac:dyDescent="0.25">
      <c r="A750" t="s">
        <v>4940</v>
      </c>
      <c r="B750" s="1">
        <v>44620</v>
      </c>
      <c r="C750" t="s">
        <v>3222</v>
      </c>
      <c r="D750" t="s">
        <v>63</v>
      </c>
      <c r="E750" t="s">
        <v>24</v>
      </c>
      <c r="F750" t="s">
        <v>200</v>
      </c>
      <c r="G750">
        <v>30</v>
      </c>
      <c r="H750" t="s">
        <v>188</v>
      </c>
      <c r="I750" t="s">
        <v>254</v>
      </c>
      <c r="J750" t="s">
        <v>255</v>
      </c>
      <c r="K750" t="s">
        <v>4941</v>
      </c>
      <c r="R750">
        <v>95</v>
      </c>
    </row>
    <row r="751" spans="1:18" x14ac:dyDescent="0.25">
      <c r="A751" t="s">
        <v>4942</v>
      </c>
      <c r="B751" s="1">
        <v>44620</v>
      </c>
      <c r="C751" t="s">
        <v>4216</v>
      </c>
      <c r="D751" t="s">
        <v>63</v>
      </c>
      <c r="E751" t="s">
        <v>24</v>
      </c>
      <c r="F751" t="s">
        <v>243</v>
      </c>
      <c r="G751">
        <v>45</v>
      </c>
      <c r="H751" t="s">
        <v>26</v>
      </c>
      <c r="I751" t="s">
        <v>370</v>
      </c>
      <c r="J751" t="s">
        <v>479</v>
      </c>
      <c r="K751" t="s">
        <v>4943</v>
      </c>
      <c r="L751">
        <v>277</v>
      </c>
      <c r="M751">
        <v>102</v>
      </c>
      <c r="N751" s="2">
        <v>0.35</v>
      </c>
      <c r="O751">
        <v>88</v>
      </c>
      <c r="P751">
        <v>15.86</v>
      </c>
      <c r="Q751">
        <v>11.89</v>
      </c>
      <c r="R751">
        <v>341</v>
      </c>
    </row>
    <row r="752" spans="1:18" x14ac:dyDescent="0.25">
      <c r="A752" t="s">
        <v>4944</v>
      </c>
      <c r="B752" s="1">
        <v>44620</v>
      </c>
      <c r="C752" t="s">
        <v>4945</v>
      </c>
      <c r="D752" t="s">
        <v>63</v>
      </c>
      <c r="E752" t="s">
        <v>24</v>
      </c>
      <c r="F752" t="s">
        <v>660</v>
      </c>
      <c r="G752">
        <v>5</v>
      </c>
      <c r="H752" t="s">
        <v>26</v>
      </c>
      <c r="I752" t="s">
        <v>358</v>
      </c>
      <c r="J752" t="s">
        <v>359</v>
      </c>
      <c r="K752" t="s">
        <v>4946</v>
      </c>
      <c r="L752">
        <v>17</v>
      </c>
      <c r="M752">
        <v>57</v>
      </c>
      <c r="N752" s="2">
        <v>0.28999999999999998</v>
      </c>
      <c r="O752">
        <v>83</v>
      </c>
      <c r="P752">
        <v>12.78</v>
      </c>
      <c r="Q752">
        <v>1.06</v>
      </c>
      <c r="R752">
        <v>21</v>
      </c>
    </row>
    <row r="753" spans="1:19" x14ac:dyDescent="0.25">
      <c r="A753" t="s">
        <v>4947</v>
      </c>
      <c r="B753" s="1">
        <v>44620</v>
      </c>
      <c r="C753" t="s">
        <v>4948</v>
      </c>
      <c r="D753" t="s">
        <v>63</v>
      </c>
      <c r="E753" t="s">
        <v>24</v>
      </c>
      <c r="F753" t="s">
        <v>243</v>
      </c>
      <c r="G753">
        <v>5</v>
      </c>
      <c r="H753" t="s">
        <v>49</v>
      </c>
      <c r="I753" t="s">
        <v>50</v>
      </c>
      <c r="J753" t="s">
        <v>51</v>
      </c>
      <c r="K753" t="s">
        <v>4949</v>
      </c>
      <c r="R753">
        <v>11</v>
      </c>
    </row>
    <row r="754" spans="1:19" x14ac:dyDescent="0.25">
      <c r="A754" t="s">
        <v>4950</v>
      </c>
      <c r="B754" s="1">
        <v>44620</v>
      </c>
      <c r="C754" t="s">
        <v>1375</v>
      </c>
      <c r="D754" t="s">
        <v>63</v>
      </c>
      <c r="E754" t="s">
        <v>24</v>
      </c>
      <c r="F754" t="s">
        <v>208</v>
      </c>
      <c r="G754">
        <v>10</v>
      </c>
      <c r="H754" t="s">
        <v>464</v>
      </c>
      <c r="I754" t="s">
        <v>763</v>
      </c>
      <c r="J754" t="s">
        <v>914</v>
      </c>
      <c r="K754" t="s">
        <v>4951</v>
      </c>
    </row>
    <row r="755" spans="1:19" x14ac:dyDescent="0.25">
      <c r="A755" t="s">
        <v>5031</v>
      </c>
      <c r="B755" s="1">
        <v>44627</v>
      </c>
      <c r="C755" t="s">
        <v>4630</v>
      </c>
      <c r="D755" t="s">
        <v>63</v>
      </c>
      <c r="E755" t="s">
        <v>24</v>
      </c>
      <c r="F755" t="s">
        <v>305</v>
      </c>
      <c r="G755">
        <v>45</v>
      </c>
      <c r="H755" t="s">
        <v>1856</v>
      </c>
      <c r="I755" t="s">
        <v>2096</v>
      </c>
      <c r="J755" t="s">
        <v>4587</v>
      </c>
      <c r="K755" t="s">
        <v>5032</v>
      </c>
      <c r="L755">
        <v>0</v>
      </c>
      <c r="P755">
        <v>0</v>
      </c>
      <c r="Q755">
        <v>0</v>
      </c>
      <c r="R755">
        <v>166</v>
      </c>
    </row>
    <row r="756" spans="1:19" x14ac:dyDescent="0.25">
      <c r="A756" t="s">
        <v>5033</v>
      </c>
      <c r="B756" s="1">
        <v>44627</v>
      </c>
      <c r="C756" t="s">
        <v>5034</v>
      </c>
      <c r="D756" t="s">
        <v>63</v>
      </c>
      <c r="E756" t="s">
        <v>24</v>
      </c>
      <c r="F756" t="s">
        <v>243</v>
      </c>
      <c r="G756">
        <v>45</v>
      </c>
      <c r="H756" t="s">
        <v>188</v>
      </c>
      <c r="I756" t="s">
        <v>189</v>
      </c>
      <c r="J756" t="s">
        <v>244</v>
      </c>
      <c r="K756" t="s">
        <v>5035</v>
      </c>
      <c r="R756">
        <v>141</v>
      </c>
    </row>
    <row r="757" spans="1:19" x14ac:dyDescent="0.25">
      <c r="A757" t="s">
        <v>5036</v>
      </c>
      <c r="B757" s="1">
        <v>44627</v>
      </c>
      <c r="C757" t="s">
        <v>3712</v>
      </c>
      <c r="D757" t="s">
        <v>63</v>
      </c>
      <c r="E757" t="s">
        <v>24</v>
      </c>
      <c r="F757" t="s">
        <v>200</v>
      </c>
      <c r="G757">
        <v>10</v>
      </c>
      <c r="H757" t="s">
        <v>464</v>
      </c>
      <c r="I757" t="s">
        <v>1571</v>
      </c>
      <c r="J757" t="s">
        <v>2704</v>
      </c>
      <c r="K757" t="s">
        <v>5037</v>
      </c>
    </row>
    <row r="758" spans="1:19" x14ac:dyDescent="0.25">
      <c r="A758" t="s">
        <v>5116</v>
      </c>
      <c r="B758" s="1">
        <v>44634</v>
      </c>
      <c r="C758" t="s">
        <v>1105</v>
      </c>
      <c r="D758" t="s">
        <v>63</v>
      </c>
      <c r="E758" t="s">
        <v>24</v>
      </c>
      <c r="F758" t="s">
        <v>243</v>
      </c>
      <c r="G758">
        <v>30</v>
      </c>
      <c r="H758" t="s">
        <v>188</v>
      </c>
      <c r="I758" t="s">
        <v>189</v>
      </c>
      <c r="J758" t="s">
        <v>201</v>
      </c>
      <c r="K758" t="s">
        <v>5117</v>
      </c>
      <c r="R758">
        <v>95</v>
      </c>
    </row>
    <row r="759" spans="1:19" x14ac:dyDescent="0.25">
      <c r="A759" t="s">
        <v>5118</v>
      </c>
      <c r="B759" s="1">
        <v>44634</v>
      </c>
      <c r="C759" t="s">
        <v>2486</v>
      </c>
      <c r="D759" t="s">
        <v>63</v>
      </c>
      <c r="E759" t="s">
        <v>24</v>
      </c>
      <c r="F759" t="s">
        <v>335</v>
      </c>
      <c r="G759">
        <v>45</v>
      </c>
      <c r="H759" t="s">
        <v>26</v>
      </c>
      <c r="I759" t="s">
        <v>370</v>
      </c>
      <c r="J759" t="s">
        <v>5119</v>
      </c>
      <c r="K759" t="s">
        <v>5120</v>
      </c>
      <c r="L759">
        <v>280</v>
      </c>
      <c r="M759">
        <v>104</v>
      </c>
      <c r="N759" s="2">
        <v>0.37</v>
      </c>
      <c r="O759">
        <v>86</v>
      </c>
      <c r="P759">
        <v>16.38</v>
      </c>
      <c r="Q759">
        <v>12.28</v>
      </c>
      <c r="R759">
        <v>430</v>
      </c>
      <c r="S759">
        <v>150.09</v>
      </c>
    </row>
    <row r="760" spans="1:19" x14ac:dyDescent="0.25">
      <c r="A760" t="s">
        <v>5121</v>
      </c>
      <c r="B760" s="1">
        <v>44634</v>
      </c>
      <c r="C760" t="s">
        <v>3173</v>
      </c>
      <c r="D760" t="s">
        <v>63</v>
      </c>
      <c r="E760" t="s">
        <v>24</v>
      </c>
      <c r="F760" t="s">
        <v>2833</v>
      </c>
      <c r="G760">
        <v>10</v>
      </c>
      <c r="H760" t="s">
        <v>26</v>
      </c>
      <c r="I760" t="s">
        <v>358</v>
      </c>
      <c r="J760" t="s">
        <v>389</v>
      </c>
      <c r="K760" t="s">
        <v>5122</v>
      </c>
      <c r="L760">
        <v>31</v>
      </c>
      <c r="M760">
        <v>52</v>
      </c>
      <c r="N760" s="2">
        <v>0.3</v>
      </c>
      <c r="O760">
        <v>76</v>
      </c>
      <c r="P760">
        <v>12.15</v>
      </c>
      <c r="Q760">
        <v>2.0299999999999998</v>
      </c>
      <c r="R760">
        <v>58</v>
      </c>
      <c r="S760">
        <v>116.5</v>
      </c>
    </row>
    <row r="761" spans="1:19" x14ac:dyDescent="0.25">
      <c r="A761" t="s">
        <v>5123</v>
      </c>
      <c r="B761" s="1">
        <v>44634</v>
      </c>
      <c r="C761" t="s">
        <v>5124</v>
      </c>
      <c r="D761" t="s">
        <v>63</v>
      </c>
      <c r="E761" t="s">
        <v>24</v>
      </c>
      <c r="F761" t="s">
        <v>231</v>
      </c>
      <c r="G761">
        <v>10</v>
      </c>
      <c r="H761" t="s">
        <v>194</v>
      </c>
      <c r="I761" t="s">
        <v>195</v>
      </c>
      <c r="J761" t="s">
        <v>211</v>
      </c>
      <c r="K761" t="s">
        <v>5125</v>
      </c>
      <c r="R761">
        <v>38</v>
      </c>
      <c r="S761">
        <v>99.51</v>
      </c>
    </row>
    <row r="762" spans="1:19" x14ac:dyDescent="0.25">
      <c r="A762" t="s">
        <v>5126</v>
      </c>
      <c r="B762" s="1">
        <v>44634</v>
      </c>
      <c r="C762" t="s">
        <v>3125</v>
      </c>
      <c r="D762" t="s">
        <v>63</v>
      </c>
      <c r="E762" t="s">
        <v>24</v>
      </c>
      <c r="F762" t="s">
        <v>243</v>
      </c>
      <c r="G762">
        <v>10</v>
      </c>
      <c r="H762" t="s">
        <v>188</v>
      </c>
      <c r="I762" t="s">
        <v>238</v>
      </c>
      <c r="J762" t="s">
        <v>674</v>
      </c>
      <c r="K762" t="s">
        <v>5127</v>
      </c>
      <c r="R762">
        <v>34</v>
      </c>
      <c r="S762">
        <v>92</v>
      </c>
    </row>
    <row r="763" spans="1:19" x14ac:dyDescent="0.25">
      <c r="A763" t="s">
        <v>5128</v>
      </c>
      <c r="B763" s="1">
        <v>44634</v>
      </c>
      <c r="C763" t="s">
        <v>1476</v>
      </c>
      <c r="D763" t="s">
        <v>63</v>
      </c>
      <c r="E763" t="s">
        <v>24</v>
      </c>
      <c r="F763" t="s">
        <v>208</v>
      </c>
      <c r="G763">
        <v>10</v>
      </c>
      <c r="H763" t="s">
        <v>464</v>
      </c>
      <c r="I763" t="s">
        <v>943</v>
      </c>
      <c r="J763" t="s">
        <v>944</v>
      </c>
      <c r="K763" t="s">
        <v>5129</v>
      </c>
    </row>
    <row r="764" spans="1:19" x14ac:dyDescent="0.25">
      <c r="A764" t="s">
        <v>5213</v>
      </c>
      <c r="B764" s="1">
        <v>44641</v>
      </c>
      <c r="C764" t="s">
        <v>630</v>
      </c>
      <c r="D764" t="s">
        <v>63</v>
      </c>
      <c r="E764" t="s">
        <v>24</v>
      </c>
      <c r="F764" t="s">
        <v>215</v>
      </c>
      <c r="G764">
        <v>30</v>
      </c>
      <c r="H764" t="s">
        <v>188</v>
      </c>
      <c r="I764" t="s">
        <v>189</v>
      </c>
      <c r="J764" t="s">
        <v>201</v>
      </c>
      <c r="K764" t="s">
        <v>5214</v>
      </c>
      <c r="R764">
        <v>100</v>
      </c>
    </row>
    <row r="765" spans="1:19" x14ac:dyDescent="0.25">
      <c r="A765" t="s">
        <v>5215</v>
      </c>
      <c r="B765" s="1">
        <v>44641</v>
      </c>
      <c r="C765" t="s">
        <v>5216</v>
      </c>
      <c r="D765" t="s">
        <v>63</v>
      </c>
      <c r="E765" t="s">
        <v>24</v>
      </c>
      <c r="F765" t="s">
        <v>180</v>
      </c>
      <c r="G765">
        <v>10</v>
      </c>
      <c r="H765" t="s">
        <v>194</v>
      </c>
      <c r="I765" t="s">
        <v>195</v>
      </c>
      <c r="J765" t="s">
        <v>211</v>
      </c>
      <c r="K765" t="s">
        <v>5217</v>
      </c>
      <c r="R765">
        <v>38</v>
      </c>
      <c r="S765">
        <v>97.21</v>
      </c>
    </row>
    <row r="766" spans="1:19" x14ac:dyDescent="0.25">
      <c r="A766" t="s">
        <v>5218</v>
      </c>
      <c r="B766" s="1">
        <v>44641</v>
      </c>
      <c r="C766" t="s">
        <v>5219</v>
      </c>
      <c r="D766" t="s">
        <v>63</v>
      </c>
      <c r="E766" t="s">
        <v>24</v>
      </c>
      <c r="F766" t="s">
        <v>2833</v>
      </c>
      <c r="G766">
        <v>5</v>
      </c>
      <c r="H766" t="s">
        <v>26</v>
      </c>
      <c r="I766" t="s">
        <v>423</v>
      </c>
      <c r="J766" t="s">
        <v>505</v>
      </c>
      <c r="K766" t="s">
        <v>5122</v>
      </c>
      <c r="L766">
        <v>24</v>
      </c>
      <c r="M766">
        <v>81</v>
      </c>
      <c r="N766" s="2">
        <v>0.32</v>
      </c>
      <c r="O766">
        <v>90</v>
      </c>
      <c r="P766">
        <v>14.79</v>
      </c>
      <c r="Q766">
        <v>1.23</v>
      </c>
      <c r="R766">
        <v>34</v>
      </c>
      <c r="S766">
        <v>128.22</v>
      </c>
    </row>
    <row r="767" spans="1:19" x14ac:dyDescent="0.25">
      <c r="A767" t="s">
        <v>5220</v>
      </c>
      <c r="B767" s="1">
        <v>44641</v>
      </c>
      <c r="C767" t="s">
        <v>5221</v>
      </c>
      <c r="D767" t="s">
        <v>63</v>
      </c>
      <c r="E767" t="s">
        <v>24</v>
      </c>
      <c r="F767" t="s">
        <v>323</v>
      </c>
      <c r="G767">
        <v>45</v>
      </c>
      <c r="H767" t="s">
        <v>26</v>
      </c>
      <c r="I767" t="s">
        <v>370</v>
      </c>
      <c r="J767" t="s">
        <v>479</v>
      </c>
      <c r="K767" t="s">
        <v>5222</v>
      </c>
      <c r="L767">
        <v>287</v>
      </c>
      <c r="M767">
        <v>106</v>
      </c>
      <c r="N767" s="2">
        <v>0.37</v>
      </c>
      <c r="O767">
        <v>86</v>
      </c>
      <c r="P767">
        <v>16.27</v>
      </c>
      <c r="Q767">
        <v>12.21</v>
      </c>
      <c r="R767">
        <v>448</v>
      </c>
      <c r="S767">
        <v>153.52000000000001</v>
      </c>
    </row>
    <row r="768" spans="1:19" x14ac:dyDescent="0.25">
      <c r="A768" t="s">
        <v>5223</v>
      </c>
      <c r="B768" s="1">
        <v>44641</v>
      </c>
      <c r="C768" t="s">
        <v>1971</v>
      </c>
      <c r="D768" t="s">
        <v>63</v>
      </c>
      <c r="E768" t="s">
        <v>24</v>
      </c>
      <c r="F768" t="s">
        <v>660</v>
      </c>
      <c r="G768">
        <v>10</v>
      </c>
      <c r="H768" t="s">
        <v>26</v>
      </c>
      <c r="I768" t="s">
        <v>358</v>
      </c>
      <c r="J768" t="s">
        <v>5224</v>
      </c>
      <c r="K768" t="s">
        <v>5225</v>
      </c>
      <c r="L768">
        <v>39</v>
      </c>
      <c r="M768">
        <v>66</v>
      </c>
      <c r="N768" s="2">
        <v>0.32</v>
      </c>
      <c r="O768">
        <v>79</v>
      </c>
      <c r="P768">
        <v>13.44</v>
      </c>
      <c r="Q768">
        <v>2.2400000000000002</v>
      </c>
      <c r="R768">
        <v>70</v>
      </c>
      <c r="S768">
        <v>121.27</v>
      </c>
    </row>
    <row r="769" spans="1:19" x14ac:dyDescent="0.25">
      <c r="A769" t="s">
        <v>5226</v>
      </c>
      <c r="B769" s="1">
        <v>44641</v>
      </c>
      <c r="C769" t="s">
        <v>3421</v>
      </c>
      <c r="D769" t="s">
        <v>63</v>
      </c>
      <c r="E769" t="s">
        <v>24</v>
      </c>
      <c r="F769" t="s">
        <v>243</v>
      </c>
      <c r="G769">
        <v>15</v>
      </c>
      <c r="H769" t="s">
        <v>188</v>
      </c>
      <c r="I769" t="s">
        <v>238</v>
      </c>
      <c r="J769" t="s">
        <v>4358</v>
      </c>
      <c r="K769" t="s">
        <v>5227</v>
      </c>
      <c r="R769">
        <v>63</v>
      </c>
      <c r="S769">
        <v>102.69</v>
      </c>
    </row>
    <row r="770" spans="1:19" x14ac:dyDescent="0.25">
      <c r="A770" t="s">
        <v>5228</v>
      </c>
      <c r="B770" s="1">
        <v>44641</v>
      </c>
      <c r="C770" t="s">
        <v>1637</v>
      </c>
      <c r="D770" t="s">
        <v>63</v>
      </c>
      <c r="E770" t="s">
        <v>24</v>
      </c>
      <c r="F770" t="s">
        <v>237</v>
      </c>
      <c r="G770">
        <v>10</v>
      </c>
      <c r="H770" t="s">
        <v>464</v>
      </c>
      <c r="I770" t="s">
        <v>579</v>
      </c>
      <c r="J770" t="s">
        <v>602</v>
      </c>
      <c r="K770" t="s">
        <v>5229</v>
      </c>
    </row>
    <row r="771" spans="1:19" x14ac:dyDescent="0.25">
      <c r="A771" t="s">
        <v>5286</v>
      </c>
      <c r="B771" s="1">
        <v>44648</v>
      </c>
      <c r="C771" t="s">
        <v>5287</v>
      </c>
      <c r="D771" t="s">
        <v>63</v>
      </c>
      <c r="E771" t="s">
        <v>24</v>
      </c>
      <c r="F771" t="s">
        <v>200</v>
      </c>
      <c r="G771">
        <v>5</v>
      </c>
      <c r="H771" t="s">
        <v>464</v>
      </c>
      <c r="I771" t="s">
        <v>579</v>
      </c>
      <c r="J771" t="s">
        <v>5288</v>
      </c>
      <c r="K771" t="s">
        <v>5289</v>
      </c>
    </row>
    <row r="772" spans="1:19" x14ac:dyDescent="0.25">
      <c r="A772" t="s">
        <v>5290</v>
      </c>
      <c r="B772" s="1">
        <v>44648</v>
      </c>
      <c r="C772" t="s">
        <v>626</v>
      </c>
      <c r="D772" t="s">
        <v>63</v>
      </c>
      <c r="E772" t="s">
        <v>24</v>
      </c>
      <c r="F772" t="s">
        <v>335</v>
      </c>
      <c r="G772">
        <v>10</v>
      </c>
      <c r="H772" t="s">
        <v>194</v>
      </c>
      <c r="I772" t="s">
        <v>195</v>
      </c>
      <c r="J772" t="s">
        <v>211</v>
      </c>
      <c r="K772" t="s">
        <v>5291</v>
      </c>
      <c r="R772">
        <v>44</v>
      </c>
    </row>
    <row r="773" spans="1:19" x14ac:dyDescent="0.25">
      <c r="A773" t="s">
        <v>5292</v>
      </c>
      <c r="B773" s="1">
        <v>44648</v>
      </c>
      <c r="C773" t="s">
        <v>1923</v>
      </c>
      <c r="D773" t="s">
        <v>63</v>
      </c>
      <c r="E773" t="s">
        <v>24</v>
      </c>
      <c r="F773" t="s">
        <v>215</v>
      </c>
      <c r="G773">
        <v>30</v>
      </c>
      <c r="H773" t="s">
        <v>188</v>
      </c>
      <c r="I773" t="s">
        <v>189</v>
      </c>
      <c r="J773" t="s">
        <v>3149</v>
      </c>
      <c r="K773" t="s">
        <v>5293</v>
      </c>
    </row>
    <row r="774" spans="1:19" x14ac:dyDescent="0.25">
      <c r="A774" t="s">
        <v>5294</v>
      </c>
      <c r="B774" s="1">
        <v>44648</v>
      </c>
      <c r="C774" t="s">
        <v>1444</v>
      </c>
      <c r="D774" t="s">
        <v>63</v>
      </c>
      <c r="E774" t="s">
        <v>24</v>
      </c>
      <c r="F774" t="s">
        <v>490</v>
      </c>
      <c r="G774">
        <v>5</v>
      </c>
      <c r="H774" t="s">
        <v>26</v>
      </c>
      <c r="I774" t="s">
        <v>423</v>
      </c>
      <c r="J774" t="s">
        <v>505</v>
      </c>
      <c r="K774" t="s">
        <v>5295</v>
      </c>
      <c r="L774">
        <v>25</v>
      </c>
      <c r="M774">
        <v>83</v>
      </c>
      <c r="N774" s="2">
        <v>0.31</v>
      </c>
      <c r="O774">
        <v>96</v>
      </c>
      <c r="P774">
        <v>14.93</v>
      </c>
      <c r="Q774">
        <v>1.25</v>
      </c>
      <c r="R774">
        <v>33</v>
      </c>
      <c r="S774">
        <v>126.03</v>
      </c>
    </row>
    <row r="775" spans="1:19" x14ac:dyDescent="0.25">
      <c r="A775" t="s">
        <v>5296</v>
      </c>
      <c r="B775" s="1">
        <v>44648</v>
      </c>
      <c r="C775" t="s">
        <v>5297</v>
      </c>
      <c r="D775" t="s">
        <v>63</v>
      </c>
      <c r="E775" t="s">
        <v>24</v>
      </c>
      <c r="F775" t="s">
        <v>323</v>
      </c>
      <c r="G775">
        <v>60</v>
      </c>
      <c r="H775" t="s">
        <v>26</v>
      </c>
      <c r="I775" t="s">
        <v>370</v>
      </c>
      <c r="J775" t="s">
        <v>498</v>
      </c>
      <c r="K775" t="s">
        <v>5298</v>
      </c>
      <c r="L775">
        <v>379</v>
      </c>
      <c r="M775">
        <v>105</v>
      </c>
      <c r="N775" s="2">
        <v>0.38</v>
      </c>
      <c r="O775">
        <v>85</v>
      </c>
      <c r="P775">
        <v>16.48</v>
      </c>
      <c r="Q775">
        <v>16.489999999999998</v>
      </c>
      <c r="R775">
        <v>536</v>
      </c>
      <c r="S775">
        <v>144.51</v>
      </c>
    </row>
    <row r="776" spans="1:19" x14ac:dyDescent="0.25">
      <c r="A776" t="s">
        <v>5299</v>
      </c>
      <c r="B776" s="1">
        <v>44648</v>
      </c>
      <c r="C776" t="s">
        <v>2150</v>
      </c>
      <c r="D776" t="s">
        <v>63</v>
      </c>
      <c r="E776" t="s">
        <v>24</v>
      </c>
      <c r="F776" t="s">
        <v>328</v>
      </c>
      <c r="G776">
        <v>5</v>
      </c>
      <c r="H776" t="s">
        <v>26</v>
      </c>
      <c r="I776" t="s">
        <v>358</v>
      </c>
      <c r="J776" t="s">
        <v>359</v>
      </c>
      <c r="K776" t="s">
        <v>5300</v>
      </c>
      <c r="L776">
        <v>19</v>
      </c>
      <c r="M776">
        <v>62</v>
      </c>
      <c r="N776" s="2">
        <v>0.31</v>
      </c>
      <c r="O776">
        <v>80</v>
      </c>
      <c r="P776">
        <v>13.14</v>
      </c>
      <c r="Q776">
        <v>1.0900000000000001</v>
      </c>
      <c r="R776">
        <v>28</v>
      </c>
      <c r="S776">
        <v>117.62</v>
      </c>
    </row>
    <row r="777" spans="1:19" x14ac:dyDescent="0.25">
      <c r="A777" t="s">
        <v>5301</v>
      </c>
      <c r="B777" s="1">
        <v>44648</v>
      </c>
      <c r="C777" t="s">
        <v>2490</v>
      </c>
      <c r="D777" t="s">
        <v>63</v>
      </c>
      <c r="E777" t="s">
        <v>24</v>
      </c>
      <c r="F777" t="s">
        <v>2833</v>
      </c>
      <c r="G777">
        <v>10</v>
      </c>
      <c r="H777" t="s">
        <v>194</v>
      </c>
      <c r="I777" t="s">
        <v>700</v>
      </c>
      <c r="J777" t="s">
        <v>1282</v>
      </c>
      <c r="K777" t="s">
        <v>5302</v>
      </c>
      <c r="R777">
        <v>52</v>
      </c>
      <c r="S777">
        <v>125.79</v>
      </c>
    </row>
    <row r="778" spans="1:19" x14ac:dyDescent="0.25">
      <c r="A778" t="s">
        <v>5303</v>
      </c>
      <c r="B778" s="1">
        <v>44648</v>
      </c>
      <c r="C778" t="s">
        <v>5304</v>
      </c>
      <c r="D778" t="s">
        <v>63</v>
      </c>
      <c r="E778" t="s">
        <v>24</v>
      </c>
      <c r="F778" t="s">
        <v>170</v>
      </c>
      <c r="G778">
        <v>10</v>
      </c>
      <c r="H778" t="s">
        <v>49</v>
      </c>
      <c r="I778" t="s">
        <v>226</v>
      </c>
      <c r="J778" t="s">
        <v>293</v>
      </c>
      <c r="K778" t="s">
        <v>5305</v>
      </c>
      <c r="R778">
        <v>26</v>
      </c>
      <c r="S778">
        <v>87.58</v>
      </c>
    </row>
    <row r="779" spans="1:19" x14ac:dyDescent="0.25">
      <c r="A779" t="s">
        <v>5306</v>
      </c>
      <c r="B779" s="1">
        <v>44648</v>
      </c>
      <c r="C779" t="s">
        <v>1292</v>
      </c>
      <c r="D779" t="s">
        <v>63</v>
      </c>
      <c r="E779" t="s">
        <v>24</v>
      </c>
      <c r="F779" t="s">
        <v>459</v>
      </c>
      <c r="G779">
        <v>10</v>
      </c>
      <c r="H779" t="s">
        <v>464</v>
      </c>
      <c r="I779" t="s">
        <v>579</v>
      </c>
      <c r="J779" t="s">
        <v>808</v>
      </c>
      <c r="K779" t="s">
        <v>5145</v>
      </c>
    </row>
    <row r="780" spans="1:19" x14ac:dyDescent="0.25">
      <c r="A780" t="s">
        <v>5358</v>
      </c>
      <c r="B780" s="1">
        <v>44655</v>
      </c>
      <c r="C780" t="s">
        <v>5359</v>
      </c>
      <c r="D780" t="s">
        <v>63</v>
      </c>
      <c r="E780" t="s">
        <v>24</v>
      </c>
      <c r="F780" t="s">
        <v>2256</v>
      </c>
      <c r="G780">
        <v>10</v>
      </c>
      <c r="H780" t="s">
        <v>194</v>
      </c>
      <c r="I780" t="s">
        <v>195</v>
      </c>
      <c r="J780" t="s">
        <v>211</v>
      </c>
      <c r="K780" t="s">
        <v>5360</v>
      </c>
      <c r="R780">
        <v>37</v>
      </c>
      <c r="S780">
        <v>94.69</v>
      </c>
    </row>
    <row r="781" spans="1:19" x14ac:dyDescent="0.25">
      <c r="A781" t="s">
        <v>5361</v>
      </c>
      <c r="B781" s="1">
        <v>44655</v>
      </c>
      <c r="C781" t="s">
        <v>5362</v>
      </c>
      <c r="D781" t="s">
        <v>63</v>
      </c>
      <c r="E781" t="s">
        <v>24</v>
      </c>
      <c r="F781" t="s">
        <v>323</v>
      </c>
      <c r="G781">
        <v>75</v>
      </c>
      <c r="H781" t="s">
        <v>26</v>
      </c>
      <c r="I781" t="s">
        <v>370</v>
      </c>
      <c r="J781" t="s">
        <v>1081</v>
      </c>
      <c r="K781" t="s">
        <v>5363</v>
      </c>
      <c r="L781">
        <v>469</v>
      </c>
      <c r="M781">
        <v>104</v>
      </c>
      <c r="N781" s="2">
        <v>0.38</v>
      </c>
      <c r="O781">
        <v>82</v>
      </c>
      <c r="P781">
        <v>16.420000000000002</v>
      </c>
      <c r="Q781">
        <v>20.53</v>
      </c>
      <c r="R781">
        <v>653</v>
      </c>
      <c r="S781">
        <v>134.79</v>
      </c>
    </row>
    <row r="782" spans="1:19" x14ac:dyDescent="0.25">
      <c r="A782" t="s">
        <v>5364</v>
      </c>
      <c r="B782" s="1">
        <v>44655</v>
      </c>
      <c r="C782" t="s">
        <v>5313</v>
      </c>
      <c r="D782" t="s">
        <v>63</v>
      </c>
      <c r="E782" t="s">
        <v>24</v>
      </c>
      <c r="F782" t="s">
        <v>215</v>
      </c>
      <c r="G782">
        <v>15</v>
      </c>
      <c r="H782" t="s">
        <v>188</v>
      </c>
      <c r="I782" t="s">
        <v>238</v>
      </c>
      <c r="J782" t="s">
        <v>3616</v>
      </c>
      <c r="K782" t="s">
        <v>5365</v>
      </c>
      <c r="R782">
        <v>44</v>
      </c>
      <c r="S782">
        <v>68.61</v>
      </c>
    </row>
    <row r="783" spans="1:19" x14ac:dyDescent="0.25">
      <c r="A783" t="s">
        <v>5366</v>
      </c>
      <c r="B783" s="1">
        <v>44655</v>
      </c>
      <c r="C783" t="s">
        <v>1597</v>
      </c>
      <c r="D783" t="s">
        <v>63</v>
      </c>
      <c r="E783" t="s">
        <v>24</v>
      </c>
      <c r="F783" t="s">
        <v>215</v>
      </c>
      <c r="G783">
        <v>10</v>
      </c>
      <c r="H783" t="s">
        <v>464</v>
      </c>
      <c r="I783" t="s">
        <v>1571</v>
      </c>
      <c r="J783" t="s">
        <v>2704</v>
      </c>
      <c r="K783" t="s">
        <v>5322</v>
      </c>
    </row>
    <row r="784" spans="1:19" x14ac:dyDescent="0.25">
      <c r="A784" t="s">
        <v>5459</v>
      </c>
      <c r="B784" s="1">
        <v>44662</v>
      </c>
      <c r="C784" t="s">
        <v>5460</v>
      </c>
      <c r="D784" t="s">
        <v>63</v>
      </c>
      <c r="E784" t="s">
        <v>24</v>
      </c>
      <c r="F784" t="s">
        <v>200</v>
      </c>
      <c r="G784">
        <v>30</v>
      </c>
      <c r="H784" t="s">
        <v>188</v>
      </c>
      <c r="I784" t="s">
        <v>238</v>
      </c>
      <c r="J784" t="s">
        <v>1956</v>
      </c>
      <c r="K784" t="s">
        <v>5461</v>
      </c>
      <c r="R784">
        <v>94</v>
      </c>
    </row>
    <row r="785" spans="1:19" x14ac:dyDescent="0.25">
      <c r="A785" t="s">
        <v>5462</v>
      </c>
      <c r="B785" s="1">
        <v>44662</v>
      </c>
      <c r="C785" t="s">
        <v>5463</v>
      </c>
      <c r="D785" t="s">
        <v>63</v>
      </c>
      <c r="E785" t="s">
        <v>24</v>
      </c>
      <c r="F785" t="s">
        <v>25</v>
      </c>
      <c r="G785">
        <v>10</v>
      </c>
      <c r="H785" t="s">
        <v>194</v>
      </c>
      <c r="I785" t="s">
        <v>5421</v>
      </c>
      <c r="J785" t="s">
        <v>5464</v>
      </c>
      <c r="K785" t="s">
        <v>5465</v>
      </c>
      <c r="R785">
        <v>39</v>
      </c>
      <c r="S785">
        <v>93.83</v>
      </c>
    </row>
    <row r="786" spans="1:19" x14ac:dyDescent="0.25">
      <c r="A786" t="s">
        <v>5466</v>
      </c>
      <c r="B786" s="1">
        <v>44662</v>
      </c>
      <c r="C786" t="s">
        <v>2998</v>
      </c>
      <c r="D786" t="s">
        <v>63</v>
      </c>
      <c r="E786" t="s">
        <v>24</v>
      </c>
      <c r="F786" t="s">
        <v>335</v>
      </c>
      <c r="G786">
        <v>10</v>
      </c>
      <c r="H786" t="s">
        <v>194</v>
      </c>
      <c r="I786" t="s">
        <v>195</v>
      </c>
      <c r="J786" t="s">
        <v>211</v>
      </c>
      <c r="K786" t="s">
        <v>5467</v>
      </c>
      <c r="R786">
        <v>40</v>
      </c>
      <c r="S786">
        <v>101.94</v>
      </c>
    </row>
    <row r="787" spans="1:19" x14ac:dyDescent="0.25">
      <c r="A787" t="s">
        <v>5468</v>
      </c>
      <c r="B787" s="1">
        <v>44662</v>
      </c>
      <c r="C787" t="s">
        <v>1444</v>
      </c>
      <c r="D787" t="s">
        <v>63</v>
      </c>
      <c r="E787" t="s">
        <v>24</v>
      </c>
      <c r="F787" t="s">
        <v>323</v>
      </c>
      <c r="G787">
        <v>45</v>
      </c>
      <c r="H787" t="s">
        <v>26</v>
      </c>
      <c r="I787" t="s">
        <v>370</v>
      </c>
      <c r="J787" t="s">
        <v>479</v>
      </c>
      <c r="K787" t="s">
        <v>5469</v>
      </c>
      <c r="L787">
        <v>288</v>
      </c>
      <c r="M787">
        <v>107</v>
      </c>
      <c r="N787" s="2">
        <v>0.36</v>
      </c>
      <c r="O787">
        <v>88</v>
      </c>
      <c r="P787">
        <v>16.21</v>
      </c>
      <c r="Q787">
        <v>12.15</v>
      </c>
      <c r="R787">
        <v>439</v>
      </c>
      <c r="S787">
        <v>151.78</v>
      </c>
    </row>
    <row r="788" spans="1:19" x14ac:dyDescent="0.25">
      <c r="A788" t="s">
        <v>5470</v>
      </c>
      <c r="B788" s="1">
        <v>44662</v>
      </c>
      <c r="C788" t="s">
        <v>5471</v>
      </c>
      <c r="D788" t="s">
        <v>63</v>
      </c>
      <c r="E788" t="s">
        <v>24</v>
      </c>
      <c r="F788" t="s">
        <v>170</v>
      </c>
      <c r="G788">
        <v>5</v>
      </c>
      <c r="H788" t="s">
        <v>26</v>
      </c>
      <c r="I788" t="s">
        <v>358</v>
      </c>
      <c r="J788" t="s">
        <v>359</v>
      </c>
      <c r="K788" t="s">
        <v>5472</v>
      </c>
      <c r="L788">
        <v>14</v>
      </c>
      <c r="M788">
        <v>47</v>
      </c>
      <c r="N788" s="2">
        <v>0.28000000000000003</v>
      </c>
      <c r="O788">
        <v>76</v>
      </c>
      <c r="P788">
        <v>11.47</v>
      </c>
      <c r="Q788">
        <v>0.96</v>
      </c>
      <c r="R788">
        <v>17</v>
      </c>
    </row>
    <row r="789" spans="1:19" x14ac:dyDescent="0.25">
      <c r="A789" t="s">
        <v>5473</v>
      </c>
      <c r="B789" s="1">
        <v>44662</v>
      </c>
      <c r="C789" t="s">
        <v>5474</v>
      </c>
      <c r="D789" t="s">
        <v>63</v>
      </c>
      <c r="E789" t="s">
        <v>24</v>
      </c>
      <c r="F789" t="s">
        <v>243</v>
      </c>
      <c r="G789">
        <v>5</v>
      </c>
      <c r="H789" t="s">
        <v>49</v>
      </c>
      <c r="I789" t="s">
        <v>50</v>
      </c>
      <c r="J789" t="s">
        <v>51</v>
      </c>
      <c r="K789" t="s">
        <v>5162</v>
      </c>
      <c r="R789">
        <v>22</v>
      </c>
      <c r="S789">
        <v>106.62</v>
      </c>
    </row>
    <row r="790" spans="1:19" x14ac:dyDescent="0.25">
      <c r="A790" t="s">
        <v>5475</v>
      </c>
      <c r="B790" s="1">
        <v>44662</v>
      </c>
      <c r="C790" t="s">
        <v>1861</v>
      </c>
      <c r="D790" t="s">
        <v>63</v>
      </c>
      <c r="E790" t="s">
        <v>24</v>
      </c>
      <c r="F790" t="s">
        <v>208</v>
      </c>
      <c r="G790">
        <v>20</v>
      </c>
      <c r="H790" t="s">
        <v>464</v>
      </c>
      <c r="I790" t="s">
        <v>943</v>
      </c>
      <c r="J790" t="s">
        <v>1347</v>
      </c>
      <c r="K790" t="s">
        <v>5476</v>
      </c>
    </row>
    <row r="791" spans="1:19" x14ac:dyDescent="0.25">
      <c r="A791" t="s">
        <v>5540</v>
      </c>
      <c r="B791" s="1">
        <v>44669</v>
      </c>
      <c r="C791" t="s">
        <v>489</v>
      </c>
      <c r="D791" t="s">
        <v>63</v>
      </c>
      <c r="E791" t="s">
        <v>24</v>
      </c>
      <c r="F791" t="s">
        <v>243</v>
      </c>
      <c r="G791">
        <v>45</v>
      </c>
      <c r="H791" t="s">
        <v>188</v>
      </c>
      <c r="I791" t="s">
        <v>254</v>
      </c>
      <c r="J791" t="s">
        <v>5541</v>
      </c>
      <c r="K791" t="s">
        <v>5542</v>
      </c>
      <c r="R791">
        <v>143</v>
      </c>
    </row>
    <row r="792" spans="1:19" x14ac:dyDescent="0.25">
      <c r="A792" t="s">
        <v>5543</v>
      </c>
      <c r="B792" s="1">
        <v>44669</v>
      </c>
      <c r="C792" t="s">
        <v>5544</v>
      </c>
      <c r="D792" t="s">
        <v>63</v>
      </c>
      <c r="E792" t="s">
        <v>24</v>
      </c>
      <c r="F792" t="s">
        <v>5545</v>
      </c>
      <c r="G792">
        <v>30</v>
      </c>
      <c r="H792" t="s">
        <v>1856</v>
      </c>
      <c r="I792" t="s">
        <v>5043</v>
      </c>
      <c r="J792" t="s">
        <v>5546</v>
      </c>
      <c r="K792" t="s">
        <v>5547</v>
      </c>
      <c r="L792">
        <v>0</v>
      </c>
      <c r="P792">
        <v>2.13</v>
      </c>
      <c r="Q792">
        <v>1.05</v>
      </c>
      <c r="R792">
        <v>179</v>
      </c>
      <c r="S792">
        <v>120.94</v>
      </c>
    </row>
    <row r="793" spans="1:19" x14ac:dyDescent="0.25">
      <c r="A793" t="s">
        <v>5548</v>
      </c>
      <c r="B793" s="1">
        <v>44669</v>
      </c>
      <c r="C793" t="s">
        <v>5549</v>
      </c>
      <c r="D793" t="s">
        <v>63</v>
      </c>
      <c r="E793" t="s">
        <v>24</v>
      </c>
      <c r="F793" t="s">
        <v>231</v>
      </c>
      <c r="G793">
        <v>10</v>
      </c>
      <c r="H793" t="s">
        <v>194</v>
      </c>
      <c r="I793" t="s">
        <v>195</v>
      </c>
      <c r="J793" t="s">
        <v>211</v>
      </c>
      <c r="K793" t="s">
        <v>5550</v>
      </c>
      <c r="R793">
        <v>44</v>
      </c>
      <c r="S793">
        <v>101.45</v>
      </c>
    </row>
    <row r="794" spans="1:19" x14ac:dyDescent="0.25">
      <c r="A794" t="s">
        <v>5551</v>
      </c>
      <c r="B794" s="1">
        <v>44669</v>
      </c>
      <c r="C794" t="s">
        <v>5552</v>
      </c>
      <c r="D794" t="s">
        <v>63</v>
      </c>
      <c r="E794" t="s">
        <v>24</v>
      </c>
      <c r="F794" t="s">
        <v>323</v>
      </c>
      <c r="G794">
        <v>45</v>
      </c>
      <c r="H794" t="s">
        <v>26</v>
      </c>
      <c r="I794" t="s">
        <v>370</v>
      </c>
      <c r="J794" t="s">
        <v>1256</v>
      </c>
      <c r="K794" t="s">
        <v>2034</v>
      </c>
      <c r="L794">
        <v>275</v>
      </c>
      <c r="M794">
        <v>102</v>
      </c>
      <c r="N794" s="2">
        <v>0.34</v>
      </c>
      <c r="O794">
        <v>90</v>
      </c>
      <c r="P794">
        <v>15.41</v>
      </c>
      <c r="Q794">
        <v>11.56</v>
      </c>
      <c r="R794">
        <v>440</v>
      </c>
      <c r="S794">
        <v>154.06</v>
      </c>
    </row>
    <row r="795" spans="1:19" x14ac:dyDescent="0.25">
      <c r="A795" t="s">
        <v>5553</v>
      </c>
      <c r="B795" s="1">
        <v>44669</v>
      </c>
      <c r="C795" t="s">
        <v>3214</v>
      </c>
      <c r="D795" t="s">
        <v>63</v>
      </c>
      <c r="E795" t="s">
        <v>24</v>
      </c>
      <c r="F795" t="s">
        <v>2833</v>
      </c>
      <c r="G795">
        <v>5</v>
      </c>
      <c r="H795" t="s">
        <v>26</v>
      </c>
      <c r="I795" t="s">
        <v>358</v>
      </c>
      <c r="J795" t="s">
        <v>359</v>
      </c>
      <c r="K795" t="s">
        <v>5554</v>
      </c>
      <c r="L795">
        <v>25</v>
      </c>
      <c r="M795">
        <v>83</v>
      </c>
      <c r="N795" s="2">
        <v>0.35</v>
      </c>
      <c r="O795">
        <v>83</v>
      </c>
      <c r="P795">
        <v>14.97</v>
      </c>
      <c r="Q795">
        <v>1.24</v>
      </c>
      <c r="R795">
        <v>40</v>
      </c>
      <c r="S795">
        <v>139.41</v>
      </c>
    </row>
    <row r="796" spans="1:19" x14ac:dyDescent="0.25">
      <c r="A796" t="s">
        <v>5555</v>
      </c>
      <c r="B796" s="1">
        <v>44669</v>
      </c>
      <c r="C796" t="s">
        <v>5556</v>
      </c>
      <c r="D796" t="s">
        <v>63</v>
      </c>
      <c r="E796" t="s">
        <v>24</v>
      </c>
      <c r="F796" t="s">
        <v>2833</v>
      </c>
      <c r="G796">
        <v>5</v>
      </c>
      <c r="H796" t="s">
        <v>49</v>
      </c>
      <c r="I796" t="s">
        <v>50</v>
      </c>
      <c r="J796" t="s">
        <v>51</v>
      </c>
      <c r="K796" t="s">
        <v>5554</v>
      </c>
      <c r="R796">
        <v>11</v>
      </c>
    </row>
    <row r="797" spans="1:19" x14ac:dyDescent="0.25">
      <c r="A797" t="s">
        <v>5557</v>
      </c>
      <c r="B797" s="1">
        <v>44669</v>
      </c>
      <c r="C797" t="s">
        <v>2307</v>
      </c>
      <c r="D797" t="s">
        <v>63</v>
      </c>
      <c r="E797" t="s">
        <v>24</v>
      </c>
      <c r="F797" t="s">
        <v>459</v>
      </c>
      <c r="G797">
        <v>20</v>
      </c>
      <c r="H797" t="s">
        <v>464</v>
      </c>
      <c r="I797" t="s">
        <v>763</v>
      </c>
      <c r="J797" t="s">
        <v>2732</v>
      </c>
      <c r="K797" t="s">
        <v>5387</v>
      </c>
    </row>
    <row r="798" spans="1:19" x14ac:dyDescent="0.25">
      <c r="A798" t="s">
        <v>5626</v>
      </c>
      <c r="B798" s="1">
        <v>44676</v>
      </c>
      <c r="C798" t="s">
        <v>2929</v>
      </c>
      <c r="D798" t="s">
        <v>63</v>
      </c>
      <c r="E798" t="s">
        <v>24</v>
      </c>
      <c r="F798" t="s">
        <v>215</v>
      </c>
      <c r="G798">
        <v>30</v>
      </c>
      <c r="H798" t="s">
        <v>188</v>
      </c>
      <c r="I798" t="s">
        <v>238</v>
      </c>
      <c r="J798" t="s">
        <v>1956</v>
      </c>
      <c r="K798" t="s">
        <v>5627</v>
      </c>
      <c r="R798">
        <v>99</v>
      </c>
    </row>
    <row r="799" spans="1:19" x14ac:dyDescent="0.25">
      <c r="A799" t="s">
        <v>5628</v>
      </c>
      <c r="B799" s="1">
        <v>44676</v>
      </c>
      <c r="C799" t="s">
        <v>5629</v>
      </c>
      <c r="D799" t="s">
        <v>63</v>
      </c>
      <c r="E799" t="s">
        <v>24</v>
      </c>
      <c r="F799" t="s">
        <v>215</v>
      </c>
      <c r="G799">
        <v>10</v>
      </c>
      <c r="H799" t="s">
        <v>464</v>
      </c>
      <c r="I799" t="s">
        <v>1571</v>
      </c>
      <c r="J799" t="s">
        <v>5082</v>
      </c>
      <c r="K799" t="s">
        <v>5630</v>
      </c>
    </row>
    <row r="800" spans="1:19" x14ac:dyDescent="0.25">
      <c r="A800" t="s">
        <v>5631</v>
      </c>
      <c r="B800" s="1">
        <v>44676</v>
      </c>
      <c r="C800" t="s">
        <v>5632</v>
      </c>
      <c r="D800" t="s">
        <v>63</v>
      </c>
      <c r="E800" t="s">
        <v>24</v>
      </c>
      <c r="F800" t="s">
        <v>297</v>
      </c>
      <c r="G800">
        <v>10</v>
      </c>
      <c r="H800" t="s">
        <v>194</v>
      </c>
      <c r="I800" t="s">
        <v>195</v>
      </c>
      <c r="J800" t="s">
        <v>211</v>
      </c>
      <c r="K800" t="s">
        <v>5633</v>
      </c>
      <c r="R800">
        <v>36</v>
      </c>
      <c r="S800">
        <v>85.31</v>
      </c>
    </row>
    <row r="801" spans="1:19" x14ac:dyDescent="0.25">
      <c r="A801" t="s">
        <v>5634</v>
      </c>
      <c r="B801" s="1">
        <v>44676</v>
      </c>
      <c r="C801" t="s">
        <v>5635</v>
      </c>
      <c r="D801" t="s">
        <v>63</v>
      </c>
      <c r="E801" t="s">
        <v>24</v>
      </c>
      <c r="F801" t="s">
        <v>323</v>
      </c>
      <c r="G801">
        <v>45</v>
      </c>
      <c r="H801" t="s">
        <v>26</v>
      </c>
      <c r="I801" t="s">
        <v>370</v>
      </c>
      <c r="J801" t="s">
        <v>1256</v>
      </c>
      <c r="K801" t="s">
        <v>5636</v>
      </c>
      <c r="L801">
        <v>286</v>
      </c>
      <c r="M801">
        <v>106</v>
      </c>
      <c r="N801" s="2">
        <v>0.35</v>
      </c>
      <c r="O801">
        <v>88</v>
      </c>
      <c r="P801">
        <v>15.75</v>
      </c>
      <c r="Q801">
        <v>11.81</v>
      </c>
      <c r="R801">
        <v>439</v>
      </c>
      <c r="S801">
        <v>151.74</v>
      </c>
    </row>
    <row r="802" spans="1:19" x14ac:dyDescent="0.25">
      <c r="A802" t="s">
        <v>5637</v>
      </c>
      <c r="B802" s="1">
        <v>44676</v>
      </c>
      <c r="C802" t="s">
        <v>3450</v>
      </c>
      <c r="D802" t="s">
        <v>63</v>
      </c>
      <c r="E802" t="s">
        <v>24</v>
      </c>
      <c r="F802" t="s">
        <v>2876</v>
      </c>
      <c r="G802">
        <v>5</v>
      </c>
      <c r="H802" t="s">
        <v>26</v>
      </c>
      <c r="I802" t="s">
        <v>358</v>
      </c>
      <c r="J802" t="s">
        <v>359</v>
      </c>
      <c r="K802" t="s">
        <v>5408</v>
      </c>
      <c r="L802">
        <v>20</v>
      </c>
      <c r="M802">
        <v>68</v>
      </c>
      <c r="N802" s="2">
        <v>0.32</v>
      </c>
      <c r="O802">
        <v>82</v>
      </c>
      <c r="P802">
        <v>13.53</v>
      </c>
      <c r="Q802">
        <v>1.1299999999999999</v>
      </c>
      <c r="R802">
        <v>34</v>
      </c>
      <c r="S802">
        <v>130.55000000000001</v>
      </c>
    </row>
    <row r="803" spans="1:19" x14ac:dyDescent="0.25">
      <c r="A803" t="s">
        <v>5638</v>
      </c>
      <c r="B803" s="1">
        <v>44676</v>
      </c>
      <c r="C803" t="s">
        <v>5639</v>
      </c>
      <c r="D803" t="s">
        <v>63</v>
      </c>
      <c r="E803" t="s">
        <v>24</v>
      </c>
      <c r="F803" t="s">
        <v>747</v>
      </c>
      <c r="G803">
        <v>5</v>
      </c>
      <c r="H803" t="s">
        <v>49</v>
      </c>
      <c r="I803" t="s">
        <v>50</v>
      </c>
      <c r="J803" t="s">
        <v>51</v>
      </c>
      <c r="K803" t="s">
        <v>5640</v>
      </c>
      <c r="R803">
        <v>19</v>
      </c>
      <c r="S803">
        <v>104.84</v>
      </c>
    </row>
    <row r="804" spans="1:19" x14ac:dyDescent="0.25">
      <c r="A804" t="s">
        <v>5641</v>
      </c>
      <c r="B804" s="1">
        <v>44676</v>
      </c>
      <c r="C804" t="s">
        <v>2353</v>
      </c>
      <c r="D804" t="s">
        <v>63</v>
      </c>
      <c r="E804" t="s">
        <v>24</v>
      </c>
      <c r="F804" t="s">
        <v>459</v>
      </c>
      <c r="G804">
        <v>10</v>
      </c>
      <c r="H804" t="s">
        <v>464</v>
      </c>
      <c r="I804" t="s">
        <v>763</v>
      </c>
      <c r="J804" t="s">
        <v>4348</v>
      </c>
      <c r="K804" t="s">
        <v>5642</v>
      </c>
    </row>
    <row r="805" spans="1:19" x14ac:dyDescent="0.25">
      <c r="A805" t="s">
        <v>5695</v>
      </c>
      <c r="B805" s="1">
        <v>44683</v>
      </c>
      <c r="C805" t="s">
        <v>1157</v>
      </c>
      <c r="D805" t="s">
        <v>63</v>
      </c>
      <c r="E805" t="s">
        <v>24</v>
      </c>
      <c r="F805" t="s">
        <v>5014</v>
      </c>
      <c r="G805">
        <v>30</v>
      </c>
      <c r="H805" t="s">
        <v>188</v>
      </c>
      <c r="I805" t="s">
        <v>189</v>
      </c>
      <c r="J805" t="s">
        <v>5696</v>
      </c>
      <c r="K805" t="s">
        <v>5697</v>
      </c>
      <c r="R805">
        <v>96</v>
      </c>
    </row>
    <row r="806" spans="1:19" x14ac:dyDescent="0.25">
      <c r="A806" t="s">
        <v>5698</v>
      </c>
      <c r="B806" s="1">
        <v>44683</v>
      </c>
      <c r="C806" t="s">
        <v>22</v>
      </c>
      <c r="D806" t="s">
        <v>63</v>
      </c>
      <c r="E806" t="s">
        <v>24</v>
      </c>
      <c r="F806" t="s">
        <v>490</v>
      </c>
      <c r="G806">
        <v>30</v>
      </c>
      <c r="H806" t="s">
        <v>1856</v>
      </c>
      <c r="I806" t="s">
        <v>5177</v>
      </c>
      <c r="J806" t="s">
        <v>5260</v>
      </c>
      <c r="K806" t="s">
        <v>5699</v>
      </c>
      <c r="L806">
        <v>0</v>
      </c>
      <c r="P806">
        <v>3.56</v>
      </c>
      <c r="Q806">
        <v>1.78</v>
      </c>
      <c r="R806">
        <v>166</v>
      </c>
    </row>
    <row r="807" spans="1:19" x14ac:dyDescent="0.25">
      <c r="A807" t="s">
        <v>5700</v>
      </c>
      <c r="B807" s="1">
        <v>44683</v>
      </c>
      <c r="C807" t="s">
        <v>2221</v>
      </c>
      <c r="D807" t="s">
        <v>63</v>
      </c>
      <c r="E807" t="s">
        <v>24</v>
      </c>
      <c r="F807" t="s">
        <v>208</v>
      </c>
      <c r="G807">
        <v>10</v>
      </c>
      <c r="H807" t="s">
        <v>464</v>
      </c>
      <c r="I807" t="s">
        <v>763</v>
      </c>
      <c r="J807" t="s">
        <v>914</v>
      </c>
      <c r="K807" t="s">
        <v>5701</v>
      </c>
    </row>
    <row r="808" spans="1:19" x14ac:dyDescent="0.25">
      <c r="A808" t="s">
        <v>5702</v>
      </c>
      <c r="B808" s="1">
        <v>44683</v>
      </c>
      <c r="C808" t="s">
        <v>2415</v>
      </c>
      <c r="D808" t="s">
        <v>63</v>
      </c>
      <c r="E808" t="s">
        <v>24</v>
      </c>
      <c r="F808" t="s">
        <v>459</v>
      </c>
      <c r="G808">
        <v>10</v>
      </c>
      <c r="H808" t="s">
        <v>464</v>
      </c>
      <c r="I808" t="s">
        <v>943</v>
      </c>
      <c r="J808" t="s">
        <v>944</v>
      </c>
      <c r="K808" t="s">
        <v>5703</v>
      </c>
    </row>
    <row r="809" spans="1:19" x14ac:dyDescent="0.25">
      <c r="A809" t="s">
        <v>5779</v>
      </c>
      <c r="B809" s="1">
        <v>44690</v>
      </c>
      <c r="C809" t="s">
        <v>3931</v>
      </c>
      <c r="D809" t="s">
        <v>63</v>
      </c>
      <c r="E809" t="s">
        <v>24</v>
      </c>
      <c r="F809" t="s">
        <v>243</v>
      </c>
      <c r="G809">
        <v>30</v>
      </c>
      <c r="H809" t="s">
        <v>188</v>
      </c>
      <c r="I809" t="s">
        <v>189</v>
      </c>
      <c r="J809" t="s">
        <v>3951</v>
      </c>
      <c r="K809" t="s">
        <v>5210</v>
      </c>
      <c r="R809">
        <v>92</v>
      </c>
    </row>
    <row r="810" spans="1:19" x14ac:dyDescent="0.25">
      <c r="A810" t="s">
        <v>5780</v>
      </c>
      <c r="B810" s="1">
        <v>44690</v>
      </c>
      <c r="C810" t="s">
        <v>5781</v>
      </c>
      <c r="D810" t="s">
        <v>63</v>
      </c>
      <c r="E810" t="s">
        <v>24</v>
      </c>
      <c r="F810" t="s">
        <v>490</v>
      </c>
      <c r="G810">
        <v>30</v>
      </c>
      <c r="H810" t="s">
        <v>1856</v>
      </c>
      <c r="I810" t="s">
        <v>4912</v>
      </c>
      <c r="J810" t="s">
        <v>4913</v>
      </c>
      <c r="K810" t="s">
        <v>5782</v>
      </c>
      <c r="L810">
        <v>0</v>
      </c>
      <c r="P810">
        <v>0</v>
      </c>
      <c r="Q810">
        <v>0</v>
      </c>
      <c r="R810">
        <v>110</v>
      </c>
    </row>
    <row r="811" spans="1:19" x14ac:dyDescent="0.25">
      <c r="A811" t="s">
        <v>5783</v>
      </c>
      <c r="B811" s="1">
        <v>44690</v>
      </c>
      <c r="C811" t="s">
        <v>2490</v>
      </c>
      <c r="D811" t="s">
        <v>63</v>
      </c>
      <c r="E811" t="s">
        <v>24</v>
      </c>
      <c r="F811" t="s">
        <v>314</v>
      </c>
      <c r="G811">
        <v>10</v>
      </c>
      <c r="H811" t="s">
        <v>194</v>
      </c>
      <c r="I811" t="s">
        <v>195</v>
      </c>
      <c r="J811" t="s">
        <v>211</v>
      </c>
      <c r="K811" t="s">
        <v>5784</v>
      </c>
      <c r="R811">
        <v>38</v>
      </c>
      <c r="S811">
        <v>98.74</v>
      </c>
    </row>
    <row r="812" spans="1:19" x14ac:dyDescent="0.25">
      <c r="A812" t="s">
        <v>5785</v>
      </c>
      <c r="B812" s="1">
        <v>44690</v>
      </c>
      <c r="C812" t="s">
        <v>5485</v>
      </c>
      <c r="D812" t="s">
        <v>63</v>
      </c>
      <c r="E812" t="s">
        <v>24</v>
      </c>
      <c r="F812" t="s">
        <v>323</v>
      </c>
      <c r="G812">
        <v>90</v>
      </c>
      <c r="H812" t="s">
        <v>26</v>
      </c>
      <c r="I812" t="s">
        <v>370</v>
      </c>
      <c r="J812" t="s">
        <v>1278</v>
      </c>
      <c r="K812" t="s">
        <v>5786</v>
      </c>
      <c r="L812">
        <v>593</v>
      </c>
      <c r="M812">
        <v>110</v>
      </c>
      <c r="N812" s="2">
        <v>0.39</v>
      </c>
      <c r="O812">
        <v>84</v>
      </c>
      <c r="P812">
        <v>16.8</v>
      </c>
      <c r="Q812">
        <v>25.2</v>
      </c>
      <c r="R812">
        <v>875</v>
      </c>
      <c r="S812">
        <v>151.38999999999999</v>
      </c>
    </row>
    <row r="813" spans="1:19" x14ac:dyDescent="0.25">
      <c r="A813" t="s">
        <v>5787</v>
      </c>
      <c r="B813" s="1">
        <v>44690</v>
      </c>
      <c r="C813" t="s">
        <v>1643</v>
      </c>
      <c r="D813" t="s">
        <v>63</v>
      </c>
      <c r="E813" t="s">
        <v>24</v>
      </c>
      <c r="F813" t="s">
        <v>554</v>
      </c>
      <c r="G813">
        <v>10</v>
      </c>
      <c r="H813" t="s">
        <v>49</v>
      </c>
      <c r="I813" t="s">
        <v>298</v>
      </c>
      <c r="J813" t="s">
        <v>5788</v>
      </c>
      <c r="K813" t="s">
        <v>5789</v>
      </c>
      <c r="R813">
        <v>36</v>
      </c>
      <c r="S813">
        <v>98.64</v>
      </c>
    </row>
    <row r="814" spans="1:19" x14ac:dyDescent="0.25">
      <c r="A814" t="s">
        <v>5790</v>
      </c>
      <c r="B814" s="1">
        <v>44690</v>
      </c>
      <c r="C814" t="s">
        <v>1248</v>
      </c>
      <c r="D814" t="s">
        <v>63</v>
      </c>
      <c r="E814" t="s">
        <v>24</v>
      </c>
      <c r="F814" t="s">
        <v>237</v>
      </c>
      <c r="G814">
        <v>10</v>
      </c>
      <c r="H814" t="s">
        <v>464</v>
      </c>
      <c r="I814" t="s">
        <v>579</v>
      </c>
      <c r="J814" t="s">
        <v>1975</v>
      </c>
      <c r="K814" t="s">
        <v>5791</v>
      </c>
    </row>
    <row r="815" spans="1:19" x14ac:dyDescent="0.25">
      <c r="A815" t="s">
        <v>5832</v>
      </c>
      <c r="B815" s="1">
        <v>44697</v>
      </c>
      <c r="C815" t="s">
        <v>5161</v>
      </c>
      <c r="D815" t="s">
        <v>63</v>
      </c>
      <c r="E815" t="s">
        <v>24</v>
      </c>
      <c r="F815" t="s">
        <v>297</v>
      </c>
      <c r="G815">
        <v>15</v>
      </c>
      <c r="H815" t="s">
        <v>194</v>
      </c>
      <c r="I815" t="s">
        <v>195</v>
      </c>
      <c r="J815" t="s">
        <v>1217</v>
      </c>
      <c r="K815" t="s">
        <v>5833</v>
      </c>
      <c r="R815">
        <v>70</v>
      </c>
      <c r="S815">
        <v>107.36</v>
      </c>
    </row>
    <row r="816" spans="1:19" x14ac:dyDescent="0.25">
      <c r="A816" t="s">
        <v>5834</v>
      </c>
      <c r="B816" s="1">
        <v>44697</v>
      </c>
      <c r="C816" t="s">
        <v>5835</v>
      </c>
      <c r="D816" t="s">
        <v>63</v>
      </c>
      <c r="E816" t="s">
        <v>24</v>
      </c>
      <c r="F816" t="s">
        <v>180</v>
      </c>
      <c r="G816">
        <v>30</v>
      </c>
      <c r="H816" t="s">
        <v>26</v>
      </c>
      <c r="I816" t="s">
        <v>39</v>
      </c>
      <c r="J816" t="s">
        <v>407</v>
      </c>
      <c r="K816" t="s">
        <v>5836</v>
      </c>
      <c r="L816">
        <v>156</v>
      </c>
      <c r="M816">
        <v>87</v>
      </c>
      <c r="N816" s="2">
        <v>0.37</v>
      </c>
      <c r="O816">
        <v>78</v>
      </c>
      <c r="P816">
        <v>15.15</v>
      </c>
      <c r="Q816">
        <v>7.58</v>
      </c>
      <c r="R816">
        <v>217</v>
      </c>
      <c r="S816">
        <v>129.72</v>
      </c>
    </row>
    <row r="817" spans="1:19" x14ac:dyDescent="0.25">
      <c r="A817" t="s">
        <v>5837</v>
      </c>
      <c r="B817" s="1">
        <v>44697</v>
      </c>
      <c r="C817" t="s">
        <v>904</v>
      </c>
      <c r="D817" t="s">
        <v>63</v>
      </c>
      <c r="E817" t="s">
        <v>24</v>
      </c>
      <c r="F817" t="s">
        <v>554</v>
      </c>
      <c r="G817">
        <v>15</v>
      </c>
      <c r="H817" t="s">
        <v>49</v>
      </c>
      <c r="I817" t="s">
        <v>1960</v>
      </c>
      <c r="J817" t="s">
        <v>5838</v>
      </c>
      <c r="K817" t="s">
        <v>5839</v>
      </c>
      <c r="R817">
        <v>33</v>
      </c>
    </row>
    <row r="818" spans="1:19" x14ac:dyDescent="0.25">
      <c r="A818" t="s">
        <v>5840</v>
      </c>
      <c r="B818" s="1">
        <v>44697</v>
      </c>
      <c r="C818" t="s">
        <v>1909</v>
      </c>
      <c r="D818" t="s">
        <v>63</v>
      </c>
      <c r="E818" t="s">
        <v>24</v>
      </c>
      <c r="F818" t="s">
        <v>200</v>
      </c>
      <c r="G818">
        <v>10</v>
      </c>
      <c r="H818" t="s">
        <v>464</v>
      </c>
      <c r="I818" t="s">
        <v>763</v>
      </c>
      <c r="J818" t="s">
        <v>914</v>
      </c>
      <c r="K818" t="s">
        <v>5841</v>
      </c>
    </row>
    <row r="819" spans="1:19" x14ac:dyDescent="0.25">
      <c r="A819" t="s">
        <v>5914</v>
      </c>
      <c r="B819" s="1">
        <v>44704</v>
      </c>
      <c r="C819" t="s">
        <v>1295</v>
      </c>
      <c r="D819" t="s">
        <v>63</v>
      </c>
      <c r="E819" t="s">
        <v>24</v>
      </c>
      <c r="F819" t="s">
        <v>215</v>
      </c>
      <c r="G819">
        <v>30</v>
      </c>
      <c r="H819" t="s">
        <v>188</v>
      </c>
      <c r="I819" t="s">
        <v>254</v>
      </c>
      <c r="J819" t="s">
        <v>5574</v>
      </c>
      <c r="K819" t="s">
        <v>5915</v>
      </c>
      <c r="R819">
        <v>97</v>
      </c>
    </row>
    <row r="820" spans="1:19" x14ac:dyDescent="0.25">
      <c r="A820" t="s">
        <v>5916</v>
      </c>
      <c r="B820" s="1">
        <v>44704</v>
      </c>
      <c r="C820" t="s">
        <v>4038</v>
      </c>
      <c r="D820" t="s">
        <v>63</v>
      </c>
      <c r="E820" t="s">
        <v>24</v>
      </c>
      <c r="F820" t="s">
        <v>3955</v>
      </c>
      <c r="G820">
        <v>20</v>
      </c>
      <c r="H820" t="s">
        <v>1856</v>
      </c>
      <c r="I820" t="s">
        <v>1857</v>
      </c>
      <c r="J820" t="s">
        <v>5917</v>
      </c>
      <c r="K820" t="s">
        <v>5918</v>
      </c>
      <c r="L820">
        <v>0</v>
      </c>
      <c r="P820">
        <v>3.47</v>
      </c>
      <c r="Q820">
        <v>1.1599999999999999</v>
      </c>
      <c r="R820">
        <v>73</v>
      </c>
    </row>
    <row r="821" spans="1:19" x14ac:dyDescent="0.25">
      <c r="A821" t="s">
        <v>5919</v>
      </c>
      <c r="B821" s="1">
        <v>44704</v>
      </c>
      <c r="C821" t="s">
        <v>5920</v>
      </c>
      <c r="D821" t="s">
        <v>63</v>
      </c>
      <c r="E821" t="s">
        <v>24</v>
      </c>
      <c r="F821" t="s">
        <v>5394</v>
      </c>
      <c r="G821">
        <v>20</v>
      </c>
      <c r="H821" t="s">
        <v>1856</v>
      </c>
      <c r="I821" t="s">
        <v>2096</v>
      </c>
      <c r="J821" t="s">
        <v>2097</v>
      </c>
      <c r="K821" t="s">
        <v>5921</v>
      </c>
      <c r="L821">
        <v>0</v>
      </c>
      <c r="P821">
        <v>3.15</v>
      </c>
      <c r="Q821">
        <v>1.01</v>
      </c>
      <c r="R821">
        <v>71</v>
      </c>
    </row>
    <row r="822" spans="1:19" x14ac:dyDescent="0.25">
      <c r="A822" t="s">
        <v>5922</v>
      </c>
      <c r="B822" s="1">
        <v>44704</v>
      </c>
      <c r="C822" t="s">
        <v>2153</v>
      </c>
      <c r="D822" t="s">
        <v>63</v>
      </c>
      <c r="E822" t="s">
        <v>24</v>
      </c>
      <c r="F822" t="s">
        <v>323</v>
      </c>
      <c r="G822">
        <v>60</v>
      </c>
      <c r="H822" t="s">
        <v>26</v>
      </c>
      <c r="I822" t="s">
        <v>370</v>
      </c>
      <c r="J822" t="s">
        <v>498</v>
      </c>
      <c r="K822" t="s">
        <v>5923</v>
      </c>
      <c r="L822">
        <v>378</v>
      </c>
      <c r="M822">
        <v>105</v>
      </c>
      <c r="N822" s="2">
        <v>0.37</v>
      </c>
      <c r="O822">
        <v>86</v>
      </c>
      <c r="P822">
        <v>16.47</v>
      </c>
      <c r="Q822">
        <v>16.46</v>
      </c>
      <c r="R822">
        <v>560</v>
      </c>
      <c r="S822">
        <v>147.47999999999999</v>
      </c>
    </row>
    <row r="823" spans="1:19" x14ac:dyDescent="0.25">
      <c r="A823" t="s">
        <v>5924</v>
      </c>
      <c r="B823" s="1">
        <v>44704</v>
      </c>
      <c r="C823" t="s">
        <v>1852</v>
      </c>
      <c r="D823" t="s">
        <v>63</v>
      </c>
      <c r="E823" t="s">
        <v>24</v>
      </c>
      <c r="F823" t="s">
        <v>1203</v>
      </c>
      <c r="G823">
        <v>10</v>
      </c>
      <c r="H823" t="s">
        <v>194</v>
      </c>
      <c r="I823" t="s">
        <v>195</v>
      </c>
      <c r="J823" t="s">
        <v>5727</v>
      </c>
      <c r="K823" t="s">
        <v>5925</v>
      </c>
      <c r="R823">
        <v>46</v>
      </c>
    </row>
    <row r="824" spans="1:19" x14ac:dyDescent="0.25">
      <c r="A824" t="s">
        <v>5926</v>
      </c>
      <c r="B824" s="1">
        <v>44704</v>
      </c>
      <c r="C824" t="s">
        <v>1588</v>
      </c>
      <c r="D824" t="s">
        <v>63</v>
      </c>
      <c r="E824" t="s">
        <v>24</v>
      </c>
      <c r="F824" t="s">
        <v>237</v>
      </c>
      <c r="G824">
        <v>10</v>
      </c>
      <c r="H824" t="s">
        <v>464</v>
      </c>
      <c r="I824" t="s">
        <v>579</v>
      </c>
      <c r="J824" t="s">
        <v>1820</v>
      </c>
      <c r="K824" t="s">
        <v>5927</v>
      </c>
    </row>
    <row r="825" spans="1:19" x14ac:dyDescent="0.25">
      <c r="A825" t="s">
        <v>5984</v>
      </c>
      <c r="B825" s="1">
        <v>44711</v>
      </c>
      <c r="C825" t="s">
        <v>5985</v>
      </c>
      <c r="D825" t="s">
        <v>63</v>
      </c>
      <c r="E825" t="s">
        <v>24</v>
      </c>
      <c r="F825" t="s">
        <v>459</v>
      </c>
      <c r="G825">
        <v>20</v>
      </c>
      <c r="H825" t="s">
        <v>464</v>
      </c>
      <c r="I825" t="s">
        <v>763</v>
      </c>
      <c r="J825" t="s">
        <v>2732</v>
      </c>
      <c r="K825" t="s">
        <v>5387</v>
      </c>
    </row>
    <row r="826" spans="1:19" x14ac:dyDescent="0.25">
      <c r="A826" t="s">
        <v>5986</v>
      </c>
      <c r="B826" s="1">
        <v>44711</v>
      </c>
      <c r="C826" t="s">
        <v>5019</v>
      </c>
      <c r="D826" t="s">
        <v>63</v>
      </c>
      <c r="E826" t="s">
        <v>24</v>
      </c>
      <c r="F826" t="s">
        <v>215</v>
      </c>
      <c r="G826">
        <v>30</v>
      </c>
      <c r="H826" t="s">
        <v>188</v>
      </c>
      <c r="I826" t="s">
        <v>189</v>
      </c>
      <c r="J826" t="s">
        <v>5574</v>
      </c>
      <c r="K826" t="s">
        <v>5987</v>
      </c>
      <c r="R826">
        <v>94</v>
      </c>
    </row>
    <row r="827" spans="1:19" x14ac:dyDescent="0.25">
      <c r="A827" t="s">
        <v>5988</v>
      </c>
      <c r="B827" s="1">
        <v>44711</v>
      </c>
      <c r="C827" t="s">
        <v>2916</v>
      </c>
      <c r="D827" t="s">
        <v>63</v>
      </c>
      <c r="E827" t="s">
        <v>24</v>
      </c>
      <c r="F827" t="s">
        <v>323</v>
      </c>
      <c r="G827">
        <v>60</v>
      </c>
      <c r="H827" t="s">
        <v>26</v>
      </c>
      <c r="I827" t="s">
        <v>370</v>
      </c>
      <c r="J827" t="s">
        <v>498</v>
      </c>
      <c r="K827" t="s">
        <v>5989</v>
      </c>
      <c r="L827">
        <v>376</v>
      </c>
      <c r="M827">
        <v>105</v>
      </c>
      <c r="N827" s="2">
        <v>0.37</v>
      </c>
      <c r="O827">
        <v>87</v>
      </c>
      <c r="P827">
        <v>16.440000000000001</v>
      </c>
      <c r="Q827">
        <v>16.440000000000001</v>
      </c>
      <c r="R827">
        <v>575</v>
      </c>
      <c r="S827">
        <v>149.80000000000001</v>
      </c>
    </row>
    <row r="828" spans="1:19" x14ac:dyDescent="0.25">
      <c r="A828" t="s">
        <v>5990</v>
      </c>
      <c r="B828" s="1">
        <v>44711</v>
      </c>
      <c r="C828" t="s">
        <v>1846</v>
      </c>
      <c r="D828" t="s">
        <v>63</v>
      </c>
      <c r="E828" t="s">
        <v>24</v>
      </c>
      <c r="F828" t="s">
        <v>328</v>
      </c>
      <c r="G828">
        <v>10</v>
      </c>
      <c r="H828" t="s">
        <v>194</v>
      </c>
      <c r="I828" t="s">
        <v>700</v>
      </c>
      <c r="J828" t="s">
        <v>1282</v>
      </c>
      <c r="K828" t="s">
        <v>5991</v>
      </c>
      <c r="R828">
        <v>63</v>
      </c>
      <c r="S828">
        <v>120.44</v>
      </c>
    </row>
    <row r="829" spans="1:19" x14ac:dyDescent="0.25">
      <c r="A829" t="s">
        <v>5992</v>
      </c>
      <c r="B829" s="1">
        <v>44711</v>
      </c>
      <c r="C829" t="s">
        <v>3448</v>
      </c>
      <c r="D829" t="s">
        <v>63</v>
      </c>
      <c r="E829" t="s">
        <v>24</v>
      </c>
      <c r="F829" t="s">
        <v>297</v>
      </c>
      <c r="G829">
        <v>5</v>
      </c>
      <c r="H829" t="s">
        <v>194</v>
      </c>
      <c r="I829" t="s">
        <v>195</v>
      </c>
      <c r="J829" t="s">
        <v>196</v>
      </c>
      <c r="K829" t="s">
        <v>5993</v>
      </c>
      <c r="R829">
        <v>23</v>
      </c>
    </row>
    <row r="830" spans="1:19" x14ac:dyDescent="0.25">
      <c r="A830" t="s">
        <v>5994</v>
      </c>
      <c r="B830" s="1">
        <v>44711</v>
      </c>
      <c r="C830" t="s">
        <v>5835</v>
      </c>
      <c r="D830" t="s">
        <v>63</v>
      </c>
      <c r="E830" t="s">
        <v>24</v>
      </c>
      <c r="F830" t="s">
        <v>180</v>
      </c>
      <c r="G830">
        <v>5</v>
      </c>
      <c r="H830" t="s">
        <v>49</v>
      </c>
      <c r="I830" t="s">
        <v>50</v>
      </c>
      <c r="J830" t="s">
        <v>51</v>
      </c>
      <c r="K830" t="s">
        <v>5995</v>
      </c>
      <c r="R830">
        <v>21</v>
      </c>
      <c r="S830">
        <v>103.7</v>
      </c>
    </row>
    <row r="831" spans="1:19" x14ac:dyDescent="0.25">
      <c r="A831" t="s">
        <v>5996</v>
      </c>
      <c r="B831" s="1">
        <v>44711</v>
      </c>
      <c r="C831" t="s">
        <v>2295</v>
      </c>
      <c r="D831" t="s">
        <v>63</v>
      </c>
      <c r="E831" t="s">
        <v>24</v>
      </c>
      <c r="F831" t="s">
        <v>2708</v>
      </c>
      <c r="G831">
        <v>10</v>
      </c>
      <c r="H831" t="s">
        <v>464</v>
      </c>
      <c r="I831" t="s">
        <v>579</v>
      </c>
      <c r="J831" t="s">
        <v>1470</v>
      </c>
      <c r="K831" t="s">
        <v>5997</v>
      </c>
    </row>
    <row r="832" spans="1:19" x14ac:dyDescent="0.25">
      <c r="A832" t="s">
        <v>6047</v>
      </c>
      <c r="B832" s="1">
        <v>44718</v>
      </c>
      <c r="C832" t="s">
        <v>656</v>
      </c>
      <c r="D832" t="s">
        <v>63</v>
      </c>
      <c r="E832" t="s">
        <v>24</v>
      </c>
      <c r="F832" t="s">
        <v>243</v>
      </c>
      <c r="G832">
        <v>30</v>
      </c>
      <c r="H832" t="s">
        <v>188</v>
      </c>
      <c r="I832" t="s">
        <v>103</v>
      </c>
      <c r="J832" t="s">
        <v>6048</v>
      </c>
      <c r="K832" t="s">
        <v>6049</v>
      </c>
      <c r="R832">
        <v>93</v>
      </c>
    </row>
    <row r="833" spans="1:19" x14ac:dyDescent="0.25">
      <c r="A833" t="s">
        <v>6050</v>
      </c>
      <c r="B833" s="1">
        <v>44718</v>
      </c>
      <c r="C833" t="s">
        <v>67</v>
      </c>
      <c r="D833" t="s">
        <v>63</v>
      </c>
      <c r="E833" t="s">
        <v>24</v>
      </c>
      <c r="F833" t="s">
        <v>309</v>
      </c>
      <c r="G833">
        <v>20</v>
      </c>
      <c r="H833" t="s">
        <v>1856</v>
      </c>
      <c r="I833" t="s">
        <v>2096</v>
      </c>
      <c r="J833" t="s">
        <v>2097</v>
      </c>
      <c r="K833" t="s">
        <v>6051</v>
      </c>
      <c r="L833">
        <v>0</v>
      </c>
      <c r="P833">
        <v>3.83</v>
      </c>
      <c r="Q833">
        <v>1.28</v>
      </c>
      <c r="R833">
        <v>73</v>
      </c>
    </row>
    <row r="834" spans="1:19" x14ac:dyDescent="0.25">
      <c r="A834" t="s">
        <v>6052</v>
      </c>
      <c r="B834" s="1">
        <v>44718</v>
      </c>
      <c r="C834" t="s">
        <v>6053</v>
      </c>
      <c r="D834" t="s">
        <v>63</v>
      </c>
      <c r="G834">
        <v>15</v>
      </c>
      <c r="H834" t="s">
        <v>1856</v>
      </c>
      <c r="J834" t="s">
        <v>6054</v>
      </c>
      <c r="L834">
        <v>0</v>
      </c>
      <c r="P834">
        <v>3.11</v>
      </c>
      <c r="Q834">
        <v>0.82</v>
      </c>
      <c r="R834">
        <v>58</v>
      </c>
    </row>
    <row r="835" spans="1:19" x14ac:dyDescent="0.25">
      <c r="A835" t="s">
        <v>6055</v>
      </c>
      <c r="B835" s="1">
        <v>44718</v>
      </c>
      <c r="C835" t="s">
        <v>3154</v>
      </c>
      <c r="D835" t="s">
        <v>63</v>
      </c>
      <c r="E835" t="s">
        <v>24</v>
      </c>
      <c r="F835" t="s">
        <v>335</v>
      </c>
      <c r="G835">
        <v>10</v>
      </c>
      <c r="H835" t="s">
        <v>194</v>
      </c>
      <c r="I835" t="s">
        <v>195</v>
      </c>
      <c r="J835" t="s">
        <v>6056</v>
      </c>
      <c r="K835" t="s">
        <v>6057</v>
      </c>
      <c r="R835">
        <v>39</v>
      </c>
      <c r="S835">
        <v>96.91</v>
      </c>
    </row>
    <row r="836" spans="1:19" x14ac:dyDescent="0.25">
      <c r="A836" t="s">
        <v>6058</v>
      </c>
      <c r="B836" s="1">
        <v>44718</v>
      </c>
      <c r="C836" t="s">
        <v>5124</v>
      </c>
      <c r="D836" t="s">
        <v>63</v>
      </c>
      <c r="E836" t="s">
        <v>24</v>
      </c>
      <c r="F836" t="s">
        <v>323</v>
      </c>
      <c r="G836">
        <v>30</v>
      </c>
      <c r="H836" t="s">
        <v>26</v>
      </c>
      <c r="I836" t="s">
        <v>39</v>
      </c>
      <c r="J836" t="s">
        <v>407</v>
      </c>
      <c r="K836" t="s">
        <v>6059</v>
      </c>
      <c r="L836">
        <v>131</v>
      </c>
      <c r="M836">
        <v>74</v>
      </c>
      <c r="N836" s="2">
        <v>0.34</v>
      </c>
      <c r="O836">
        <v>79</v>
      </c>
      <c r="P836">
        <v>14.04</v>
      </c>
      <c r="Q836">
        <v>6.96</v>
      </c>
      <c r="R836">
        <v>161</v>
      </c>
    </row>
    <row r="837" spans="1:19" x14ac:dyDescent="0.25">
      <c r="A837" t="s">
        <v>6060</v>
      </c>
      <c r="B837" s="1">
        <v>44718</v>
      </c>
      <c r="C837" t="s">
        <v>6061</v>
      </c>
      <c r="D837" t="s">
        <v>63</v>
      </c>
      <c r="E837" t="s">
        <v>24</v>
      </c>
      <c r="F837" t="s">
        <v>323</v>
      </c>
      <c r="G837">
        <v>30</v>
      </c>
      <c r="H837" t="s">
        <v>26</v>
      </c>
      <c r="I837" t="s">
        <v>370</v>
      </c>
      <c r="J837" t="s">
        <v>396</v>
      </c>
      <c r="K837" t="s">
        <v>6062</v>
      </c>
      <c r="L837">
        <v>184</v>
      </c>
      <c r="M837">
        <v>102</v>
      </c>
      <c r="N837" s="2">
        <v>0.37</v>
      </c>
      <c r="O837">
        <v>86</v>
      </c>
      <c r="P837">
        <v>16.239999999999998</v>
      </c>
      <c r="Q837">
        <v>8.1199999999999992</v>
      </c>
      <c r="R837">
        <v>232</v>
      </c>
      <c r="S837">
        <v>104.93</v>
      </c>
    </row>
    <row r="838" spans="1:19" x14ac:dyDescent="0.25">
      <c r="A838" t="s">
        <v>6063</v>
      </c>
      <c r="B838" s="1">
        <v>44718</v>
      </c>
      <c r="C838" t="s">
        <v>1367</v>
      </c>
      <c r="D838" t="s">
        <v>63</v>
      </c>
      <c r="E838" t="s">
        <v>24</v>
      </c>
      <c r="F838" t="s">
        <v>459</v>
      </c>
      <c r="G838">
        <v>10</v>
      </c>
      <c r="H838" t="s">
        <v>464</v>
      </c>
      <c r="I838" t="s">
        <v>579</v>
      </c>
      <c r="J838" t="s">
        <v>1820</v>
      </c>
      <c r="K838" t="s">
        <v>6064</v>
      </c>
    </row>
    <row r="839" spans="1:19" x14ac:dyDescent="0.25">
      <c r="A839" t="s">
        <v>6121</v>
      </c>
      <c r="B839" s="1">
        <v>44725</v>
      </c>
      <c r="C839" t="s">
        <v>1105</v>
      </c>
      <c r="D839" t="s">
        <v>63</v>
      </c>
      <c r="E839" t="s">
        <v>24</v>
      </c>
      <c r="F839" t="s">
        <v>237</v>
      </c>
      <c r="G839">
        <v>30</v>
      </c>
      <c r="H839" t="s">
        <v>188</v>
      </c>
      <c r="I839" t="s">
        <v>254</v>
      </c>
      <c r="J839" t="s">
        <v>255</v>
      </c>
      <c r="K839" t="s">
        <v>6122</v>
      </c>
      <c r="R839">
        <v>98</v>
      </c>
    </row>
    <row r="840" spans="1:19" x14ac:dyDescent="0.25">
      <c r="A840" t="s">
        <v>6123</v>
      </c>
      <c r="B840" s="1">
        <v>44725</v>
      </c>
      <c r="C840" t="s">
        <v>2486</v>
      </c>
      <c r="D840" t="s">
        <v>63</v>
      </c>
      <c r="E840" t="s">
        <v>24</v>
      </c>
      <c r="F840" t="s">
        <v>2256</v>
      </c>
      <c r="G840">
        <v>15</v>
      </c>
      <c r="H840" t="s">
        <v>194</v>
      </c>
      <c r="I840" t="s">
        <v>195</v>
      </c>
      <c r="J840" t="s">
        <v>1217</v>
      </c>
      <c r="K840" t="s">
        <v>6124</v>
      </c>
      <c r="R840">
        <v>54</v>
      </c>
      <c r="S840">
        <v>88.03</v>
      </c>
    </row>
    <row r="841" spans="1:19" x14ac:dyDescent="0.25">
      <c r="A841" t="s">
        <v>6125</v>
      </c>
      <c r="B841" s="1">
        <v>44725</v>
      </c>
      <c r="C841" t="s">
        <v>3120</v>
      </c>
      <c r="D841" t="s">
        <v>63</v>
      </c>
      <c r="E841" t="s">
        <v>24</v>
      </c>
      <c r="F841" t="s">
        <v>243</v>
      </c>
      <c r="G841">
        <v>45</v>
      </c>
      <c r="H841" t="s">
        <v>26</v>
      </c>
      <c r="I841" t="s">
        <v>370</v>
      </c>
      <c r="J841" t="s">
        <v>439</v>
      </c>
      <c r="K841" t="s">
        <v>5876</v>
      </c>
      <c r="L841">
        <v>271</v>
      </c>
      <c r="M841">
        <v>100</v>
      </c>
      <c r="N841" s="2">
        <v>0.37</v>
      </c>
      <c r="O841">
        <v>86</v>
      </c>
      <c r="P841">
        <v>16.149999999999999</v>
      </c>
      <c r="Q841">
        <v>12.11</v>
      </c>
      <c r="R841">
        <v>394</v>
      </c>
      <c r="S841">
        <v>142.84</v>
      </c>
    </row>
    <row r="842" spans="1:19" x14ac:dyDescent="0.25">
      <c r="A842" t="s">
        <v>6126</v>
      </c>
      <c r="B842" s="1">
        <v>44725</v>
      </c>
      <c r="C842" t="s">
        <v>2594</v>
      </c>
      <c r="D842" t="s">
        <v>63</v>
      </c>
      <c r="E842" t="s">
        <v>24</v>
      </c>
      <c r="F842" t="s">
        <v>490</v>
      </c>
      <c r="G842">
        <v>10</v>
      </c>
      <c r="H842" t="s">
        <v>194</v>
      </c>
      <c r="I842" t="s">
        <v>700</v>
      </c>
      <c r="J842" t="s">
        <v>1282</v>
      </c>
      <c r="K842" t="s">
        <v>6127</v>
      </c>
      <c r="R842">
        <v>50</v>
      </c>
      <c r="S842">
        <v>107.23</v>
      </c>
    </row>
    <row r="843" spans="1:19" x14ac:dyDescent="0.25">
      <c r="A843" t="s">
        <v>6128</v>
      </c>
      <c r="B843" s="1">
        <v>44725</v>
      </c>
      <c r="C843" t="s">
        <v>2173</v>
      </c>
      <c r="D843" t="s">
        <v>63</v>
      </c>
      <c r="E843" t="s">
        <v>24</v>
      </c>
      <c r="F843" t="s">
        <v>335</v>
      </c>
      <c r="G843">
        <v>10</v>
      </c>
      <c r="H843" t="s">
        <v>49</v>
      </c>
      <c r="I843" t="s">
        <v>226</v>
      </c>
      <c r="J843" t="s">
        <v>293</v>
      </c>
      <c r="K843" t="s">
        <v>6129</v>
      </c>
      <c r="R843">
        <v>25</v>
      </c>
      <c r="S843">
        <v>83.46</v>
      </c>
    </row>
    <row r="844" spans="1:19" x14ac:dyDescent="0.25">
      <c r="A844" t="s">
        <v>6130</v>
      </c>
      <c r="B844" s="1">
        <v>44725</v>
      </c>
      <c r="C844" t="s">
        <v>3712</v>
      </c>
      <c r="D844" t="s">
        <v>63</v>
      </c>
      <c r="E844" t="s">
        <v>24</v>
      </c>
      <c r="F844" t="s">
        <v>215</v>
      </c>
      <c r="G844">
        <v>15</v>
      </c>
      <c r="H844" t="s">
        <v>464</v>
      </c>
      <c r="I844" t="s">
        <v>943</v>
      </c>
      <c r="J844" t="s">
        <v>1709</v>
      </c>
      <c r="K844" t="s">
        <v>6131</v>
      </c>
    </row>
    <row r="845" spans="1:19" x14ac:dyDescent="0.25">
      <c r="A845" t="s">
        <v>6184</v>
      </c>
      <c r="B845" s="1">
        <v>44732</v>
      </c>
      <c r="C845" t="s">
        <v>6185</v>
      </c>
      <c r="D845" t="s">
        <v>63</v>
      </c>
      <c r="E845" t="s">
        <v>24</v>
      </c>
      <c r="F845" t="s">
        <v>208</v>
      </c>
      <c r="G845">
        <v>20</v>
      </c>
      <c r="H845" t="s">
        <v>464</v>
      </c>
      <c r="I845" t="s">
        <v>943</v>
      </c>
      <c r="J845" t="s">
        <v>1347</v>
      </c>
      <c r="K845" t="s">
        <v>5476</v>
      </c>
    </row>
    <row r="846" spans="1:19" x14ac:dyDescent="0.25">
      <c r="A846" t="s">
        <v>6186</v>
      </c>
      <c r="B846" s="1">
        <v>44732</v>
      </c>
      <c r="C846" t="s">
        <v>6187</v>
      </c>
      <c r="D846" t="s">
        <v>63</v>
      </c>
      <c r="E846" t="s">
        <v>24</v>
      </c>
      <c r="F846" t="s">
        <v>208</v>
      </c>
      <c r="G846">
        <v>20</v>
      </c>
      <c r="H846" t="s">
        <v>464</v>
      </c>
      <c r="I846" t="s">
        <v>943</v>
      </c>
      <c r="J846" t="s">
        <v>1347</v>
      </c>
      <c r="K846" t="s">
        <v>5476</v>
      </c>
    </row>
    <row r="847" spans="1:19" x14ac:dyDescent="0.25">
      <c r="A847" t="s">
        <v>6188</v>
      </c>
      <c r="B847" s="1">
        <v>44732</v>
      </c>
      <c r="C847" t="s">
        <v>1105</v>
      </c>
      <c r="D847" t="s">
        <v>63</v>
      </c>
      <c r="E847" t="s">
        <v>24</v>
      </c>
      <c r="F847" t="s">
        <v>5014</v>
      </c>
      <c r="G847">
        <v>30</v>
      </c>
      <c r="H847" t="s">
        <v>188</v>
      </c>
      <c r="I847" t="s">
        <v>189</v>
      </c>
      <c r="J847" t="s">
        <v>3149</v>
      </c>
      <c r="K847" t="s">
        <v>6189</v>
      </c>
      <c r="R847">
        <v>91</v>
      </c>
    </row>
    <row r="848" spans="1:19" x14ac:dyDescent="0.25">
      <c r="A848" t="s">
        <v>6190</v>
      </c>
      <c r="B848" s="1">
        <v>44732</v>
      </c>
      <c r="C848" t="s">
        <v>6191</v>
      </c>
      <c r="D848" t="s">
        <v>63</v>
      </c>
      <c r="E848" t="s">
        <v>24</v>
      </c>
      <c r="F848" t="s">
        <v>243</v>
      </c>
      <c r="G848">
        <v>45</v>
      </c>
      <c r="H848" t="s">
        <v>26</v>
      </c>
      <c r="I848" t="s">
        <v>370</v>
      </c>
      <c r="J848" t="s">
        <v>479</v>
      </c>
      <c r="K848" t="s">
        <v>6192</v>
      </c>
      <c r="L848">
        <v>287</v>
      </c>
      <c r="M848">
        <v>106</v>
      </c>
      <c r="N848" s="2">
        <v>0.36</v>
      </c>
      <c r="O848">
        <v>86</v>
      </c>
      <c r="P848">
        <v>16.21</v>
      </c>
      <c r="Q848">
        <v>12.16</v>
      </c>
      <c r="R848">
        <v>513</v>
      </c>
      <c r="S848">
        <v>166.08</v>
      </c>
    </row>
    <row r="849" spans="1:19" x14ac:dyDescent="0.25">
      <c r="A849" t="s">
        <v>6193</v>
      </c>
      <c r="B849" s="1">
        <v>44732</v>
      </c>
      <c r="C849" t="s">
        <v>5216</v>
      </c>
      <c r="D849" t="s">
        <v>63</v>
      </c>
      <c r="E849" t="s">
        <v>24</v>
      </c>
      <c r="F849" t="s">
        <v>25</v>
      </c>
      <c r="G849">
        <v>5</v>
      </c>
      <c r="H849" t="s">
        <v>26</v>
      </c>
      <c r="I849" t="s">
        <v>358</v>
      </c>
      <c r="J849" t="s">
        <v>359</v>
      </c>
      <c r="K849" t="s">
        <v>6194</v>
      </c>
      <c r="L849">
        <v>22</v>
      </c>
      <c r="M849">
        <v>72</v>
      </c>
      <c r="N849" s="2">
        <v>0.36</v>
      </c>
      <c r="O849">
        <v>71</v>
      </c>
      <c r="P849">
        <v>13.85</v>
      </c>
      <c r="Q849">
        <v>1.1499999999999999</v>
      </c>
      <c r="R849">
        <v>46</v>
      </c>
      <c r="S849">
        <v>152.85</v>
      </c>
    </row>
    <row r="850" spans="1:19" x14ac:dyDescent="0.25">
      <c r="A850" t="s">
        <v>6195</v>
      </c>
      <c r="B850" s="1">
        <v>44732</v>
      </c>
      <c r="C850" t="s">
        <v>5508</v>
      </c>
      <c r="D850" t="s">
        <v>63</v>
      </c>
      <c r="E850" t="s">
        <v>24</v>
      </c>
      <c r="F850" t="s">
        <v>6030</v>
      </c>
      <c r="G850">
        <v>10</v>
      </c>
      <c r="H850" t="s">
        <v>194</v>
      </c>
      <c r="I850" t="s">
        <v>195</v>
      </c>
      <c r="J850" t="s">
        <v>211</v>
      </c>
      <c r="K850" t="s">
        <v>6196</v>
      </c>
      <c r="R850">
        <v>49</v>
      </c>
      <c r="S850">
        <v>108</v>
      </c>
    </row>
    <row r="851" spans="1:19" x14ac:dyDescent="0.25">
      <c r="A851" t="s">
        <v>6197</v>
      </c>
      <c r="B851" s="1">
        <v>44732</v>
      </c>
      <c r="C851" t="s">
        <v>5659</v>
      </c>
      <c r="D851" t="s">
        <v>63</v>
      </c>
      <c r="E851" t="s">
        <v>24</v>
      </c>
      <c r="F851" t="s">
        <v>323</v>
      </c>
      <c r="G851">
        <v>5</v>
      </c>
      <c r="H851" t="s">
        <v>49</v>
      </c>
      <c r="I851" t="s">
        <v>50</v>
      </c>
      <c r="J851" t="s">
        <v>51</v>
      </c>
      <c r="K851" t="s">
        <v>5860</v>
      </c>
      <c r="R851">
        <v>24</v>
      </c>
      <c r="S851">
        <v>108.34</v>
      </c>
    </row>
    <row r="852" spans="1:19" x14ac:dyDescent="0.25">
      <c r="A852" t="s">
        <v>6198</v>
      </c>
      <c r="B852" s="1">
        <v>44732</v>
      </c>
      <c r="C852" t="s">
        <v>5724</v>
      </c>
      <c r="D852" t="s">
        <v>63</v>
      </c>
      <c r="E852" t="s">
        <v>24</v>
      </c>
      <c r="F852" t="s">
        <v>237</v>
      </c>
      <c r="G852">
        <v>5</v>
      </c>
      <c r="H852" t="s">
        <v>464</v>
      </c>
      <c r="I852" t="s">
        <v>943</v>
      </c>
      <c r="J852" t="s">
        <v>2205</v>
      </c>
      <c r="K852" t="s">
        <v>6199</v>
      </c>
    </row>
    <row r="853" spans="1:19" x14ac:dyDescent="0.25">
      <c r="A853" t="s">
        <v>6230</v>
      </c>
      <c r="B853" s="1">
        <v>44739</v>
      </c>
      <c r="C853" t="s">
        <v>5165</v>
      </c>
      <c r="D853" t="s">
        <v>63</v>
      </c>
      <c r="E853" t="s">
        <v>24</v>
      </c>
      <c r="F853" t="s">
        <v>200</v>
      </c>
      <c r="G853">
        <v>30</v>
      </c>
      <c r="H853" t="s">
        <v>188</v>
      </c>
      <c r="I853" t="s">
        <v>189</v>
      </c>
      <c r="J853" t="s">
        <v>6231</v>
      </c>
      <c r="K853" t="s">
        <v>6232</v>
      </c>
      <c r="R853">
        <v>94</v>
      </c>
    </row>
    <row r="854" spans="1:19" x14ac:dyDescent="0.25">
      <c r="A854" t="s">
        <v>6233</v>
      </c>
      <c r="B854" s="1">
        <v>44739</v>
      </c>
      <c r="C854" t="s">
        <v>3091</v>
      </c>
      <c r="D854" t="s">
        <v>63</v>
      </c>
      <c r="E854" t="s">
        <v>24</v>
      </c>
      <c r="F854" t="s">
        <v>1203</v>
      </c>
      <c r="G854">
        <v>10</v>
      </c>
      <c r="H854" t="s">
        <v>194</v>
      </c>
      <c r="I854" t="s">
        <v>195</v>
      </c>
      <c r="J854" t="s">
        <v>211</v>
      </c>
      <c r="K854" t="s">
        <v>6234</v>
      </c>
      <c r="R854">
        <v>43</v>
      </c>
      <c r="S854">
        <v>101.66</v>
      </c>
    </row>
    <row r="855" spans="1:19" x14ac:dyDescent="0.25">
      <c r="A855" t="s">
        <v>6235</v>
      </c>
      <c r="B855" s="1">
        <v>44739</v>
      </c>
      <c r="C855" t="s">
        <v>6236</v>
      </c>
      <c r="D855" t="s">
        <v>63</v>
      </c>
      <c r="E855" t="s">
        <v>24</v>
      </c>
      <c r="F855" t="s">
        <v>292</v>
      </c>
      <c r="G855">
        <v>20</v>
      </c>
      <c r="H855" t="s">
        <v>194</v>
      </c>
      <c r="I855" t="s">
        <v>1445</v>
      </c>
      <c r="J855" t="s">
        <v>4217</v>
      </c>
      <c r="K855" t="s">
        <v>6237</v>
      </c>
      <c r="R855">
        <v>116</v>
      </c>
      <c r="S855">
        <v>117.16</v>
      </c>
    </row>
    <row r="856" spans="1:19" x14ac:dyDescent="0.25">
      <c r="A856" t="s">
        <v>6238</v>
      </c>
      <c r="B856" s="1">
        <v>44739</v>
      </c>
      <c r="C856" t="s">
        <v>6239</v>
      </c>
      <c r="D856" t="s">
        <v>63</v>
      </c>
      <c r="E856" t="s">
        <v>24</v>
      </c>
      <c r="F856" t="s">
        <v>305</v>
      </c>
      <c r="G856">
        <v>10</v>
      </c>
      <c r="H856" t="s">
        <v>49</v>
      </c>
      <c r="I856" t="s">
        <v>6240</v>
      </c>
      <c r="J856" t="s">
        <v>6241</v>
      </c>
      <c r="K856" t="s">
        <v>6242</v>
      </c>
      <c r="R856">
        <v>23</v>
      </c>
    </row>
    <row r="857" spans="1:19" x14ac:dyDescent="0.25">
      <c r="A857" t="s">
        <v>6243</v>
      </c>
      <c r="B857" s="1">
        <v>44739</v>
      </c>
      <c r="C857" t="s">
        <v>6244</v>
      </c>
      <c r="D857" t="s">
        <v>63</v>
      </c>
      <c r="E857" t="s">
        <v>24</v>
      </c>
      <c r="F857" t="s">
        <v>180</v>
      </c>
      <c r="G857">
        <v>15</v>
      </c>
      <c r="H857" t="s">
        <v>26</v>
      </c>
      <c r="I857" t="s">
        <v>39</v>
      </c>
      <c r="J857" t="s">
        <v>366</v>
      </c>
      <c r="K857" t="s">
        <v>6245</v>
      </c>
      <c r="L857">
        <v>87</v>
      </c>
      <c r="M857">
        <v>97</v>
      </c>
      <c r="N857" s="2">
        <v>0.39</v>
      </c>
      <c r="O857">
        <v>77</v>
      </c>
      <c r="P857">
        <v>15.87</v>
      </c>
      <c r="Q857">
        <v>3.97</v>
      </c>
      <c r="R857">
        <v>118</v>
      </c>
      <c r="S857">
        <v>134.88999999999999</v>
      </c>
    </row>
    <row r="858" spans="1:19" x14ac:dyDescent="0.25">
      <c r="A858" t="s">
        <v>6246</v>
      </c>
      <c r="B858" s="1">
        <v>44739</v>
      </c>
      <c r="C858" t="s">
        <v>1876</v>
      </c>
      <c r="D858" t="s">
        <v>63</v>
      </c>
      <c r="E858" t="s">
        <v>24</v>
      </c>
      <c r="F858" t="s">
        <v>200</v>
      </c>
      <c r="G858">
        <v>15</v>
      </c>
      <c r="H858" t="s">
        <v>464</v>
      </c>
      <c r="I858" t="s">
        <v>579</v>
      </c>
      <c r="J858" t="s">
        <v>2861</v>
      </c>
      <c r="K858" t="s">
        <v>6247</v>
      </c>
    </row>
    <row r="859" spans="1:19" x14ac:dyDescent="0.25">
      <c r="A859" t="s">
        <v>6305</v>
      </c>
      <c r="B859" s="1">
        <v>44746</v>
      </c>
      <c r="C859" t="s">
        <v>6306</v>
      </c>
      <c r="D859" t="s">
        <v>63</v>
      </c>
      <c r="E859" t="s">
        <v>24</v>
      </c>
      <c r="F859" t="s">
        <v>170</v>
      </c>
      <c r="G859">
        <v>10</v>
      </c>
      <c r="H859" t="s">
        <v>194</v>
      </c>
      <c r="I859" t="s">
        <v>195</v>
      </c>
      <c r="J859" t="s">
        <v>211</v>
      </c>
      <c r="K859" t="s">
        <v>6307</v>
      </c>
      <c r="R859">
        <v>41</v>
      </c>
      <c r="S859">
        <v>100.43</v>
      </c>
    </row>
    <row r="860" spans="1:19" x14ac:dyDescent="0.25">
      <c r="A860" t="s">
        <v>6308</v>
      </c>
      <c r="B860" s="1">
        <v>44746</v>
      </c>
      <c r="C860" t="s">
        <v>3275</v>
      </c>
      <c r="D860" t="s">
        <v>63</v>
      </c>
      <c r="E860" t="s">
        <v>24</v>
      </c>
      <c r="F860" t="s">
        <v>335</v>
      </c>
      <c r="G860">
        <v>45</v>
      </c>
      <c r="H860" t="s">
        <v>26</v>
      </c>
      <c r="I860" t="s">
        <v>370</v>
      </c>
      <c r="J860" t="s">
        <v>6309</v>
      </c>
      <c r="K860" t="s">
        <v>6310</v>
      </c>
      <c r="L860">
        <v>299</v>
      </c>
      <c r="M860">
        <v>111</v>
      </c>
      <c r="N860" s="2">
        <v>0.38</v>
      </c>
      <c r="O860">
        <v>84</v>
      </c>
      <c r="P860">
        <v>16.600000000000001</v>
      </c>
      <c r="Q860">
        <v>12.45</v>
      </c>
      <c r="R860">
        <v>439</v>
      </c>
      <c r="S860">
        <v>151.28</v>
      </c>
    </row>
    <row r="861" spans="1:19" x14ac:dyDescent="0.25">
      <c r="A861" t="s">
        <v>6311</v>
      </c>
      <c r="B861" s="1">
        <v>44746</v>
      </c>
      <c r="C861" t="s">
        <v>5761</v>
      </c>
      <c r="D861" t="s">
        <v>63</v>
      </c>
      <c r="E861" t="s">
        <v>24</v>
      </c>
      <c r="F861" t="s">
        <v>323</v>
      </c>
      <c r="G861">
        <v>60</v>
      </c>
      <c r="H861" t="s">
        <v>26</v>
      </c>
      <c r="I861" t="s">
        <v>370</v>
      </c>
      <c r="J861" t="s">
        <v>498</v>
      </c>
      <c r="K861" t="s">
        <v>6312</v>
      </c>
      <c r="L861">
        <v>382</v>
      </c>
      <c r="M861">
        <v>106</v>
      </c>
      <c r="N861" s="2">
        <v>0.38</v>
      </c>
      <c r="O861">
        <v>85</v>
      </c>
      <c r="P861">
        <v>16.52</v>
      </c>
      <c r="Q861">
        <v>16.52</v>
      </c>
      <c r="R861">
        <v>550</v>
      </c>
      <c r="S861">
        <v>145.96</v>
      </c>
    </row>
    <row r="862" spans="1:19" x14ac:dyDescent="0.25">
      <c r="A862" t="s">
        <v>6313</v>
      </c>
      <c r="B862" s="1">
        <v>44746</v>
      </c>
      <c r="C862" t="s">
        <v>6314</v>
      </c>
      <c r="D862" t="s">
        <v>63</v>
      </c>
      <c r="E862" t="s">
        <v>24</v>
      </c>
      <c r="F862" t="s">
        <v>323</v>
      </c>
      <c r="G862">
        <v>5</v>
      </c>
      <c r="H862" t="s">
        <v>26</v>
      </c>
      <c r="I862" t="s">
        <v>358</v>
      </c>
      <c r="J862" t="s">
        <v>359</v>
      </c>
      <c r="K862" t="s">
        <v>5749</v>
      </c>
      <c r="L862">
        <v>13</v>
      </c>
      <c r="M862">
        <v>42</v>
      </c>
      <c r="N862" s="2">
        <v>0.25</v>
      </c>
      <c r="O862">
        <v>82</v>
      </c>
      <c r="P862">
        <v>11.03</v>
      </c>
      <c r="Q862">
        <v>0.92</v>
      </c>
      <c r="R862">
        <v>28</v>
      </c>
      <c r="S862">
        <v>116.79</v>
      </c>
    </row>
    <row r="863" spans="1:19" x14ac:dyDescent="0.25">
      <c r="A863" t="s">
        <v>6315</v>
      </c>
      <c r="B863" s="1">
        <v>44746</v>
      </c>
      <c r="C863" t="s">
        <v>6316</v>
      </c>
      <c r="D863" t="s">
        <v>63</v>
      </c>
      <c r="E863" t="s">
        <v>24</v>
      </c>
      <c r="F863" t="s">
        <v>323</v>
      </c>
      <c r="G863">
        <v>5</v>
      </c>
      <c r="H863" t="s">
        <v>49</v>
      </c>
      <c r="I863" t="s">
        <v>50</v>
      </c>
      <c r="J863" t="s">
        <v>51</v>
      </c>
      <c r="K863" t="s">
        <v>5860</v>
      </c>
      <c r="R863">
        <v>11</v>
      </c>
    </row>
    <row r="864" spans="1:19" x14ac:dyDescent="0.25">
      <c r="A864" t="s">
        <v>6385</v>
      </c>
      <c r="B864" s="1">
        <v>44753</v>
      </c>
      <c r="C864" t="s">
        <v>1388</v>
      </c>
      <c r="D864" t="s">
        <v>63</v>
      </c>
      <c r="E864" t="s">
        <v>24</v>
      </c>
      <c r="F864" t="s">
        <v>323</v>
      </c>
      <c r="G864">
        <v>60</v>
      </c>
      <c r="H864" t="s">
        <v>26</v>
      </c>
      <c r="I864" t="s">
        <v>370</v>
      </c>
      <c r="J864" t="s">
        <v>646</v>
      </c>
      <c r="K864" t="s">
        <v>1996</v>
      </c>
      <c r="L864">
        <v>407</v>
      </c>
      <c r="M864">
        <v>113</v>
      </c>
      <c r="N864" s="2">
        <v>0.39</v>
      </c>
      <c r="O864">
        <v>85</v>
      </c>
      <c r="P864">
        <v>16.87</v>
      </c>
      <c r="Q864">
        <v>16.87</v>
      </c>
      <c r="R864">
        <v>576</v>
      </c>
      <c r="S864">
        <v>149.85</v>
      </c>
    </row>
    <row r="865" spans="1:19" x14ac:dyDescent="0.25">
      <c r="A865" t="s">
        <v>6386</v>
      </c>
      <c r="B865" s="1">
        <v>44753</v>
      </c>
      <c r="C865" t="s">
        <v>6387</v>
      </c>
      <c r="D865" t="s">
        <v>63</v>
      </c>
      <c r="E865" t="s">
        <v>24</v>
      </c>
      <c r="F865" t="s">
        <v>323</v>
      </c>
      <c r="G865">
        <v>5</v>
      </c>
      <c r="H865" t="s">
        <v>26</v>
      </c>
      <c r="I865" t="s">
        <v>358</v>
      </c>
      <c r="J865" t="s">
        <v>359</v>
      </c>
      <c r="K865" t="s">
        <v>5749</v>
      </c>
      <c r="L865">
        <v>18</v>
      </c>
      <c r="M865">
        <v>60</v>
      </c>
      <c r="N865" s="2">
        <v>0.28000000000000003</v>
      </c>
      <c r="O865">
        <v>91</v>
      </c>
      <c r="P865">
        <v>12.85</v>
      </c>
      <c r="Q865">
        <v>1.07</v>
      </c>
      <c r="R865">
        <v>34</v>
      </c>
      <c r="S865">
        <v>99.83</v>
      </c>
    </row>
    <row r="866" spans="1:19" x14ac:dyDescent="0.25">
      <c r="A866" t="s">
        <v>6388</v>
      </c>
      <c r="B866" s="1">
        <v>44753</v>
      </c>
      <c r="C866" t="s">
        <v>6389</v>
      </c>
      <c r="D866" t="s">
        <v>63</v>
      </c>
      <c r="E866" t="s">
        <v>24</v>
      </c>
      <c r="F866" t="s">
        <v>323</v>
      </c>
      <c r="G866">
        <v>5</v>
      </c>
      <c r="H866" t="s">
        <v>49</v>
      </c>
      <c r="I866" t="s">
        <v>50</v>
      </c>
      <c r="J866" t="s">
        <v>51</v>
      </c>
      <c r="K866" t="s">
        <v>5860</v>
      </c>
      <c r="R866">
        <v>11</v>
      </c>
    </row>
    <row r="867" spans="1:19" x14ac:dyDescent="0.25">
      <c r="A867" t="s">
        <v>6390</v>
      </c>
      <c r="B867" s="1">
        <v>44753</v>
      </c>
      <c r="C867" t="s">
        <v>6391</v>
      </c>
      <c r="D867" t="s">
        <v>63</v>
      </c>
      <c r="E867" t="s">
        <v>24</v>
      </c>
      <c r="F867" t="s">
        <v>459</v>
      </c>
      <c r="G867">
        <v>10</v>
      </c>
      <c r="H867" t="s">
        <v>464</v>
      </c>
      <c r="I867" t="s">
        <v>103</v>
      </c>
      <c r="J867" t="s">
        <v>6392</v>
      </c>
      <c r="K867" t="s">
        <v>6393</v>
      </c>
    </row>
    <row r="868" spans="1:19" x14ac:dyDescent="0.25">
      <c r="A868" t="s">
        <v>6461</v>
      </c>
      <c r="B868" s="1">
        <v>44760</v>
      </c>
      <c r="C868" t="s">
        <v>5265</v>
      </c>
      <c r="D868" t="s">
        <v>63</v>
      </c>
      <c r="E868" t="s">
        <v>24</v>
      </c>
      <c r="F868" t="s">
        <v>237</v>
      </c>
      <c r="G868">
        <v>30</v>
      </c>
      <c r="H868" t="s">
        <v>188</v>
      </c>
      <c r="I868" t="s">
        <v>238</v>
      </c>
      <c r="J868" t="s">
        <v>6462</v>
      </c>
      <c r="K868" t="s">
        <v>6463</v>
      </c>
      <c r="R868">
        <v>94</v>
      </c>
    </row>
    <row r="869" spans="1:19" x14ac:dyDescent="0.25">
      <c r="A869" t="s">
        <v>6464</v>
      </c>
      <c r="B869" s="1">
        <v>44760</v>
      </c>
      <c r="C869" t="s">
        <v>6465</v>
      </c>
      <c r="D869" t="s">
        <v>63</v>
      </c>
      <c r="E869" t="s">
        <v>24</v>
      </c>
      <c r="F869" t="s">
        <v>335</v>
      </c>
      <c r="G869">
        <v>45</v>
      </c>
      <c r="H869" t="s">
        <v>26</v>
      </c>
      <c r="I869" t="s">
        <v>370</v>
      </c>
      <c r="J869" t="s">
        <v>439</v>
      </c>
      <c r="K869" t="s">
        <v>2234</v>
      </c>
      <c r="L869">
        <v>283</v>
      </c>
      <c r="M869">
        <v>105</v>
      </c>
      <c r="N869" s="2">
        <v>0.37</v>
      </c>
      <c r="O869">
        <v>86</v>
      </c>
      <c r="P869">
        <v>16.43</v>
      </c>
      <c r="Q869">
        <v>12.33</v>
      </c>
      <c r="R869">
        <v>418</v>
      </c>
      <c r="S869">
        <v>147.37</v>
      </c>
    </row>
    <row r="870" spans="1:19" x14ac:dyDescent="0.25">
      <c r="A870" t="s">
        <v>6466</v>
      </c>
      <c r="B870" s="1">
        <v>44760</v>
      </c>
      <c r="C870" t="s">
        <v>6467</v>
      </c>
      <c r="D870" t="s">
        <v>63</v>
      </c>
      <c r="E870" t="s">
        <v>24</v>
      </c>
      <c r="F870" t="s">
        <v>354</v>
      </c>
      <c r="G870">
        <v>5</v>
      </c>
      <c r="H870" t="s">
        <v>194</v>
      </c>
      <c r="I870" t="s">
        <v>423</v>
      </c>
      <c r="J870" t="s">
        <v>6398</v>
      </c>
      <c r="K870" t="s">
        <v>6399</v>
      </c>
      <c r="R870">
        <v>23</v>
      </c>
      <c r="S870">
        <v>107.97</v>
      </c>
    </row>
    <row r="871" spans="1:19" x14ac:dyDescent="0.25">
      <c r="A871" t="s">
        <v>6468</v>
      </c>
      <c r="B871" s="1">
        <v>44760</v>
      </c>
      <c r="C871" t="s">
        <v>6469</v>
      </c>
      <c r="D871" t="s">
        <v>63</v>
      </c>
      <c r="E871" t="s">
        <v>24</v>
      </c>
      <c r="F871" t="s">
        <v>354</v>
      </c>
      <c r="G871">
        <v>10</v>
      </c>
      <c r="H871" t="s">
        <v>194</v>
      </c>
      <c r="I871" t="s">
        <v>1445</v>
      </c>
      <c r="J871" t="s">
        <v>2809</v>
      </c>
      <c r="K871" t="s">
        <v>6399</v>
      </c>
      <c r="R871">
        <v>77</v>
      </c>
      <c r="S871">
        <v>128.76</v>
      </c>
    </row>
    <row r="872" spans="1:19" x14ac:dyDescent="0.25">
      <c r="A872" t="s">
        <v>6470</v>
      </c>
      <c r="B872" s="1">
        <v>44760</v>
      </c>
      <c r="C872" t="s">
        <v>1476</v>
      </c>
      <c r="D872" t="s">
        <v>63</v>
      </c>
      <c r="E872" t="s">
        <v>24</v>
      </c>
      <c r="F872" t="s">
        <v>459</v>
      </c>
      <c r="G872">
        <v>10</v>
      </c>
      <c r="H872" t="s">
        <v>464</v>
      </c>
      <c r="I872" t="s">
        <v>579</v>
      </c>
      <c r="J872" t="s">
        <v>580</v>
      </c>
      <c r="K872" t="s">
        <v>6471</v>
      </c>
    </row>
    <row r="873" spans="1:19" x14ac:dyDescent="0.25">
      <c r="A873" t="s">
        <v>6529</v>
      </c>
      <c r="B873" s="1">
        <v>44767</v>
      </c>
      <c r="C873" t="s">
        <v>6530</v>
      </c>
      <c r="D873" t="s">
        <v>63</v>
      </c>
      <c r="E873" t="s">
        <v>24</v>
      </c>
      <c r="F873" t="s">
        <v>2708</v>
      </c>
      <c r="G873">
        <v>5</v>
      </c>
      <c r="H873" t="s">
        <v>464</v>
      </c>
      <c r="I873" t="s">
        <v>943</v>
      </c>
      <c r="J873" t="s">
        <v>2205</v>
      </c>
      <c r="K873" t="s">
        <v>6531</v>
      </c>
    </row>
    <row r="874" spans="1:19" x14ac:dyDescent="0.25">
      <c r="A874" t="s">
        <v>6532</v>
      </c>
      <c r="B874" s="1">
        <v>44767</v>
      </c>
      <c r="C874" t="s">
        <v>913</v>
      </c>
      <c r="D874" t="s">
        <v>63</v>
      </c>
      <c r="E874" t="s">
        <v>24</v>
      </c>
      <c r="F874" t="s">
        <v>237</v>
      </c>
      <c r="G874">
        <v>10</v>
      </c>
      <c r="H874" t="s">
        <v>464</v>
      </c>
      <c r="I874" t="s">
        <v>579</v>
      </c>
      <c r="J874" t="s">
        <v>1470</v>
      </c>
      <c r="K874" t="s">
        <v>6533</v>
      </c>
    </row>
    <row r="875" spans="1:19" x14ac:dyDescent="0.25">
      <c r="A875" t="s">
        <v>6591</v>
      </c>
      <c r="B875" s="1">
        <v>44774</v>
      </c>
      <c r="C875" t="s">
        <v>5313</v>
      </c>
      <c r="D875" t="s">
        <v>63</v>
      </c>
      <c r="E875" t="s">
        <v>24</v>
      </c>
      <c r="F875" t="s">
        <v>354</v>
      </c>
      <c r="G875">
        <v>15</v>
      </c>
      <c r="H875" t="s">
        <v>194</v>
      </c>
      <c r="I875" t="s">
        <v>1445</v>
      </c>
      <c r="J875" t="s">
        <v>2082</v>
      </c>
      <c r="K875" t="s">
        <v>6399</v>
      </c>
      <c r="R875">
        <v>89</v>
      </c>
      <c r="S875">
        <v>118.53</v>
      </c>
    </row>
    <row r="876" spans="1:19" x14ac:dyDescent="0.25">
      <c r="A876" t="s">
        <v>6592</v>
      </c>
      <c r="B876" s="1">
        <v>44774</v>
      </c>
      <c r="C876" t="s">
        <v>6593</v>
      </c>
      <c r="D876" t="s">
        <v>63</v>
      </c>
      <c r="E876" t="s">
        <v>24</v>
      </c>
      <c r="F876" t="s">
        <v>2256</v>
      </c>
      <c r="G876">
        <v>15</v>
      </c>
      <c r="H876" t="s">
        <v>194</v>
      </c>
      <c r="I876" t="s">
        <v>195</v>
      </c>
      <c r="J876" t="s">
        <v>6498</v>
      </c>
      <c r="K876" t="s">
        <v>6594</v>
      </c>
      <c r="R876">
        <v>64</v>
      </c>
      <c r="S876">
        <v>103.32</v>
      </c>
    </row>
    <row r="877" spans="1:19" x14ac:dyDescent="0.25">
      <c r="A877" t="s">
        <v>6595</v>
      </c>
      <c r="B877" s="1">
        <v>44774</v>
      </c>
      <c r="C877" t="s">
        <v>2212</v>
      </c>
      <c r="D877" t="s">
        <v>63</v>
      </c>
      <c r="E877" t="s">
        <v>24</v>
      </c>
      <c r="F877" t="s">
        <v>323</v>
      </c>
      <c r="G877">
        <v>30</v>
      </c>
      <c r="H877" t="s">
        <v>26</v>
      </c>
      <c r="I877" t="s">
        <v>370</v>
      </c>
      <c r="J877" t="s">
        <v>880</v>
      </c>
      <c r="K877" t="s">
        <v>6596</v>
      </c>
      <c r="L877">
        <v>198</v>
      </c>
      <c r="M877">
        <v>110</v>
      </c>
      <c r="N877" s="2">
        <v>0.38</v>
      </c>
      <c r="O877">
        <v>87</v>
      </c>
      <c r="P877">
        <v>16.66</v>
      </c>
      <c r="Q877">
        <v>8.33</v>
      </c>
      <c r="R877">
        <v>281</v>
      </c>
      <c r="S877">
        <v>148.11000000000001</v>
      </c>
    </row>
    <row r="878" spans="1:19" x14ac:dyDescent="0.25">
      <c r="A878" t="s">
        <v>6597</v>
      </c>
      <c r="B878" s="1">
        <v>44774</v>
      </c>
      <c r="C878" t="s">
        <v>6598</v>
      </c>
      <c r="D878" t="s">
        <v>63</v>
      </c>
      <c r="E878" t="s">
        <v>24</v>
      </c>
      <c r="F878" t="s">
        <v>200</v>
      </c>
      <c r="G878">
        <v>45</v>
      </c>
      <c r="H878" t="s">
        <v>188</v>
      </c>
      <c r="I878" t="s">
        <v>189</v>
      </c>
      <c r="J878" t="s">
        <v>244</v>
      </c>
      <c r="K878" t="s">
        <v>6599</v>
      </c>
      <c r="R878">
        <v>138</v>
      </c>
    </row>
    <row r="879" spans="1:19" x14ac:dyDescent="0.25">
      <c r="A879" t="s">
        <v>6600</v>
      </c>
      <c r="B879" s="1">
        <v>44774</v>
      </c>
      <c r="C879" t="s">
        <v>1616</v>
      </c>
      <c r="D879" t="s">
        <v>63</v>
      </c>
      <c r="E879" t="s">
        <v>24</v>
      </c>
      <c r="F879" t="s">
        <v>459</v>
      </c>
      <c r="G879">
        <v>10</v>
      </c>
      <c r="H879" t="s">
        <v>464</v>
      </c>
      <c r="I879" t="s">
        <v>763</v>
      </c>
      <c r="J879" t="s">
        <v>4348</v>
      </c>
      <c r="K879" t="s">
        <v>6601</v>
      </c>
    </row>
    <row r="880" spans="1:19" x14ac:dyDescent="0.25">
      <c r="A880" t="s">
        <v>6644</v>
      </c>
      <c r="B880" s="1">
        <v>44781</v>
      </c>
      <c r="C880" t="s">
        <v>3931</v>
      </c>
      <c r="D880" t="s">
        <v>63</v>
      </c>
      <c r="E880" t="s">
        <v>24</v>
      </c>
      <c r="F880" t="s">
        <v>215</v>
      </c>
      <c r="G880">
        <v>30</v>
      </c>
      <c r="H880" t="s">
        <v>188</v>
      </c>
      <c r="I880" t="s">
        <v>189</v>
      </c>
      <c r="J880" t="s">
        <v>3149</v>
      </c>
      <c r="K880" t="s">
        <v>6645</v>
      </c>
      <c r="R880">
        <v>89</v>
      </c>
    </row>
    <row r="881" spans="1:21" x14ac:dyDescent="0.25">
      <c r="A881" t="s">
        <v>6646</v>
      </c>
      <c r="B881" s="1">
        <v>44781</v>
      </c>
      <c r="C881" t="s">
        <v>1639</v>
      </c>
      <c r="D881" t="s">
        <v>63</v>
      </c>
      <c r="E881" t="s">
        <v>24</v>
      </c>
      <c r="F881" t="s">
        <v>237</v>
      </c>
      <c r="G881">
        <v>10</v>
      </c>
      <c r="H881" t="s">
        <v>464</v>
      </c>
      <c r="I881" t="s">
        <v>579</v>
      </c>
      <c r="J881" t="s">
        <v>808</v>
      </c>
      <c r="K881" t="s">
        <v>6647</v>
      </c>
    </row>
    <row r="882" spans="1:21" x14ac:dyDescent="0.25">
      <c r="A882" t="s">
        <v>6679</v>
      </c>
      <c r="B882" s="1">
        <v>44788</v>
      </c>
      <c r="C882" t="s">
        <v>2729</v>
      </c>
      <c r="D882" t="s">
        <v>63</v>
      </c>
      <c r="E882" t="s">
        <v>24</v>
      </c>
      <c r="F882" t="s">
        <v>243</v>
      </c>
      <c r="G882">
        <v>45</v>
      </c>
      <c r="H882" t="s">
        <v>188</v>
      </c>
      <c r="I882" t="s">
        <v>575</v>
      </c>
      <c r="J882" t="s">
        <v>6680</v>
      </c>
      <c r="K882" t="s">
        <v>6681</v>
      </c>
      <c r="R882">
        <v>141</v>
      </c>
    </row>
    <row r="883" spans="1:21" x14ac:dyDescent="0.25">
      <c r="A883" t="s">
        <v>6682</v>
      </c>
      <c r="B883" s="1">
        <v>44788</v>
      </c>
      <c r="C883" t="s">
        <v>6683</v>
      </c>
      <c r="D883" t="s">
        <v>63</v>
      </c>
      <c r="E883" t="s">
        <v>24</v>
      </c>
      <c r="F883" t="s">
        <v>243</v>
      </c>
      <c r="G883">
        <v>45</v>
      </c>
      <c r="H883" t="s">
        <v>26</v>
      </c>
      <c r="I883" t="s">
        <v>370</v>
      </c>
      <c r="J883" t="s">
        <v>479</v>
      </c>
      <c r="K883" t="s">
        <v>6684</v>
      </c>
      <c r="L883">
        <v>328</v>
      </c>
      <c r="M883">
        <v>121</v>
      </c>
      <c r="N883" s="2">
        <v>0.39</v>
      </c>
      <c r="O883">
        <v>85</v>
      </c>
      <c r="P883">
        <v>17.149999999999999</v>
      </c>
      <c r="Q883">
        <v>12.86</v>
      </c>
      <c r="R883">
        <v>466</v>
      </c>
      <c r="S883">
        <v>156.34</v>
      </c>
    </row>
    <row r="884" spans="1:21" x14ac:dyDescent="0.25">
      <c r="A884" t="s">
        <v>6685</v>
      </c>
      <c r="B884" s="1">
        <v>44788</v>
      </c>
      <c r="C884" t="s">
        <v>6363</v>
      </c>
      <c r="D884" t="s">
        <v>63</v>
      </c>
      <c r="E884" t="s">
        <v>24</v>
      </c>
      <c r="F884" t="s">
        <v>200</v>
      </c>
      <c r="G884">
        <v>5</v>
      </c>
      <c r="H884" t="s">
        <v>464</v>
      </c>
      <c r="I884" t="s">
        <v>943</v>
      </c>
      <c r="J884" t="s">
        <v>2205</v>
      </c>
      <c r="K884" t="s">
        <v>6686</v>
      </c>
    </row>
    <row r="885" spans="1:21" x14ac:dyDescent="0.25">
      <c r="A885" t="s">
        <v>6730</v>
      </c>
      <c r="B885" s="1">
        <v>44795</v>
      </c>
      <c r="C885" t="s">
        <v>601</v>
      </c>
      <c r="D885" t="s">
        <v>63</v>
      </c>
      <c r="E885" t="s">
        <v>24</v>
      </c>
      <c r="F885" t="s">
        <v>243</v>
      </c>
      <c r="G885">
        <v>30</v>
      </c>
      <c r="H885" t="s">
        <v>188</v>
      </c>
      <c r="I885" t="s">
        <v>189</v>
      </c>
      <c r="J885" t="s">
        <v>6731</v>
      </c>
      <c r="K885" t="s">
        <v>6732</v>
      </c>
      <c r="R885">
        <v>89</v>
      </c>
    </row>
    <row r="886" spans="1:21" x14ac:dyDescent="0.25">
      <c r="A886" t="s">
        <v>6733</v>
      </c>
      <c r="B886" s="1">
        <v>44795</v>
      </c>
      <c r="C886" t="s">
        <v>6734</v>
      </c>
      <c r="D886" t="s">
        <v>63</v>
      </c>
      <c r="E886" t="s">
        <v>24</v>
      </c>
      <c r="F886" t="s">
        <v>323</v>
      </c>
      <c r="G886">
        <v>45</v>
      </c>
      <c r="H886" t="s">
        <v>26</v>
      </c>
      <c r="I886" t="s">
        <v>370</v>
      </c>
      <c r="J886" t="s">
        <v>479</v>
      </c>
      <c r="K886" t="s">
        <v>6735</v>
      </c>
      <c r="L886">
        <v>194</v>
      </c>
      <c r="M886">
        <v>90</v>
      </c>
      <c r="N886" s="2">
        <v>0.34</v>
      </c>
      <c r="O886">
        <v>84</v>
      </c>
      <c r="P886">
        <v>14.89</v>
      </c>
      <c r="Q886">
        <v>8</v>
      </c>
      <c r="R886">
        <v>305</v>
      </c>
      <c r="S886">
        <v>139.28</v>
      </c>
    </row>
    <row r="887" spans="1:21" x14ac:dyDescent="0.25">
      <c r="A887" t="s">
        <v>6736</v>
      </c>
      <c r="B887" s="1">
        <v>44795</v>
      </c>
      <c r="C887" t="s">
        <v>2159</v>
      </c>
      <c r="D887" t="s">
        <v>63</v>
      </c>
      <c r="E887" t="s">
        <v>24</v>
      </c>
      <c r="F887" t="s">
        <v>33</v>
      </c>
      <c r="G887">
        <v>10</v>
      </c>
      <c r="H887" t="s">
        <v>26</v>
      </c>
      <c r="I887" t="s">
        <v>358</v>
      </c>
      <c r="J887" t="s">
        <v>6737</v>
      </c>
      <c r="K887" t="s">
        <v>6738</v>
      </c>
      <c r="L887">
        <v>40</v>
      </c>
      <c r="M887">
        <v>66</v>
      </c>
      <c r="N887" s="2">
        <v>0.33</v>
      </c>
      <c r="O887">
        <v>78</v>
      </c>
      <c r="P887">
        <v>13.57</v>
      </c>
      <c r="Q887">
        <v>2.27</v>
      </c>
      <c r="R887">
        <v>75</v>
      </c>
      <c r="S887">
        <v>132.02000000000001</v>
      </c>
    </row>
    <row r="888" spans="1:21" x14ac:dyDescent="0.25">
      <c r="A888" t="s">
        <v>6739</v>
      </c>
      <c r="B888" s="1">
        <v>44795</v>
      </c>
      <c r="C888" t="s">
        <v>2135</v>
      </c>
      <c r="D888" t="s">
        <v>63</v>
      </c>
      <c r="E888" t="s">
        <v>24</v>
      </c>
      <c r="F888" t="s">
        <v>323</v>
      </c>
      <c r="G888">
        <v>5</v>
      </c>
      <c r="H888" t="s">
        <v>49</v>
      </c>
      <c r="I888" t="s">
        <v>50</v>
      </c>
      <c r="J888" t="s">
        <v>6740</v>
      </c>
      <c r="K888" t="s">
        <v>6741</v>
      </c>
      <c r="R888">
        <v>27</v>
      </c>
      <c r="S888">
        <v>115.5</v>
      </c>
    </row>
    <row r="889" spans="1:21" x14ac:dyDescent="0.25">
      <c r="A889" t="s">
        <v>6742</v>
      </c>
      <c r="B889" s="1">
        <v>44795</v>
      </c>
      <c r="C889" t="s">
        <v>1375</v>
      </c>
      <c r="D889" t="s">
        <v>63</v>
      </c>
      <c r="E889" t="s">
        <v>24</v>
      </c>
      <c r="F889" t="s">
        <v>459</v>
      </c>
      <c r="G889">
        <v>10</v>
      </c>
      <c r="H889" t="s">
        <v>464</v>
      </c>
      <c r="I889" t="s">
        <v>579</v>
      </c>
      <c r="J889" t="s">
        <v>914</v>
      </c>
      <c r="K889" t="s">
        <v>6743</v>
      </c>
    </row>
    <row r="890" spans="1:21" x14ac:dyDescent="0.25">
      <c r="A890" t="s">
        <v>6805</v>
      </c>
      <c r="B890" s="1">
        <v>44802</v>
      </c>
      <c r="C890" t="s">
        <v>388</v>
      </c>
      <c r="D890" t="s">
        <v>63</v>
      </c>
      <c r="E890" t="s">
        <v>24</v>
      </c>
      <c r="F890" t="s">
        <v>237</v>
      </c>
      <c r="G890">
        <v>30</v>
      </c>
      <c r="H890" t="s">
        <v>188</v>
      </c>
      <c r="I890" t="s">
        <v>238</v>
      </c>
      <c r="J890" t="s">
        <v>1956</v>
      </c>
      <c r="K890" t="s">
        <v>6806</v>
      </c>
      <c r="R890">
        <v>98</v>
      </c>
    </row>
    <row r="891" spans="1:21" x14ac:dyDescent="0.25">
      <c r="A891" t="s">
        <v>6807</v>
      </c>
      <c r="B891" s="1">
        <v>44802</v>
      </c>
      <c r="C891" t="s">
        <v>1884</v>
      </c>
      <c r="D891" t="s">
        <v>63</v>
      </c>
      <c r="E891" t="s">
        <v>24</v>
      </c>
      <c r="F891" t="s">
        <v>554</v>
      </c>
      <c r="G891">
        <v>10</v>
      </c>
      <c r="H891" t="s">
        <v>49</v>
      </c>
      <c r="I891" t="s">
        <v>1960</v>
      </c>
      <c r="J891" t="s">
        <v>3905</v>
      </c>
      <c r="K891" t="s">
        <v>3906</v>
      </c>
      <c r="R891">
        <v>22</v>
      </c>
    </row>
    <row r="892" spans="1:21" x14ac:dyDescent="0.25">
      <c r="A892" t="s">
        <v>6808</v>
      </c>
      <c r="B892" s="1">
        <v>44802</v>
      </c>
      <c r="C892" t="s">
        <v>6809</v>
      </c>
      <c r="D892" t="s">
        <v>63</v>
      </c>
      <c r="E892" t="s">
        <v>24</v>
      </c>
      <c r="F892" t="s">
        <v>231</v>
      </c>
      <c r="G892">
        <v>20</v>
      </c>
      <c r="H892" t="s">
        <v>1856</v>
      </c>
      <c r="I892" t="s">
        <v>1857</v>
      </c>
      <c r="J892" t="s">
        <v>5936</v>
      </c>
      <c r="K892" t="s">
        <v>6810</v>
      </c>
      <c r="L892">
        <v>0</v>
      </c>
      <c r="P892">
        <v>3.67</v>
      </c>
      <c r="Q892">
        <v>1.17</v>
      </c>
      <c r="R892">
        <v>122</v>
      </c>
      <c r="S892">
        <v>127.16</v>
      </c>
    </row>
    <row r="893" spans="1:21" x14ac:dyDescent="0.25">
      <c r="A893" t="s">
        <v>6811</v>
      </c>
      <c r="B893" s="1">
        <v>44802</v>
      </c>
      <c r="C893" t="s">
        <v>144</v>
      </c>
      <c r="D893" t="s">
        <v>63</v>
      </c>
      <c r="E893" t="s">
        <v>24</v>
      </c>
      <c r="F893" t="s">
        <v>6812</v>
      </c>
      <c r="G893">
        <v>10</v>
      </c>
      <c r="H893" t="s">
        <v>6420</v>
      </c>
      <c r="I893" t="s">
        <v>6421</v>
      </c>
      <c r="J893" t="s">
        <v>6430</v>
      </c>
      <c r="K893" t="s">
        <v>6722</v>
      </c>
      <c r="L893">
        <v>0</v>
      </c>
      <c r="P893">
        <v>3.83</v>
      </c>
      <c r="Q893">
        <v>0.59</v>
      </c>
      <c r="R893">
        <v>50</v>
      </c>
      <c r="T893">
        <v>0</v>
      </c>
      <c r="U893" s="3">
        <v>0.65277777777777779</v>
      </c>
    </row>
    <row r="894" spans="1:21" x14ac:dyDescent="0.25">
      <c r="A894" t="s">
        <v>6813</v>
      </c>
      <c r="B894" s="1">
        <v>44802</v>
      </c>
      <c r="C894" t="s">
        <v>2804</v>
      </c>
      <c r="D894" t="s">
        <v>63</v>
      </c>
      <c r="E894" t="s">
        <v>24</v>
      </c>
      <c r="F894" t="s">
        <v>237</v>
      </c>
      <c r="G894">
        <v>10</v>
      </c>
      <c r="H894" t="s">
        <v>464</v>
      </c>
      <c r="I894" t="s">
        <v>943</v>
      </c>
      <c r="J894" t="s">
        <v>944</v>
      </c>
      <c r="K894" t="s">
        <v>6033</v>
      </c>
    </row>
    <row r="895" spans="1:21" x14ac:dyDescent="0.25">
      <c r="A895" t="s">
        <v>6860</v>
      </c>
      <c r="B895" s="1">
        <v>44809</v>
      </c>
      <c r="C895" t="s">
        <v>5656</v>
      </c>
      <c r="D895" t="s">
        <v>63</v>
      </c>
      <c r="E895" t="s">
        <v>24</v>
      </c>
      <c r="F895" t="s">
        <v>2833</v>
      </c>
      <c r="G895">
        <v>5</v>
      </c>
      <c r="H895" t="s">
        <v>26</v>
      </c>
      <c r="I895" t="s">
        <v>423</v>
      </c>
      <c r="J895" t="s">
        <v>505</v>
      </c>
      <c r="K895" t="s">
        <v>6861</v>
      </c>
      <c r="L895">
        <v>22</v>
      </c>
      <c r="M895">
        <v>75</v>
      </c>
      <c r="N895" s="2">
        <v>0.28999999999999998</v>
      </c>
      <c r="O895">
        <v>96</v>
      </c>
      <c r="P895">
        <v>14.34</v>
      </c>
      <c r="Q895">
        <v>1.19</v>
      </c>
      <c r="R895">
        <v>31</v>
      </c>
      <c r="S895">
        <v>122.29</v>
      </c>
    </row>
    <row r="896" spans="1:21" x14ac:dyDescent="0.25">
      <c r="A896" t="s">
        <v>6862</v>
      </c>
      <c r="B896" s="1">
        <v>44809</v>
      </c>
      <c r="C896" t="s">
        <v>2584</v>
      </c>
      <c r="D896" t="s">
        <v>63</v>
      </c>
      <c r="E896" t="s">
        <v>24</v>
      </c>
      <c r="F896" t="s">
        <v>243</v>
      </c>
      <c r="G896">
        <v>45</v>
      </c>
      <c r="H896" t="s">
        <v>26</v>
      </c>
      <c r="I896" t="s">
        <v>370</v>
      </c>
      <c r="J896" t="s">
        <v>6770</v>
      </c>
      <c r="K896" t="s">
        <v>6863</v>
      </c>
      <c r="L896">
        <v>317</v>
      </c>
      <c r="M896">
        <v>117</v>
      </c>
      <c r="N896" s="2">
        <v>0.4</v>
      </c>
      <c r="O896">
        <v>83</v>
      </c>
      <c r="P896">
        <v>17.02</v>
      </c>
      <c r="Q896">
        <v>12.76</v>
      </c>
      <c r="R896">
        <v>421</v>
      </c>
      <c r="S896">
        <v>150.91999999999999</v>
      </c>
    </row>
    <row r="897" spans="1:19" x14ac:dyDescent="0.25">
      <c r="A897" t="s">
        <v>6864</v>
      </c>
      <c r="B897" s="1">
        <v>44809</v>
      </c>
      <c r="C897" t="s">
        <v>5961</v>
      </c>
      <c r="D897" t="s">
        <v>63</v>
      </c>
      <c r="E897" t="s">
        <v>24</v>
      </c>
      <c r="F897" t="s">
        <v>2595</v>
      </c>
      <c r="G897">
        <v>10</v>
      </c>
      <c r="H897" t="s">
        <v>26</v>
      </c>
      <c r="I897" t="s">
        <v>358</v>
      </c>
      <c r="J897" t="s">
        <v>6865</v>
      </c>
      <c r="K897" t="s">
        <v>6738</v>
      </c>
      <c r="L897">
        <v>42</v>
      </c>
      <c r="M897">
        <v>70</v>
      </c>
      <c r="N897" s="2">
        <v>0.31</v>
      </c>
      <c r="O897">
        <v>85</v>
      </c>
      <c r="P897">
        <v>13.94</v>
      </c>
      <c r="Q897">
        <v>2.3199999999999998</v>
      </c>
      <c r="R897">
        <v>70</v>
      </c>
      <c r="S897">
        <v>126.45</v>
      </c>
    </row>
    <row r="898" spans="1:19" x14ac:dyDescent="0.25">
      <c r="A898" t="s">
        <v>6866</v>
      </c>
      <c r="B898" s="1">
        <v>44809</v>
      </c>
      <c r="C898" t="s">
        <v>2212</v>
      </c>
      <c r="D898" t="s">
        <v>63</v>
      </c>
      <c r="E898" t="s">
        <v>24</v>
      </c>
      <c r="F898" t="s">
        <v>6030</v>
      </c>
      <c r="G898">
        <v>5</v>
      </c>
      <c r="H898" t="s">
        <v>194</v>
      </c>
      <c r="I898" t="s">
        <v>195</v>
      </c>
      <c r="J898" t="s">
        <v>196</v>
      </c>
      <c r="K898" t="s">
        <v>6867</v>
      </c>
      <c r="R898">
        <v>27</v>
      </c>
      <c r="S898">
        <v>113.15</v>
      </c>
    </row>
    <row r="899" spans="1:19" x14ac:dyDescent="0.25">
      <c r="A899" t="s">
        <v>6868</v>
      </c>
      <c r="B899" s="1">
        <v>44809</v>
      </c>
      <c r="C899" t="s">
        <v>5304</v>
      </c>
      <c r="D899" t="s">
        <v>63</v>
      </c>
      <c r="E899" t="s">
        <v>24</v>
      </c>
      <c r="F899" t="s">
        <v>660</v>
      </c>
      <c r="G899">
        <v>5</v>
      </c>
      <c r="H899" t="s">
        <v>49</v>
      </c>
      <c r="I899" t="s">
        <v>50</v>
      </c>
      <c r="J899" t="s">
        <v>51</v>
      </c>
      <c r="K899" t="s">
        <v>6869</v>
      </c>
      <c r="R899">
        <v>20</v>
      </c>
      <c r="S899">
        <v>101.32</v>
      </c>
    </row>
    <row r="900" spans="1:19" x14ac:dyDescent="0.25">
      <c r="A900" t="s">
        <v>6870</v>
      </c>
      <c r="B900" s="1">
        <v>44809</v>
      </c>
      <c r="C900" t="s">
        <v>4026</v>
      </c>
      <c r="D900" t="s">
        <v>63</v>
      </c>
      <c r="E900" t="s">
        <v>24</v>
      </c>
      <c r="F900" t="s">
        <v>215</v>
      </c>
      <c r="G900">
        <v>5</v>
      </c>
      <c r="H900" t="s">
        <v>464</v>
      </c>
      <c r="I900" t="s">
        <v>1571</v>
      </c>
      <c r="J900" t="s">
        <v>6871</v>
      </c>
      <c r="K900" t="s">
        <v>6872</v>
      </c>
    </row>
    <row r="901" spans="1:19" x14ac:dyDescent="0.25">
      <c r="A901" t="s">
        <v>6912</v>
      </c>
      <c r="B901" s="1">
        <v>44816</v>
      </c>
      <c r="C901" t="s">
        <v>1198</v>
      </c>
      <c r="D901" t="s">
        <v>63</v>
      </c>
      <c r="E901" t="s">
        <v>24</v>
      </c>
      <c r="F901" t="s">
        <v>2708</v>
      </c>
      <c r="G901">
        <v>30</v>
      </c>
      <c r="H901" t="s">
        <v>188</v>
      </c>
      <c r="I901" t="s">
        <v>189</v>
      </c>
      <c r="J901" t="s">
        <v>201</v>
      </c>
      <c r="K901" t="s">
        <v>6913</v>
      </c>
      <c r="R901">
        <v>93</v>
      </c>
    </row>
    <row r="902" spans="1:19" x14ac:dyDescent="0.25">
      <c r="A902" t="s">
        <v>6914</v>
      </c>
      <c r="B902" s="1">
        <v>44816</v>
      </c>
      <c r="C902" t="s">
        <v>2150</v>
      </c>
      <c r="D902" t="s">
        <v>63</v>
      </c>
      <c r="E902" t="s">
        <v>24</v>
      </c>
      <c r="F902" t="s">
        <v>243</v>
      </c>
      <c r="G902">
        <v>45</v>
      </c>
      <c r="H902" t="s">
        <v>26</v>
      </c>
      <c r="I902" t="s">
        <v>370</v>
      </c>
      <c r="J902" t="s">
        <v>479</v>
      </c>
      <c r="K902" t="s">
        <v>6915</v>
      </c>
      <c r="L902">
        <v>307</v>
      </c>
      <c r="M902">
        <v>114</v>
      </c>
      <c r="N902" s="2">
        <v>0.37</v>
      </c>
      <c r="O902">
        <v>87</v>
      </c>
      <c r="P902">
        <v>16.52</v>
      </c>
      <c r="Q902">
        <v>12.39</v>
      </c>
      <c r="R902">
        <v>462</v>
      </c>
      <c r="S902">
        <v>155.54</v>
      </c>
    </row>
    <row r="903" spans="1:19" x14ac:dyDescent="0.25">
      <c r="A903" t="s">
        <v>6916</v>
      </c>
      <c r="B903" s="1">
        <v>44816</v>
      </c>
      <c r="C903" t="s">
        <v>5320</v>
      </c>
      <c r="D903" t="s">
        <v>63</v>
      </c>
      <c r="E903" t="s">
        <v>24</v>
      </c>
      <c r="F903" t="s">
        <v>243</v>
      </c>
      <c r="G903">
        <v>5</v>
      </c>
      <c r="H903" t="s">
        <v>49</v>
      </c>
      <c r="I903" t="s">
        <v>50</v>
      </c>
      <c r="J903" t="s">
        <v>51</v>
      </c>
      <c r="K903" t="s">
        <v>1489</v>
      </c>
      <c r="R903">
        <v>24</v>
      </c>
      <c r="S903">
        <v>114.96</v>
      </c>
    </row>
    <row r="904" spans="1:19" x14ac:dyDescent="0.25">
      <c r="A904" t="s">
        <v>6917</v>
      </c>
      <c r="B904" s="1">
        <v>44816</v>
      </c>
      <c r="C904" t="s">
        <v>1637</v>
      </c>
      <c r="D904" t="s">
        <v>63</v>
      </c>
      <c r="E904" t="s">
        <v>24</v>
      </c>
      <c r="F904" t="s">
        <v>200</v>
      </c>
      <c r="G904">
        <v>10</v>
      </c>
      <c r="H904" t="s">
        <v>464</v>
      </c>
      <c r="I904" t="s">
        <v>579</v>
      </c>
      <c r="J904" t="s">
        <v>1820</v>
      </c>
      <c r="K904" t="s">
        <v>6918</v>
      </c>
    </row>
    <row r="905" spans="1:19" x14ac:dyDescent="0.25">
      <c r="A905" t="s">
        <v>6959</v>
      </c>
      <c r="B905" s="1">
        <v>44823</v>
      </c>
      <c r="C905" t="s">
        <v>2929</v>
      </c>
      <c r="D905" t="s">
        <v>63</v>
      </c>
      <c r="E905" t="s">
        <v>24</v>
      </c>
      <c r="F905" t="s">
        <v>215</v>
      </c>
      <c r="G905">
        <v>30</v>
      </c>
      <c r="H905" t="s">
        <v>188</v>
      </c>
      <c r="I905" t="s">
        <v>189</v>
      </c>
      <c r="J905" t="s">
        <v>4152</v>
      </c>
      <c r="K905" t="s">
        <v>6960</v>
      </c>
      <c r="R905">
        <v>95</v>
      </c>
    </row>
    <row r="906" spans="1:19" x14ac:dyDescent="0.25">
      <c r="A906" t="s">
        <v>6996</v>
      </c>
      <c r="B906" s="1">
        <v>44830</v>
      </c>
      <c r="C906" t="s">
        <v>6997</v>
      </c>
      <c r="D906" t="s">
        <v>63</v>
      </c>
      <c r="E906" t="s">
        <v>24</v>
      </c>
      <c r="F906" t="s">
        <v>200</v>
      </c>
      <c r="G906">
        <v>10</v>
      </c>
      <c r="H906" t="s">
        <v>464</v>
      </c>
      <c r="I906" t="s">
        <v>1249</v>
      </c>
      <c r="J906" t="s">
        <v>3629</v>
      </c>
      <c r="K906" t="s">
        <v>6973</v>
      </c>
    </row>
    <row r="907" spans="1:19" x14ac:dyDescent="0.25">
      <c r="A907" t="s">
        <v>6998</v>
      </c>
      <c r="B907" s="1">
        <v>44830</v>
      </c>
      <c r="C907" t="s">
        <v>2544</v>
      </c>
      <c r="D907" t="s">
        <v>63</v>
      </c>
      <c r="E907" t="s">
        <v>24</v>
      </c>
      <c r="F907" t="s">
        <v>323</v>
      </c>
      <c r="G907">
        <v>60</v>
      </c>
      <c r="H907" t="s">
        <v>26</v>
      </c>
      <c r="I907" t="s">
        <v>370</v>
      </c>
      <c r="J907" t="s">
        <v>646</v>
      </c>
      <c r="K907" t="s">
        <v>2389</v>
      </c>
      <c r="L907">
        <v>442</v>
      </c>
      <c r="M907">
        <v>123</v>
      </c>
      <c r="N907" s="2">
        <v>0.4</v>
      </c>
      <c r="O907">
        <v>83</v>
      </c>
      <c r="P907">
        <v>17.2</v>
      </c>
      <c r="Q907">
        <v>17.2</v>
      </c>
      <c r="R907">
        <v>641</v>
      </c>
      <c r="S907">
        <v>138.97</v>
      </c>
    </row>
    <row r="908" spans="1:19" x14ac:dyDescent="0.25">
      <c r="A908" t="s">
        <v>6999</v>
      </c>
      <c r="B908" s="1">
        <v>44830</v>
      </c>
      <c r="C908" t="s">
        <v>2111</v>
      </c>
      <c r="D908" t="s">
        <v>63</v>
      </c>
      <c r="E908" t="s">
        <v>24</v>
      </c>
      <c r="F908" t="s">
        <v>2833</v>
      </c>
      <c r="G908">
        <v>10</v>
      </c>
      <c r="H908" t="s">
        <v>26</v>
      </c>
      <c r="I908" t="s">
        <v>358</v>
      </c>
      <c r="J908" t="s">
        <v>389</v>
      </c>
      <c r="K908" t="s">
        <v>7000</v>
      </c>
      <c r="L908">
        <v>31</v>
      </c>
      <c r="M908">
        <v>51</v>
      </c>
      <c r="N908" s="2">
        <v>0.28000000000000003</v>
      </c>
      <c r="O908">
        <v>81</v>
      </c>
      <c r="P908">
        <v>12.03</v>
      </c>
      <c r="Q908">
        <v>2</v>
      </c>
      <c r="R908">
        <v>73</v>
      </c>
      <c r="S908">
        <v>130.36000000000001</v>
      </c>
    </row>
    <row r="909" spans="1:19" x14ac:dyDescent="0.25">
      <c r="A909" t="s">
        <v>7001</v>
      </c>
      <c r="B909" s="1">
        <v>44830</v>
      </c>
      <c r="C909" t="s">
        <v>1594</v>
      </c>
      <c r="D909" t="s">
        <v>63</v>
      </c>
      <c r="E909" t="s">
        <v>24</v>
      </c>
      <c r="F909" t="s">
        <v>2833</v>
      </c>
      <c r="G909">
        <v>5</v>
      </c>
      <c r="H909" t="s">
        <v>49</v>
      </c>
      <c r="I909" t="s">
        <v>50</v>
      </c>
      <c r="J909" t="s">
        <v>51</v>
      </c>
      <c r="K909" t="s">
        <v>7002</v>
      </c>
      <c r="R909">
        <v>24</v>
      </c>
      <c r="S909">
        <v>109.13</v>
      </c>
    </row>
    <row r="910" spans="1:19" x14ac:dyDescent="0.25">
      <c r="A910" t="s">
        <v>7003</v>
      </c>
      <c r="B910" s="1">
        <v>44830</v>
      </c>
      <c r="C910" t="s">
        <v>913</v>
      </c>
      <c r="D910" t="s">
        <v>63</v>
      </c>
      <c r="E910" t="s">
        <v>24</v>
      </c>
      <c r="F910" t="s">
        <v>2708</v>
      </c>
      <c r="G910">
        <v>5</v>
      </c>
      <c r="H910" t="s">
        <v>464</v>
      </c>
      <c r="I910" t="s">
        <v>579</v>
      </c>
      <c r="J910" t="s">
        <v>2819</v>
      </c>
      <c r="K910" t="s">
        <v>7004</v>
      </c>
    </row>
    <row r="911" spans="1:19" x14ac:dyDescent="0.25">
      <c r="A911" t="s">
        <v>7063</v>
      </c>
      <c r="B911" s="1">
        <v>44837</v>
      </c>
      <c r="C911" t="s">
        <v>711</v>
      </c>
      <c r="D911" t="s">
        <v>63</v>
      </c>
      <c r="E911" t="s">
        <v>24</v>
      </c>
      <c r="F911" t="s">
        <v>200</v>
      </c>
      <c r="G911">
        <v>30</v>
      </c>
      <c r="H911" t="s">
        <v>188</v>
      </c>
      <c r="I911" t="s">
        <v>189</v>
      </c>
      <c r="J911" t="s">
        <v>201</v>
      </c>
      <c r="K911" t="s">
        <v>7064</v>
      </c>
      <c r="R911">
        <v>95</v>
      </c>
    </row>
    <row r="912" spans="1:19" x14ac:dyDescent="0.25">
      <c r="A912" t="s">
        <v>7065</v>
      </c>
      <c r="B912" s="1">
        <v>44837</v>
      </c>
      <c r="C912" t="s">
        <v>2787</v>
      </c>
      <c r="D912" t="s">
        <v>63</v>
      </c>
      <c r="E912" t="s">
        <v>24</v>
      </c>
      <c r="F912" t="s">
        <v>323</v>
      </c>
      <c r="G912">
        <v>90</v>
      </c>
      <c r="H912" t="s">
        <v>26</v>
      </c>
      <c r="I912" t="s">
        <v>370</v>
      </c>
      <c r="J912" t="s">
        <v>1278</v>
      </c>
      <c r="K912" t="s">
        <v>1514</v>
      </c>
      <c r="L912">
        <v>642</v>
      </c>
      <c r="M912">
        <v>119</v>
      </c>
      <c r="N912" s="2">
        <v>0.39</v>
      </c>
      <c r="O912">
        <v>86</v>
      </c>
      <c r="P912">
        <v>17.350000000000001</v>
      </c>
      <c r="Q912">
        <v>26.03</v>
      </c>
      <c r="R912">
        <v>908</v>
      </c>
      <c r="S912">
        <v>154.09</v>
      </c>
    </row>
    <row r="913" spans="1:19" x14ac:dyDescent="0.25">
      <c r="A913" t="s">
        <v>7066</v>
      </c>
      <c r="B913" s="1">
        <v>44837</v>
      </c>
      <c r="C913" t="s">
        <v>6451</v>
      </c>
      <c r="D913" t="s">
        <v>63</v>
      </c>
      <c r="E913" t="s">
        <v>24</v>
      </c>
      <c r="F913" t="s">
        <v>554</v>
      </c>
      <c r="G913">
        <v>10</v>
      </c>
      <c r="H913" t="s">
        <v>49</v>
      </c>
      <c r="I913" t="s">
        <v>50</v>
      </c>
      <c r="J913" t="s">
        <v>7067</v>
      </c>
      <c r="K913" t="s">
        <v>7068</v>
      </c>
      <c r="R913">
        <v>38</v>
      </c>
      <c r="S913">
        <v>99.49</v>
      </c>
    </row>
    <row r="914" spans="1:19" x14ac:dyDescent="0.25">
      <c r="A914" t="s">
        <v>7069</v>
      </c>
      <c r="B914" s="1">
        <v>44837</v>
      </c>
      <c r="C914" t="s">
        <v>2295</v>
      </c>
      <c r="D914" t="s">
        <v>63</v>
      </c>
      <c r="E914" t="s">
        <v>24</v>
      </c>
      <c r="F914" t="s">
        <v>237</v>
      </c>
      <c r="G914">
        <v>10</v>
      </c>
      <c r="H914" t="s">
        <v>464</v>
      </c>
      <c r="I914" t="s">
        <v>579</v>
      </c>
      <c r="J914" t="s">
        <v>602</v>
      </c>
      <c r="K914" t="s">
        <v>7070</v>
      </c>
    </row>
    <row r="915" spans="1:19" x14ac:dyDescent="0.25">
      <c r="A915" t="s">
        <v>7106</v>
      </c>
      <c r="B915" s="1">
        <v>44844</v>
      </c>
      <c r="C915" t="s">
        <v>1295</v>
      </c>
      <c r="D915" t="s">
        <v>63</v>
      </c>
      <c r="E915" t="s">
        <v>24</v>
      </c>
      <c r="F915" t="s">
        <v>215</v>
      </c>
      <c r="G915">
        <v>30</v>
      </c>
      <c r="H915" t="s">
        <v>188</v>
      </c>
      <c r="I915" t="s">
        <v>189</v>
      </c>
      <c r="J915" t="s">
        <v>201</v>
      </c>
      <c r="K915" t="s">
        <v>7107</v>
      </c>
      <c r="R915">
        <v>96</v>
      </c>
    </row>
    <row r="916" spans="1:19" x14ac:dyDescent="0.25">
      <c r="A916" t="s">
        <v>7108</v>
      </c>
      <c r="B916" s="1">
        <v>44844</v>
      </c>
      <c r="C916" t="s">
        <v>6009</v>
      </c>
      <c r="D916" t="s">
        <v>63</v>
      </c>
      <c r="E916" t="s">
        <v>24</v>
      </c>
      <c r="F916" t="s">
        <v>335</v>
      </c>
      <c r="G916">
        <v>45</v>
      </c>
      <c r="H916" t="s">
        <v>26</v>
      </c>
      <c r="I916" t="s">
        <v>370</v>
      </c>
      <c r="J916" t="s">
        <v>439</v>
      </c>
      <c r="K916" t="s">
        <v>7109</v>
      </c>
      <c r="L916">
        <v>302</v>
      </c>
      <c r="M916">
        <v>112</v>
      </c>
      <c r="N916" s="2">
        <v>0.38</v>
      </c>
      <c r="O916">
        <v>87</v>
      </c>
      <c r="P916">
        <v>16.850000000000001</v>
      </c>
      <c r="Q916">
        <v>12.64</v>
      </c>
      <c r="R916">
        <v>482</v>
      </c>
      <c r="S916">
        <v>159.86000000000001</v>
      </c>
    </row>
    <row r="917" spans="1:19" x14ac:dyDescent="0.25">
      <c r="A917" t="s">
        <v>7110</v>
      </c>
      <c r="B917" s="1">
        <v>44844</v>
      </c>
      <c r="C917" t="s">
        <v>5124</v>
      </c>
      <c r="D917" t="s">
        <v>63</v>
      </c>
      <c r="E917" t="s">
        <v>24</v>
      </c>
      <c r="F917" t="s">
        <v>2833</v>
      </c>
      <c r="G917">
        <v>5</v>
      </c>
      <c r="H917" t="s">
        <v>26</v>
      </c>
      <c r="I917" t="s">
        <v>358</v>
      </c>
      <c r="J917" t="s">
        <v>359</v>
      </c>
      <c r="K917" t="s">
        <v>7002</v>
      </c>
      <c r="L917">
        <v>24</v>
      </c>
      <c r="M917">
        <v>79</v>
      </c>
      <c r="N917" s="2">
        <v>0.35</v>
      </c>
      <c r="O917">
        <v>79</v>
      </c>
      <c r="P917">
        <v>14.52</v>
      </c>
      <c r="Q917">
        <v>1.21</v>
      </c>
      <c r="R917">
        <v>41</v>
      </c>
      <c r="S917">
        <v>139.37</v>
      </c>
    </row>
    <row r="918" spans="1:19" x14ac:dyDescent="0.25">
      <c r="A918" t="s">
        <v>7111</v>
      </c>
      <c r="B918" s="1">
        <v>44844</v>
      </c>
      <c r="C918" t="s">
        <v>3242</v>
      </c>
      <c r="D918" t="s">
        <v>63</v>
      </c>
      <c r="E918" t="s">
        <v>24</v>
      </c>
      <c r="F918" t="s">
        <v>2256</v>
      </c>
      <c r="G918">
        <v>10</v>
      </c>
      <c r="H918" t="s">
        <v>194</v>
      </c>
      <c r="I918" t="s">
        <v>195</v>
      </c>
      <c r="J918" t="s">
        <v>5762</v>
      </c>
      <c r="K918" t="s">
        <v>7112</v>
      </c>
      <c r="R918">
        <v>45</v>
      </c>
      <c r="S918">
        <v>107.1</v>
      </c>
    </row>
    <row r="919" spans="1:19" x14ac:dyDescent="0.25">
      <c r="A919" t="s">
        <v>7113</v>
      </c>
      <c r="B919" s="1">
        <v>44844</v>
      </c>
      <c r="C919" t="s">
        <v>841</v>
      </c>
      <c r="D919" t="s">
        <v>63</v>
      </c>
      <c r="E919" t="s">
        <v>24</v>
      </c>
      <c r="F919" t="s">
        <v>208</v>
      </c>
      <c r="G919">
        <v>5</v>
      </c>
      <c r="H919" t="s">
        <v>464</v>
      </c>
      <c r="I919" t="s">
        <v>1617</v>
      </c>
      <c r="J919" t="s">
        <v>5844</v>
      </c>
      <c r="K919" t="s">
        <v>7114</v>
      </c>
    </row>
    <row r="920" spans="1:19" x14ac:dyDescent="0.25">
      <c r="A920" t="s">
        <v>7162</v>
      </c>
      <c r="B920" s="1">
        <v>44851</v>
      </c>
      <c r="C920" t="s">
        <v>7163</v>
      </c>
      <c r="D920" t="s">
        <v>63</v>
      </c>
      <c r="E920" t="s">
        <v>24</v>
      </c>
      <c r="F920" t="s">
        <v>25</v>
      </c>
      <c r="G920">
        <v>5</v>
      </c>
      <c r="H920" t="s">
        <v>26</v>
      </c>
      <c r="I920" t="s">
        <v>423</v>
      </c>
      <c r="J920" t="s">
        <v>505</v>
      </c>
      <c r="K920" t="s">
        <v>6969</v>
      </c>
      <c r="L920">
        <v>21</v>
      </c>
      <c r="M920">
        <v>72</v>
      </c>
      <c r="N920" s="2">
        <v>0.3</v>
      </c>
      <c r="O920">
        <v>93</v>
      </c>
      <c r="P920">
        <v>14.12</v>
      </c>
      <c r="Q920">
        <v>1.17</v>
      </c>
      <c r="R920">
        <v>26</v>
      </c>
      <c r="S920">
        <v>92.02</v>
      </c>
    </row>
    <row r="921" spans="1:19" x14ac:dyDescent="0.25">
      <c r="A921" t="s">
        <v>7164</v>
      </c>
      <c r="B921" s="1">
        <v>44851</v>
      </c>
      <c r="C921" t="s">
        <v>7165</v>
      </c>
      <c r="D921" t="s">
        <v>63</v>
      </c>
      <c r="E921" t="s">
        <v>24</v>
      </c>
      <c r="F921" t="s">
        <v>747</v>
      </c>
      <c r="G921">
        <v>5</v>
      </c>
      <c r="H921" t="s">
        <v>26</v>
      </c>
      <c r="I921" t="s">
        <v>423</v>
      </c>
      <c r="J921" t="s">
        <v>505</v>
      </c>
      <c r="K921" t="s">
        <v>7166</v>
      </c>
      <c r="L921">
        <v>24</v>
      </c>
      <c r="M921">
        <v>79</v>
      </c>
      <c r="N921" s="2">
        <v>0.32</v>
      </c>
      <c r="O921">
        <v>90</v>
      </c>
      <c r="P921">
        <v>14.54</v>
      </c>
      <c r="Q921">
        <v>1.21</v>
      </c>
      <c r="R921">
        <v>29</v>
      </c>
    </row>
    <row r="922" spans="1:19" x14ac:dyDescent="0.25">
      <c r="A922" t="s">
        <v>7167</v>
      </c>
      <c r="B922" s="1">
        <v>44851</v>
      </c>
      <c r="C922" t="s">
        <v>7168</v>
      </c>
      <c r="D922" t="s">
        <v>63</v>
      </c>
      <c r="E922" t="s">
        <v>1403</v>
      </c>
      <c r="F922" t="s">
        <v>323</v>
      </c>
      <c r="G922">
        <v>60</v>
      </c>
      <c r="H922" t="s">
        <v>26</v>
      </c>
      <c r="I922" t="s">
        <v>370</v>
      </c>
      <c r="J922" t="s">
        <v>498</v>
      </c>
      <c r="K922" t="s">
        <v>7169</v>
      </c>
      <c r="L922">
        <v>401</v>
      </c>
      <c r="M922">
        <v>111</v>
      </c>
      <c r="N922" s="2">
        <v>0.39</v>
      </c>
      <c r="O922">
        <v>84</v>
      </c>
      <c r="P922">
        <v>16.84</v>
      </c>
      <c r="Q922">
        <v>16.84</v>
      </c>
      <c r="R922">
        <v>660</v>
      </c>
      <c r="S922">
        <v>163.5</v>
      </c>
    </row>
    <row r="923" spans="1:19" x14ac:dyDescent="0.25">
      <c r="A923" t="s">
        <v>7170</v>
      </c>
      <c r="B923" s="1">
        <v>44851</v>
      </c>
      <c r="C923" t="s">
        <v>3097</v>
      </c>
      <c r="D923" t="s">
        <v>63</v>
      </c>
      <c r="E923" t="s">
        <v>24</v>
      </c>
      <c r="F923" t="s">
        <v>2833</v>
      </c>
      <c r="G923">
        <v>5</v>
      </c>
      <c r="H923" t="s">
        <v>49</v>
      </c>
      <c r="I923" t="s">
        <v>50</v>
      </c>
      <c r="J923" t="s">
        <v>51</v>
      </c>
      <c r="K923" t="s">
        <v>5554</v>
      </c>
      <c r="R923">
        <v>11</v>
      </c>
    </row>
    <row r="924" spans="1:19" x14ac:dyDescent="0.25">
      <c r="A924" t="s">
        <v>7171</v>
      </c>
      <c r="B924" s="1">
        <v>44851</v>
      </c>
      <c r="C924" t="s">
        <v>2221</v>
      </c>
      <c r="D924" t="s">
        <v>63</v>
      </c>
      <c r="E924" t="s">
        <v>24</v>
      </c>
      <c r="F924" t="s">
        <v>215</v>
      </c>
      <c r="G924">
        <v>15</v>
      </c>
      <c r="H924" t="s">
        <v>464</v>
      </c>
      <c r="I924" t="s">
        <v>943</v>
      </c>
      <c r="J924" t="s">
        <v>1709</v>
      </c>
      <c r="K924" t="s">
        <v>7172</v>
      </c>
    </row>
    <row r="925" spans="1:19" x14ac:dyDescent="0.25">
      <c r="A925" t="s">
        <v>7210</v>
      </c>
      <c r="B925" s="1">
        <v>44858</v>
      </c>
      <c r="C925" t="s">
        <v>7211</v>
      </c>
      <c r="D925" t="s">
        <v>63</v>
      </c>
      <c r="E925" t="s">
        <v>24</v>
      </c>
      <c r="F925" t="s">
        <v>459</v>
      </c>
      <c r="G925">
        <v>5</v>
      </c>
      <c r="H925" t="s">
        <v>464</v>
      </c>
      <c r="I925" t="s">
        <v>763</v>
      </c>
      <c r="J925" t="s">
        <v>4184</v>
      </c>
      <c r="K925" t="s">
        <v>5322</v>
      </c>
    </row>
    <row r="926" spans="1:19" x14ac:dyDescent="0.25">
      <c r="A926" t="s">
        <v>7212</v>
      </c>
      <c r="B926" s="1">
        <v>44858</v>
      </c>
      <c r="C926" t="s">
        <v>4498</v>
      </c>
      <c r="D926" t="s">
        <v>63</v>
      </c>
      <c r="E926" t="s">
        <v>24</v>
      </c>
      <c r="F926" t="s">
        <v>243</v>
      </c>
      <c r="G926">
        <v>45</v>
      </c>
      <c r="H926" t="s">
        <v>188</v>
      </c>
      <c r="I926" t="s">
        <v>575</v>
      </c>
      <c r="J926" t="s">
        <v>7213</v>
      </c>
      <c r="K926" t="s">
        <v>7214</v>
      </c>
      <c r="R926">
        <v>138</v>
      </c>
    </row>
    <row r="927" spans="1:19" x14ac:dyDescent="0.25">
      <c r="A927" t="s">
        <v>7215</v>
      </c>
      <c r="B927" s="1">
        <v>44858</v>
      </c>
      <c r="C927" t="s">
        <v>7216</v>
      </c>
      <c r="D927" t="s">
        <v>63</v>
      </c>
      <c r="E927" t="s">
        <v>24</v>
      </c>
      <c r="F927" t="s">
        <v>3955</v>
      </c>
      <c r="G927">
        <v>10</v>
      </c>
      <c r="H927" t="s">
        <v>1856</v>
      </c>
      <c r="I927" t="s">
        <v>6604</v>
      </c>
      <c r="J927" t="s">
        <v>6762</v>
      </c>
      <c r="K927" t="s">
        <v>7217</v>
      </c>
      <c r="L927">
        <v>0</v>
      </c>
      <c r="P927">
        <v>3.24</v>
      </c>
      <c r="Q927">
        <v>0.57999999999999996</v>
      </c>
      <c r="R927">
        <v>79</v>
      </c>
      <c r="S927">
        <v>135.72</v>
      </c>
    </row>
    <row r="928" spans="1:19" x14ac:dyDescent="0.25">
      <c r="A928" t="s">
        <v>7218</v>
      </c>
      <c r="B928" s="1">
        <v>44858</v>
      </c>
      <c r="C928" t="s">
        <v>543</v>
      </c>
      <c r="D928" t="s">
        <v>63</v>
      </c>
      <c r="E928" t="s">
        <v>24</v>
      </c>
      <c r="F928" t="s">
        <v>328</v>
      </c>
      <c r="G928">
        <v>20</v>
      </c>
      <c r="H928" t="s">
        <v>1856</v>
      </c>
      <c r="I928" t="s">
        <v>1857</v>
      </c>
      <c r="J928" t="s">
        <v>7219</v>
      </c>
      <c r="K928" t="s">
        <v>7220</v>
      </c>
      <c r="L928">
        <v>0</v>
      </c>
      <c r="P928">
        <v>3.59</v>
      </c>
      <c r="Q928">
        <v>1.17</v>
      </c>
      <c r="R928">
        <v>128</v>
      </c>
      <c r="S928">
        <v>133.72</v>
      </c>
    </row>
    <row r="929" spans="1:19" x14ac:dyDescent="0.25">
      <c r="A929" t="s">
        <v>7221</v>
      </c>
      <c r="B929" s="1">
        <v>44858</v>
      </c>
      <c r="C929" t="s">
        <v>6451</v>
      </c>
      <c r="D929" t="s">
        <v>63</v>
      </c>
      <c r="E929" t="s">
        <v>24</v>
      </c>
      <c r="F929" t="s">
        <v>243</v>
      </c>
      <c r="G929">
        <v>45</v>
      </c>
      <c r="H929" t="s">
        <v>26</v>
      </c>
      <c r="I929" t="s">
        <v>370</v>
      </c>
      <c r="J929" t="s">
        <v>439</v>
      </c>
      <c r="K929" t="s">
        <v>7222</v>
      </c>
      <c r="L929">
        <v>294</v>
      </c>
      <c r="M929">
        <v>109</v>
      </c>
      <c r="N929" s="2">
        <v>0.38</v>
      </c>
      <c r="O929">
        <v>85</v>
      </c>
      <c r="P929">
        <v>16.62</v>
      </c>
      <c r="Q929">
        <v>12.46</v>
      </c>
      <c r="R929">
        <v>459</v>
      </c>
      <c r="S929">
        <v>155.15</v>
      </c>
    </row>
    <row r="930" spans="1:19" x14ac:dyDescent="0.25">
      <c r="A930" t="s">
        <v>7223</v>
      </c>
      <c r="B930" s="1">
        <v>44858</v>
      </c>
      <c r="C930" t="s">
        <v>6406</v>
      </c>
      <c r="D930" t="s">
        <v>63</v>
      </c>
      <c r="E930" t="s">
        <v>24</v>
      </c>
      <c r="F930" t="s">
        <v>2256</v>
      </c>
      <c r="G930">
        <v>30</v>
      </c>
      <c r="H930" t="s">
        <v>194</v>
      </c>
      <c r="I930" t="s">
        <v>232</v>
      </c>
      <c r="J930" t="s">
        <v>7224</v>
      </c>
      <c r="K930" t="s">
        <v>7191</v>
      </c>
      <c r="R930">
        <v>158</v>
      </c>
      <c r="S930">
        <v>110.67</v>
      </c>
    </row>
    <row r="931" spans="1:19" x14ac:dyDescent="0.25">
      <c r="A931" t="s">
        <v>7225</v>
      </c>
      <c r="B931" s="1">
        <v>44858</v>
      </c>
      <c r="C931" t="s">
        <v>2726</v>
      </c>
      <c r="D931" t="s">
        <v>63</v>
      </c>
      <c r="E931" t="s">
        <v>24</v>
      </c>
      <c r="F931" t="s">
        <v>208</v>
      </c>
      <c r="G931">
        <v>30</v>
      </c>
      <c r="H931" t="s">
        <v>464</v>
      </c>
      <c r="I931" t="s">
        <v>943</v>
      </c>
      <c r="J931" t="s">
        <v>1621</v>
      </c>
      <c r="K931" t="s">
        <v>7226</v>
      </c>
    </row>
    <row r="932" spans="1:19" x14ac:dyDescent="0.25">
      <c r="A932" t="s">
        <v>7274</v>
      </c>
      <c r="B932" s="1">
        <v>44865</v>
      </c>
      <c r="C932" t="s">
        <v>7275</v>
      </c>
      <c r="D932" t="s">
        <v>63</v>
      </c>
      <c r="E932" t="s">
        <v>24</v>
      </c>
      <c r="F932" t="s">
        <v>2256</v>
      </c>
      <c r="G932">
        <v>10</v>
      </c>
      <c r="H932" t="s">
        <v>194</v>
      </c>
      <c r="I932" t="s">
        <v>195</v>
      </c>
      <c r="J932" t="s">
        <v>5762</v>
      </c>
      <c r="K932" t="s">
        <v>7276</v>
      </c>
      <c r="R932">
        <v>46</v>
      </c>
    </row>
    <row r="933" spans="1:19" x14ac:dyDescent="0.25">
      <c r="A933" t="s">
        <v>7277</v>
      </c>
      <c r="B933" s="1">
        <v>44865</v>
      </c>
      <c r="C933" t="s">
        <v>7278</v>
      </c>
      <c r="D933" t="s">
        <v>63</v>
      </c>
      <c r="E933" t="s">
        <v>24</v>
      </c>
      <c r="F933" t="s">
        <v>237</v>
      </c>
      <c r="G933">
        <v>30</v>
      </c>
      <c r="H933" t="s">
        <v>188</v>
      </c>
      <c r="I933" t="s">
        <v>254</v>
      </c>
      <c r="J933" t="s">
        <v>255</v>
      </c>
      <c r="K933" t="s">
        <v>7279</v>
      </c>
      <c r="R933">
        <v>104</v>
      </c>
    </row>
    <row r="934" spans="1:19" x14ac:dyDescent="0.25">
      <c r="A934" t="s">
        <v>7348</v>
      </c>
      <c r="B934" s="1">
        <v>44879</v>
      </c>
      <c r="C934" t="s">
        <v>7349</v>
      </c>
      <c r="D934" t="s">
        <v>63</v>
      </c>
      <c r="E934" t="s">
        <v>24</v>
      </c>
      <c r="F934" t="s">
        <v>459</v>
      </c>
      <c r="G934">
        <v>15</v>
      </c>
      <c r="H934" t="s">
        <v>464</v>
      </c>
      <c r="I934" t="s">
        <v>763</v>
      </c>
      <c r="J934" t="s">
        <v>2229</v>
      </c>
      <c r="K934" t="s">
        <v>7350</v>
      </c>
    </row>
    <row r="935" spans="1:19" x14ac:dyDescent="0.25">
      <c r="A935" t="s">
        <v>7351</v>
      </c>
      <c r="B935" s="1">
        <v>44879</v>
      </c>
      <c r="C935" t="s">
        <v>7352</v>
      </c>
      <c r="D935" t="s">
        <v>63</v>
      </c>
      <c r="E935" t="s">
        <v>24</v>
      </c>
      <c r="F935" t="s">
        <v>323</v>
      </c>
      <c r="G935">
        <v>30</v>
      </c>
      <c r="H935" t="s">
        <v>26</v>
      </c>
      <c r="I935" t="s">
        <v>370</v>
      </c>
      <c r="J935" t="s">
        <v>396</v>
      </c>
      <c r="K935" t="s">
        <v>7353</v>
      </c>
      <c r="L935">
        <v>165</v>
      </c>
      <c r="M935">
        <v>91</v>
      </c>
      <c r="N935" s="2">
        <v>0.36</v>
      </c>
      <c r="O935">
        <v>83</v>
      </c>
      <c r="P935">
        <v>15.4</v>
      </c>
      <c r="Q935">
        <v>7.7</v>
      </c>
      <c r="R935">
        <v>358</v>
      </c>
      <c r="S935">
        <v>170.06</v>
      </c>
    </row>
    <row r="936" spans="1:19" x14ac:dyDescent="0.25">
      <c r="A936" t="s">
        <v>7354</v>
      </c>
      <c r="B936" s="1">
        <v>44879</v>
      </c>
      <c r="C936" t="s">
        <v>7355</v>
      </c>
      <c r="D936" t="s">
        <v>63</v>
      </c>
      <c r="E936" t="s">
        <v>24</v>
      </c>
      <c r="F936" t="s">
        <v>323</v>
      </c>
      <c r="G936">
        <v>5</v>
      </c>
      <c r="H936" t="s">
        <v>49</v>
      </c>
      <c r="I936" t="s">
        <v>50</v>
      </c>
      <c r="J936" t="s">
        <v>51</v>
      </c>
      <c r="K936" t="s">
        <v>7356</v>
      </c>
      <c r="R936">
        <v>11</v>
      </c>
    </row>
    <row r="937" spans="1:19" x14ac:dyDescent="0.25">
      <c r="A937" t="s">
        <v>7410</v>
      </c>
      <c r="B937" s="1">
        <v>44886</v>
      </c>
      <c r="C937" t="s">
        <v>4866</v>
      </c>
      <c r="D937" t="s">
        <v>63</v>
      </c>
      <c r="E937" t="s">
        <v>24</v>
      </c>
      <c r="F937" t="s">
        <v>215</v>
      </c>
      <c r="G937">
        <v>30</v>
      </c>
      <c r="H937" t="s">
        <v>188</v>
      </c>
      <c r="I937" t="s">
        <v>103</v>
      </c>
      <c r="J937" t="s">
        <v>415</v>
      </c>
      <c r="K937" t="s">
        <v>7411</v>
      </c>
      <c r="R937">
        <v>81</v>
      </c>
    </row>
    <row r="938" spans="1:19" x14ac:dyDescent="0.25">
      <c r="A938" t="s">
        <v>7412</v>
      </c>
      <c r="B938" s="1">
        <v>44886</v>
      </c>
      <c r="C938" t="s">
        <v>7413</v>
      </c>
      <c r="D938" t="s">
        <v>63</v>
      </c>
      <c r="E938" t="s">
        <v>24</v>
      </c>
      <c r="F938" t="s">
        <v>490</v>
      </c>
      <c r="G938">
        <v>20</v>
      </c>
      <c r="H938" t="s">
        <v>1856</v>
      </c>
      <c r="I938" t="s">
        <v>2096</v>
      </c>
      <c r="J938" t="s">
        <v>2097</v>
      </c>
      <c r="K938" t="s">
        <v>7414</v>
      </c>
      <c r="L938">
        <v>0</v>
      </c>
      <c r="P938">
        <v>3.39</v>
      </c>
      <c r="Q938">
        <v>1.1200000000000001</v>
      </c>
      <c r="R938">
        <v>73</v>
      </c>
    </row>
    <row r="939" spans="1:19" x14ac:dyDescent="0.25">
      <c r="A939" t="s">
        <v>7415</v>
      </c>
      <c r="B939" s="1">
        <v>44886</v>
      </c>
      <c r="C939" t="s">
        <v>7230</v>
      </c>
      <c r="D939" t="s">
        <v>63</v>
      </c>
      <c r="E939" t="s">
        <v>24</v>
      </c>
      <c r="F939" t="s">
        <v>297</v>
      </c>
      <c r="G939">
        <v>10</v>
      </c>
      <c r="H939" t="s">
        <v>1856</v>
      </c>
      <c r="I939" t="s">
        <v>6604</v>
      </c>
      <c r="J939" t="s">
        <v>4916</v>
      </c>
      <c r="K939" t="s">
        <v>7255</v>
      </c>
      <c r="L939">
        <v>0</v>
      </c>
      <c r="P939">
        <v>3.26</v>
      </c>
      <c r="Q939">
        <v>0.53</v>
      </c>
      <c r="R939">
        <v>37</v>
      </c>
    </row>
    <row r="940" spans="1:19" x14ac:dyDescent="0.25">
      <c r="A940" t="s">
        <v>7416</v>
      </c>
      <c r="B940" s="1">
        <v>44886</v>
      </c>
      <c r="C940" t="s">
        <v>251</v>
      </c>
      <c r="D940" t="s">
        <v>63</v>
      </c>
      <c r="E940" t="s">
        <v>24</v>
      </c>
      <c r="F940" t="s">
        <v>2708</v>
      </c>
      <c r="G940">
        <v>15</v>
      </c>
      <c r="H940" t="s">
        <v>464</v>
      </c>
      <c r="I940" t="s">
        <v>943</v>
      </c>
      <c r="J940" t="s">
        <v>1709</v>
      </c>
      <c r="K940" t="s">
        <v>7417</v>
      </c>
    </row>
    <row r="941" spans="1:19" x14ac:dyDescent="0.25">
      <c r="A941" t="s">
        <v>7454</v>
      </c>
      <c r="B941" s="1">
        <v>44893</v>
      </c>
      <c r="C941" t="s">
        <v>2100</v>
      </c>
      <c r="D941" t="s">
        <v>63</v>
      </c>
      <c r="E941" t="s">
        <v>24</v>
      </c>
      <c r="F941" t="s">
        <v>208</v>
      </c>
      <c r="G941">
        <v>10</v>
      </c>
      <c r="H941" t="s">
        <v>464</v>
      </c>
      <c r="I941" t="s">
        <v>579</v>
      </c>
      <c r="J941" t="s">
        <v>1975</v>
      </c>
      <c r="K941" t="s">
        <v>7455</v>
      </c>
    </row>
    <row r="942" spans="1:19" x14ac:dyDescent="0.25">
      <c r="A942" t="s">
        <v>7513</v>
      </c>
      <c r="B942" s="1">
        <v>44900</v>
      </c>
      <c r="C942" t="s">
        <v>3222</v>
      </c>
      <c r="D942" t="s">
        <v>63</v>
      </c>
      <c r="E942" t="s">
        <v>24</v>
      </c>
      <c r="F942" t="s">
        <v>243</v>
      </c>
      <c r="G942">
        <v>30</v>
      </c>
      <c r="H942" t="s">
        <v>188</v>
      </c>
      <c r="I942" t="s">
        <v>189</v>
      </c>
      <c r="J942" t="s">
        <v>201</v>
      </c>
      <c r="K942" t="s">
        <v>7514</v>
      </c>
      <c r="R942">
        <v>87</v>
      </c>
    </row>
    <row r="943" spans="1:19" x14ac:dyDescent="0.25">
      <c r="A943" t="s">
        <v>7515</v>
      </c>
      <c r="B943" s="1">
        <v>44900</v>
      </c>
      <c r="C943" t="s">
        <v>4759</v>
      </c>
      <c r="D943" t="s">
        <v>63</v>
      </c>
      <c r="E943" t="s">
        <v>24</v>
      </c>
      <c r="F943" t="s">
        <v>231</v>
      </c>
      <c r="G943">
        <v>10</v>
      </c>
      <c r="H943" t="s">
        <v>194</v>
      </c>
      <c r="I943" t="s">
        <v>195</v>
      </c>
      <c r="J943" t="s">
        <v>211</v>
      </c>
      <c r="K943" t="s">
        <v>7516</v>
      </c>
      <c r="R943">
        <v>61</v>
      </c>
      <c r="S943">
        <v>118.58</v>
      </c>
    </row>
    <row r="944" spans="1:19" x14ac:dyDescent="0.25">
      <c r="A944" t="s">
        <v>7517</v>
      </c>
      <c r="B944" s="1">
        <v>44900</v>
      </c>
      <c r="C944" t="s">
        <v>7518</v>
      </c>
      <c r="D944" t="s">
        <v>63</v>
      </c>
      <c r="E944" t="s">
        <v>24</v>
      </c>
      <c r="F944" t="s">
        <v>323</v>
      </c>
      <c r="G944">
        <v>60</v>
      </c>
      <c r="H944" t="s">
        <v>26</v>
      </c>
      <c r="I944" t="s">
        <v>370</v>
      </c>
      <c r="J944" t="s">
        <v>498</v>
      </c>
      <c r="K944" t="s">
        <v>7519</v>
      </c>
      <c r="L944">
        <v>357</v>
      </c>
      <c r="M944">
        <v>99</v>
      </c>
      <c r="N944" s="2">
        <v>0.37</v>
      </c>
      <c r="O944">
        <v>84</v>
      </c>
      <c r="P944">
        <v>16.07</v>
      </c>
      <c r="Q944">
        <v>16.07</v>
      </c>
      <c r="R944">
        <v>673</v>
      </c>
      <c r="S944">
        <v>164.1</v>
      </c>
    </row>
    <row r="945" spans="1:19" x14ac:dyDescent="0.25">
      <c r="A945" t="s">
        <v>7520</v>
      </c>
      <c r="B945" s="1">
        <v>44900</v>
      </c>
      <c r="C945" t="s">
        <v>7485</v>
      </c>
      <c r="D945" t="s">
        <v>63</v>
      </c>
      <c r="E945" t="s">
        <v>24</v>
      </c>
      <c r="F945" t="s">
        <v>490</v>
      </c>
      <c r="G945">
        <v>10</v>
      </c>
      <c r="H945" t="s">
        <v>26</v>
      </c>
      <c r="I945" t="s">
        <v>39</v>
      </c>
      <c r="J945" t="s">
        <v>7521</v>
      </c>
      <c r="K945" t="s">
        <v>7522</v>
      </c>
      <c r="L945">
        <v>31</v>
      </c>
      <c r="M945">
        <v>52</v>
      </c>
      <c r="N945" s="2">
        <v>0.28000000000000003</v>
      </c>
      <c r="O945">
        <v>81</v>
      </c>
      <c r="P945">
        <v>12.19</v>
      </c>
      <c r="Q945">
        <v>2.0299999999999998</v>
      </c>
      <c r="R945">
        <v>76</v>
      </c>
      <c r="S945">
        <v>132.15</v>
      </c>
    </row>
    <row r="946" spans="1:19" x14ac:dyDescent="0.25">
      <c r="A946" t="s">
        <v>7604</v>
      </c>
      <c r="B946" s="1">
        <v>44907</v>
      </c>
      <c r="C946" t="s">
        <v>7605</v>
      </c>
      <c r="D946" t="s">
        <v>63</v>
      </c>
      <c r="E946" t="s">
        <v>24</v>
      </c>
      <c r="F946" t="s">
        <v>2833</v>
      </c>
      <c r="G946">
        <v>5</v>
      </c>
      <c r="H946" t="s">
        <v>26</v>
      </c>
      <c r="I946" t="s">
        <v>423</v>
      </c>
      <c r="J946" t="s">
        <v>505</v>
      </c>
      <c r="K946" t="s">
        <v>7606</v>
      </c>
      <c r="L946">
        <v>22</v>
      </c>
      <c r="M946">
        <v>73</v>
      </c>
      <c r="N946" s="2">
        <v>0.3</v>
      </c>
      <c r="O946">
        <v>90</v>
      </c>
      <c r="P946">
        <v>14.18</v>
      </c>
      <c r="Q946">
        <v>1.18</v>
      </c>
      <c r="R946">
        <v>39</v>
      </c>
      <c r="S946">
        <v>137.63</v>
      </c>
    </row>
    <row r="947" spans="1:19" x14ac:dyDescent="0.25">
      <c r="A947" t="s">
        <v>7607</v>
      </c>
      <c r="B947" s="1">
        <v>44907</v>
      </c>
      <c r="C947" t="s">
        <v>7608</v>
      </c>
      <c r="D947" t="s">
        <v>63</v>
      </c>
      <c r="E947" t="s">
        <v>24</v>
      </c>
      <c r="F947" t="s">
        <v>323</v>
      </c>
      <c r="G947">
        <v>45</v>
      </c>
      <c r="H947" t="s">
        <v>26</v>
      </c>
      <c r="I947" t="s">
        <v>370</v>
      </c>
      <c r="J947" t="s">
        <v>1256</v>
      </c>
      <c r="K947" t="s">
        <v>7609</v>
      </c>
      <c r="L947">
        <v>214</v>
      </c>
      <c r="M947">
        <v>79</v>
      </c>
      <c r="N947" s="2">
        <v>0.3</v>
      </c>
      <c r="O947">
        <v>85</v>
      </c>
      <c r="P947">
        <v>13.58</v>
      </c>
      <c r="Q947">
        <v>10.18</v>
      </c>
      <c r="R947">
        <v>462</v>
      </c>
      <c r="S947">
        <v>154.78</v>
      </c>
    </row>
    <row r="948" spans="1:19" x14ac:dyDescent="0.25">
      <c r="A948" t="s">
        <v>7610</v>
      </c>
      <c r="B948" s="1">
        <v>44907</v>
      </c>
      <c r="C948" t="s">
        <v>7611</v>
      </c>
      <c r="D948" t="s">
        <v>63</v>
      </c>
      <c r="E948" t="s">
        <v>24</v>
      </c>
      <c r="F948" t="s">
        <v>2833</v>
      </c>
      <c r="G948">
        <v>10</v>
      </c>
      <c r="H948" t="s">
        <v>26</v>
      </c>
      <c r="I948" t="s">
        <v>358</v>
      </c>
      <c r="J948" t="s">
        <v>389</v>
      </c>
      <c r="K948" t="s">
        <v>7606</v>
      </c>
      <c r="L948">
        <v>23</v>
      </c>
      <c r="M948">
        <v>38</v>
      </c>
      <c r="N948" s="2">
        <v>0.24</v>
      </c>
      <c r="O948">
        <v>79</v>
      </c>
      <c r="P948">
        <v>10.4</v>
      </c>
      <c r="Q948">
        <v>1.73</v>
      </c>
      <c r="R948">
        <v>77</v>
      </c>
      <c r="S948">
        <v>132.47999999999999</v>
      </c>
    </row>
    <row r="949" spans="1:19" x14ac:dyDescent="0.25">
      <c r="A949" t="s">
        <v>7612</v>
      </c>
      <c r="B949" s="1">
        <v>44907</v>
      </c>
      <c r="C949" t="s">
        <v>7613</v>
      </c>
      <c r="D949" t="s">
        <v>63</v>
      </c>
      <c r="E949" t="s">
        <v>24</v>
      </c>
      <c r="F949" t="s">
        <v>335</v>
      </c>
      <c r="G949">
        <v>5</v>
      </c>
      <c r="H949" t="s">
        <v>49</v>
      </c>
      <c r="I949" t="s">
        <v>50</v>
      </c>
      <c r="J949" t="s">
        <v>51</v>
      </c>
      <c r="K949" t="s">
        <v>7614</v>
      </c>
      <c r="R949">
        <v>19</v>
      </c>
      <c r="S949">
        <v>109.24</v>
      </c>
    </row>
    <row r="950" spans="1:19" x14ac:dyDescent="0.25">
      <c r="A950" t="s">
        <v>7615</v>
      </c>
      <c r="B950" s="1">
        <v>44907</v>
      </c>
      <c r="C950" t="s">
        <v>7616</v>
      </c>
      <c r="D950" t="s">
        <v>63</v>
      </c>
      <c r="E950" t="s">
        <v>24</v>
      </c>
      <c r="F950" t="s">
        <v>200</v>
      </c>
      <c r="G950">
        <v>30</v>
      </c>
      <c r="H950" t="s">
        <v>188</v>
      </c>
      <c r="I950" t="s">
        <v>254</v>
      </c>
      <c r="J950" t="s">
        <v>255</v>
      </c>
      <c r="K950" t="s">
        <v>7617</v>
      </c>
      <c r="R950">
        <v>94</v>
      </c>
      <c r="S950">
        <v>88.51</v>
      </c>
    </row>
    <row r="951" spans="1:19" x14ac:dyDescent="0.25">
      <c r="A951" t="s">
        <v>7618</v>
      </c>
      <c r="B951" s="1">
        <v>44907</v>
      </c>
      <c r="C951" t="s">
        <v>7619</v>
      </c>
      <c r="D951" t="s">
        <v>63</v>
      </c>
      <c r="E951" t="s">
        <v>24</v>
      </c>
      <c r="F951" t="s">
        <v>2708</v>
      </c>
      <c r="G951">
        <v>10</v>
      </c>
      <c r="H951" t="s">
        <v>464</v>
      </c>
      <c r="I951" t="s">
        <v>763</v>
      </c>
      <c r="J951" t="s">
        <v>764</v>
      </c>
      <c r="K951" t="s">
        <v>7620</v>
      </c>
    </row>
    <row r="952" spans="1:19" x14ac:dyDescent="0.25">
      <c r="A952" t="s">
        <v>7695</v>
      </c>
      <c r="B952" s="1">
        <v>44914</v>
      </c>
      <c r="C952" t="s">
        <v>7696</v>
      </c>
      <c r="D952" t="s">
        <v>63</v>
      </c>
      <c r="E952" t="s">
        <v>24</v>
      </c>
      <c r="F952" t="s">
        <v>590</v>
      </c>
      <c r="G952">
        <v>5</v>
      </c>
      <c r="H952" t="s">
        <v>26</v>
      </c>
      <c r="I952" t="s">
        <v>423</v>
      </c>
      <c r="J952" t="s">
        <v>505</v>
      </c>
      <c r="K952" t="s">
        <v>7697</v>
      </c>
      <c r="L952">
        <v>23</v>
      </c>
      <c r="M952">
        <v>77</v>
      </c>
      <c r="N952" s="2">
        <v>0.3</v>
      </c>
      <c r="O952">
        <v>95</v>
      </c>
      <c r="P952">
        <v>14.34</v>
      </c>
      <c r="Q952">
        <v>1.2</v>
      </c>
      <c r="R952">
        <v>40</v>
      </c>
      <c r="S952">
        <v>143.19</v>
      </c>
    </row>
    <row r="953" spans="1:19" x14ac:dyDescent="0.25">
      <c r="A953" t="s">
        <v>7698</v>
      </c>
      <c r="B953" s="1">
        <v>44914</v>
      </c>
      <c r="C953" t="s">
        <v>7699</v>
      </c>
      <c r="D953" t="s">
        <v>63</v>
      </c>
      <c r="E953" t="s">
        <v>24</v>
      </c>
      <c r="F953" t="s">
        <v>243</v>
      </c>
      <c r="G953">
        <v>45</v>
      </c>
      <c r="H953" t="s">
        <v>26</v>
      </c>
      <c r="I953" t="s">
        <v>370</v>
      </c>
      <c r="J953" t="s">
        <v>479</v>
      </c>
      <c r="K953" t="s">
        <v>7700</v>
      </c>
      <c r="L953">
        <v>227</v>
      </c>
      <c r="M953">
        <v>84</v>
      </c>
      <c r="N953" s="2">
        <v>0.33</v>
      </c>
      <c r="O953">
        <v>84</v>
      </c>
      <c r="P953">
        <v>14.69</v>
      </c>
      <c r="Q953">
        <v>11.02</v>
      </c>
      <c r="R953">
        <v>475</v>
      </c>
      <c r="S953">
        <v>157.34</v>
      </c>
    </row>
    <row r="954" spans="1:19" x14ac:dyDescent="0.25">
      <c r="A954" t="s">
        <v>7701</v>
      </c>
      <c r="B954" s="1">
        <v>44914</v>
      </c>
      <c r="C954" t="s">
        <v>7661</v>
      </c>
      <c r="D954" t="s">
        <v>63</v>
      </c>
      <c r="E954" t="s">
        <v>24</v>
      </c>
      <c r="F954" t="s">
        <v>747</v>
      </c>
      <c r="G954">
        <v>5</v>
      </c>
      <c r="H954" t="s">
        <v>26</v>
      </c>
      <c r="I954" t="s">
        <v>358</v>
      </c>
      <c r="J954" t="s">
        <v>359</v>
      </c>
      <c r="K954" t="s">
        <v>7702</v>
      </c>
      <c r="L954">
        <v>11</v>
      </c>
      <c r="M954">
        <v>35</v>
      </c>
      <c r="N954" s="2">
        <v>0.24</v>
      </c>
      <c r="O954">
        <v>80</v>
      </c>
      <c r="P954">
        <v>10.1</v>
      </c>
      <c r="Q954">
        <v>0.84</v>
      </c>
      <c r="R954">
        <v>23</v>
      </c>
      <c r="S954">
        <v>126.18</v>
      </c>
    </row>
    <row r="955" spans="1:19" x14ac:dyDescent="0.25">
      <c r="A955" t="s">
        <v>7703</v>
      </c>
      <c r="B955" s="1">
        <v>44914</v>
      </c>
      <c r="C955" t="s">
        <v>7704</v>
      </c>
      <c r="D955" t="s">
        <v>63</v>
      </c>
      <c r="E955" t="s">
        <v>24</v>
      </c>
      <c r="F955" t="s">
        <v>354</v>
      </c>
      <c r="G955">
        <v>10</v>
      </c>
      <c r="H955" t="s">
        <v>194</v>
      </c>
      <c r="I955" t="s">
        <v>700</v>
      </c>
      <c r="J955" t="s">
        <v>1282</v>
      </c>
      <c r="K955" t="s">
        <v>7705</v>
      </c>
      <c r="R955">
        <v>57</v>
      </c>
      <c r="S955">
        <v>115.37</v>
      </c>
    </row>
    <row r="956" spans="1:19" x14ac:dyDescent="0.25">
      <c r="A956" t="s">
        <v>7706</v>
      </c>
      <c r="B956" s="1">
        <v>44914</v>
      </c>
      <c r="C956" t="s">
        <v>7707</v>
      </c>
      <c r="D956" t="s">
        <v>63</v>
      </c>
      <c r="E956" t="s">
        <v>24</v>
      </c>
      <c r="F956" t="s">
        <v>2256</v>
      </c>
      <c r="G956">
        <v>10</v>
      </c>
      <c r="H956" t="s">
        <v>194</v>
      </c>
      <c r="I956" t="s">
        <v>195</v>
      </c>
      <c r="J956" t="s">
        <v>5762</v>
      </c>
      <c r="K956" t="s">
        <v>7708</v>
      </c>
      <c r="R956">
        <v>36</v>
      </c>
      <c r="S956">
        <v>95.58</v>
      </c>
    </row>
    <row r="957" spans="1:19" x14ac:dyDescent="0.25">
      <c r="A957" t="s">
        <v>7764</v>
      </c>
      <c r="B957" s="1">
        <v>44921</v>
      </c>
      <c r="C957" t="s">
        <v>7765</v>
      </c>
      <c r="D957" t="s">
        <v>63</v>
      </c>
      <c r="E957" t="s">
        <v>24</v>
      </c>
      <c r="F957" t="s">
        <v>323</v>
      </c>
      <c r="G957">
        <v>45</v>
      </c>
      <c r="H957" t="s">
        <v>26</v>
      </c>
      <c r="I957" t="s">
        <v>370</v>
      </c>
      <c r="J957" t="s">
        <v>1256</v>
      </c>
      <c r="K957" t="s">
        <v>7766</v>
      </c>
      <c r="L957">
        <v>292</v>
      </c>
      <c r="M957">
        <v>108</v>
      </c>
      <c r="N957" s="2">
        <v>0.35</v>
      </c>
      <c r="O957">
        <v>87</v>
      </c>
      <c r="P957">
        <v>16</v>
      </c>
      <c r="Q957">
        <v>12</v>
      </c>
      <c r="R957">
        <v>488</v>
      </c>
      <c r="S957">
        <v>159.84</v>
      </c>
    </row>
    <row r="958" spans="1:19" x14ac:dyDescent="0.25">
      <c r="A958" t="s">
        <v>7767</v>
      </c>
      <c r="B958" s="1">
        <v>44921</v>
      </c>
      <c r="C958" t="s">
        <v>7768</v>
      </c>
      <c r="D958" t="s">
        <v>63</v>
      </c>
      <c r="E958" t="s">
        <v>24</v>
      </c>
      <c r="F958" t="s">
        <v>323</v>
      </c>
      <c r="G958">
        <v>10</v>
      </c>
      <c r="H958" t="s">
        <v>26</v>
      </c>
      <c r="I958" t="s">
        <v>39</v>
      </c>
      <c r="J958" t="s">
        <v>431</v>
      </c>
      <c r="K958" t="s">
        <v>7769</v>
      </c>
      <c r="L958">
        <v>25</v>
      </c>
      <c r="M958">
        <v>42</v>
      </c>
      <c r="N958" s="2">
        <v>0.26</v>
      </c>
      <c r="O958">
        <v>81</v>
      </c>
      <c r="P958">
        <v>10.96</v>
      </c>
      <c r="Q958">
        <v>1.82</v>
      </c>
      <c r="R958">
        <v>68</v>
      </c>
      <c r="S958">
        <v>123.26</v>
      </c>
    </row>
    <row r="959" spans="1:19" x14ac:dyDescent="0.25">
      <c r="A959" t="s">
        <v>7770</v>
      </c>
      <c r="B959" s="1">
        <v>44921</v>
      </c>
      <c r="C959" t="s">
        <v>4523</v>
      </c>
      <c r="D959" t="s">
        <v>63</v>
      </c>
      <c r="E959" t="s">
        <v>24</v>
      </c>
      <c r="F959" t="s">
        <v>231</v>
      </c>
      <c r="G959">
        <v>10</v>
      </c>
      <c r="H959" t="s">
        <v>194</v>
      </c>
      <c r="I959" t="s">
        <v>195</v>
      </c>
      <c r="J959" t="s">
        <v>211</v>
      </c>
      <c r="K959" t="s">
        <v>7771</v>
      </c>
      <c r="R959">
        <v>47</v>
      </c>
    </row>
    <row r="960" spans="1:19" x14ac:dyDescent="0.25">
      <c r="A960" t="s">
        <v>7772</v>
      </c>
      <c r="B960" s="1">
        <v>44921</v>
      </c>
      <c r="C960" t="s">
        <v>2449</v>
      </c>
      <c r="D960" t="s">
        <v>63</v>
      </c>
      <c r="E960" t="s">
        <v>24</v>
      </c>
      <c r="F960" t="s">
        <v>459</v>
      </c>
      <c r="G960">
        <v>10</v>
      </c>
      <c r="H960" t="s">
        <v>464</v>
      </c>
      <c r="I960" t="s">
        <v>763</v>
      </c>
      <c r="J960" t="s">
        <v>4348</v>
      </c>
      <c r="K960" t="s">
        <v>2598</v>
      </c>
    </row>
    <row r="961" spans="1:19" x14ac:dyDescent="0.25">
      <c r="A961" t="s">
        <v>7833</v>
      </c>
      <c r="B961" s="1">
        <v>44928</v>
      </c>
      <c r="C961" t="s">
        <v>7806</v>
      </c>
      <c r="D961" t="s">
        <v>63</v>
      </c>
      <c r="E961" t="s">
        <v>24</v>
      </c>
      <c r="F961" t="s">
        <v>200</v>
      </c>
      <c r="G961">
        <v>45</v>
      </c>
      <c r="H961" t="s">
        <v>188</v>
      </c>
      <c r="I961" t="s">
        <v>189</v>
      </c>
      <c r="J961" t="s">
        <v>244</v>
      </c>
      <c r="K961" t="s">
        <v>7834</v>
      </c>
      <c r="R961">
        <v>145</v>
      </c>
    </row>
    <row r="962" spans="1:19" x14ac:dyDescent="0.25">
      <c r="A962" t="s">
        <v>7835</v>
      </c>
      <c r="B962" s="1">
        <v>44928</v>
      </c>
      <c r="C962" t="s">
        <v>7836</v>
      </c>
      <c r="D962" t="s">
        <v>63</v>
      </c>
      <c r="E962" t="s">
        <v>24</v>
      </c>
      <c r="F962" t="s">
        <v>7777</v>
      </c>
      <c r="G962">
        <v>45</v>
      </c>
      <c r="H962" t="s">
        <v>7750</v>
      </c>
      <c r="I962" t="s">
        <v>663</v>
      </c>
      <c r="J962" t="s">
        <v>7751</v>
      </c>
      <c r="K962" t="s">
        <v>7564</v>
      </c>
      <c r="L962">
        <v>108</v>
      </c>
      <c r="P962">
        <v>2.99</v>
      </c>
      <c r="Q962">
        <v>2.35</v>
      </c>
      <c r="R962">
        <v>302</v>
      </c>
      <c r="S962">
        <v>127.55</v>
      </c>
    </row>
    <row r="963" spans="1:19" x14ac:dyDescent="0.25">
      <c r="A963" t="s">
        <v>7837</v>
      </c>
      <c r="B963" s="1">
        <v>44928</v>
      </c>
      <c r="C963" t="s">
        <v>7838</v>
      </c>
      <c r="D963" t="s">
        <v>63</v>
      </c>
      <c r="E963" t="s">
        <v>24</v>
      </c>
      <c r="F963" t="s">
        <v>170</v>
      </c>
      <c r="G963">
        <v>20</v>
      </c>
      <c r="H963" t="s">
        <v>194</v>
      </c>
      <c r="I963" t="s">
        <v>195</v>
      </c>
      <c r="J963" t="s">
        <v>7839</v>
      </c>
      <c r="K963" t="s">
        <v>7840</v>
      </c>
      <c r="R963">
        <v>82</v>
      </c>
      <c r="S963">
        <v>97.22</v>
      </c>
    </row>
    <row r="964" spans="1:19" x14ac:dyDescent="0.25">
      <c r="A964" t="s">
        <v>7841</v>
      </c>
      <c r="B964" s="1">
        <v>44928</v>
      </c>
      <c r="C964" t="s">
        <v>1375</v>
      </c>
      <c r="D964" t="s">
        <v>63</v>
      </c>
      <c r="E964" t="s">
        <v>24</v>
      </c>
      <c r="F964" t="s">
        <v>459</v>
      </c>
      <c r="G964">
        <v>5</v>
      </c>
      <c r="H964" t="s">
        <v>464</v>
      </c>
      <c r="I964" t="s">
        <v>579</v>
      </c>
      <c r="J964" t="s">
        <v>2819</v>
      </c>
      <c r="K964" t="s">
        <v>7842</v>
      </c>
    </row>
    <row r="965" spans="1:19" x14ac:dyDescent="0.25">
      <c r="A965" t="s">
        <v>7911</v>
      </c>
      <c r="B965" s="1">
        <v>44935</v>
      </c>
      <c r="C965" t="s">
        <v>7912</v>
      </c>
      <c r="D965" t="s">
        <v>63</v>
      </c>
      <c r="E965" t="s">
        <v>24</v>
      </c>
      <c r="F965" t="s">
        <v>237</v>
      </c>
      <c r="G965">
        <v>5</v>
      </c>
      <c r="H965" t="s">
        <v>464</v>
      </c>
      <c r="I965" t="s">
        <v>943</v>
      </c>
      <c r="J965" t="s">
        <v>2205</v>
      </c>
      <c r="K965" t="s">
        <v>7913</v>
      </c>
    </row>
    <row r="966" spans="1:19" x14ac:dyDescent="0.25">
      <c r="A966" t="s">
        <v>7914</v>
      </c>
      <c r="B966" s="1">
        <v>44935</v>
      </c>
      <c r="C966" t="s">
        <v>7806</v>
      </c>
      <c r="D966" t="s">
        <v>63</v>
      </c>
      <c r="E966" t="s">
        <v>24</v>
      </c>
      <c r="F966" t="s">
        <v>237</v>
      </c>
      <c r="G966">
        <v>30</v>
      </c>
      <c r="H966" t="s">
        <v>188</v>
      </c>
      <c r="I966" t="s">
        <v>189</v>
      </c>
      <c r="J966" t="s">
        <v>898</v>
      </c>
      <c r="K966" t="s">
        <v>7915</v>
      </c>
      <c r="R966">
        <v>99</v>
      </c>
    </row>
    <row r="967" spans="1:19" x14ac:dyDescent="0.25">
      <c r="A967" t="s">
        <v>7916</v>
      </c>
      <c r="B967" s="1">
        <v>44935</v>
      </c>
      <c r="C967" t="s">
        <v>4553</v>
      </c>
      <c r="D967" t="s">
        <v>63</v>
      </c>
      <c r="E967" t="s">
        <v>24</v>
      </c>
      <c r="F967" t="s">
        <v>309</v>
      </c>
      <c r="G967">
        <v>10</v>
      </c>
      <c r="H967" t="s">
        <v>1856</v>
      </c>
      <c r="I967" t="s">
        <v>6604</v>
      </c>
      <c r="J967" t="s">
        <v>6762</v>
      </c>
      <c r="K967" t="s">
        <v>7897</v>
      </c>
      <c r="L967">
        <v>0</v>
      </c>
      <c r="P967">
        <v>0</v>
      </c>
      <c r="Q967">
        <v>0</v>
      </c>
      <c r="R967">
        <v>0</v>
      </c>
    </row>
    <row r="968" spans="1:19" x14ac:dyDescent="0.25">
      <c r="A968" t="s">
        <v>7917</v>
      </c>
      <c r="B968" s="1">
        <v>44935</v>
      </c>
      <c r="C968" t="s">
        <v>3798</v>
      </c>
      <c r="D968" t="s">
        <v>63</v>
      </c>
      <c r="E968" t="s">
        <v>24</v>
      </c>
      <c r="F968" t="s">
        <v>490</v>
      </c>
      <c r="G968">
        <v>15</v>
      </c>
      <c r="H968" t="s">
        <v>1856</v>
      </c>
      <c r="I968" t="s">
        <v>1857</v>
      </c>
      <c r="J968" t="s">
        <v>7918</v>
      </c>
      <c r="K968" t="s">
        <v>7897</v>
      </c>
      <c r="L968">
        <v>0</v>
      </c>
      <c r="P968">
        <v>3.32</v>
      </c>
      <c r="Q968">
        <v>0.85</v>
      </c>
      <c r="R968">
        <v>56</v>
      </c>
    </row>
    <row r="969" spans="1:19" x14ac:dyDescent="0.25">
      <c r="A969" t="s">
        <v>7919</v>
      </c>
      <c r="B969" s="1">
        <v>44935</v>
      </c>
      <c r="C969" t="s">
        <v>5968</v>
      </c>
      <c r="D969" t="s">
        <v>63</v>
      </c>
      <c r="E969" t="s">
        <v>24</v>
      </c>
      <c r="F969" t="s">
        <v>314</v>
      </c>
      <c r="G969">
        <v>10</v>
      </c>
      <c r="H969" t="s">
        <v>1856</v>
      </c>
      <c r="I969" t="s">
        <v>6604</v>
      </c>
      <c r="J969" t="s">
        <v>4916</v>
      </c>
      <c r="K969" t="s">
        <v>7920</v>
      </c>
      <c r="L969">
        <v>0</v>
      </c>
      <c r="P969">
        <v>3.31</v>
      </c>
      <c r="Q969">
        <v>0.57999999999999996</v>
      </c>
      <c r="R969">
        <v>38</v>
      </c>
    </row>
    <row r="970" spans="1:19" x14ac:dyDescent="0.25">
      <c r="A970" t="s">
        <v>7921</v>
      </c>
      <c r="B970" s="1">
        <v>44935</v>
      </c>
      <c r="C970" t="s">
        <v>933</v>
      </c>
      <c r="D970" t="s">
        <v>63</v>
      </c>
      <c r="E970" t="s">
        <v>24</v>
      </c>
      <c r="F970" t="s">
        <v>243</v>
      </c>
      <c r="G970">
        <v>30</v>
      </c>
      <c r="H970" t="s">
        <v>26</v>
      </c>
      <c r="I970" t="s">
        <v>370</v>
      </c>
      <c r="J970" t="s">
        <v>1392</v>
      </c>
      <c r="K970" t="s">
        <v>7922</v>
      </c>
      <c r="L970">
        <v>171</v>
      </c>
      <c r="M970">
        <v>95</v>
      </c>
      <c r="N970" s="2">
        <v>0.36</v>
      </c>
      <c r="O970">
        <v>84</v>
      </c>
      <c r="P970">
        <v>15.71</v>
      </c>
      <c r="Q970">
        <v>7.86</v>
      </c>
      <c r="R970">
        <v>292</v>
      </c>
      <c r="S970">
        <v>150.16999999999999</v>
      </c>
    </row>
    <row r="971" spans="1:19" x14ac:dyDescent="0.25">
      <c r="A971" t="s">
        <v>7923</v>
      </c>
      <c r="B971" s="1">
        <v>44935</v>
      </c>
      <c r="C971" t="s">
        <v>3838</v>
      </c>
      <c r="D971" t="s">
        <v>63</v>
      </c>
      <c r="E971" t="s">
        <v>24</v>
      </c>
      <c r="F971" t="s">
        <v>292</v>
      </c>
      <c r="G971">
        <v>30</v>
      </c>
      <c r="H971" t="s">
        <v>194</v>
      </c>
      <c r="I971" t="s">
        <v>232</v>
      </c>
      <c r="J971" t="s">
        <v>7924</v>
      </c>
      <c r="K971" t="s">
        <v>7925</v>
      </c>
      <c r="R971">
        <v>231</v>
      </c>
      <c r="S971">
        <v>132.94</v>
      </c>
    </row>
    <row r="972" spans="1:19" x14ac:dyDescent="0.25">
      <c r="A972" t="s">
        <v>7926</v>
      </c>
      <c r="B972" s="1">
        <v>44935</v>
      </c>
      <c r="C972" t="s">
        <v>7927</v>
      </c>
      <c r="D972" t="s">
        <v>63</v>
      </c>
      <c r="E972" t="s">
        <v>24</v>
      </c>
      <c r="F972" t="s">
        <v>305</v>
      </c>
      <c r="G972">
        <v>5</v>
      </c>
      <c r="H972" t="s">
        <v>49</v>
      </c>
      <c r="I972" t="s">
        <v>226</v>
      </c>
      <c r="J972" t="s">
        <v>227</v>
      </c>
      <c r="K972" t="s">
        <v>7928</v>
      </c>
      <c r="R972">
        <v>12</v>
      </c>
    </row>
    <row r="973" spans="1:19" x14ac:dyDescent="0.25">
      <c r="A973" t="s">
        <v>7929</v>
      </c>
      <c r="B973" s="1">
        <v>44935</v>
      </c>
      <c r="C973" t="s">
        <v>267</v>
      </c>
      <c r="D973" t="s">
        <v>63</v>
      </c>
      <c r="E973" t="s">
        <v>24</v>
      </c>
      <c r="F973" t="s">
        <v>237</v>
      </c>
      <c r="G973">
        <v>10</v>
      </c>
      <c r="H973" t="s">
        <v>464</v>
      </c>
      <c r="I973" t="s">
        <v>579</v>
      </c>
      <c r="J973" t="s">
        <v>986</v>
      </c>
      <c r="K973" t="s">
        <v>7930</v>
      </c>
    </row>
    <row r="974" spans="1:19" x14ac:dyDescent="0.25">
      <c r="A974" t="s">
        <v>7970</v>
      </c>
      <c r="B974" s="1">
        <v>44942</v>
      </c>
      <c r="C974" t="s">
        <v>133</v>
      </c>
      <c r="D974" t="s">
        <v>63</v>
      </c>
      <c r="E974" t="s">
        <v>24</v>
      </c>
      <c r="F974" t="s">
        <v>215</v>
      </c>
      <c r="G974">
        <v>60</v>
      </c>
      <c r="H974" t="s">
        <v>188</v>
      </c>
      <c r="I974" t="s">
        <v>189</v>
      </c>
      <c r="J974" t="s">
        <v>216</v>
      </c>
      <c r="K974" t="s">
        <v>7971</v>
      </c>
      <c r="R974">
        <v>181</v>
      </c>
    </row>
    <row r="975" spans="1:19" x14ac:dyDescent="0.25">
      <c r="A975" t="s">
        <v>7972</v>
      </c>
      <c r="B975" s="1">
        <v>44942</v>
      </c>
      <c r="C975" t="s">
        <v>2726</v>
      </c>
      <c r="D975" t="s">
        <v>63</v>
      </c>
      <c r="E975" t="s">
        <v>24</v>
      </c>
      <c r="F975" t="s">
        <v>2708</v>
      </c>
      <c r="G975">
        <v>10</v>
      </c>
      <c r="H975" t="s">
        <v>464</v>
      </c>
      <c r="I975" t="s">
        <v>943</v>
      </c>
      <c r="J975" t="s">
        <v>944</v>
      </c>
      <c r="K975" t="s">
        <v>7973</v>
      </c>
    </row>
    <row r="976" spans="1:19" x14ac:dyDescent="0.25">
      <c r="A976" t="s">
        <v>8017</v>
      </c>
      <c r="B976" s="1">
        <v>44949</v>
      </c>
      <c r="C976" t="s">
        <v>8018</v>
      </c>
      <c r="D976" t="s">
        <v>63</v>
      </c>
      <c r="E976" t="s">
        <v>24</v>
      </c>
      <c r="F976" t="s">
        <v>5394</v>
      </c>
      <c r="G976">
        <v>30</v>
      </c>
      <c r="H976" t="s">
        <v>1856</v>
      </c>
      <c r="I976" t="s">
        <v>1857</v>
      </c>
      <c r="J976" t="s">
        <v>8019</v>
      </c>
      <c r="K976" t="s">
        <v>8020</v>
      </c>
      <c r="L976">
        <v>0</v>
      </c>
      <c r="P976">
        <v>2.92</v>
      </c>
      <c r="Q976">
        <v>1.46</v>
      </c>
      <c r="R976">
        <v>201</v>
      </c>
      <c r="S976">
        <v>125.87</v>
      </c>
    </row>
    <row r="977" spans="1:19" x14ac:dyDescent="0.25">
      <c r="A977" t="s">
        <v>8021</v>
      </c>
      <c r="B977" s="1">
        <v>44949</v>
      </c>
      <c r="C977" t="s">
        <v>8022</v>
      </c>
      <c r="D977" t="s">
        <v>63</v>
      </c>
      <c r="G977">
        <v>4</v>
      </c>
      <c r="H977" t="s">
        <v>1856</v>
      </c>
      <c r="J977" t="s">
        <v>8023</v>
      </c>
      <c r="L977">
        <v>0</v>
      </c>
      <c r="P977">
        <v>3.03</v>
      </c>
      <c r="Q977">
        <v>0.18</v>
      </c>
      <c r="R977">
        <v>18</v>
      </c>
    </row>
    <row r="978" spans="1:19" x14ac:dyDescent="0.25">
      <c r="A978" t="s">
        <v>8024</v>
      </c>
      <c r="B978" s="1">
        <v>44949</v>
      </c>
      <c r="C978" t="s">
        <v>4571</v>
      </c>
      <c r="D978" t="s">
        <v>63</v>
      </c>
      <c r="E978" t="s">
        <v>24</v>
      </c>
      <c r="F978" t="s">
        <v>1203</v>
      </c>
      <c r="G978">
        <v>30</v>
      </c>
      <c r="H978" t="s">
        <v>194</v>
      </c>
      <c r="I978" t="s">
        <v>232</v>
      </c>
      <c r="J978" t="s">
        <v>233</v>
      </c>
      <c r="K978" t="s">
        <v>8025</v>
      </c>
      <c r="R978">
        <v>164</v>
      </c>
      <c r="S978">
        <v>113.62</v>
      </c>
    </row>
    <row r="979" spans="1:19" x14ac:dyDescent="0.25">
      <c r="A979" t="s">
        <v>8026</v>
      </c>
      <c r="B979" s="1">
        <v>44949</v>
      </c>
      <c r="C979" t="s">
        <v>8027</v>
      </c>
      <c r="D979" t="s">
        <v>63</v>
      </c>
      <c r="E979" t="s">
        <v>24</v>
      </c>
      <c r="F979" t="s">
        <v>231</v>
      </c>
      <c r="G979">
        <v>10</v>
      </c>
      <c r="H979" t="s">
        <v>194</v>
      </c>
      <c r="I979" t="s">
        <v>195</v>
      </c>
      <c r="J979" t="s">
        <v>211</v>
      </c>
      <c r="K979" t="s">
        <v>8028</v>
      </c>
      <c r="R979">
        <v>45</v>
      </c>
    </row>
    <row r="980" spans="1:19" x14ac:dyDescent="0.25">
      <c r="A980" t="s">
        <v>8081</v>
      </c>
      <c r="B980" s="1">
        <v>44956</v>
      </c>
      <c r="C980" t="s">
        <v>8082</v>
      </c>
      <c r="D980" t="s">
        <v>63</v>
      </c>
      <c r="E980" t="s">
        <v>24</v>
      </c>
      <c r="F980" t="s">
        <v>237</v>
      </c>
      <c r="G980">
        <v>10</v>
      </c>
      <c r="H980" t="s">
        <v>464</v>
      </c>
      <c r="I980" t="s">
        <v>579</v>
      </c>
      <c r="J980" t="s">
        <v>1975</v>
      </c>
      <c r="K980" t="s">
        <v>8083</v>
      </c>
    </row>
    <row r="981" spans="1:19" x14ac:dyDescent="0.25">
      <c r="A981" t="s">
        <v>8084</v>
      </c>
      <c r="B981" s="1">
        <v>44956</v>
      </c>
      <c r="C981" t="s">
        <v>8085</v>
      </c>
      <c r="D981" t="s">
        <v>63</v>
      </c>
      <c r="E981" t="s">
        <v>24</v>
      </c>
      <c r="F981" t="s">
        <v>208</v>
      </c>
      <c r="G981">
        <v>30</v>
      </c>
      <c r="H981" t="s">
        <v>464</v>
      </c>
      <c r="I981" t="s">
        <v>943</v>
      </c>
      <c r="J981" t="s">
        <v>1621</v>
      </c>
      <c r="K981" t="s">
        <v>8086</v>
      </c>
    </row>
    <row r="982" spans="1:19" x14ac:dyDescent="0.25">
      <c r="A982" t="s">
        <v>8148</v>
      </c>
      <c r="B982" s="1">
        <v>44963</v>
      </c>
      <c r="C982" t="s">
        <v>8149</v>
      </c>
      <c r="D982" t="s">
        <v>63</v>
      </c>
      <c r="E982" t="s">
        <v>24</v>
      </c>
      <c r="F982" t="s">
        <v>292</v>
      </c>
      <c r="G982">
        <v>30</v>
      </c>
      <c r="H982" t="s">
        <v>194</v>
      </c>
      <c r="I982" t="s">
        <v>232</v>
      </c>
      <c r="J982" t="s">
        <v>233</v>
      </c>
      <c r="K982" t="s">
        <v>8150</v>
      </c>
      <c r="R982">
        <v>215</v>
      </c>
      <c r="S982">
        <v>128.5</v>
      </c>
    </row>
    <row r="983" spans="1:19" x14ac:dyDescent="0.25">
      <c r="A983" t="s">
        <v>8151</v>
      </c>
      <c r="B983" s="1">
        <v>44963</v>
      </c>
      <c r="C983" t="s">
        <v>8152</v>
      </c>
      <c r="D983" t="s">
        <v>63</v>
      </c>
      <c r="E983" t="s">
        <v>24</v>
      </c>
      <c r="F983" t="s">
        <v>170</v>
      </c>
      <c r="G983">
        <v>10</v>
      </c>
      <c r="H983" t="s">
        <v>49</v>
      </c>
      <c r="I983" t="s">
        <v>6240</v>
      </c>
      <c r="J983" t="s">
        <v>6241</v>
      </c>
      <c r="K983" t="s">
        <v>8153</v>
      </c>
      <c r="R983">
        <v>26</v>
      </c>
      <c r="S983">
        <v>87.18</v>
      </c>
    </row>
    <row r="984" spans="1:19" x14ac:dyDescent="0.25">
      <c r="A984" t="s">
        <v>8154</v>
      </c>
      <c r="B984" s="1">
        <v>44963</v>
      </c>
      <c r="C984" t="s">
        <v>8155</v>
      </c>
      <c r="D984" t="s">
        <v>63</v>
      </c>
      <c r="E984" t="s">
        <v>24</v>
      </c>
      <c r="F984" t="s">
        <v>208</v>
      </c>
      <c r="G984">
        <v>10</v>
      </c>
      <c r="H984" t="s">
        <v>464</v>
      </c>
      <c r="I984" t="s">
        <v>579</v>
      </c>
      <c r="J984" t="s">
        <v>986</v>
      </c>
      <c r="K984" t="s">
        <v>8156</v>
      </c>
    </row>
    <row r="985" spans="1:19" x14ac:dyDescent="0.25">
      <c r="A985" t="s">
        <v>8219</v>
      </c>
      <c r="B985" s="1">
        <v>44970</v>
      </c>
      <c r="C985" t="s">
        <v>8220</v>
      </c>
      <c r="D985" t="s">
        <v>63</v>
      </c>
      <c r="E985" t="s">
        <v>24</v>
      </c>
      <c r="F985" t="s">
        <v>554</v>
      </c>
      <c r="G985">
        <v>15</v>
      </c>
      <c r="H985" t="s">
        <v>49</v>
      </c>
      <c r="I985" t="s">
        <v>1960</v>
      </c>
      <c r="J985" t="s">
        <v>5838</v>
      </c>
      <c r="K985" t="s">
        <v>5839</v>
      </c>
      <c r="R985">
        <v>33</v>
      </c>
    </row>
    <row r="986" spans="1:19" x14ac:dyDescent="0.25">
      <c r="A986" t="s">
        <v>8221</v>
      </c>
      <c r="B986" s="1">
        <v>44970</v>
      </c>
      <c r="C986" t="s">
        <v>251</v>
      </c>
      <c r="D986" t="s">
        <v>63</v>
      </c>
      <c r="E986" t="s">
        <v>24</v>
      </c>
      <c r="F986" t="s">
        <v>459</v>
      </c>
      <c r="G986">
        <v>10</v>
      </c>
      <c r="H986" t="s">
        <v>464</v>
      </c>
      <c r="I986" t="s">
        <v>763</v>
      </c>
      <c r="J986" t="s">
        <v>914</v>
      </c>
      <c r="K986" t="s">
        <v>8222</v>
      </c>
    </row>
    <row r="987" spans="1:19" x14ac:dyDescent="0.25">
      <c r="A987" t="s">
        <v>8223</v>
      </c>
      <c r="B987" s="1">
        <v>44970</v>
      </c>
      <c r="C987" t="s">
        <v>2629</v>
      </c>
      <c r="D987" t="s">
        <v>63</v>
      </c>
      <c r="E987" t="s">
        <v>24</v>
      </c>
      <c r="F987" t="s">
        <v>200</v>
      </c>
      <c r="G987">
        <v>5</v>
      </c>
      <c r="H987" t="s">
        <v>464</v>
      </c>
      <c r="I987" t="s">
        <v>1571</v>
      </c>
      <c r="J987" t="s">
        <v>6871</v>
      </c>
      <c r="K987" t="s">
        <v>8224</v>
      </c>
    </row>
    <row r="988" spans="1:19" x14ac:dyDescent="0.25">
      <c r="A988" t="s">
        <v>8270</v>
      </c>
      <c r="B988" s="1">
        <v>44977</v>
      </c>
      <c r="C988" t="s">
        <v>8271</v>
      </c>
      <c r="D988" t="s">
        <v>63</v>
      </c>
      <c r="E988" t="s">
        <v>24</v>
      </c>
      <c r="F988" t="s">
        <v>323</v>
      </c>
      <c r="G988">
        <v>60</v>
      </c>
      <c r="H988" t="s">
        <v>26</v>
      </c>
      <c r="I988" t="s">
        <v>370</v>
      </c>
      <c r="J988" t="s">
        <v>646</v>
      </c>
      <c r="K988" t="s">
        <v>8272</v>
      </c>
      <c r="L988">
        <v>366</v>
      </c>
      <c r="M988">
        <v>102</v>
      </c>
      <c r="N988" s="2">
        <v>0.36</v>
      </c>
      <c r="O988">
        <v>85</v>
      </c>
      <c r="P988">
        <v>16.010000000000002</v>
      </c>
      <c r="Q988">
        <v>16.010000000000002</v>
      </c>
      <c r="R988">
        <v>634</v>
      </c>
      <c r="S988">
        <v>157.49</v>
      </c>
    </row>
    <row r="989" spans="1:19" x14ac:dyDescent="0.25">
      <c r="A989" t="s">
        <v>8273</v>
      </c>
      <c r="B989" s="1">
        <v>44977</v>
      </c>
      <c r="C989" t="s">
        <v>8274</v>
      </c>
      <c r="D989" t="s">
        <v>63</v>
      </c>
      <c r="E989" t="s">
        <v>24</v>
      </c>
      <c r="F989" t="s">
        <v>2833</v>
      </c>
      <c r="G989">
        <v>5</v>
      </c>
      <c r="H989" t="s">
        <v>26</v>
      </c>
      <c r="I989" t="s">
        <v>358</v>
      </c>
      <c r="J989" t="s">
        <v>359</v>
      </c>
      <c r="K989" t="s">
        <v>8250</v>
      </c>
      <c r="L989">
        <v>13</v>
      </c>
      <c r="M989">
        <v>44</v>
      </c>
      <c r="N989" s="2">
        <v>0.26</v>
      </c>
      <c r="O989">
        <v>80</v>
      </c>
      <c r="P989">
        <v>11.21</v>
      </c>
      <c r="Q989">
        <v>0.93</v>
      </c>
      <c r="R989">
        <v>30</v>
      </c>
      <c r="S989">
        <v>103.13</v>
      </c>
    </row>
    <row r="990" spans="1:19" x14ac:dyDescent="0.25">
      <c r="A990" t="s">
        <v>8275</v>
      </c>
      <c r="B990" s="1">
        <v>44977</v>
      </c>
      <c r="C990" t="s">
        <v>7957</v>
      </c>
      <c r="D990" t="s">
        <v>63</v>
      </c>
      <c r="E990" t="s">
        <v>24</v>
      </c>
      <c r="F990" t="s">
        <v>2833</v>
      </c>
      <c r="G990">
        <v>5</v>
      </c>
      <c r="H990" t="s">
        <v>49</v>
      </c>
      <c r="I990" t="s">
        <v>50</v>
      </c>
      <c r="J990" t="s">
        <v>51</v>
      </c>
      <c r="K990" t="s">
        <v>8250</v>
      </c>
      <c r="R990">
        <v>24</v>
      </c>
      <c r="S990">
        <v>110</v>
      </c>
    </row>
    <row r="991" spans="1:19" x14ac:dyDescent="0.25">
      <c r="A991" t="s">
        <v>8276</v>
      </c>
      <c r="B991" s="1">
        <v>44977</v>
      </c>
      <c r="C991" t="s">
        <v>1658</v>
      </c>
      <c r="D991" t="s">
        <v>63</v>
      </c>
      <c r="E991" t="s">
        <v>24</v>
      </c>
      <c r="F991" t="s">
        <v>237</v>
      </c>
      <c r="G991">
        <v>10</v>
      </c>
      <c r="H991" t="s">
        <v>464</v>
      </c>
      <c r="I991" t="s">
        <v>763</v>
      </c>
      <c r="J991" t="s">
        <v>914</v>
      </c>
      <c r="K991" t="s">
        <v>8277</v>
      </c>
    </row>
    <row r="992" spans="1:19" x14ac:dyDescent="0.25">
      <c r="A992" t="s">
        <v>8322</v>
      </c>
      <c r="B992" s="1">
        <v>44984</v>
      </c>
      <c r="C992" t="s">
        <v>8323</v>
      </c>
      <c r="D992" t="s">
        <v>63</v>
      </c>
      <c r="G992">
        <v>39</v>
      </c>
      <c r="H992" t="s">
        <v>1856</v>
      </c>
      <c r="J992" t="s">
        <v>8324</v>
      </c>
      <c r="L992">
        <v>0</v>
      </c>
      <c r="P992">
        <v>2.81</v>
      </c>
      <c r="Q992">
        <v>1.92</v>
      </c>
      <c r="R992">
        <v>229</v>
      </c>
      <c r="S992">
        <v>122.29</v>
      </c>
    </row>
    <row r="993" spans="1:19" x14ac:dyDescent="0.25">
      <c r="A993" t="s">
        <v>8325</v>
      </c>
      <c r="B993" s="1">
        <v>44984</v>
      </c>
      <c r="C993" t="s">
        <v>8326</v>
      </c>
      <c r="D993" t="s">
        <v>63</v>
      </c>
      <c r="E993" t="s">
        <v>24</v>
      </c>
      <c r="F993" t="s">
        <v>2256</v>
      </c>
      <c r="G993">
        <v>10</v>
      </c>
      <c r="H993" t="s">
        <v>194</v>
      </c>
      <c r="I993" t="s">
        <v>195</v>
      </c>
      <c r="J993" t="s">
        <v>5762</v>
      </c>
      <c r="K993" t="s">
        <v>8327</v>
      </c>
      <c r="R993">
        <v>41</v>
      </c>
      <c r="S993">
        <v>99.19</v>
      </c>
    </row>
    <row r="994" spans="1:19" x14ac:dyDescent="0.25">
      <c r="A994" t="s">
        <v>8328</v>
      </c>
      <c r="B994" s="1">
        <v>44984</v>
      </c>
      <c r="C994" t="s">
        <v>8329</v>
      </c>
      <c r="D994" t="s">
        <v>63</v>
      </c>
      <c r="E994" t="s">
        <v>24</v>
      </c>
      <c r="F994" t="s">
        <v>323</v>
      </c>
      <c r="G994">
        <v>60</v>
      </c>
      <c r="H994" t="s">
        <v>26</v>
      </c>
      <c r="I994" t="s">
        <v>370</v>
      </c>
      <c r="J994" t="s">
        <v>646</v>
      </c>
      <c r="K994" t="s">
        <v>8330</v>
      </c>
      <c r="L994">
        <v>386</v>
      </c>
      <c r="M994">
        <v>107</v>
      </c>
      <c r="N994" s="2">
        <v>0.37</v>
      </c>
      <c r="O994">
        <v>84</v>
      </c>
      <c r="P994">
        <v>16.329999999999998</v>
      </c>
      <c r="Q994">
        <v>16.34</v>
      </c>
      <c r="R994">
        <v>586</v>
      </c>
      <c r="S994">
        <v>150.13999999999999</v>
      </c>
    </row>
    <row r="995" spans="1:19" x14ac:dyDescent="0.25">
      <c r="A995" t="s">
        <v>8331</v>
      </c>
      <c r="B995" s="1">
        <v>44984</v>
      </c>
      <c r="C995" t="s">
        <v>8332</v>
      </c>
      <c r="D995" t="s">
        <v>63</v>
      </c>
      <c r="E995" t="s">
        <v>24</v>
      </c>
      <c r="F995" t="s">
        <v>25</v>
      </c>
      <c r="G995">
        <v>5</v>
      </c>
      <c r="H995" t="s">
        <v>26</v>
      </c>
      <c r="I995" t="s">
        <v>358</v>
      </c>
      <c r="J995" t="s">
        <v>359</v>
      </c>
      <c r="K995" t="s">
        <v>8333</v>
      </c>
      <c r="L995">
        <v>18</v>
      </c>
      <c r="M995">
        <v>59</v>
      </c>
      <c r="N995" s="2">
        <v>0.31</v>
      </c>
      <c r="O995">
        <v>80</v>
      </c>
      <c r="P995">
        <v>12.84</v>
      </c>
      <c r="Q995">
        <v>1.07</v>
      </c>
      <c r="R995">
        <v>33</v>
      </c>
      <c r="S995">
        <v>114.49</v>
      </c>
    </row>
    <row r="996" spans="1:19" x14ac:dyDescent="0.25">
      <c r="A996" t="s">
        <v>8334</v>
      </c>
      <c r="B996" s="1">
        <v>44984</v>
      </c>
      <c r="C996" t="s">
        <v>2385</v>
      </c>
      <c r="D996" t="s">
        <v>63</v>
      </c>
      <c r="E996" t="s">
        <v>24</v>
      </c>
      <c r="F996" t="s">
        <v>459</v>
      </c>
      <c r="G996">
        <v>10</v>
      </c>
      <c r="H996" t="s">
        <v>464</v>
      </c>
      <c r="I996" t="s">
        <v>1617</v>
      </c>
      <c r="J996" t="s">
        <v>3543</v>
      </c>
      <c r="K996" t="s">
        <v>8335</v>
      </c>
    </row>
    <row r="997" spans="1:19" x14ac:dyDescent="0.25">
      <c r="A997" t="s">
        <v>8397</v>
      </c>
      <c r="B997" s="1">
        <v>44991</v>
      </c>
      <c r="C997" t="s">
        <v>8398</v>
      </c>
      <c r="D997" t="s">
        <v>63</v>
      </c>
      <c r="E997" t="s">
        <v>24</v>
      </c>
      <c r="F997" t="s">
        <v>231</v>
      </c>
      <c r="G997">
        <v>15</v>
      </c>
      <c r="H997" t="s">
        <v>194</v>
      </c>
      <c r="I997" t="s">
        <v>195</v>
      </c>
      <c r="J997" t="s">
        <v>1217</v>
      </c>
      <c r="K997" t="s">
        <v>7961</v>
      </c>
      <c r="R997">
        <v>62</v>
      </c>
      <c r="S997">
        <v>100.71</v>
      </c>
    </row>
    <row r="998" spans="1:19" x14ac:dyDescent="0.25">
      <c r="A998" t="s">
        <v>8399</v>
      </c>
      <c r="B998" s="1">
        <v>44991</v>
      </c>
      <c r="C998" t="s">
        <v>8400</v>
      </c>
      <c r="D998" t="s">
        <v>63</v>
      </c>
      <c r="E998" t="s">
        <v>24</v>
      </c>
      <c r="F998" t="s">
        <v>243</v>
      </c>
      <c r="G998">
        <v>45</v>
      </c>
      <c r="H998" t="s">
        <v>26</v>
      </c>
      <c r="I998" t="s">
        <v>370</v>
      </c>
      <c r="J998" t="s">
        <v>439</v>
      </c>
      <c r="K998" t="s">
        <v>8401</v>
      </c>
      <c r="L998">
        <v>261</v>
      </c>
      <c r="M998">
        <v>97</v>
      </c>
      <c r="N998" s="2">
        <v>0.36</v>
      </c>
      <c r="O998">
        <v>84</v>
      </c>
      <c r="P998">
        <v>15.85</v>
      </c>
      <c r="Q998">
        <v>11.89</v>
      </c>
      <c r="R998">
        <v>426</v>
      </c>
      <c r="S998">
        <v>147.80000000000001</v>
      </c>
    </row>
    <row r="999" spans="1:19" x14ac:dyDescent="0.25">
      <c r="A999" t="s">
        <v>8402</v>
      </c>
      <c r="B999" s="1">
        <v>44991</v>
      </c>
      <c r="C999" t="s">
        <v>8403</v>
      </c>
      <c r="D999" t="s">
        <v>63</v>
      </c>
      <c r="E999" t="s">
        <v>24</v>
      </c>
      <c r="F999" t="s">
        <v>2833</v>
      </c>
      <c r="G999">
        <v>10</v>
      </c>
      <c r="H999" t="s">
        <v>194</v>
      </c>
      <c r="I999" t="s">
        <v>700</v>
      </c>
      <c r="J999" t="s">
        <v>1282</v>
      </c>
      <c r="K999" t="s">
        <v>8404</v>
      </c>
      <c r="R999">
        <v>58</v>
      </c>
      <c r="S999">
        <v>115.17</v>
      </c>
    </row>
    <row r="1000" spans="1:19" x14ac:dyDescent="0.25">
      <c r="A1000" t="s">
        <v>8405</v>
      </c>
      <c r="B1000" s="1">
        <v>44991</v>
      </c>
      <c r="C1000" t="s">
        <v>1669</v>
      </c>
      <c r="D1000" t="s">
        <v>63</v>
      </c>
      <c r="E1000" t="s">
        <v>24</v>
      </c>
      <c r="F1000" t="s">
        <v>2708</v>
      </c>
      <c r="G1000">
        <v>10</v>
      </c>
      <c r="H1000" t="s">
        <v>464</v>
      </c>
      <c r="I1000" t="s">
        <v>579</v>
      </c>
      <c r="J1000" t="s">
        <v>602</v>
      </c>
      <c r="K1000" t="s">
        <v>8406</v>
      </c>
    </row>
    <row r="1001" spans="1:19" x14ac:dyDescent="0.25">
      <c r="A1001" t="s">
        <v>8448</v>
      </c>
      <c r="B1001" s="1">
        <v>44998</v>
      </c>
      <c r="C1001" t="s">
        <v>2729</v>
      </c>
      <c r="D1001" t="s">
        <v>63</v>
      </c>
      <c r="E1001" t="s">
        <v>24</v>
      </c>
      <c r="F1001" t="s">
        <v>237</v>
      </c>
      <c r="G1001">
        <v>30</v>
      </c>
      <c r="H1001" t="s">
        <v>188</v>
      </c>
      <c r="I1001" t="s">
        <v>238</v>
      </c>
      <c r="J1001" t="s">
        <v>8449</v>
      </c>
      <c r="K1001" t="s">
        <v>8450</v>
      </c>
      <c r="R1001">
        <v>93</v>
      </c>
    </row>
    <row r="1002" spans="1:19" x14ac:dyDescent="0.25">
      <c r="A1002" t="s">
        <v>8451</v>
      </c>
      <c r="B1002" s="1">
        <v>44998</v>
      </c>
      <c r="C1002" t="s">
        <v>1438</v>
      </c>
      <c r="D1002" t="s">
        <v>63</v>
      </c>
      <c r="E1002" t="s">
        <v>24</v>
      </c>
      <c r="F1002" t="s">
        <v>231</v>
      </c>
      <c r="G1002">
        <v>20</v>
      </c>
      <c r="H1002" t="s">
        <v>194</v>
      </c>
      <c r="I1002" t="s">
        <v>195</v>
      </c>
      <c r="J1002" t="s">
        <v>2247</v>
      </c>
      <c r="K1002" t="s">
        <v>8452</v>
      </c>
      <c r="R1002">
        <v>90</v>
      </c>
      <c r="S1002">
        <v>102.04</v>
      </c>
    </row>
    <row r="1003" spans="1:19" x14ac:dyDescent="0.25">
      <c r="A1003" t="s">
        <v>8453</v>
      </c>
      <c r="B1003" s="1">
        <v>44998</v>
      </c>
      <c r="C1003" t="s">
        <v>5549</v>
      </c>
      <c r="D1003" t="s">
        <v>63</v>
      </c>
      <c r="E1003" t="s">
        <v>24</v>
      </c>
      <c r="F1003" t="s">
        <v>323</v>
      </c>
      <c r="G1003">
        <v>45</v>
      </c>
      <c r="H1003" t="s">
        <v>26</v>
      </c>
      <c r="I1003" t="s">
        <v>370</v>
      </c>
      <c r="J1003" t="s">
        <v>439</v>
      </c>
      <c r="K1003" t="s">
        <v>8454</v>
      </c>
      <c r="L1003">
        <v>268</v>
      </c>
      <c r="M1003">
        <v>99</v>
      </c>
      <c r="N1003" s="2">
        <v>0.37</v>
      </c>
      <c r="O1003">
        <v>84</v>
      </c>
      <c r="P1003">
        <v>16.079999999999998</v>
      </c>
      <c r="Q1003">
        <v>12.06</v>
      </c>
      <c r="R1003">
        <v>392</v>
      </c>
      <c r="S1003">
        <v>141.24</v>
      </c>
    </row>
    <row r="1004" spans="1:19" x14ac:dyDescent="0.25">
      <c r="A1004" t="s">
        <v>8455</v>
      </c>
      <c r="B1004" s="1">
        <v>44998</v>
      </c>
      <c r="C1004" t="s">
        <v>6378</v>
      </c>
      <c r="D1004" t="s">
        <v>63</v>
      </c>
      <c r="E1004" t="s">
        <v>24</v>
      </c>
      <c r="F1004" t="s">
        <v>590</v>
      </c>
      <c r="G1004">
        <v>30</v>
      </c>
      <c r="H1004" t="s">
        <v>26</v>
      </c>
      <c r="I1004" t="s">
        <v>370</v>
      </c>
      <c r="J1004" t="s">
        <v>1392</v>
      </c>
      <c r="K1004" t="s">
        <v>8456</v>
      </c>
      <c r="L1004">
        <v>182</v>
      </c>
      <c r="M1004">
        <v>101</v>
      </c>
      <c r="N1004" s="2">
        <v>0.38</v>
      </c>
      <c r="O1004">
        <v>81</v>
      </c>
      <c r="P1004">
        <v>16.25</v>
      </c>
      <c r="Q1004">
        <v>8.1300000000000008</v>
      </c>
      <c r="R1004">
        <v>255</v>
      </c>
      <c r="S1004">
        <v>139.27000000000001</v>
      </c>
    </row>
    <row r="1005" spans="1:19" x14ac:dyDescent="0.25">
      <c r="A1005" t="s">
        <v>8457</v>
      </c>
      <c r="B1005" s="1">
        <v>44998</v>
      </c>
      <c r="C1005" t="s">
        <v>5372</v>
      </c>
      <c r="D1005" t="s">
        <v>63</v>
      </c>
      <c r="E1005" t="s">
        <v>24</v>
      </c>
      <c r="F1005" t="s">
        <v>747</v>
      </c>
      <c r="G1005">
        <v>5</v>
      </c>
      <c r="H1005" t="s">
        <v>49</v>
      </c>
      <c r="I1005" t="s">
        <v>50</v>
      </c>
      <c r="J1005" t="s">
        <v>51</v>
      </c>
      <c r="K1005" t="s">
        <v>8458</v>
      </c>
      <c r="R1005">
        <v>22</v>
      </c>
      <c r="S1005">
        <v>104.94</v>
      </c>
    </row>
    <row r="1006" spans="1:19" x14ac:dyDescent="0.25">
      <c r="A1006" t="s">
        <v>8459</v>
      </c>
      <c r="B1006" s="1">
        <v>44998</v>
      </c>
      <c r="C1006" t="s">
        <v>2415</v>
      </c>
      <c r="D1006" t="s">
        <v>63</v>
      </c>
      <c r="E1006" t="s">
        <v>24</v>
      </c>
      <c r="F1006" t="s">
        <v>208</v>
      </c>
      <c r="G1006">
        <v>10</v>
      </c>
      <c r="H1006" t="s">
        <v>464</v>
      </c>
      <c r="I1006" t="s">
        <v>1617</v>
      </c>
      <c r="J1006" t="s">
        <v>3543</v>
      </c>
      <c r="K1006" t="s">
        <v>8460</v>
      </c>
    </row>
    <row r="1007" spans="1:19" x14ac:dyDescent="0.25">
      <c r="A1007" t="s">
        <v>8570</v>
      </c>
      <c r="B1007" s="1">
        <v>45012</v>
      </c>
      <c r="C1007" t="s">
        <v>8571</v>
      </c>
      <c r="D1007" t="s">
        <v>63</v>
      </c>
      <c r="E1007" t="s">
        <v>24</v>
      </c>
      <c r="F1007" t="s">
        <v>2708</v>
      </c>
      <c r="G1007">
        <v>10</v>
      </c>
      <c r="H1007" t="s">
        <v>464</v>
      </c>
      <c r="I1007" t="s">
        <v>579</v>
      </c>
      <c r="J1007" t="s">
        <v>1820</v>
      </c>
      <c r="K1007" t="s">
        <v>8572</v>
      </c>
    </row>
    <row r="1008" spans="1:19" x14ac:dyDescent="0.25">
      <c r="A1008" t="s">
        <v>8573</v>
      </c>
      <c r="B1008" s="1">
        <v>45012</v>
      </c>
      <c r="C1008" t="s">
        <v>1171</v>
      </c>
      <c r="D1008" t="s">
        <v>63</v>
      </c>
      <c r="E1008" t="s">
        <v>24</v>
      </c>
      <c r="F1008" t="s">
        <v>2708</v>
      </c>
      <c r="G1008">
        <v>20</v>
      </c>
      <c r="H1008" t="s">
        <v>464</v>
      </c>
      <c r="I1008" t="s">
        <v>943</v>
      </c>
      <c r="J1008" t="s">
        <v>1347</v>
      </c>
      <c r="K1008" t="s">
        <v>8574</v>
      </c>
    </row>
    <row r="1009" spans="1:19" x14ac:dyDescent="0.25">
      <c r="A1009" t="s">
        <v>8623</v>
      </c>
      <c r="B1009" s="1">
        <v>45019</v>
      </c>
      <c r="C1009" t="s">
        <v>8624</v>
      </c>
      <c r="D1009" t="s">
        <v>63</v>
      </c>
      <c r="E1009" t="s">
        <v>24</v>
      </c>
      <c r="F1009" t="s">
        <v>200</v>
      </c>
      <c r="G1009">
        <v>30</v>
      </c>
      <c r="H1009" t="s">
        <v>188</v>
      </c>
      <c r="I1009" t="s">
        <v>189</v>
      </c>
      <c r="J1009" t="s">
        <v>8565</v>
      </c>
      <c r="K1009" t="s">
        <v>8625</v>
      </c>
      <c r="R1009">
        <v>99</v>
      </c>
    </row>
    <row r="1010" spans="1:19" x14ac:dyDescent="0.25">
      <c r="A1010" t="s">
        <v>8626</v>
      </c>
      <c r="B1010" s="1">
        <v>45019</v>
      </c>
      <c r="C1010" t="s">
        <v>8627</v>
      </c>
      <c r="D1010" t="s">
        <v>63</v>
      </c>
      <c r="E1010" t="s">
        <v>24</v>
      </c>
      <c r="F1010" t="s">
        <v>33</v>
      </c>
      <c r="G1010">
        <v>45</v>
      </c>
      <c r="H1010" t="s">
        <v>26</v>
      </c>
      <c r="I1010" t="s">
        <v>370</v>
      </c>
      <c r="J1010" t="s">
        <v>439</v>
      </c>
      <c r="K1010" t="s">
        <v>8628</v>
      </c>
      <c r="L1010">
        <v>268</v>
      </c>
      <c r="M1010">
        <v>99</v>
      </c>
      <c r="N1010" s="2">
        <v>0.38</v>
      </c>
      <c r="O1010">
        <v>80</v>
      </c>
      <c r="P1010">
        <v>16.100000000000001</v>
      </c>
      <c r="Q1010">
        <v>12.08</v>
      </c>
      <c r="R1010">
        <v>390</v>
      </c>
      <c r="S1010">
        <v>140.91</v>
      </c>
    </row>
    <row r="1011" spans="1:19" x14ac:dyDescent="0.25">
      <c r="A1011" t="s">
        <v>8629</v>
      </c>
      <c r="B1011" s="1">
        <v>45019</v>
      </c>
      <c r="C1011" t="s">
        <v>6353</v>
      </c>
      <c r="D1011" t="s">
        <v>63</v>
      </c>
      <c r="E1011" t="s">
        <v>24</v>
      </c>
      <c r="F1011" t="s">
        <v>2256</v>
      </c>
      <c r="G1011">
        <v>10</v>
      </c>
      <c r="H1011" t="s">
        <v>194</v>
      </c>
      <c r="I1011" t="s">
        <v>195</v>
      </c>
      <c r="J1011" t="s">
        <v>5762</v>
      </c>
      <c r="K1011" t="s">
        <v>8630</v>
      </c>
      <c r="R1011">
        <v>44</v>
      </c>
      <c r="S1011">
        <v>104.37</v>
      </c>
    </row>
    <row r="1012" spans="1:19" x14ac:dyDescent="0.25">
      <c r="A1012" t="s">
        <v>8631</v>
      </c>
      <c r="B1012" s="1">
        <v>45019</v>
      </c>
      <c r="C1012" t="s">
        <v>5505</v>
      </c>
      <c r="D1012" t="s">
        <v>63</v>
      </c>
      <c r="E1012" t="s">
        <v>24</v>
      </c>
      <c r="F1012" t="s">
        <v>2256</v>
      </c>
      <c r="G1012">
        <v>20</v>
      </c>
      <c r="H1012" t="s">
        <v>194</v>
      </c>
      <c r="I1012" t="s">
        <v>1445</v>
      </c>
      <c r="J1012" t="s">
        <v>4217</v>
      </c>
      <c r="K1012" t="s">
        <v>8632</v>
      </c>
      <c r="R1012">
        <v>94</v>
      </c>
      <c r="S1012">
        <v>104.63</v>
      </c>
    </row>
    <row r="1013" spans="1:19" x14ac:dyDescent="0.25">
      <c r="A1013" t="s">
        <v>8680</v>
      </c>
      <c r="B1013" s="1">
        <v>45026</v>
      </c>
      <c r="C1013" t="s">
        <v>8479</v>
      </c>
      <c r="D1013" t="s">
        <v>63</v>
      </c>
      <c r="E1013" t="s">
        <v>24</v>
      </c>
      <c r="F1013" t="s">
        <v>200</v>
      </c>
      <c r="G1013">
        <v>30</v>
      </c>
      <c r="H1013" t="s">
        <v>188</v>
      </c>
      <c r="I1013" t="s">
        <v>189</v>
      </c>
      <c r="J1013" t="s">
        <v>201</v>
      </c>
      <c r="K1013" t="s">
        <v>8681</v>
      </c>
      <c r="R1013">
        <v>100</v>
      </c>
    </row>
    <row r="1014" spans="1:19" x14ac:dyDescent="0.25">
      <c r="A1014" t="s">
        <v>8682</v>
      </c>
      <c r="B1014" s="1">
        <v>45026</v>
      </c>
      <c r="C1014" t="s">
        <v>2967</v>
      </c>
      <c r="D1014" t="s">
        <v>63</v>
      </c>
      <c r="E1014" t="s">
        <v>24</v>
      </c>
      <c r="F1014" t="s">
        <v>323</v>
      </c>
      <c r="G1014">
        <v>45</v>
      </c>
      <c r="H1014" t="s">
        <v>26</v>
      </c>
      <c r="I1014" t="s">
        <v>370</v>
      </c>
      <c r="J1014" t="s">
        <v>5119</v>
      </c>
      <c r="K1014" t="s">
        <v>8683</v>
      </c>
      <c r="L1014">
        <v>296</v>
      </c>
      <c r="M1014">
        <v>110</v>
      </c>
      <c r="N1014" s="2">
        <v>0.38</v>
      </c>
      <c r="O1014">
        <v>85</v>
      </c>
      <c r="P1014">
        <v>16.72</v>
      </c>
      <c r="Q1014">
        <v>12.53</v>
      </c>
      <c r="R1014">
        <v>502</v>
      </c>
      <c r="S1014">
        <v>162.52000000000001</v>
      </c>
    </row>
    <row r="1015" spans="1:19" x14ac:dyDescent="0.25">
      <c r="A1015" t="s">
        <v>8684</v>
      </c>
      <c r="B1015" s="1">
        <v>45026</v>
      </c>
      <c r="C1015" t="s">
        <v>6409</v>
      </c>
      <c r="D1015" t="s">
        <v>63</v>
      </c>
      <c r="E1015" t="s">
        <v>24</v>
      </c>
      <c r="F1015" t="s">
        <v>2833</v>
      </c>
      <c r="G1015">
        <v>5</v>
      </c>
      <c r="H1015" t="s">
        <v>26</v>
      </c>
      <c r="I1015" t="s">
        <v>358</v>
      </c>
      <c r="J1015" t="s">
        <v>359</v>
      </c>
      <c r="K1015" t="s">
        <v>8685</v>
      </c>
      <c r="L1015">
        <v>18</v>
      </c>
      <c r="M1015">
        <v>59</v>
      </c>
      <c r="N1015" s="2">
        <v>0.3</v>
      </c>
      <c r="O1015">
        <v>83</v>
      </c>
      <c r="P1015">
        <v>12.97</v>
      </c>
      <c r="Q1015">
        <v>1.08</v>
      </c>
      <c r="R1015">
        <v>23</v>
      </c>
      <c r="S1015">
        <v>107.04</v>
      </c>
    </row>
    <row r="1016" spans="1:19" x14ac:dyDescent="0.25">
      <c r="A1016" t="s">
        <v>8686</v>
      </c>
      <c r="B1016" s="1">
        <v>45026</v>
      </c>
      <c r="C1016" t="s">
        <v>5414</v>
      </c>
      <c r="D1016" t="s">
        <v>63</v>
      </c>
      <c r="E1016" t="s">
        <v>24</v>
      </c>
      <c r="F1016" t="s">
        <v>2256</v>
      </c>
      <c r="G1016">
        <v>10</v>
      </c>
      <c r="H1016" t="s">
        <v>194</v>
      </c>
      <c r="I1016" t="s">
        <v>195</v>
      </c>
      <c r="J1016" t="s">
        <v>5762</v>
      </c>
      <c r="K1016" t="s">
        <v>8687</v>
      </c>
      <c r="R1016">
        <v>43</v>
      </c>
      <c r="S1016">
        <v>102.36</v>
      </c>
    </row>
    <row r="1017" spans="1:19" x14ac:dyDescent="0.25">
      <c r="A1017" t="s">
        <v>8688</v>
      </c>
      <c r="B1017" s="1">
        <v>45026</v>
      </c>
      <c r="C1017" t="s">
        <v>1865</v>
      </c>
      <c r="D1017" t="s">
        <v>63</v>
      </c>
      <c r="E1017" t="s">
        <v>24</v>
      </c>
      <c r="F1017" t="s">
        <v>237</v>
      </c>
      <c r="G1017">
        <v>10</v>
      </c>
      <c r="H1017" t="s">
        <v>188</v>
      </c>
      <c r="I1017" t="s">
        <v>238</v>
      </c>
      <c r="J1017" t="s">
        <v>7679</v>
      </c>
      <c r="K1017" t="s">
        <v>8689</v>
      </c>
      <c r="R1017">
        <v>36</v>
      </c>
      <c r="S1017">
        <v>98.09</v>
      </c>
    </row>
    <row r="1018" spans="1:19" x14ac:dyDescent="0.25">
      <c r="A1018" t="s">
        <v>8690</v>
      </c>
      <c r="B1018" s="1">
        <v>45026</v>
      </c>
      <c r="C1018" t="s">
        <v>2015</v>
      </c>
      <c r="D1018" t="s">
        <v>63</v>
      </c>
      <c r="E1018" t="s">
        <v>24</v>
      </c>
      <c r="F1018" t="s">
        <v>208</v>
      </c>
      <c r="G1018">
        <v>10</v>
      </c>
      <c r="H1018" t="s">
        <v>464</v>
      </c>
      <c r="I1018" t="s">
        <v>579</v>
      </c>
      <c r="J1018" t="s">
        <v>602</v>
      </c>
      <c r="K1018" t="s">
        <v>8691</v>
      </c>
    </row>
    <row r="1019" spans="1:19" x14ac:dyDescent="0.25">
      <c r="A1019" t="s">
        <v>8734</v>
      </c>
      <c r="B1019" s="1">
        <v>45033</v>
      </c>
      <c r="C1019" t="s">
        <v>5075</v>
      </c>
      <c r="D1019" t="s">
        <v>63</v>
      </c>
      <c r="E1019" t="s">
        <v>24</v>
      </c>
      <c r="F1019" t="s">
        <v>200</v>
      </c>
      <c r="G1019">
        <v>30</v>
      </c>
      <c r="H1019" t="s">
        <v>188</v>
      </c>
      <c r="I1019" t="s">
        <v>189</v>
      </c>
      <c r="J1019" t="s">
        <v>8735</v>
      </c>
      <c r="K1019" t="s">
        <v>8736</v>
      </c>
      <c r="R1019">
        <v>101</v>
      </c>
    </row>
    <row r="1020" spans="1:19" x14ac:dyDescent="0.25">
      <c r="A1020" t="s">
        <v>8737</v>
      </c>
      <c r="B1020" s="1">
        <v>45033</v>
      </c>
      <c r="C1020" t="s">
        <v>8485</v>
      </c>
      <c r="D1020" t="s">
        <v>63</v>
      </c>
      <c r="E1020" t="s">
        <v>24</v>
      </c>
      <c r="F1020" t="s">
        <v>8738</v>
      </c>
      <c r="G1020">
        <v>45</v>
      </c>
      <c r="H1020" t="s">
        <v>26</v>
      </c>
      <c r="I1020" t="s">
        <v>8739</v>
      </c>
      <c r="J1020" t="s">
        <v>8740</v>
      </c>
      <c r="K1020" t="s">
        <v>8741</v>
      </c>
      <c r="L1020">
        <v>317</v>
      </c>
      <c r="M1020">
        <v>117</v>
      </c>
      <c r="N1020" s="2">
        <v>0.37</v>
      </c>
      <c r="O1020">
        <v>89</v>
      </c>
      <c r="P1020">
        <v>17.079999999999998</v>
      </c>
      <c r="Q1020">
        <v>12.81</v>
      </c>
      <c r="R1020">
        <v>451</v>
      </c>
      <c r="S1020">
        <v>152.66</v>
      </c>
    </row>
    <row r="1021" spans="1:19" x14ac:dyDescent="0.25">
      <c r="A1021" t="s">
        <v>8742</v>
      </c>
      <c r="B1021" s="1">
        <v>45033</v>
      </c>
      <c r="C1021" t="s">
        <v>8743</v>
      </c>
      <c r="D1021" t="s">
        <v>63</v>
      </c>
      <c r="E1021" t="s">
        <v>24</v>
      </c>
      <c r="F1021" t="s">
        <v>305</v>
      </c>
      <c r="G1021">
        <v>10</v>
      </c>
      <c r="H1021" t="s">
        <v>194</v>
      </c>
      <c r="I1021" t="s">
        <v>195</v>
      </c>
      <c r="J1021" t="s">
        <v>211</v>
      </c>
      <c r="K1021" t="s">
        <v>8744</v>
      </c>
      <c r="R1021">
        <v>61</v>
      </c>
      <c r="S1021">
        <v>118.27</v>
      </c>
    </row>
    <row r="1022" spans="1:19" x14ac:dyDescent="0.25">
      <c r="A1022" t="s">
        <v>8745</v>
      </c>
      <c r="B1022" s="1">
        <v>45033</v>
      </c>
      <c r="C1022" t="s">
        <v>8746</v>
      </c>
      <c r="D1022" t="s">
        <v>63</v>
      </c>
      <c r="E1022" t="s">
        <v>24</v>
      </c>
      <c r="F1022" t="s">
        <v>243</v>
      </c>
      <c r="G1022">
        <v>5</v>
      </c>
      <c r="H1022" t="s">
        <v>49</v>
      </c>
      <c r="I1022" t="s">
        <v>50</v>
      </c>
      <c r="J1022" t="s">
        <v>51</v>
      </c>
      <c r="K1022" t="s">
        <v>8747</v>
      </c>
      <c r="R1022">
        <v>19</v>
      </c>
      <c r="S1022">
        <v>99.54</v>
      </c>
    </row>
    <row r="1023" spans="1:19" x14ac:dyDescent="0.25">
      <c r="A1023" t="s">
        <v>8748</v>
      </c>
      <c r="B1023" s="1">
        <v>45033</v>
      </c>
      <c r="C1023" t="s">
        <v>2059</v>
      </c>
      <c r="D1023" t="s">
        <v>63</v>
      </c>
      <c r="E1023" t="s">
        <v>24</v>
      </c>
      <c r="F1023" t="s">
        <v>215</v>
      </c>
      <c r="G1023">
        <v>10</v>
      </c>
      <c r="H1023" t="s">
        <v>464</v>
      </c>
      <c r="I1023" t="s">
        <v>579</v>
      </c>
      <c r="J1023" t="s">
        <v>1470</v>
      </c>
      <c r="K1023" t="s">
        <v>8749</v>
      </c>
    </row>
    <row r="1024" spans="1:19" x14ac:dyDescent="0.25">
      <c r="A1024" t="s">
        <v>8799</v>
      </c>
      <c r="B1024" s="1">
        <v>45040</v>
      </c>
      <c r="C1024" t="s">
        <v>523</v>
      </c>
      <c r="D1024" t="s">
        <v>63</v>
      </c>
      <c r="E1024" t="s">
        <v>24</v>
      </c>
      <c r="F1024" t="s">
        <v>237</v>
      </c>
      <c r="G1024">
        <v>30</v>
      </c>
      <c r="H1024" t="s">
        <v>188</v>
      </c>
      <c r="I1024" t="s">
        <v>189</v>
      </c>
      <c r="J1024" t="s">
        <v>201</v>
      </c>
      <c r="K1024" t="s">
        <v>8356</v>
      </c>
      <c r="R1024">
        <v>99</v>
      </c>
    </row>
    <row r="1025" spans="1:19" x14ac:dyDescent="0.25">
      <c r="A1025" t="s">
        <v>8800</v>
      </c>
      <c r="B1025" s="1">
        <v>45040</v>
      </c>
      <c r="C1025" t="s">
        <v>4310</v>
      </c>
      <c r="D1025" t="s">
        <v>63</v>
      </c>
      <c r="G1025">
        <v>40</v>
      </c>
      <c r="H1025" t="s">
        <v>1856</v>
      </c>
      <c r="J1025" t="s">
        <v>8801</v>
      </c>
      <c r="L1025">
        <v>0</v>
      </c>
      <c r="P1025">
        <v>2.98</v>
      </c>
      <c r="Q1025">
        <v>1.95</v>
      </c>
      <c r="R1025">
        <v>266</v>
      </c>
      <c r="S1025">
        <v>123.57</v>
      </c>
    </row>
    <row r="1026" spans="1:19" x14ac:dyDescent="0.25">
      <c r="A1026" t="s">
        <v>8802</v>
      </c>
      <c r="B1026" s="1">
        <v>45040</v>
      </c>
      <c r="C1026" t="s">
        <v>2941</v>
      </c>
      <c r="D1026" t="s">
        <v>63</v>
      </c>
      <c r="E1026" t="s">
        <v>24</v>
      </c>
      <c r="F1026" t="s">
        <v>2256</v>
      </c>
      <c r="G1026">
        <v>20</v>
      </c>
      <c r="H1026" t="s">
        <v>194</v>
      </c>
      <c r="I1026" t="s">
        <v>1445</v>
      </c>
      <c r="J1026" t="s">
        <v>3313</v>
      </c>
      <c r="K1026" t="s">
        <v>8803</v>
      </c>
      <c r="R1026">
        <v>112</v>
      </c>
      <c r="S1026">
        <v>113.56</v>
      </c>
    </row>
    <row r="1027" spans="1:19" x14ac:dyDescent="0.25">
      <c r="A1027" t="s">
        <v>8804</v>
      </c>
      <c r="B1027" s="1">
        <v>45040</v>
      </c>
      <c r="C1027" t="s">
        <v>5362</v>
      </c>
      <c r="D1027" t="s">
        <v>63</v>
      </c>
      <c r="E1027" t="s">
        <v>24</v>
      </c>
      <c r="F1027" t="s">
        <v>1203</v>
      </c>
      <c r="G1027">
        <v>10</v>
      </c>
      <c r="H1027" t="s">
        <v>194</v>
      </c>
      <c r="I1027" t="s">
        <v>195</v>
      </c>
      <c r="J1027" t="s">
        <v>211</v>
      </c>
      <c r="K1027" t="s">
        <v>8805</v>
      </c>
      <c r="R1027">
        <v>53</v>
      </c>
      <c r="S1027">
        <v>111.12</v>
      </c>
    </row>
    <row r="1028" spans="1:19" x14ac:dyDescent="0.25">
      <c r="A1028" t="s">
        <v>8806</v>
      </c>
      <c r="B1028" s="1">
        <v>45040</v>
      </c>
      <c r="C1028" t="s">
        <v>1375</v>
      </c>
      <c r="D1028" t="s">
        <v>63</v>
      </c>
      <c r="E1028" t="s">
        <v>24</v>
      </c>
      <c r="F1028" t="s">
        <v>2708</v>
      </c>
      <c r="G1028">
        <v>15</v>
      </c>
      <c r="H1028" t="s">
        <v>464</v>
      </c>
      <c r="I1028" t="s">
        <v>579</v>
      </c>
      <c r="J1028" t="s">
        <v>4321</v>
      </c>
      <c r="K1028" t="s">
        <v>8807</v>
      </c>
    </row>
    <row r="1029" spans="1:19" x14ac:dyDescent="0.25">
      <c r="A1029" t="s">
        <v>8846</v>
      </c>
      <c r="B1029" s="1">
        <v>45047</v>
      </c>
      <c r="C1029" t="s">
        <v>5544</v>
      </c>
      <c r="D1029" t="s">
        <v>63</v>
      </c>
      <c r="G1029">
        <v>44</v>
      </c>
      <c r="H1029" t="s">
        <v>1856</v>
      </c>
      <c r="J1029" t="s">
        <v>8847</v>
      </c>
      <c r="L1029">
        <v>0</v>
      </c>
      <c r="P1029">
        <v>3.02</v>
      </c>
      <c r="Q1029">
        <v>2.04</v>
      </c>
      <c r="R1029">
        <v>254</v>
      </c>
      <c r="S1029">
        <v>114.89</v>
      </c>
    </row>
    <row r="1030" spans="1:19" x14ac:dyDescent="0.25">
      <c r="A1030" t="s">
        <v>8848</v>
      </c>
      <c r="B1030" s="1">
        <v>45047</v>
      </c>
      <c r="C1030" t="s">
        <v>2893</v>
      </c>
      <c r="D1030" t="s">
        <v>63</v>
      </c>
      <c r="E1030" t="s">
        <v>24</v>
      </c>
      <c r="F1030" t="s">
        <v>2256</v>
      </c>
      <c r="G1030">
        <v>15</v>
      </c>
      <c r="H1030" t="s">
        <v>194</v>
      </c>
      <c r="I1030" t="s">
        <v>195</v>
      </c>
      <c r="J1030" t="s">
        <v>6498</v>
      </c>
      <c r="K1030" t="s">
        <v>8849</v>
      </c>
      <c r="R1030">
        <v>80</v>
      </c>
      <c r="S1030">
        <v>111.93</v>
      </c>
    </row>
    <row r="1031" spans="1:19" x14ac:dyDescent="0.25">
      <c r="A1031" t="s">
        <v>8850</v>
      </c>
      <c r="B1031" s="1">
        <v>45047</v>
      </c>
      <c r="C1031" t="s">
        <v>3152</v>
      </c>
      <c r="D1031" t="s">
        <v>63</v>
      </c>
      <c r="E1031" t="s">
        <v>24</v>
      </c>
      <c r="F1031" t="s">
        <v>323</v>
      </c>
      <c r="G1031">
        <v>60</v>
      </c>
      <c r="H1031" t="s">
        <v>26</v>
      </c>
      <c r="I1031" t="s">
        <v>370</v>
      </c>
      <c r="J1031" t="s">
        <v>646</v>
      </c>
      <c r="K1031" t="s">
        <v>8851</v>
      </c>
      <c r="L1031">
        <v>401</v>
      </c>
      <c r="M1031">
        <v>111</v>
      </c>
      <c r="N1031" s="2">
        <v>0.4</v>
      </c>
      <c r="O1031">
        <v>82</v>
      </c>
      <c r="P1031">
        <v>16.63</v>
      </c>
      <c r="Q1031">
        <v>16.62</v>
      </c>
      <c r="R1031">
        <v>568</v>
      </c>
      <c r="S1031">
        <v>147.79</v>
      </c>
    </row>
    <row r="1032" spans="1:19" x14ac:dyDescent="0.25">
      <c r="A1032" t="s">
        <v>8852</v>
      </c>
      <c r="B1032" s="1">
        <v>45047</v>
      </c>
      <c r="C1032" t="s">
        <v>2135</v>
      </c>
      <c r="D1032" t="s">
        <v>63</v>
      </c>
      <c r="E1032" t="s">
        <v>24</v>
      </c>
      <c r="F1032" t="s">
        <v>243</v>
      </c>
      <c r="G1032">
        <v>20</v>
      </c>
      <c r="H1032" t="s">
        <v>188</v>
      </c>
      <c r="I1032" t="s">
        <v>238</v>
      </c>
      <c r="J1032" t="s">
        <v>8844</v>
      </c>
      <c r="K1032" t="s">
        <v>8853</v>
      </c>
      <c r="R1032">
        <v>71</v>
      </c>
      <c r="S1032">
        <v>96.29</v>
      </c>
    </row>
    <row r="1033" spans="1:19" x14ac:dyDescent="0.25">
      <c r="A1033" t="s">
        <v>8854</v>
      </c>
      <c r="B1033" s="1">
        <v>45047</v>
      </c>
      <c r="C1033" t="s">
        <v>1637</v>
      </c>
      <c r="D1033" t="s">
        <v>63</v>
      </c>
      <c r="E1033" t="s">
        <v>24</v>
      </c>
      <c r="F1033" t="s">
        <v>208</v>
      </c>
      <c r="G1033">
        <v>15</v>
      </c>
      <c r="H1033" t="s">
        <v>464</v>
      </c>
      <c r="I1033" t="s">
        <v>763</v>
      </c>
      <c r="J1033" t="s">
        <v>2508</v>
      </c>
      <c r="K1033" t="s">
        <v>8855</v>
      </c>
    </row>
    <row r="1034" spans="1:19" x14ac:dyDescent="0.25">
      <c r="A1034" t="s">
        <v>8880</v>
      </c>
      <c r="B1034" s="1">
        <v>45054</v>
      </c>
      <c r="C1034" t="s">
        <v>444</v>
      </c>
      <c r="D1034" t="s">
        <v>63</v>
      </c>
      <c r="E1034" t="s">
        <v>24</v>
      </c>
      <c r="F1034" t="s">
        <v>200</v>
      </c>
      <c r="G1034">
        <v>20</v>
      </c>
      <c r="H1034" t="s">
        <v>188</v>
      </c>
      <c r="I1034" t="s">
        <v>238</v>
      </c>
      <c r="J1034" t="s">
        <v>796</v>
      </c>
      <c r="K1034" t="s">
        <v>8881</v>
      </c>
      <c r="R1034">
        <v>52</v>
      </c>
    </row>
    <row r="1035" spans="1:19" x14ac:dyDescent="0.25">
      <c r="A1035" t="s">
        <v>8882</v>
      </c>
      <c r="B1035" s="1">
        <v>45054</v>
      </c>
      <c r="C1035" t="s">
        <v>5556</v>
      </c>
      <c r="D1035" t="s">
        <v>63</v>
      </c>
      <c r="E1035" t="s">
        <v>24</v>
      </c>
      <c r="F1035" t="s">
        <v>2256</v>
      </c>
      <c r="G1035">
        <v>30</v>
      </c>
      <c r="H1035" t="s">
        <v>194</v>
      </c>
      <c r="I1035" t="s">
        <v>1445</v>
      </c>
      <c r="J1035" t="s">
        <v>8883</v>
      </c>
      <c r="K1035" t="s">
        <v>8884</v>
      </c>
      <c r="R1035">
        <v>141</v>
      </c>
      <c r="S1035">
        <v>107.54</v>
      </c>
    </row>
    <row r="1036" spans="1:19" x14ac:dyDescent="0.25">
      <c r="A1036" t="s">
        <v>8885</v>
      </c>
      <c r="B1036" s="1">
        <v>45054</v>
      </c>
      <c r="C1036" t="s">
        <v>6029</v>
      </c>
      <c r="D1036" t="s">
        <v>63</v>
      </c>
      <c r="E1036" t="s">
        <v>24</v>
      </c>
      <c r="F1036" t="s">
        <v>180</v>
      </c>
      <c r="G1036">
        <v>20</v>
      </c>
      <c r="H1036" t="s">
        <v>194</v>
      </c>
      <c r="I1036" t="s">
        <v>195</v>
      </c>
      <c r="J1036" t="s">
        <v>2247</v>
      </c>
      <c r="K1036" t="s">
        <v>8886</v>
      </c>
      <c r="R1036">
        <v>92</v>
      </c>
      <c r="S1036">
        <v>104.73</v>
      </c>
    </row>
    <row r="1037" spans="1:19" x14ac:dyDescent="0.25">
      <c r="A1037" t="s">
        <v>8887</v>
      </c>
      <c r="B1037" s="1">
        <v>45054</v>
      </c>
      <c r="C1037" t="s">
        <v>1784</v>
      </c>
      <c r="D1037" t="s">
        <v>63</v>
      </c>
      <c r="E1037" t="s">
        <v>24</v>
      </c>
      <c r="F1037" t="s">
        <v>208</v>
      </c>
      <c r="G1037">
        <v>10</v>
      </c>
      <c r="H1037" t="s">
        <v>464</v>
      </c>
      <c r="I1037" t="s">
        <v>579</v>
      </c>
      <c r="J1037" t="s">
        <v>8888</v>
      </c>
      <c r="K1037" t="s">
        <v>8889</v>
      </c>
    </row>
    <row r="1038" spans="1:19" x14ac:dyDescent="0.25">
      <c r="A1038" t="s">
        <v>8929</v>
      </c>
      <c r="B1038" s="1">
        <v>45061</v>
      </c>
      <c r="C1038" t="s">
        <v>1761</v>
      </c>
      <c r="D1038" t="s">
        <v>63</v>
      </c>
      <c r="E1038" t="s">
        <v>24</v>
      </c>
      <c r="F1038" t="s">
        <v>243</v>
      </c>
      <c r="G1038">
        <v>30</v>
      </c>
      <c r="H1038" t="s">
        <v>188</v>
      </c>
      <c r="I1038" t="s">
        <v>189</v>
      </c>
      <c r="J1038" t="s">
        <v>201</v>
      </c>
      <c r="K1038" t="s">
        <v>8930</v>
      </c>
      <c r="R1038">
        <v>95</v>
      </c>
    </row>
    <row r="1039" spans="1:19" x14ac:dyDescent="0.25">
      <c r="A1039" t="s">
        <v>8961</v>
      </c>
      <c r="B1039" s="1">
        <v>45068</v>
      </c>
      <c r="C1039" t="s">
        <v>4369</v>
      </c>
      <c r="D1039" t="s">
        <v>63</v>
      </c>
      <c r="E1039" t="s">
        <v>24</v>
      </c>
      <c r="F1039" t="s">
        <v>459</v>
      </c>
      <c r="G1039">
        <v>10</v>
      </c>
      <c r="H1039" t="s">
        <v>464</v>
      </c>
      <c r="I1039" t="s">
        <v>579</v>
      </c>
      <c r="J1039" t="s">
        <v>8888</v>
      </c>
      <c r="K1039" t="s">
        <v>8962</v>
      </c>
    </row>
    <row r="1040" spans="1:19" x14ac:dyDescent="0.25">
      <c r="A1040" t="s">
        <v>9007</v>
      </c>
      <c r="B1040" s="1">
        <v>45075</v>
      </c>
      <c r="C1040" t="s">
        <v>3699</v>
      </c>
      <c r="D1040" t="s">
        <v>63</v>
      </c>
      <c r="E1040" t="s">
        <v>24</v>
      </c>
      <c r="F1040" t="s">
        <v>208</v>
      </c>
      <c r="G1040">
        <v>10</v>
      </c>
      <c r="H1040" t="s">
        <v>464</v>
      </c>
      <c r="I1040" t="s">
        <v>763</v>
      </c>
      <c r="J1040" t="s">
        <v>914</v>
      </c>
      <c r="K1040" t="s">
        <v>9008</v>
      </c>
    </row>
    <row r="1041" spans="1:19" x14ac:dyDescent="0.25">
      <c r="A1041" t="s">
        <v>9038</v>
      </c>
      <c r="B1041" s="1">
        <v>45082</v>
      </c>
      <c r="C1041" t="s">
        <v>8817</v>
      </c>
      <c r="D1041" t="s">
        <v>63</v>
      </c>
      <c r="E1041" t="s">
        <v>24</v>
      </c>
      <c r="F1041" t="s">
        <v>243</v>
      </c>
      <c r="G1041">
        <v>45</v>
      </c>
      <c r="H1041" t="s">
        <v>188</v>
      </c>
      <c r="I1041" t="s">
        <v>254</v>
      </c>
      <c r="J1041" t="s">
        <v>1741</v>
      </c>
      <c r="K1041" t="s">
        <v>9039</v>
      </c>
      <c r="R1041">
        <v>135</v>
      </c>
    </row>
    <row r="1042" spans="1:19" x14ac:dyDescent="0.25">
      <c r="A1042" t="s">
        <v>9040</v>
      </c>
      <c r="B1042" s="1">
        <v>45082</v>
      </c>
      <c r="C1042" t="s">
        <v>9041</v>
      </c>
      <c r="D1042" t="s">
        <v>63</v>
      </c>
      <c r="G1042">
        <v>45</v>
      </c>
      <c r="H1042" t="s">
        <v>1856</v>
      </c>
      <c r="J1042" t="s">
        <v>9042</v>
      </c>
      <c r="L1042">
        <v>0</v>
      </c>
      <c r="P1042">
        <v>2.94</v>
      </c>
      <c r="Q1042">
        <v>2.06</v>
      </c>
      <c r="R1042">
        <v>276</v>
      </c>
      <c r="S1042">
        <v>118.35</v>
      </c>
    </row>
    <row r="1043" spans="1:19" x14ac:dyDescent="0.25">
      <c r="A1043" t="s">
        <v>9043</v>
      </c>
      <c r="B1043" s="1">
        <v>45082</v>
      </c>
      <c r="C1043" t="s">
        <v>6095</v>
      </c>
      <c r="D1043" t="s">
        <v>63</v>
      </c>
      <c r="E1043" t="s">
        <v>24</v>
      </c>
      <c r="F1043" t="s">
        <v>354</v>
      </c>
      <c r="G1043">
        <v>30</v>
      </c>
      <c r="H1043" t="s">
        <v>194</v>
      </c>
      <c r="I1043" t="s">
        <v>1445</v>
      </c>
      <c r="J1043" t="s">
        <v>8901</v>
      </c>
      <c r="K1043" t="s">
        <v>9044</v>
      </c>
      <c r="R1043">
        <v>157</v>
      </c>
      <c r="S1043">
        <v>107.55</v>
      </c>
    </row>
    <row r="1044" spans="1:19" x14ac:dyDescent="0.25">
      <c r="A1044" t="s">
        <v>9045</v>
      </c>
      <c r="B1044" s="1">
        <v>45082</v>
      </c>
      <c r="C1044" t="s">
        <v>251</v>
      </c>
      <c r="D1044" t="s">
        <v>63</v>
      </c>
      <c r="E1044" t="s">
        <v>24</v>
      </c>
      <c r="F1044" t="s">
        <v>459</v>
      </c>
      <c r="G1044">
        <v>20</v>
      </c>
      <c r="H1044" t="s">
        <v>464</v>
      </c>
      <c r="I1044" t="s">
        <v>763</v>
      </c>
      <c r="J1044" t="s">
        <v>2732</v>
      </c>
      <c r="K1044" t="s">
        <v>9046</v>
      </c>
    </row>
    <row r="1045" spans="1:19" x14ac:dyDescent="0.25">
      <c r="A1045" t="s">
        <v>9084</v>
      </c>
      <c r="B1045" s="1">
        <v>45089</v>
      </c>
      <c r="C1045" t="s">
        <v>1658</v>
      </c>
      <c r="D1045" t="s">
        <v>63</v>
      </c>
      <c r="E1045" t="s">
        <v>24</v>
      </c>
      <c r="F1045" t="s">
        <v>215</v>
      </c>
      <c r="G1045">
        <v>15</v>
      </c>
      <c r="H1045" t="s">
        <v>464</v>
      </c>
      <c r="I1045" t="s">
        <v>943</v>
      </c>
      <c r="J1045" t="s">
        <v>1709</v>
      </c>
      <c r="K1045" t="s">
        <v>9085</v>
      </c>
    </row>
    <row r="1046" spans="1:19" x14ac:dyDescent="0.25">
      <c r="A1046" t="s">
        <v>9105</v>
      </c>
      <c r="B1046" s="1">
        <v>45096</v>
      </c>
      <c r="C1046" t="s">
        <v>5757</v>
      </c>
      <c r="D1046" t="s">
        <v>63</v>
      </c>
      <c r="E1046" t="s">
        <v>24</v>
      </c>
      <c r="F1046" t="s">
        <v>323</v>
      </c>
      <c r="G1046">
        <v>45</v>
      </c>
      <c r="H1046" t="s">
        <v>26</v>
      </c>
      <c r="I1046" t="s">
        <v>370</v>
      </c>
      <c r="J1046" t="s">
        <v>4001</v>
      </c>
      <c r="K1046" t="s">
        <v>8655</v>
      </c>
      <c r="L1046">
        <v>301</v>
      </c>
      <c r="M1046">
        <v>111</v>
      </c>
      <c r="N1046" s="2">
        <v>0.38</v>
      </c>
      <c r="O1046">
        <v>86</v>
      </c>
      <c r="P1046">
        <v>16.84</v>
      </c>
      <c r="Q1046">
        <v>12.63</v>
      </c>
      <c r="R1046">
        <v>381</v>
      </c>
      <c r="S1046">
        <v>138.61000000000001</v>
      </c>
    </row>
    <row r="1047" spans="1:19" x14ac:dyDescent="0.25">
      <c r="A1047" t="s">
        <v>9106</v>
      </c>
      <c r="B1047" s="1">
        <v>45096</v>
      </c>
      <c r="C1047" t="s">
        <v>9107</v>
      </c>
      <c r="D1047" t="s">
        <v>63</v>
      </c>
      <c r="E1047" t="s">
        <v>24</v>
      </c>
      <c r="F1047" t="s">
        <v>354</v>
      </c>
      <c r="G1047">
        <v>10</v>
      </c>
      <c r="H1047" t="s">
        <v>194</v>
      </c>
      <c r="I1047" t="s">
        <v>700</v>
      </c>
      <c r="J1047" t="s">
        <v>1282</v>
      </c>
      <c r="K1047" t="s">
        <v>9108</v>
      </c>
      <c r="R1047">
        <v>45</v>
      </c>
      <c r="S1047">
        <v>104.2</v>
      </c>
    </row>
    <row r="1048" spans="1:19" x14ac:dyDescent="0.25">
      <c r="A1048" t="s">
        <v>9109</v>
      </c>
      <c r="B1048" s="1">
        <v>45096</v>
      </c>
      <c r="C1048" t="s">
        <v>8500</v>
      </c>
      <c r="D1048" t="s">
        <v>63</v>
      </c>
      <c r="E1048" t="s">
        <v>24</v>
      </c>
      <c r="F1048" t="s">
        <v>180</v>
      </c>
      <c r="G1048">
        <v>10</v>
      </c>
      <c r="H1048" t="s">
        <v>194</v>
      </c>
      <c r="I1048" t="s">
        <v>195</v>
      </c>
      <c r="J1048" t="s">
        <v>211</v>
      </c>
      <c r="K1048" t="s">
        <v>9110</v>
      </c>
      <c r="R1048">
        <v>38</v>
      </c>
      <c r="S1048">
        <v>94.05</v>
      </c>
    </row>
    <row r="1049" spans="1:19" x14ac:dyDescent="0.25">
      <c r="A1049" t="s">
        <v>9141</v>
      </c>
      <c r="B1049" s="1">
        <v>45103</v>
      </c>
      <c r="C1049" t="s">
        <v>711</v>
      </c>
      <c r="D1049" t="s">
        <v>63</v>
      </c>
      <c r="E1049" t="s">
        <v>24</v>
      </c>
      <c r="F1049" t="s">
        <v>200</v>
      </c>
      <c r="G1049">
        <v>30</v>
      </c>
      <c r="H1049" t="s">
        <v>188</v>
      </c>
      <c r="I1049" t="s">
        <v>189</v>
      </c>
      <c r="J1049" t="s">
        <v>201</v>
      </c>
      <c r="K1049" t="s">
        <v>9142</v>
      </c>
      <c r="R1049">
        <v>95</v>
      </c>
    </row>
    <row r="1050" spans="1:19" x14ac:dyDescent="0.25">
      <c r="A1050" t="s">
        <v>9143</v>
      </c>
      <c r="B1050" s="1">
        <v>45103</v>
      </c>
      <c r="C1050" t="s">
        <v>9144</v>
      </c>
      <c r="D1050" t="s">
        <v>63</v>
      </c>
      <c r="E1050" t="s">
        <v>24</v>
      </c>
      <c r="F1050" t="s">
        <v>243</v>
      </c>
      <c r="G1050">
        <v>60</v>
      </c>
      <c r="H1050" t="s">
        <v>26</v>
      </c>
      <c r="I1050" t="s">
        <v>370</v>
      </c>
      <c r="J1050" t="s">
        <v>498</v>
      </c>
      <c r="K1050" t="s">
        <v>9145</v>
      </c>
      <c r="L1050">
        <v>400</v>
      </c>
      <c r="M1050">
        <v>111</v>
      </c>
      <c r="N1050" s="2">
        <v>0.38</v>
      </c>
      <c r="O1050">
        <v>84</v>
      </c>
      <c r="P1050">
        <v>16.809999999999999</v>
      </c>
      <c r="Q1050">
        <v>16.809999999999999</v>
      </c>
      <c r="R1050">
        <v>554</v>
      </c>
      <c r="S1050">
        <v>145.16999999999999</v>
      </c>
    </row>
    <row r="1051" spans="1:19" x14ac:dyDescent="0.25">
      <c r="A1051" t="s">
        <v>9146</v>
      </c>
      <c r="B1051" s="1">
        <v>45103</v>
      </c>
      <c r="C1051" t="s">
        <v>1683</v>
      </c>
      <c r="D1051" t="s">
        <v>63</v>
      </c>
      <c r="E1051" t="s">
        <v>24</v>
      </c>
      <c r="F1051" t="s">
        <v>180</v>
      </c>
      <c r="G1051">
        <v>5</v>
      </c>
      <c r="H1051" t="s">
        <v>26</v>
      </c>
      <c r="I1051" t="s">
        <v>358</v>
      </c>
      <c r="J1051" t="s">
        <v>359</v>
      </c>
      <c r="K1051" t="s">
        <v>9147</v>
      </c>
      <c r="L1051">
        <v>15</v>
      </c>
      <c r="M1051">
        <v>51</v>
      </c>
      <c r="N1051" s="2">
        <v>0.28999999999999998</v>
      </c>
      <c r="O1051">
        <v>77</v>
      </c>
      <c r="P1051">
        <v>11.92</v>
      </c>
      <c r="Q1051">
        <v>0.99</v>
      </c>
      <c r="R1051">
        <v>31</v>
      </c>
      <c r="S1051">
        <v>120.05</v>
      </c>
    </row>
    <row r="1052" spans="1:19" x14ac:dyDescent="0.25">
      <c r="A1052" t="s">
        <v>9148</v>
      </c>
      <c r="B1052" s="1">
        <v>45103</v>
      </c>
      <c r="C1052" t="s">
        <v>9149</v>
      </c>
      <c r="D1052" t="s">
        <v>63</v>
      </c>
      <c r="E1052" t="s">
        <v>24</v>
      </c>
      <c r="F1052" t="s">
        <v>768</v>
      </c>
      <c r="G1052">
        <v>5</v>
      </c>
      <c r="H1052" t="s">
        <v>49</v>
      </c>
      <c r="I1052" t="s">
        <v>50</v>
      </c>
      <c r="J1052" t="s">
        <v>51</v>
      </c>
      <c r="K1052" t="s">
        <v>9150</v>
      </c>
      <c r="R1052">
        <v>12</v>
      </c>
    </row>
    <row r="1053" spans="1:19" x14ac:dyDescent="0.25">
      <c r="A1053" t="s">
        <v>9151</v>
      </c>
      <c r="B1053" s="1">
        <v>45103</v>
      </c>
      <c r="C1053" t="s">
        <v>1606</v>
      </c>
      <c r="D1053" t="s">
        <v>63</v>
      </c>
      <c r="E1053" t="s">
        <v>24</v>
      </c>
      <c r="F1053" t="s">
        <v>2708</v>
      </c>
      <c r="G1053">
        <v>15</v>
      </c>
      <c r="H1053" t="s">
        <v>464</v>
      </c>
      <c r="I1053" t="s">
        <v>579</v>
      </c>
      <c r="J1053" t="s">
        <v>4991</v>
      </c>
      <c r="K1053" t="s">
        <v>9152</v>
      </c>
    </row>
    <row r="1054" spans="1:19" x14ac:dyDescent="0.25">
      <c r="A1054" t="s">
        <v>9182</v>
      </c>
      <c r="B1054" s="1">
        <v>45110</v>
      </c>
      <c r="C1054" t="s">
        <v>9183</v>
      </c>
      <c r="D1054" t="s">
        <v>63</v>
      </c>
      <c r="E1054" t="s">
        <v>24</v>
      </c>
      <c r="F1054" t="s">
        <v>215</v>
      </c>
      <c r="G1054">
        <v>30</v>
      </c>
      <c r="H1054" t="s">
        <v>188</v>
      </c>
      <c r="I1054" t="s">
        <v>189</v>
      </c>
      <c r="J1054" t="s">
        <v>898</v>
      </c>
      <c r="K1054" t="s">
        <v>9184</v>
      </c>
      <c r="R1054">
        <v>96</v>
      </c>
    </row>
    <row r="1055" spans="1:19" x14ac:dyDescent="0.25">
      <c r="A1055" t="s">
        <v>9185</v>
      </c>
      <c r="B1055" s="1">
        <v>45110</v>
      </c>
      <c r="C1055" t="s">
        <v>9186</v>
      </c>
      <c r="D1055" t="s">
        <v>63</v>
      </c>
      <c r="E1055" t="s">
        <v>24</v>
      </c>
      <c r="F1055" t="s">
        <v>323</v>
      </c>
      <c r="G1055">
        <v>60</v>
      </c>
      <c r="H1055" t="s">
        <v>26</v>
      </c>
      <c r="I1055" t="s">
        <v>370</v>
      </c>
      <c r="J1055" t="s">
        <v>498</v>
      </c>
      <c r="K1055" t="s">
        <v>9187</v>
      </c>
      <c r="L1055">
        <v>417</v>
      </c>
      <c r="M1055">
        <v>116</v>
      </c>
      <c r="N1055" s="2">
        <v>0.4</v>
      </c>
      <c r="O1055">
        <v>83</v>
      </c>
      <c r="P1055">
        <v>17.13</v>
      </c>
      <c r="Q1055">
        <v>17.13</v>
      </c>
      <c r="R1055">
        <v>537</v>
      </c>
      <c r="S1055">
        <v>142.63999999999999</v>
      </c>
    </row>
    <row r="1056" spans="1:19" x14ac:dyDescent="0.25">
      <c r="A1056" t="s">
        <v>9188</v>
      </c>
      <c r="B1056" s="1">
        <v>45110</v>
      </c>
      <c r="C1056" t="s">
        <v>9189</v>
      </c>
      <c r="D1056" t="s">
        <v>63</v>
      </c>
      <c r="E1056" t="s">
        <v>24</v>
      </c>
      <c r="F1056" t="s">
        <v>3250</v>
      </c>
      <c r="G1056">
        <v>10</v>
      </c>
      <c r="H1056" t="s">
        <v>194</v>
      </c>
      <c r="I1056" t="s">
        <v>700</v>
      </c>
      <c r="J1056" t="s">
        <v>1282</v>
      </c>
      <c r="K1056" t="s">
        <v>9190</v>
      </c>
      <c r="R1056">
        <v>57</v>
      </c>
      <c r="S1056">
        <v>113.51</v>
      </c>
    </row>
    <row r="1057" spans="1:19" x14ac:dyDescent="0.25">
      <c r="A1057" t="s">
        <v>9191</v>
      </c>
      <c r="B1057" s="1">
        <v>45110</v>
      </c>
      <c r="C1057" t="s">
        <v>5216</v>
      </c>
      <c r="D1057" t="s">
        <v>63</v>
      </c>
      <c r="E1057" t="s">
        <v>24</v>
      </c>
      <c r="F1057" t="s">
        <v>6030</v>
      </c>
      <c r="G1057">
        <v>10</v>
      </c>
      <c r="H1057" t="s">
        <v>194</v>
      </c>
      <c r="I1057" t="s">
        <v>195</v>
      </c>
      <c r="J1057" t="s">
        <v>211</v>
      </c>
      <c r="K1057" t="s">
        <v>9192</v>
      </c>
      <c r="R1057">
        <v>48</v>
      </c>
      <c r="S1057">
        <v>107.19</v>
      </c>
    </row>
    <row r="1058" spans="1:19" x14ac:dyDescent="0.25">
      <c r="A1058" t="s">
        <v>9193</v>
      </c>
      <c r="B1058" s="1">
        <v>45110</v>
      </c>
      <c r="C1058" t="s">
        <v>6767</v>
      </c>
      <c r="D1058" t="s">
        <v>63</v>
      </c>
      <c r="E1058" t="s">
        <v>24</v>
      </c>
      <c r="F1058" t="s">
        <v>660</v>
      </c>
      <c r="G1058">
        <v>5</v>
      </c>
      <c r="H1058" t="s">
        <v>49</v>
      </c>
      <c r="I1058" t="s">
        <v>50</v>
      </c>
      <c r="J1058" t="s">
        <v>51</v>
      </c>
      <c r="K1058" t="s">
        <v>9194</v>
      </c>
      <c r="R1058">
        <v>18</v>
      </c>
      <c r="S1058">
        <v>96.54</v>
      </c>
    </row>
    <row r="1059" spans="1:19" x14ac:dyDescent="0.25">
      <c r="A1059" t="s">
        <v>9195</v>
      </c>
      <c r="B1059" s="1">
        <v>45110</v>
      </c>
      <c r="C1059" t="s">
        <v>2804</v>
      </c>
      <c r="D1059" t="s">
        <v>63</v>
      </c>
      <c r="E1059" t="s">
        <v>24</v>
      </c>
      <c r="F1059" t="s">
        <v>2708</v>
      </c>
      <c r="G1059">
        <v>10</v>
      </c>
      <c r="H1059" t="s">
        <v>464</v>
      </c>
      <c r="I1059" t="s">
        <v>1571</v>
      </c>
      <c r="J1059" t="s">
        <v>6921</v>
      </c>
      <c r="K1059" t="s">
        <v>9196</v>
      </c>
    </row>
    <row r="1060" spans="1:19" x14ac:dyDescent="0.25">
      <c r="A1060" t="s">
        <v>9236</v>
      </c>
      <c r="B1060" s="1">
        <v>45117</v>
      </c>
      <c r="C1060" t="s">
        <v>9237</v>
      </c>
      <c r="D1060" t="s">
        <v>63</v>
      </c>
      <c r="E1060" t="s">
        <v>24</v>
      </c>
      <c r="F1060" t="s">
        <v>215</v>
      </c>
      <c r="G1060">
        <v>10</v>
      </c>
      <c r="H1060" t="s">
        <v>464</v>
      </c>
      <c r="I1060" t="s">
        <v>1617</v>
      </c>
      <c r="J1060" t="s">
        <v>3543</v>
      </c>
      <c r="K1060" t="s">
        <v>9238</v>
      </c>
    </row>
    <row r="1061" spans="1:19" x14ac:dyDescent="0.25">
      <c r="A1061" t="s">
        <v>9239</v>
      </c>
      <c r="B1061" s="1">
        <v>45117</v>
      </c>
      <c r="C1061" t="s">
        <v>444</v>
      </c>
      <c r="D1061" t="s">
        <v>63</v>
      </c>
      <c r="E1061" t="s">
        <v>24</v>
      </c>
      <c r="F1061" t="s">
        <v>215</v>
      </c>
      <c r="G1061">
        <v>30</v>
      </c>
      <c r="H1061" t="s">
        <v>188</v>
      </c>
      <c r="I1061" t="s">
        <v>189</v>
      </c>
      <c r="J1061" t="s">
        <v>8167</v>
      </c>
      <c r="K1061" t="s">
        <v>9240</v>
      </c>
      <c r="R1061">
        <v>98</v>
      </c>
    </row>
    <row r="1062" spans="1:19" x14ac:dyDescent="0.25">
      <c r="A1062" t="s">
        <v>9241</v>
      </c>
      <c r="B1062" s="1">
        <v>45117</v>
      </c>
      <c r="C1062" t="s">
        <v>9242</v>
      </c>
      <c r="D1062" t="s">
        <v>63</v>
      </c>
      <c r="G1062">
        <v>39</v>
      </c>
      <c r="H1062" t="s">
        <v>1856</v>
      </c>
      <c r="J1062" t="s">
        <v>9243</v>
      </c>
      <c r="L1062">
        <v>0</v>
      </c>
      <c r="P1062">
        <v>3.16</v>
      </c>
      <c r="Q1062">
        <v>2.0499999999999998</v>
      </c>
      <c r="R1062">
        <v>286</v>
      </c>
      <c r="S1062">
        <v>127.64</v>
      </c>
    </row>
    <row r="1063" spans="1:19" x14ac:dyDescent="0.25">
      <c r="A1063" t="s">
        <v>9244</v>
      </c>
      <c r="B1063" s="1">
        <v>45117</v>
      </c>
      <c r="C1063" t="s">
        <v>6982</v>
      </c>
      <c r="D1063" t="s">
        <v>63</v>
      </c>
      <c r="E1063" t="s">
        <v>24</v>
      </c>
      <c r="F1063" t="s">
        <v>323</v>
      </c>
      <c r="G1063">
        <v>75</v>
      </c>
      <c r="H1063" t="s">
        <v>26</v>
      </c>
      <c r="I1063" t="s">
        <v>370</v>
      </c>
      <c r="J1063" t="s">
        <v>1081</v>
      </c>
      <c r="K1063" t="s">
        <v>9245</v>
      </c>
      <c r="L1063">
        <v>532</v>
      </c>
      <c r="M1063">
        <v>118</v>
      </c>
      <c r="N1063" s="2">
        <v>0.4</v>
      </c>
      <c r="O1063">
        <v>82</v>
      </c>
      <c r="P1063">
        <v>17.29</v>
      </c>
      <c r="Q1063">
        <v>21.61</v>
      </c>
      <c r="R1063">
        <v>717</v>
      </c>
      <c r="S1063">
        <v>148.07</v>
      </c>
    </row>
    <row r="1064" spans="1:19" x14ac:dyDescent="0.25">
      <c r="A1064" t="s">
        <v>9246</v>
      </c>
      <c r="B1064" s="1">
        <v>45117</v>
      </c>
      <c r="C1064" t="s">
        <v>2493</v>
      </c>
      <c r="D1064" t="s">
        <v>63</v>
      </c>
      <c r="E1064" t="s">
        <v>24</v>
      </c>
      <c r="F1064" t="s">
        <v>25</v>
      </c>
      <c r="G1064">
        <v>5</v>
      </c>
      <c r="H1064" t="s">
        <v>49</v>
      </c>
      <c r="I1064" t="s">
        <v>50</v>
      </c>
      <c r="J1064" t="s">
        <v>51</v>
      </c>
      <c r="K1064" t="s">
        <v>9247</v>
      </c>
      <c r="R1064">
        <v>22</v>
      </c>
      <c r="S1064">
        <v>103.89</v>
      </c>
    </row>
    <row r="1065" spans="1:19" x14ac:dyDescent="0.25">
      <c r="A1065" t="s">
        <v>9248</v>
      </c>
      <c r="B1065" s="1">
        <v>45117</v>
      </c>
      <c r="C1065" t="s">
        <v>913</v>
      </c>
      <c r="D1065" t="s">
        <v>63</v>
      </c>
      <c r="E1065" t="s">
        <v>24</v>
      </c>
      <c r="F1065" t="s">
        <v>200</v>
      </c>
      <c r="G1065">
        <v>10</v>
      </c>
      <c r="H1065" t="s">
        <v>464</v>
      </c>
      <c r="I1065" t="s">
        <v>763</v>
      </c>
      <c r="J1065" t="s">
        <v>914</v>
      </c>
      <c r="K1065" t="s">
        <v>9249</v>
      </c>
    </row>
    <row r="1066" spans="1:19" x14ac:dyDescent="0.25">
      <c r="A1066" t="s">
        <v>9294</v>
      </c>
      <c r="B1066" s="1">
        <v>45124</v>
      </c>
      <c r="C1066" t="s">
        <v>102</v>
      </c>
      <c r="D1066" t="s">
        <v>63</v>
      </c>
      <c r="E1066" t="s">
        <v>24</v>
      </c>
      <c r="F1066" t="s">
        <v>243</v>
      </c>
      <c r="G1066">
        <v>30</v>
      </c>
      <c r="H1066" t="s">
        <v>188</v>
      </c>
      <c r="I1066" t="s">
        <v>189</v>
      </c>
      <c r="J1066" t="s">
        <v>9295</v>
      </c>
      <c r="K1066" t="s">
        <v>9296</v>
      </c>
      <c r="R1066">
        <v>90</v>
      </c>
    </row>
    <row r="1067" spans="1:19" x14ac:dyDescent="0.25">
      <c r="A1067" t="s">
        <v>9297</v>
      </c>
      <c r="B1067" s="1">
        <v>45124</v>
      </c>
      <c r="C1067" t="s">
        <v>1969</v>
      </c>
      <c r="D1067" t="s">
        <v>63</v>
      </c>
      <c r="E1067" t="s">
        <v>24</v>
      </c>
      <c r="F1067" t="s">
        <v>33</v>
      </c>
      <c r="G1067">
        <v>60</v>
      </c>
      <c r="H1067" t="s">
        <v>26</v>
      </c>
      <c r="I1067" t="s">
        <v>370</v>
      </c>
      <c r="J1067" t="s">
        <v>498</v>
      </c>
      <c r="K1067" t="s">
        <v>9298</v>
      </c>
      <c r="L1067">
        <v>395</v>
      </c>
      <c r="M1067">
        <v>110</v>
      </c>
      <c r="N1067" s="2">
        <v>0.38</v>
      </c>
      <c r="O1067">
        <v>84</v>
      </c>
      <c r="P1067">
        <v>16.75</v>
      </c>
      <c r="Q1067">
        <v>16.75</v>
      </c>
      <c r="R1067">
        <v>565</v>
      </c>
      <c r="S1067">
        <v>146.66999999999999</v>
      </c>
    </row>
    <row r="1068" spans="1:19" x14ac:dyDescent="0.25">
      <c r="A1068" t="s">
        <v>9299</v>
      </c>
      <c r="B1068" s="1">
        <v>45124</v>
      </c>
      <c r="C1068" t="s">
        <v>3225</v>
      </c>
      <c r="D1068" t="s">
        <v>63</v>
      </c>
      <c r="E1068" t="s">
        <v>24</v>
      </c>
      <c r="F1068" t="s">
        <v>3250</v>
      </c>
      <c r="G1068">
        <v>5</v>
      </c>
      <c r="H1068" t="s">
        <v>26</v>
      </c>
      <c r="I1068" t="s">
        <v>358</v>
      </c>
      <c r="J1068" t="s">
        <v>359</v>
      </c>
      <c r="K1068" t="s">
        <v>9300</v>
      </c>
      <c r="L1068">
        <v>18</v>
      </c>
      <c r="M1068">
        <v>61</v>
      </c>
      <c r="N1068" s="2">
        <v>0.3</v>
      </c>
      <c r="O1068">
        <v>83</v>
      </c>
      <c r="P1068">
        <v>13.03</v>
      </c>
      <c r="Q1068">
        <v>1.08</v>
      </c>
      <c r="R1068">
        <v>32</v>
      </c>
      <c r="S1068">
        <v>120.86</v>
      </c>
    </row>
    <row r="1069" spans="1:19" x14ac:dyDescent="0.25">
      <c r="A1069" t="s">
        <v>9301</v>
      </c>
      <c r="B1069" s="1">
        <v>45124</v>
      </c>
      <c r="C1069" t="s">
        <v>2916</v>
      </c>
      <c r="D1069" t="s">
        <v>63</v>
      </c>
      <c r="E1069" t="s">
        <v>24</v>
      </c>
      <c r="F1069" t="s">
        <v>25</v>
      </c>
      <c r="G1069">
        <v>10</v>
      </c>
      <c r="H1069" t="s">
        <v>194</v>
      </c>
      <c r="I1069" t="s">
        <v>700</v>
      </c>
      <c r="J1069" t="s">
        <v>9302</v>
      </c>
      <c r="K1069" t="s">
        <v>9303</v>
      </c>
      <c r="R1069">
        <v>55</v>
      </c>
      <c r="S1069">
        <v>112.75</v>
      </c>
    </row>
    <row r="1070" spans="1:19" x14ac:dyDescent="0.25">
      <c r="A1070" t="s">
        <v>9354</v>
      </c>
      <c r="B1070" s="1">
        <v>45131</v>
      </c>
      <c r="C1070" t="s">
        <v>9355</v>
      </c>
      <c r="D1070" t="s">
        <v>63</v>
      </c>
      <c r="E1070" t="s">
        <v>24</v>
      </c>
      <c r="F1070" t="s">
        <v>459</v>
      </c>
      <c r="G1070">
        <v>30</v>
      </c>
      <c r="H1070" t="s">
        <v>464</v>
      </c>
      <c r="I1070" t="s">
        <v>943</v>
      </c>
      <c r="J1070" t="s">
        <v>1621</v>
      </c>
      <c r="K1070" t="s">
        <v>9356</v>
      </c>
    </row>
    <row r="1071" spans="1:19" x14ac:dyDescent="0.25">
      <c r="A1071" t="s">
        <v>9387</v>
      </c>
      <c r="B1071" s="1">
        <v>45138</v>
      </c>
      <c r="C1071" t="s">
        <v>6113</v>
      </c>
      <c r="D1071" t="s">
        <v>63</v>
      </c>
      <c r="E1071" t="s">
        <v>24</v>
      </c>
      <c r="F1071" t="s">
        <v>180</v>
      </c>
      <c r="G1071">
        <v>20</v>
      </c>
      <c r="H1071" t="s">
        <v>194</v>
      </c>
      <c r="I1071" t="s">
        <v>195</v>
      </c>
      <c r="J1071" t="s">
        <v>2247</v>
      </c>
      <c r="K1071" t="s">
        <v>9388</v>
      </c>
      <c r="R1071">
        <v>123</v>
      </c>
      <c r="S1071">
        <v>118.45</v>
      </c>
    </row>
    <row r="1072" spans="1:19" x14ac:dyDescent="0.25">
      <c r="A1072" t="s">
        <v>9389</v>
      </c>
      <c r="B1072" s="1">
        <v>45138</v>
      </c>
      <c r="C1072" t="s">
        <v>6693</v>
      </c>
      <c r="D1072" t="s">
        <v>63</v>
      </c>
      <c r="E1072" t="s">
        <v>24</v>
      </c>
      <c r="F1072" t="s">
        <v>323</v>
      </c>
      <c r="G1072">
        <v>60</v>
      </c>
      <c r="H1072" t="s">
        <v>26</v>
      </c>
      <c r="I1072" t="s">
        <v>370</v>
      </c>
      <c r="J1072" t="s">
        <v>646</v>
      </c>
      <c r="K1072" t="s">
        <v>9390</v>
      </c>
      <c r="L1072">
        <v>452</v>
      </c>
      <c r="M1072">
        <v>125</v>
      </c>
      <c r="N1072" s="2">
        <v>0.4</v>
      </c>
      <c r="O1072">
        <v>84</v>
      </c>
      <c r="P1072">
        <v>17.55</v>
      </c>
      <c r="Q1072">
        <v>17.55</v>
      </c>
      <c r="R1072">
        <v>601</v>
      </c>
      <c r="S1072">
        <v>151.83000000000001</v>
      </c>
    </row>
    <row r="1073" spans="1:19" x14ac:dyDescent="0.25">
      <c r="A1073" t="s">
        <v>9391</v>
      </c>
      <c r="B1073" s="1">
        <v>45138</v>
      </c>
      <c r="C1073" t="s">
        <v>9392</v>
      </c>
      <c r="D1073" t="s">
        <v>63</v>
      </c>
      <c r="E1073" t="s">
        <v>24</v>
      </c>
      <c r="F1073" t="s">
        <v>323</v>
      </c>
      <c r="G1073">
        <v>5</v>
      </c>
      <c r="H1073" t="s">
        <v>26</v>
      </c>
      <c r="I1073" t="s">
        <v>358</v>
      </c>
      <c r="J1073" t="s">
        <v>359</v>
      </c>
      <c r="K1073" t="s">
        <v>1842</v>
      </c>
      <c r="L1073">
        <v>18</v>
      </c>
      <c r="M1073">
        <v>60</v>
      </c>
      <c r="N1073" s="2">
        <v>0.3</v>
      </c>
      <c r="O1073">
        <v>82</v>
      </c>
      <c r="P1073">
        <v>12.96</v>
      </c>
      <c r="Q1073">
        <v>1.08</v>
      </c>
      <c r="R1073">
        <v>36</v>
      </c>
      <c r="S1073">
        <v>131.30000000000001</v>
      </c>
    </row>
    <row r="1074" spans="1:19" x14ac:dyDescent="0.25">
      <c r="A1074" t="s">
        <v>9393</v>
      </c>
      <c r="B1074" s="1">
        <v>45138</v>
      </c>
      <c r="C1074" t="s">
        <v>2208</v>
      </c>
      <c r="D1074" t="s">
        <v>63</v>
      </c>
      <c r="E1074" t="s">
        <v>24</v>
      </c>
      <c r="F1074" t="s">
        <v>354</v>
      </c>
      <c r="G1074">
        <v>10</v>
      </c>
      <c r="H1074" t="s">
        <v>194</v>
      </c>
      <c r="I1074" t="s">
        <v>700</v>
      </c>
      <c r="J1074" t="s">
        <v>1282</v>
      </c>
      <c r="K1074" t="s">
        <v>9394</v>
      </c>
      <c r="R1074">
        <v>54</v>
      </c>
      <c r="S1074">
        <v>111.18</v>
      </c>
    </row>
    <row r="1075" spans="1:19" x14ac:dyDescent="0.25">
      <c r="A1075" t="s">
        <v>9395</v>
      </c>
      <c r="B1075" s="1">
        <v>45138</v>
      </c>
      <c r="C1075" t="s">
        <v>9396</v>
      </c>
      <c r="D1075" t="s">
        <v>63</v>
      </c>
      <c r="G1075">
        <v>42</v>
      </c>
      <c r="H1075" t="s">
        <v>1856</v>
      </c>
      <c r="J1075" t="s">
        <v>9397</v>
      </c>
      <c r="L1075">
        <v>0</v>
      </c>
      <c r="P1075">
        <v>3.17</v>
      </c>
      <c r="Q1075">
        <v>2.0499999999999998</v>
      </c>
      <c r="R1075">
        <v>360</v>
      </c>
      <c r="S1075">
        <v>138.33000000000001</v>
      </c>
    </row>
    <row r="1076" spans="1:19" x14ac:dyDescent="0.25">
      <c r="A1076" t="s">
        <v>9398</v>
      </c>
      <c r="B1076" s="1">
        <v>45138</v>
      </c>
      <c r="C1076" t="s">
        <v>1367</v>
      </c>
      <c r="D1076" t="s">
        <v>63</v>
      </c>
      <c r="E1076" t="s">
        <v>24</v>
      </c>
      <c r="F1076" t="s">
        <v>208</v>
      </c>
      <c r="G1076">
        <v>30</v>
      </c>
      <c r="H1076" t="s">
        <v>464</v>
      </c>
      <c r="I1076" t="s">
        <v>943</v>
      </c>
      <c r="J1076" t="s">
        <v>1621</v>
      </c>
      <c r="K1076" t="s">
        <v>9372</v>
      </c>
    </row>
    <row r="1077" spans="1:19" x14ac:dyDescent="0.25">
      <c r="A1077" t="s">
        <v>9423</v>
      </c>
      <c r="B1077" s="1">
        <v>45145</v>
      </c>
      <c r="C1077" t="s">
        <v>9424</v>
      </c>
      <c r="D1077" t="s">
        <v>63</v>
      </c>
      <c r="E1077" t="s">
        <v>24</v>
      </c>
      <c r="F1077" t="s">
        <v>215</v>
      </c>
      <c r="G1077">
        <v>10</v>
      </c>
      <c r="H1077" t="s">
        <v>464</v>
      </c>
      <c r="I1077" t="s">
        <v>579</v>
      </c>
      <c r="J1077" t="s">
        <v>2432</v>
      </c>
      <c r="K1077" t="s">
        <v>9425</v>
      </c>
    </row>
    <row r="1078" spans="1:19" x14ac:dyDescent="0.25">
      <c r="A1078" t="s">
        <v>9426</v>
      </c>
      <c r="B1078" s="1">
        <v>45145</v>
      </c>
      <c r="C1078" t="s">
        <v>384</v>
      </c>
      <c r="D1078" t="s">
        <v>63</v>
      </c>
      <c r="E1078" t="s">
        <v>24</v>
      </c>
      <c r="F1078" t="s">
        <v>243</v>
      </c>
      <c r="G1078">
        <v>30</v>
      </c>
      <c r="H1078" t="s">
        <v>188</v>
      </c>
      <c r="I1078" t="s">
        <v>189</v>
      </c>
      <c r="J1078" t="s">
        <v>201</v>
      </c>
      <c r="K1078" t="s">
        <v>9427</v>
      </c>
      <c r="R1078">
        <v>90</v>
      </c>
    </row>
    <row r="1079" spans="1:19" x14ac:dyDescent="0.25">
      <c r="A1079" t="s">
        <v>9428</v>
      </c>
      <c r="B1079" s="1">
        <v>45145</v>
      </c>
      <c r="C1079" t="s">
        <v>6977</v>
      </c>
      <c r="D1079" t="s">
        <v>63</v>
      </c>
      <c r="E1079" t="s">
        <v>24</v>
      </c>
      <c r="F1079" t="s">
        <v>243</v>
      </c>
      <c r="G1079">
        <v>45</v>
      </c>
      <c r="H1079" t="s">
        <v>26</v>
      </c>
      <c r="I1079" t="s">
        <v>370</v>
      </c>
      <c r="J1079" t="s">
        <v>479</v>
      </c>
      <c r="K1079" t="s">
        <v>9429</v>
      </c>
      <c r="L1079">
        <v>311</v>
      </c>
      <c r="M1079">
        <v>115</v>
      </c>
      <c r="N1079" s="2">
        <v>0.38</v>
      </c>
      <c r="O1079">
        <v>84</v>
      </c>
      <c r="P1079">
        <v>16.71</v>
      </c>
      <c r="Q1079">
        <v>12.53</v>
      </c>
      <c r="R1079">
        <v>458</v>
      </c>
      <c r="S1079">
        <v>153.51</v>
      </c>
    </row>
    <row r="1080" spans="1:19" x14ac:dyDescent="0.25">
      <c r="A1080" t="s">
        <v>9430</v>
      </c>
      <c r="B1080" s="1">
        <v>45145</v>
      </c>
      <c r="C1080" t="s">
        <v>5297</v>
      </c>
      <c r="D1080" t="s">
        <v>63</v>
      </c>
      <c r="E1080" t="s">
        <v>24</v>
      </c>
      <c r="F1080" t="s">
        <v>2876</v>
      </c>
      <c r="G1080">
        <v>5</v>
      </c>
      <c r="H1080" t="s">
        <v>26</v>
      </c>
      <c r="I1080" t="s">
        <v>358</v>
      </c>
      <c r="J1080" t="s">
        <v>359</v>
      </c>
      <c r="K1080" t="s">
        <v>9431</v>
      </c>
      <c r="L1080">
        <v>18</v>
      </c>
      <c r="M1080">
        <v>60</v>
      </c>
      <c r="N1080" s="2">
        <v>0.31</v>
      </c>
      <c r="O1080">
        <v>80</v>
      </c>
      <c r="P1080">
        <v>12.95</v>
      </c>
      <c r="Q1080">
        <v>1.08</v>
      </c>
      <c r="R1080">
        <v>23</v>
      </c>
    </row>
    <row r="1081" spans="1:19" x14ac:dyDescent="0.25">
      <c r="A1081" t="s">
        <v>9432</v>
      </c>
      <c r="B1081" s="1">
        <v>45145</v>
      </c>
      <c r="C1081" t="s">
        <v>6982</v>
      </c>
      <c r="D1081" t="s">
        <v>63</v>
      </c>
      <c r="E1081" t="s">
        <v>24</v>
      </c>
      <c r="F1081" t="s">
        <v>9433</v>
      </c>
      <c r="G1081">
        <v>10</v>
      </c>
      <c r="H1081" t="s">
        <v>194</v>
      </c>
      <c r="I1081" t="s">
        <v>1445</v>
      </c>
      <c r="J1081" t="s">
        <v>9434</v>
      </c>
      <c r="K1081" t="s">
        <v>9435</v>
      </c>
      <c r="R1081">
        <v>71</v>
      </c>
      <c r="S1081">
        <v>122.63</v>
      </c>
    </row>
    <row r="1082" spans="1:19" x14ac:dyDescent="0.25">
      <c r="A1082" t="s">
        <v>9436</v>
      </c>
      <c r="B1082" s="1">
        <v>45145</v>
      </c>
      <c r="C1082" t="s">
        <v>6696</v>
      </c>
      <c r="D1082" t="s">
        <v>63</v>
      </c>
      <c r="E1082" t="s">
        <v>24</v>
      </c>
      <c r="F1082" t="s">
        <v>6030</v>
      </c>
      <c r="G1082">
        <v>10</v>
      </c>
      <c r="H1082" t="s">
        <v>194</v>
      </c>
      <c r="I1082" t="s">
        <v>195</v>
      </c>
      <c r="J1082" t="s">
        <v>211</v>
      </c>
      <c r="K1082" t="s">
        <v>9437</v>
      </c>
      <c r="R1082">
        <v>61</v>
      </c>
      <c r="S1082">
        <v>117.81</v>
      </c>
    </row>
    <row r="1083" spans="1:19" x14ac:dyDescent="0.25">
      <c r="A1083" t="s">
        <v>9438</v>
      </c>
      <c r="B1083" s="1">
        <v>45145</v>
      </c>
      <c r="C1083" t="s">
        <v>2307</v>
      </c>
      <c r="D1083" t="s">
        <v>63</v>
      </c>
      <c r="E1083" t="s">
        <v>24</v>
      </c>
      <c r="F1083" t="s">
        <v>459</v>
      </c>
      <c r="G1083">
        <v>10</v>
      </c>
      <c r="H1083" t="s">
        <v>464</v>
      </c>
      <c r="I1083" t="s">
        <v>579</v>
      </c>
      <c r="J1083" t="s">
        <v>602</v>
      </c>
      <c r="K1083" t="s">
        <v>9439</v>
      </c>
    </row>
    <row r="1084" spans="1:19" x14ac:dyDescent="0.25">
      <c r="A1084" t="s">
        <v>9477</v>
      </c>
      <c r="B1084" s="1">
        <v>45152</v>
      </c>
      <c r="C1084" t="s">
        <v>2941</v>
      </c>
      <c r="D1084" t="s">
        <v>63</v>
      </c>
      <c r="E1084" t="s">
        <v>24</v>
      </c>
      <c r="F1084" t="s">
        <v>7777</v>
      </c>
      <c r="G1084">
        <v>45</v>
      </c>
      <c r="H1084" t="s">
        <v>7750</v>
      </c>
      <c r="I1084" t="s">
        <v>663</v>
      </c>
      <c r="J1084" t="s">
        <v>769</v>
      </c>
      <c r="K1084" t="s">
        <v>9478</v>
      </c>
      <c r="L1084">
        <v>94</v>
      </c>
      <c r="P1084">
        <v>2.77</v>
      </c>
      <c r="Q1084">
        <v>2.2999999999999998</v>
      </c>
      <c r="R1084">
        <v>378</v>
      </c>
      <c r="S1084">
        <v>137.97999999999999</v>
      </c>
    </row>
    <row r="1085" spans="1:19" x14ac:dyDescent="0.25">
      <c r="A1085" t="s">
        <v>9479</v>
      </c>
      <c r="B1085" s="1">
        <v>45152</v>
      </c>
      <c r="C1085" t="s">
        <v>3211</v>
      </c>
      <c r="D1085" t="s">
        <v>63</v>
      </c>
      <c r="E1085" t="s">
        <v>24</v>
      </c>
      <c r="F1085" t="s">
        <v>7754</v>
      </c>
      <c r="G1085">
        <v>5</v>
      </c>
      <c r="H1085" t="s">
        <v>7562</v>
      </c>
      <c r="I1085" t="s">
        <v>7989</v>
      </c>
      <c r="J1085" t="s">
        <v>9480</v>
      </c>
      <c r="K1085" t="s">
        <v>9481</v>
      </c>
      <c r="L1085">
        <v>20</v>
      </c>
      <c r="P1085">
        <v>2.8</v>
      </c>
      <c r="Q1085">
        <v>0.52</v>
      </c>
      <c r="R1085">
        <v>44</v>
      </c>
      <c r="S1085">
        <v>142.65</v>
      </c>
    </row>
    <row r="1086" spans="1:19" x14ac:dyDescent="0.25">
      <c r="A1086" t="s">
        <v>9482</v>
      </c>
      <c r="B1086" s="1">
        <v>45152</v>
      </c>
      <c r="C1086" t="s">
        <v>6325</v>
      </c>
      <c r="D1086" t="s">
        <v>63</v>
      </c>
      <c r="E1086" t="s">
        <v>24</v>
      </c>
      <c r="F1086" t="s">
        <v>7777</v>
      </c>
      <c r="G1086">
        <v>5</v>
      </c>
      <c r="H1086" t="s">
        <v>7562</v>
      </c>
      <c r="I1086" t="s">
        <v>7567</v>
      </c>
      <c r="J1086" t="s">
        <v>7778</v>
      </c>
      <c r="K1086" t="s">
        <v>9483</v>
      </c>
      <c r="L1086">
        <v>17</v>
      </c>
      <c r="P1086">
        <v>2.62</v>
      </c>
      <c r="Q1086">
        <v>0.49</v>
      </c>
      <c r="R1086">
        <v>44</v>
      </c>
      <c r="S1086">
        <v>141.11000000000001</v>
      </c>
    </row>
    <row r="1087" spans="1:19" x14ac:dyDescent="0.25">
      <c r="A1087" t="s">
        <v>9484</v>
      </c>
      <c r="B1087" s="1">
        <v>45152</v>
      </c>
      <c r="C1087" t="s">
        <v>832</v>
      </c>
      <c r="D1087" t="s">
        <v>63</v>
      </c>
      <c r="E1087" t="s">
        <v>24</v>
      </c>
      <c r="F1087" t="s">
        <v>200</v>
      </c>
      <c r="G1087">
        <v>30</v>
      </c>
      <c r="H1087" t="s">
        <v>188</v>
      </c>
      <c r="I1087" t="s">
        <v>189</v>
      </c>
      <c r="J1087" t="s">
        <v>4152</v>
      </c>
      <c r="K1087" t="s">
        <v>9485</v>
      </c>
      <c r="R1087">
        <v>99</v>
      </c>
    </row>
    <row r="1088" spans="1:19" x14ac:dyDescent="0.25">
      <c r="A1088" t="s">
        <v>9486</v>
      </c>
      <c r="B1088" s="1">
        <v>45152</v>
      </c>
      <c r="C1088" t="s">
        <v>272</v>
      </c>
      <c r="D1088" t="s">
        <v>63</v>
      </c>
      <c r="E1088" t="s">
        <v>24</v>
      </c>
      <c r="F1088" t="s">
        <v>459</v>
      </c>
      <c r="G1088">
        <v>20</v>
      </c>
      <c r="H1088" t="s">
        <v>464</v>
      </c>
      <c r="I1088" t="s">
        <v>763</v>
      </c>
      <c r="J1088" t="s">
        <v>2732</v>
      </c>
      <c r="K1088" t="s">
        <v>9046</v>
      </c>
    </row>
    <row r="1089" spans="1:19" x14ac:dyDescent="0.25">
      <c r="A1089" t="s">
        <v>9534</v>
      </c>
      <c r="B1089" s="1">
        <v>45159</v>
      </c>
      <c r="C1089" t="s">
        <v>659</v>
      </c>
      <c r="D1089" t="s">
        <v>63</v>
      </c>
      <c r="E1089" t="s">
        <v>24</v>
      </c>
      <c r="F1089" t="s">
        <v>200</v>
      </c>
      <c r="G1089">
        <v>30</v>
      </c>
      <c r="H1089" t="s">
        <v>188</v>
      </c>
      <c r="I1089" t="s">
        <v>189</v>
      </c>
      <c r="J1089" t="s">
        <v>9535</v>
      </c>
      <c r="K1089" t="s">
        <v>9536</v>
      </c>
      <c r="R1089">
        <v>98</v>
      </c>
    </row>
    <row r="1090" spans="1:19" x14ac:dyDescent="0.25">
      <c r="A1090" t="s">
        <v>9537</v>
      </c>
      <c r="B1090" s="1">
        <v>45159</v>
      </c>
      <c r="C1090" t="s">
        <v>6095</v>
      </c>
      <c r="D1090" t="s">
        <v>63</v>
      </c>
      <c r="E1090" t="s">
        <v>24</v>
      </c>
      <c r="F1090" t="s">
        <v>335</v>
      </c>
      <c r="G1090">
        <v>10</v>
      </c>
      <c r="H1090" t="s">
        <v>194</v>
      </c>
      <c r="I1090" t="s">
        <v>195</v>
      </c>
      <c r="J1090" t="s">
        <v>211</v>
      </c>
      <c r="K1090" t="s">
        <v>9538</v>
      </c>
      <c r="R1090">
        <v>47</v>
      </c>
    </row>
    <row r="1091" spans="1:19" x14ac:dyDescent="0.25">
      <c r="A1091" t="s">
        <v>9539</v>
      </c>
      <c r="B1091" s="1">
        <v>45159</v>
      </c>
      <c r="C1091" t="s">
        <v>6982</v>
      </c>
      <c r="D1091" t="s">
        <v>63</v>
      </c>
      <c r="E1091" t="s">
        <v>24</v>
      </c>
      <c r="F1091" t="s">
        <v>33</v>
      </c>
      <c r="G1091">
        <v>45</v>
      </c>
      <c r="H1091" t="s">
        <v>26</v>
      </c>
      <c r="I1091" t="s">
        <v>370</v>
      </c>
      <c r="J1091" t="s">
        <v>4280</v>
      </c>
      <c r="K1091" t="s">
        <v>9540</v>
      </c>
      <c r="L1091">
        <v>293</v>
      </c>
      <c r="M1091">
        <v>109</v>
      </c>
      <c r="N1091" s="2">
        <v>0.38</v>
      </c>
      <c r="O1091">
        <v>84</v>
      </c>
      <c r="P1091">
        <v>16.64</v>
      </c>
      <c r="Q1091">
        <v>12.48</v>
      </c>
      <c r="R1091">
        <v>417</v>
      </c>
      <c r="S1091">
        <v>145.47</v>
      </c>
    </row>
    <row r="1092" spans="1:19" x14ac:dyDescent="0.25">
      <c r="A1092" t="s">
        <v>9541</v>
      </c>
      <c r="B1092" s="1">
        <v>45159</v>
      </c>
      <c r="C1092" t="s">
        <v>6734</v>
      </c>
      <c r="D1092" t="s">
        <v>63</v>
      </c>
      <c r="E1092" t="s">
        <v>24</v>
      </c>
      <c r="F1092" t="s">
        <v>354</v>
      </c>
      <c r="G1092">
        <v>5</v>
      </c>
      <c r="H1092" t="s">
        <v>49</v>
      </c>
      <c r="I1092" t="s">
        <v>50</v>
      </c>
      <c r="J1092" t="s">
        <v>51</v>
      </c>
      <c r="K1092" t="s">
        <v>9542</v>
      </c>
      <c r="R1092">
        <v>12</v>
      </c>
    </row>
    <row r="1093" spans="1:19" x14ac:dyDescent="0.25">
      <c r="A1093" t="s">
        <v>9543</v>
      </c>
      <c r="B1093" s="1">
        <v>45159</v>
      </c>
      <c r="C1093" t="s">
        <v>3886</v>
      </c>
      <c r="D1093" t="s">
        <v>63</v>
      </c>
      <c r="E1093" t="s">
        <v>24</v>
      </c>
      <c r="F1093" t="s">
        <v>459</v>
      </c>
      <c r="G1093">
        <v>10</v>
      </c>
      <c r="H1093" t="s">
        <v>464</v>
      </c>
      <c r="I1093" t="s">
        <v>579</v>
      </c>
      <c r="J1093" t="s">
        <v>580</v>
      </c>
      <c r="K1093" t="s">
        <v>9544</v>
      </c>
    </row>
    <row r="1094" spans="1:19" x14ac:dyDescent="0.25">
      <c r="A1094" t="s">
        <v>9589</v>
      </c>
      <c r="B1094" s="1">
        <v>45166</v>
      </c>
      <c r="C1094" t="s">
        <v>6709</v>
      </c>
      <c r="D1094" t="s">
        <v>63</v>
      </c>
      <c r="E1094" t="s">
        <v>24</v>
      </c>
      <c r="F1094" t="s">
        <v>323</v>
      </c>
      <c r="G1094">
        <v>45</v>
      </c>
      <c r="H1094" t="s">
        <v>26</v>
      </c>
      <c r="I1094" t="s">
        <v>370</v>
      </c>
      <c r="J1094" t="s">
        <v>439</v>
      </c>
      <c r="K1094" t="s">
        <v>6399</v>
      </c>
      <c r="L1094">
        <v>318</v>
      </c>
      <c r="M1094">
        <v>118</v>
      </c>
      <c r="N1094" s="2">
        <v>0.4</v>
      </c>
      <c r="O1094">
        <v>83</v>
      </c>
      <c r="P1094">
        <v>17.170000000000002</v>
      </c>
      <c r="Q1094">
        <v>12.87</v>
      </c>
      <c r="R1094">
        <v>481</v>
      </c>
      <c r="S1094">
        <v>158.02000000000001</v>
      </c>
    </row>
    <row r="1095" spans="1:19" x14ac:dyDescent="0.25">
      <c r="A1095" t="s">
        <v>9590</v>
      </c>
      <c r="B1095" s="1">
        <v>45166</v>
      </c>
      <c r="C1095" t="s">
        <v>5505</v>
      </c>
      <c r="D1095" t="s">
        <v>63</v>
      </c>
      <c r="E1095" t="s">
        <v>24</v>
      </c>
      <c r="F1095" t="s">
        <v>354</v>
      </c>
      <c r="G1095">
        <v>10</v>
      </c>
      <c r="H1095" t="s">
        <v>26</v>
      </c>
      <c r="I1095" t="s">
        <v>39</v>
      </c>
      <c r="J1095" t="s">
        <v>7372</v>
      </c>
      <c r="K1095" t="s">
        <v>9591</v>
      </c>
      <c r="L1095">
        <v>35</v>
      </c>
      <c r="M1095">
        <v>58</v>
      </c>
      <c r="N1095" s="2">
        <v>0.3</v>
      </c>
      <c r="O1095">
        <v>79</v>
      </c>
      <c r="P1095">
        <v>12.81</v>
      </c>
      <c r="Q1095">
        <v>2.14</v>
      </c>
      <c r="R1095">
        <v>44</v>
      </c>
    </row>
    <row r="1096" spans="1:19" x14ac:dyDescent="0.25">
      <c r="A1096" t="s">
        <v>9592</v>
      </c>
      <c r="B1096" s="1">
        <v>45166</v>
      </c>
      <c r="C1096" t="s">
        <v>5508</v>
      </c>
      <c r="D1096" t="s">
        <v>63</v>
      </c>
      <c r="E1096" t="s">
        <v>24</v>
      </c>
      <c r="F1096" t="s">
        <v>660</v>
      </c>
      <c r="G1096">
        <v>5</v>
      </c>
      <c r="H1096" t="s">
        <v>26</v>
      </c>
      <c r="I1096" t="s">
        <v>358</v>
      </c>
      <c r="J1096" t="s">
        <v>359</v>
      </c>
      <c r="K1096" t="s">
        <v>9593</v>
      </c>
      <c r="L1096">
        <v>16</v>
      </c>
      <c r="M1096">
        <v>53</v>
      </c>
      <c r="N1096" s="2">
        <v>0.3</v>
      </c>
      <c r="O1096">
        <v>74</v>
      </c>
      <c r="P1096">
        <v>12.23</v>
      </c>
      <c r="Q1096">
        <v>1.02</v>
      </c>
      <c r="R1096">
        <v>29</v>
      </c>
      <c r="S1096">
        <v>115.42</v>
      </c>
    </row>
    <row r="1097" spans="1:19" x14ac:dyDescent="0.25">
      <c r="A1097" t="s">
        <v>9594</v>
      </c>
      <c r="B1097" s="1">
        <v>45166</v>
      </c>
      <c r="C1097" t="s">
        <v>6432</v>
      </c>
      <c r="D1097" t="s">
        <v>63</v>
      </c>
      <c r="E1097" t="s">
        <v>24</v>
      </c>
      <c r="F1097" t="s">
        <v>305</v>
      </c>
      <c r="G1097">
        <v>20</v>
      </c>
      <c r="H1097" t="s">
        <v>194</v>
      </c>
      <c r="I1097" t="s">
        <v>1445</v>
      </c>
      <c r="J1097" t="s">
        <v>3313</v>
      </c>
      <c r="K1097" t="s">
        <v>9595</v>
      </c>
      <c r="R1097">
        <v>96</v>
      </c>
      <c r="S1097">
        <v>106.37</v>
      </c>
    </row>
    <row r="1098" spans="1:19" x14ac:dyDescent="0.25">
      <c r="A1098" t="s">
        <v>9596</v>
      </c>
      <c r="B1098" s="1">
        <v>45166</v>
      </c>
      <c r="C1098" t="s">
        <v>1690</v>
      </c>
      <c r="D1098" t="s">
        <v>63</v>
      </c>
      <c r="E1098" t="s">
        <v>24</v>
      </c>
      <c r="F1098" t="s">
        <v>231</v>
      </c>
      <c r="G1098">
        <v>10</v>
      </c>
      <c r="H1098" t="s">
        <v>194</v>
      </c>
      <c r="I1098" t="s">
        <v>195</v>
      </c>
      <c r="J1098" t="s">
        <v>211</v>
      </c>
      <c r="K1098" t="s">
        <v>9597</v>
      </c>
      <c r="R1098">
        <v>40</v>
      </c>
      <c r="S1098">
        <v>94.38</v>
      </c>
    </row>
    <row r="1099" spans="1:19" x14ac:dyDescent="0.25">
      <c r="A1099" t="s">
        <v>9598</v>
      </c>
      <c r="B1099" s="1">
        <v>45166</v>
      </c>
      <c r="C1099" t="s">
        <v>4550</v>
      </c>
      <c r="D1099" t="s">
        <v>63</v>
      </c>
      <c r="E1099" t="s">
        <v>24</v>
      </c>
      <c r="F1099" t="s">
        <v>2708</v>
      </c>
      <c r="G1099">
        <v>15</v>
      </c>
      <c r="H1099" t="s">
        <v>464</v>
      </c>
      <c r="I1099" t="s">
        <v>763</v>
      </c>
      <c r="J1099" t="s">
        <v>2926</v>
      </c>
      <c r="K1099" t="s">
        <v>9599</v>
      </c>
    </row>
    <row r="1100" spans="1:19" x14ac:dyDescent="0.25">
      <c r="A1100" t="s">
        <v>9641</v>
      </c>
      <c r="B1100" s="1">
        <v>45173</v>
      </c>
      <c r="C1100" t="s">
        <v>2204</v>
      </c>
      <c r="D1100" t="s">
        <v>63</v>
      </c>
      <c r="E1100" t="s">
        <v>24</v>
      </c>
      <c r="F1100" t="s">
        <v>200</v>
      </c>
      <c r="G1100">
        <v>10</v>
      </c>
      <c r="H1100" t="s">
        <v>464</v>
      </c>
      <c r="I1100" t="s">
        <v>9221</v>
      </c>
      <c r="J1100" t="s">
        <v>9642</v>
      </c>
      <c r="K1100" t="s">
        <v>9643</v>
      </c>
    </row>
    <row r="1101" spans="1:19" x14ac:dyDescent="0.25">
      <c r="A1101" t="s">
        <v>9644</v>
      </c>
      <c r="B1101" s="1">
        <v>45173</v>
      </c>
      <c r="C1101" t="s">
        <v>5184</v>
      </c>
      <c r="D1101" t="s">
        <v>63</v>
      </c>
      <c r="E1101" t="s">
        <v>24</v>
      </c>
      <c r="F1101" t="s">
        <v>243</v>
      </c>
      <c r="G1101">
        <v>45</v>
      </c>
      <c r="H1101" t="s">
        <v>26</v>
      </c>
      <c r="I1101" t="s">
        <v>370</v>
      </c>
      <c r="J1101" t="s">
        <v>439</v>
      </c>
      <c r="K1101" t="s">
        <v>9645</v>
      </c>
      <c r="L1101">
        <v>309</v>
      </c>
      <c r="M1101">
        <v>114</v>
      </c>
      <c r="N1101" s="2">
        <v>0.38</v>
      </c>
      <c r="O1101">
        <v>86</v>
      </c>
      <c r="P1101">
        <v>16.95</v>
      </c>
      <c r="Q1101">
        <v>12.71</v>
      </c>
      <c r="R1101">
        <v>490</v>
      </c>
      <c r="S1101">
        <v>159.75</v>
      </c>
    </row>
    <row r="1102" spans="1:19" x14ac:dyDescent="0.25">
      <c r="A1102" t="s">
        <v>9646</v>
      </c>
      <c r="B1102" s="1">
        <v>45173</v>
      </c>
      <c r="C1102" t="s">
        <v>2423</v>
      </c>
      <c r="D1102" t="s">
        <v>63</v>
      </c>
      <c r="E1102" t="s">
        <v>24</v>
      </c>
      <c r="F1102" t="s">
        <v>180</v>
      </c>
      <c r="G1102">
        <v>10</v>
      </c>
      <c r="H1102" t="s">
        <v>26</v>
      </c>
      <c r="I1102" t="s">
        <v>39</v>
      </c>
      <c r="J1102" t="s">
        <v>7372</v>
      </c>
      <c r="K1102" t="s">
        <v>9481</v>
      </c>
      <c r="L1102">
        <v>51</v>
      </c>
      <c r="M1102">
        <v>85</v>
      </c>
      <c r="N1102" s="2">
        <v>0.35</v>
      </c>
      <c r="O1102">
        <v>82</v>
      </c>
      <c r="P1102">
        <v>15.03</v>
      </c>
      <c r="Q1102">
        <v>2.5</v>
      </c>
      <c r="R1102">
        <v>71</v>
      </c>
      <c r="S1102">
        <v>151.21</v>
      </c>
    </row>
    <row r="1103" spans="1:19" x14ac:dyDescent="0.25">
      <c r="A1103" t="s">
        <v>9647</v>
      </c>
      <c r="B1103" s="1">
        <v>45173</v>
      </c>
      <c r="C1103" t="s">
        <v>9648</v>
      </c>
      <c r="D1103" t="s">
        <v>63</v>
      </c>
      <c r="E1103" t="s">
        <v>24</v>
      </c>
      <c r="F1103" t="s">
        <v>747</v>
      </c>
      <c r="G1103">
        <v>5</v>
      </c>
      <c r="H1103" t="s">
        <v>26</v>
      </c>
      <c r="I1103" t="s">
        <v>358</v>
      </c>
      <c r="J1103" t="s">
        <v>359</v>
      </c>
      <c r="K1103" t="s">
        <v>9649</v>
      </c>
      <c r="L1103">
        <v>16</v>
      </c>
      <c r="M1103">
        <v>55</v>
      </c>
      <c r="N1103" s="2">
        <v>0.3</v>
      </c>
      <c r="O1103">
        <v>79</v>
      </c>
      <c r="P1103">
        <v>12.47</v>
      </c>
      <c r="Q1103">
        <v>1.04</v>
      </c>
      <c r="R1103">
        <v>36</v>
      </c>
      <c r="S1103">
        <v>130.47</v>
      </c>
    </row>
    <row r="1104" spans="1:19" x14ac:dyDescent="0.25">
      <c r="A1104" t="s">
        <v>9650</v>
      </c>
      <c r="B1104" s="1">
        <v>45173</v>
      </c>
      <c r="C1104" t="s">
        <v>2198</v>
      </c>
      <c r="D1104" t="s">
        <v>63</v>
      </c>
      <c r="E1104" t="s">
        <v>24</v>
      </c>
      <c r="F1104" t="s">
        <v>323</v>
      </c>
      <c r="G1104">
        <v>5</v>
      </c>
      <c r="H1104" t="s">
        <v>49</v>
      </c>
      <c r="I1104" t="s">
        <v>50</v>
      </c>
      <c r="J1104" t="s">
        <v>51</v>
      </c>
      <c r="K1104" t="s">
        <v>9651</v>
      </c>
      <c r="R1104">
        <v>29</v>
      </c>
      <c r="S1104">
        <v>116.85</v>
      </c>
    </row>
    <row r="1105" spans="1:19" x14ac:dyDescent="0.25">
      <c r="A1105" t="s">
        <v>9652</v>
      </c>
      <c r="B1105" s="1">
        <v>45173</v>
      </c>
      <c r="C1105" t="s">
        <v>8772</v>
      </c>
      <c r="D1105" t="s">
        <v>63</v>
      </c>
      <c r="E1105" t="s">
        <v>24</v>
      </c>
      <c r="F1105" t="s">
        <v>243</v>
      </c>
      <c r="G1105">
        <v>30</v>
      </c>
      <c r="H1105" t="s">
        <v>188</v>
      </c>
      <c r="I1105" t="s">
        <v>189</v>
      </c>
      <c r="J1105" t="s">
        <v>9653</v>
      </c>
      <c r="K1105" t="s">
        <v>9654</v>
      </c>
      <c r="R1105">
        <v>91</v>
      </c>
    </row>
    <row r="1106" spans="1:19" x14ac:dyDescent="0.25">
      <c r="A1106" t="s">
        <v>9655</v>
      </c>
      <c r="B1106" s="1">
        <v>45173</v>
      </c>
      <c r="C1106" t="s">
        <v>1454</v>
      </c>
      <c r="D1106" t="s">
        <v>63</v>
      </c>
      <c r="E1106" t="s">
        <v>24</v>
      </c>
      <c r="F1106" t="s">
        <v>208</v>
      </c>
      <c r="G1106">
        <v>15</v>
      </c>
      <c r="H1106" t="s">
        <v>464</v>
      </c>
      <c r="I1106" t="s">
        <v>579</v>
      </c>
      <c r="J1106" t="s">
        <v>4991</v>
      </c>
      <c r="K1106" t="s">
        <v>9656</v>
      </c>
    </row>
    <row r="1107" spans="1:19" x14ac:dyDescent="0.25">
      <c r="A1107" t="s">
        <v>9697</v>
      </c>
      <c r="B1107" s="1">
        <v>45180</v>
      </c>
      <c r="C1107" t="s">
        <v>9144</v>
      </c>
      <c r="D1107" t="s">
        <v>63</v>
      </c>
      <c r="E1107" t="s">
        <v>24</v>
      </c>
      <c r="F1107" t="s">
        <v>33</v>
      </c>
      <c r="G1107">
        <v>5</v>
      </c>
      <c r="H1107" t="s">
        <v>26</v>
      </c>
      <c r="I1107" t="s">
        <v>423</v>
      </c>
      <c r="J1107" t="s">
        <v>505</v>
      </c>
      <c r="K1107" t="s">
        <v>9698</v>
      </c>
      <c r="L1107">
        <v>23</v>
      </c>
      <c r="M1107">
        <v>76</v>
      </c>
      <c r="N1107" s="2">
        <v>0.32</v>
      </c>
      <c r="O1107">
        <v>87</v>
      </c>
      <c r="P1107">
        <v>14.34</v>
      </c>
      <c r="Q1107">
        <v>1.19</v>
      </c>
      <c r="R1107">
        <v>29</v>
      </c>
      <c r="S1107">
        <v>117.14</v>
      </c>
    </row>
    <row r="1108" spans="1:19" x14ac:dyDescent="0.25">
      <c r="A1108" t="s">
        <v>9699</v>
      </c>
      <c r="B1108" s="1">
        <v>45180</v>
      </c>
      <c r="C1108" t="s">
        <v>9263</v>
      </c>
      <c r="D1108" t="s">
        <v>63</v>
      </c>
      <c r="E1108" t="s">
        <v>24</v>
      </c>
      <c r="F1108" t="s">
        <v>243</v>
      </c>
      <c r="G1108">
        <v>45</v>
      </c>
      <c r="H1108" t="s">
        <v>26</v>
      </c>
      <c r="I1108" t="s">
        <v>370</v>
      </c>
      <c r="J1108" t="s">
        <v>9508</v>
      </c>
      <c r="K1108" t="s">
        <v>9509</v>
      </c>
      <c r="L1108">
        <v>307</v>
      </c>
      <c r="M1108">
        <v>114</v>
      </c>
      <c r="N1108" s="2">
        <v>0.38</v>
      </c>
      <c r="O1108">
        <v>85</v>
      </c>
      <c r="P1108">
        <v>16.940000000000001</v>
      </c>
      <c r="Q1108">
        <v>12.7</v>
      </c>
      <c r="R1108">
        <v>433</v>
      </c>
      <c r="S1108">
        <v>158.82</v>
      </c>
    </row>
    <row r="1109" spans="1:19" x14ac:dyDescent="0.25">
      <c r="A1109" t="s">
        <v>9700</v>
      </c>
      <c r="B1109" s="1">
        <v>45180</v>
      </c>
      <c r="C1109" t="s">
        <v>5552</v>
      </c>
      <c r="D1109" t="s">
        <v>63</v>
      </c>
      <c r="E1109" t="s">
        <v>24</v>
      </c>
      <c r="F1109" t="s">
        <v>243</v>
      </c>
      <c r="G1109">
        <v>10</v>
      </c>
      <c r="H1109" t="s">
        <v>26</v>
      </c>
      <c r="I1109" t="s">
        <v>39</v>
      </c>
      <c r="J1109" t="s">
        <v>7372</v>
      </c>
      <c r="K1109" t="s">
        <v>9701</v>
      </c>
      <c r="L1109">
        <v>38</v>
      </c>
      <c r="M1109">
        <v>63</v>
      </c>
      <c r="N1109" s="2">
        <v>0.3</v>
      </c>
      <c r="O1109">
        <v>82</v>
      </c>
      <c r="P1109">
        <v>13.28</v>
      </c>
      <c r="Q1109">
        <v>2.21</v>
      </c>
      <c r="R1109">
        <v>60</v>
      </c>
      <c r="S1109">
        <v>131.9</v>
      </c>
    </row>
    <row r="1110" spans="1:19" x14ac:dyDescent="0.25">
      <c r="A1110" t="s">
        <v>9702</v>
      </c>
      <c r="B1110" s="1">
        <v>45180</v>
      </c>
      <c r="C1110" t="s">
        <v>3211</v>
      </c>
      <c r="D1110" t="s">
        <v>63</v>
      </c>
      <c r="E1110" t="s">
        <v>24</v>
      </c>
      <c r="F1110" t="s">
        <v>768</v>
      </c>
      <c r="G1110">
        <v>10</v>
      </c>
      <c r="H1110" t="s">
        <v>194</v>
      </c>
      <c r="I1110" t="s">
        <v>700</v>
      </c>
      <c r="J1110" t="s">
        <v>1282</v>
      </c>
      <c r="K1110" t="s">
        <v>9703</v>
      </c>
      <c r="R1110">
        <v>51</v>
      </c>
      <c r="S1110">
        <v>109.5</v>
      </c>
    </row>
    <row r="1111" spans="1:19" x14ac:dyDescent="0.25">
      <c r="A1111" t="s">
        <v>9704</v>
      </c>
      <c r="B1111" s="1">
        <v>45180</v>
      </c>
      <c r="C1111" t="s">
        <v>5297</v>
      </c>
      <c r="D1111" t="s">
        <v>63</v>
      </c>
      <c r="E1111" t="s">
        <v>24</v>
      </c>
      <c r="F1111" t="s">
        <v>335</v>
      </c>
      <c r="G1111">
        <v>10</v>
      </c>
      <c r="H1111" t="s">
        <v>194</v>
      </c>
      <c r="I1111" t="s">
        <v>195</v>
      </c>
      <c r="J1111" t="s">
        <v>211</v>
      </c>
      <c r="K1111" t="s">
        <v>9705</v>
      </c>
      <c r="R1111">
        <v>46</v>
      </c>
      <c r="S1111">
        <v>105.04</v>
      </c>
    </row>
    <row r="1112" spans="1:19" x14ac:dyDescent="0.25">
      <c r="A1112" t="s">
        <v>9706</v>
      </c>
      <c r="B1112" s="1">
        <v>45180</v>
      </c>
      <c r="C1112" t="s">
        <v>6767</v>
      </c>
      <c r="D1112" t="s">
        <v>63</v>
      </c>
      <c r="E1112" t="s">
        <v>24</v>
      </c>
      <c r="F1112" t="s">
        <v>1203</v>
      </c>
      <c r="G1112">
        <v>10</v>
      </c>
      <c r="H1112" t="s">
        <v>49</v>
      </c>
      <c r="I1112" t="s">
        <v>226</v>
      </c>
      <c r="J1112" t="s">
        <v>9707</v>
      </c>
      <c r="K1112" t="s">
        <v>9708</v>
      </c>
      <c r="R1112">
        <v>39</v>
      </c>
      <c r="S1112">
        <v>98.11</v>
      </c>
    </row>
    <row r="1113" spans="1:19" x14ac:dyDescent="0.25">
      <c r="A1113" t="s">
        <v>9709</v>
      </c>
      <c r="B1113" s="1">
        <v>45180</v>
      </c>
      <c r="C1113" t="s">
        <v>2095</v>
      </c>
      <c r="D1113" t="s">
        <v>63</v>
      </c>
      <c r="E1113" t="s">
        <v>24</v>
      </c>
      <c r="F1113" t="s">
        <v>200</v>
      </c>
      <c r="G1113">
        <v>10</v>
      </c>
      <c r="H1113" t="s">
        <v>464</v>
      </c>
      <c r="I1113" t="s">
        <v>103</v>
      </c>
      <c r="J1113" t="s">
        <v>9710</v>
      </c>
      <c r="K1113" t="s">
        <v>9711</v>
      </c>
    </row>
    <row r="1114" spans="1:19" x14ac:dyDescent="0.25">
      <c r="A1114" t="s">
        <v>9751</v>
      </c>
      <c r="B1114" s="1">
        <v>45187</v>
      </c>
      <c r="C1114" t="s">
        <v>9752</v>
      </c>
      <c r="D1114" t="s">
        <v>63</v>
      </c>
      <c r="E1114" t="s">
        <v>24</v>
      </c>
      <c r="F1114" t="s">
        <v>208</v>
      </c>
      <c r="G1114">
        <v>15</v>
      </c>
      <c r="H1114" t="s">
        <v>464</v>
      </c>
      <c r="I1114" t="s">
        <v>763</v>
      </c>
      <c r="J1114" t="s">
        <v>2508</v>
      </c>
      <c r="K1114" t="s">
        <v>9750</v>
      </c>
    </row>
    <row r="1115" spans="1:19" x14ac:dyDescent="0.25">
      <c r="A1115" t="s">
        <v>9788</v>
      </c>
      <c r="B1115" s="1">
        <v>45194</v>
      </c>
      <c r="C1115" t="s">
        <v>711</v>
      </c>
      <c r="D1115" t="s">
        <v>63</v>
      </c>
      <c r="E1115" t="s">
        <v>24</v>
      </c>
      <c r="F1115" t="s">
        <v>2708</v>
      </c>
      <c r="G1115">
        <v>30</v>
      </c>
      <c r="H1115" t="s">
        <v>188</v>
      </c>
      <c r="I1115" t="s">
        <v>254</v>
      </c>
      <c r="J1115" t="s">
        <v>255</v>
      </c>
      <c r="K1115" t="s">
        <v>9789</v>
      </c>
      <c r="R1115">
        <v>93</v>
      </c>
    </row>
    <row r="1116" spans="1:19" x14ac:dyDescent="0.25">
      <c r="A1116" t="s">
        <v>9790</v>
      </c>
      <c r="B1116" s="1">
        <v>45194</v>
      </c>
      <c r="C1116" t="s">
        <v>9791</v>
      </c>
      <c r="D1116" t="s">
        <v>63</v>
      </c>
      <c r="E1116" t="s">
        <v>24</v>
      </c>
      <c r="F1116" t="s">
        <v>297</v>
      </c>
      <c r="G1116">
        <v>45</v>
      </c>
      <c r="H1116" t="s">
        <v>7750</v>
      </c>
      <c r="I1116" t="s">
        <v>8279</v>
      </c>
      <c r="J1116" t="s">
        <v>681</v>
      </c>
      <c r="K1116" t="s">
        <v>9792</v>
      </c>
      <c r="L1116">
        <v>110</v>
      </c>
      <c r="P1116">
        <v>2.68</v>
      </c>
      <c r="Q1116">
        <v>2.77</v>
      </c>
      <c r="R1116">
        <v>357</v>
      </c>
      <c r="S1116">
        <v>133.63</v>
      </c>
    </row>
    <row r="1117" spans="1:19" x14ac:dyDescent="0.25">
      <c r="A1117" t="s">
        <v>9830</v>
      </c>
      <c r="B1117" s="1">
        <v>45201</v>
      </c>
      <c r="C1117" t="s">
        <v>3327</v>
      </c>
      <c r="D1117" t="s">
        <v>63</v>
      </c>
      <c r="E1117" t="s">
        <v>24</v>
      </c>
      <c r="F1117" t="s">
        <v>200</v>
      </c>
      <c r="G1117">
        <v>30</v>
      </c>
      <c r="H1117" t="s">
        <v>188</v>
      </c>
      <c r="I1117" t="s">
        <v>189</v>
      </c>
      <c r="J1117" t="s">
        <v>4627</v>
      </c>
      <c r="K1117" t="s">
        <v>9831</v>
      </c>
      <c r="R1117">
        <v>98</v>
      </c>
    </row>
    <row r="1118" spans="1:19" x14ac:dyDescent="0.25">
      <c r="A1118" t="s">
        <v>9832</v>
      </c>
      <c r="B1118" s="1">
        <v>45201</v>
      </c>
      <c r="C1118" t="s">
        <v>6325</v>
      </c>
      <c r="D1118" t="s">
        <v>63</v>
      </c>
      <c r="E1118" t="s">
        <v>24</v>
      </c>
      <c r="F1118" t="s">
        <v>305</v>
      </c>
      <c r="G1118">
        <v>5</v>
      </c>
      <c r="H1118" t="s">
        <v>194</v>
      </c>
      <c r="I1118" t="s">
        <v>195</v>
      </c>
      <c r="J1118" t="s">
        <v>196</v>
      </c>
      <c r="K1118" t="s">
        <v>9833</v>
      </c>
      <c r="R1118">
        <v>25</v>
      </c>
      <c r="S1118">
        <v>109.16</v>
      </c>
    </row>
    <row r="1119" spans="1:19" x14ac:dyDescent="0.25">
      <c r="A1119" t="s">
        <v>9834</v>
      </c>
      <c r="B1119" s="1">
        <v>45201</v>
      </c>
      <c r="C1119" t="s">
        <v>5216</v>
      </c>
      <c r="D1119" t="s">
        <v>63</v>
      </c>
      <c r="E1119" t="s">
        <v>24</v>
      </c>
      <c r="F1119" t="s">
        <v>170</v>
      </c>
      <c r="G1119">
        <v>10</v>
      </c>
      <c r="H1119" t="s">
        <v>194</v>
      </c>
      <c r="I1119" t="s">
        <v>1445</v>
      </c>
      <c r="J1119" t="s">
        <v>2809</v>
      </c>
      <c r="K1119" t="s">
        <v>9835</v>
      </c>
      <c r="R1119">
        <v>49</v>
      </c>
      <c r="S1119">
        <v>107.74</v>
      </c>
    </row>
    <row r="1120" spans="1:19" x14ac:dyDescent="0.25">
      <c r="A1120" t="s">
        <v>9836</v>
      </c>
      <c r="B1120" s="1">
        <v>45201</v>
      </c>
      <c r="C1120" t="s">
        <v>1978</v>
      </c>
      <c r="D1120" t="s">
        <v>63</v>
      </c>
      <c r="E1120" t="s">
        <v>24</v>
      </c>
      <c r="F1120" t="s">
        <v>7754</v>
      </c>
      <c r="G1120">
        <v>30</v>
      </c>
      <c r="H1120" t="s">
        <v>7562</v>
      </c>
      <c r="I1120" t="s">
        <v>7989</v>
      </c>
      <c r="J1120" t="s">
        <v>7990</v>
      </c>
      <c r="K1120" t="s">
        <v>9837</v>
      </c>
      <c r="L1120">
        <v>109</v>
      </c>
      <c r="P1120">
        <v>2.68</v>
      </c>
      <c r="Q1120">
        <v>3</v>
      </c>
      <c r="R1120">
        <v>240</v>
      </c>
      <c r="S1120">
        <v>134.66</v>
      </c>
    </row>
    <row r="1121" spans="1:19" x14ac:dyDescent="0.25">
      <c r="A1121" t="s">
        <v>9838</v>
      </c>
      <c r="B1121" s="1">
        <v>45201</v>
      </c>
      <c r="C1121" t="s">
        <v>1616</v>
      </c>
      <c r="D1121" t="s">
        <v>63</v>
      </c>
      <c r="E1121" t="s">
        <v>24</v>
      </c>
      <c r="F1121" t="s">
        <v>2708</v>
      </c>
      <c r="G1121">
        <v>10</v>
      </c>
      <c r="H1121" t="s">
        <v>464</v>
      </c>
      <c r="I1121" t="s">
        <v>1617</v>
      </c>
      <c r="J1121" t="s">
        <v>3543</v>
      </c>
      <c r="K1121" t="s">
        <v>9839</v>
      </c>
    </row>
    <row r="1122" spans="1:19" x14ac:dyDescent="0.25">
      <c r="A1122" t="s">
        <v>9863</v>
      </c>
      <c r="B1122" s="1">
        <v>45208</v>
      </c>
      <c r="C1122" t="s">
        <v>9149</v>
      </c>
      <c r="D1122" t="s">
        <v>63</v>
      </c>
      <c r="E1122" t="s">
        <v>24</v>
      </c>
      <c r="F1122" t="s">
        <v>323</v>
      </c>
      <c r="G1122">
        <v>45</v>
      </c>
      <c r="H1122" t="s">
        <v>26</v>
      </c>
      <c r="I1122" t="s">
        <v>370</v>
      </c>
      <c r="J1122" t="s">
        <v>439</v>
      </c>
      <c r="K1122" t="s">
        <v>9864</v>
      </c>
      <c r="L1122">
        <v>301</v>
      </c>
      <c r="M1122">
        <v>111</v>
      </c>
      <c r="N1122" s="2">
        <v>0.39</v>
      </c>
      <c r="O1122">
        <v>84</v>
      </c>
      <c r="P1122">
        <v>16.829999999999998</v>
      </c>
      <c r="Q1122">
        <v>12.63</v>
      </c>
      <c r="R1122">
        <v>464</v>
      </c>
      <c r="S1122">
        <v>154.54</v>
      </c>
    </row>
    <row r="1123" spans="1:19" x14ac:dyDescent="0.25">
      <c r="A1123" t="s">
        <v>9865</v>
      </c>
      <c r="B1123" s="1">
        <v>45208</v>
      </c>
      <c r="C1123" t="s">
        <v>3034</v>
      </c>
      <c r="D1123" t="s">
        <v>63</v>
      </c>
      <c r="E1123" t="s">
        <v>24</v>
      </c>
      <c r="F1123" t="s">
        <v>490</v>
      </c>
      <c r="G1123">
        <v>10</v>
      </c>
      <c r="H1123" t="s">
        <v>26</v>
      </c>
      <c r="I1123" t="s">
        <v>39</v>
      </c>
      <c r="J1123" t="s">
        <v>7372</v>
      </c>
      <c r="K1123" t="s">
        <v>9866</v>
      </c>
      <c r="L1123">
        <v>57</v>
      </c>
      <c r="M1123">
        <v>94</v>
      </c>
      <c r="N1123" s="2">
        <v>0.36</v>
      </c>
      <c r="O1123">
        <v>85</v>
      </c>
      <c r="P1123">
        <v>15.72</v>
      </c>
      <c r="Q1123">
        <v>2.62</v>
      </c>
      <c r="R1123">
        <v>92</v>
      </c>
      <c r="S1123">
        <v>144.65</v>
      </c>
    </row>
    <row r="1124" spans="1:19" x14ac:dyDescent="0.25">
      <c r="A1124" t="s">
        <v>9867</v>
      </c>
      <c r="B1124" s="1">
        <v>45208</v>
      </c>
      <c r="C1124" t="s">
        <v>5474</v>
      </c>
      <c r="D1124" t="s">
        <v>63</v>
      </c>
      <c r="E1124" t="s">
        <v>24</v>
      </c>
      <c r="F1124" t="s">
        <v>25</v>
      </c>
      <c r="G1124">
        <v>5</v>
      </c>
      <c r="H1124" t="s">
        <v>26</v>
      </c>
      <c r="I1124" t="s">
        <v>358</v>
      </c>
      <c r="J1124" t="s">
        <v>359</v>
      </c>
      <c r="K1124" t="s">
        <v>9868</v>
      </c>
      <c r="L1124">
        <v>18</v>
      </c>
      <c r="M1124">
        <v>59</v>
      </c>
      <c r="N1124" s="2">
        <v>0.28000000000000003</v>
      </c>
      <c r="O1124">
        <v>86</v>
      </c>
      <c r="P1124">
        <v>12.84</v>
      </c>
      <c r="Q1124">
        <v>1.07</v>
      </c>
      <c r="R1124">
        <v>36</v>
      </c>
      <c r="S1124">
        <v>128</v>
      </c>
    </row>
    <row r="1125" spans="1:19" x14ac:dyDescent="0.25">
      <c r="A1125" t="s">
        <v>9869</v>
      </c>
      <c r="B1125" s="1">
        <v>45208</v>
      </c>
      <c r="C1125" t="s">
        <v>5958</v>
      </c>
      <c r="D1125" t="s">
        <v>63</v>
      </c>
      <c r="E1125" t="s">
        <v>24</v>
      </c>
      <c r="F1125" t="s">
        <v>25</v>
      </c>
      <c r="G1125">
        <v>10</v>
      </c>
      <c r="H1125" t="s">
        <v>194</v>
      </c>
      <c r="I1125" t="s">
        <v>700</v>
      </c>
      <c r="J1125" t="s">
        <v>1282</v>
      </c>
      <c r="K1125" t="s">
        <v>9870</v>
      </c>
      <c r="R1125">
        <v>57</v>
      </c>
      <c r="S1125">
        <v>115.43</v>
      </c>
    </row>
    <row r="1126" spans="1:19" x14ac:dyDescent="0.25">
      <c r="A1126" t="s">
        <v>9871</v>
      </c>
      <c r="B1126" s="1">
        <v>45208</v>
      </c>
      <c r="C1126" t="s">
        <v>1552</v>
      </c>
      <c r="D1126" t="s">
        <v>63</v>
      </c>
      <c r="E1126" t="s">
        <v>24</v>
      </c>
      <c r="F1126" t="s">
        <v>459</v>
      </c>
      <c r="G1126">
        <v>15</v>
      </c>
      <c r="H1126" t="s">
        <v>188</v>
      </c>
      <c r="I1126" t="s">
        <v>1088</v>
      </c>
      <c r="J1126" t="s">
        <v>9872</v>
      </c>
      <c r="K1126" t="s">
        <v>9873</v>
      </c>
      <c r="R1126">
        <v>29</v>
      </c>
    </row>
    <row r="1127" spans="1:19" x14ac:dyDescent="0.25">
      <c r="A1127" t="s">
        <v>9915</v>
      </c>
      <c r="B1127" s="1">
        <v>45215</v>
      </c>
      <c r="C1127" t="s">
        <v>9916</v>
      </c>
      <c r="D1127" t="s">
        <v>63</v>
      </c>
      <c r="E1127" t="s">
        <v>24</v>
      </c>
      <c r="F1127" t="s">
        <v>231</v>
      </c>
      <c r="G1127">
        <v>45</v>
      </c>
      <c r="H1127" t="s">
        <v>1856</v>
      </c>
      <c r="I1127" t="s">
        <v>4912</v>
      </c>
      <c r="J1127" t="s">
        <v>5607</v>
      </c>
      <c r="K1127" t="s">
        <v>9917</v>
      </c>
      <c r="L1127">
        <v>0</v>
      </c>
      <c r="P1127">
        <v>3</v>
      </c>
      <c r="Q1127">
        <v>2.06</v>
      </c>
      <c r="R1127">
        <v>391</v>
      </c>
      <c r="S1127">
        <v>140.07</v>
      </c>
    </row>
    <row r="1128" spans="1:19" x14ac:dyDescent="0.25">
      <c r="A1128" t="s">
        <v>9918</v>
      </c>
      <c r="B1128" s="1">
        <v>45215</v>
      </c>
      <c r="C1128" t="s">
        <v>9919</v>
      </c>
      <c r="D1128" t="s">
        <v>63</v>
      </c>
      <c r="E1128" t="s">
        <v>24</v>
      </c>
      <c r="F1128" t="s">
        <v>231</v>
      </c>
      <c r="G1128">
        <v>10</v>
      </c>
      <c r="H1128" t="s">
        <v>1856</v>
      </c>
      <c r="I1128" t="s">
        <v>9920</v>
      </c>
      <c r="J1128" t="s">
        <v>9921</v>
      </c>
      <c r="K1128" t="s">
        <v>9922</v>
      </c>
      <c r="L1128">
        <v>0</v>
      </c>
      <c r="P1128">
        <v>2.64</v>
      </c>
      <c r="Q1128">
        <v>0.34</v>
      </c>
      <c r="R1128">
        <v>60</v>
      </c>
      <c r="S1128">
        <v>117.94</v>
      </c>
    </row>
    <row r="1129" spans="1:19" x14ac:dyDescent="0.25">
      <c r="A1129" t="s">
        <v>9923</v>
      </c>
      <c r="B1129" s="1">
        <v>45215</v>
      </c>
      <c r="C1129" t="s">
        <v>9924</v>
      </c>
      <c r="D1129" t="s">
        <v>63</v>
      </c>
      <c r="E1129" t="s">
        <v>24</v>
      </c>
      <c r="F1129" t="s">
        <v>305</v>
      </c>
      <c r="G1129">
        <v>10</v>
      </c>
      <c r="H1129" t="s">
        <v>49</v>
      </c>
      <c r="I1129" t="s">
        <v>298</v>
      </c>
      <c r="J1129" t="s">
        <v>315</v>
      </c>
      <c r="K1129" t="s">
        <v>9925</v>
      </c>
      <c r="R1129">
        <v>33</v>
      </c>
      <c r="S1129">
        <v>95.87</v>
      </c>
    </row>
    <row r="1130" spans="1:19" x14ac:dyDescent="0.25">
      <c r="A1130" t="s">
        <v>9926</v>
      </c>
      <c r="B1130" s="1">
        <v>45215</v>
      </c>
      <c r="C1130" t="s">
        <v>9927</v>
      </c>
      <c r="D1130" t="s">
        <v>63</v>
      </c>
      <c r="E1130" t="s">
        <v>24</v>
      </c>
      <c r="F1130" t="s">
        <v>459</v>
      </c>
      <c r="G1130">
        <v>10</v>
      </c>
      <c r="H1130" t="s">
        <v>464</v>
      </c>
      <c r="I1130" t="s">
        <v>103</v>
      </c>
      <c r="J1130" t="s">
        <v>9928</v>
      </c>
      <c r="K1130" t="s">
        <v>9929</v>
      </c>
    </row>
    <row r="1131" spans="1:19" x14ac:dyDescent="0.25">
      <c r="A1131" t="s">
        <v>9968</v>
      </c>
      <c r="B1131" s="1">
        <v>45222</v>
      </c>
      <c r="C1131" t="s">
        <v>1909</v>
      </c>
      <c r="D1131" t="s">
        <v>63</v>
      </c>
      <c r="E1131" t="s">
        <v>24</v>
      </c>
      <c r="F1131" t="s">
        <v>237</v>
      </c>
      <c r="G1131">
        <v>10</v>
      </c>
      <c r="H1131" t="s">
        <v>464</v>
      </c>
      <c r="I1131" t="s">
        <v>579</v>
      </c>
      <c r="J1131" t="s">
        <v>808</v>
      </c>
      <c r="K1131" t="s">
        <v>9969</v>
      </c>
    </row>
    <row r="1132" spans="1:19" x14ac:dyDescent="0.25">
      <c r="A1132" t="s">
        <v>10001</v>
      </c>
      <c r="B1132" s="1">
        <v>45229</v>
      </c>
      <c r="C1132" t="s">
        <v>1102</v>
      </c>
      <c r="D1132" t="s">
        <v>63</v>
      </c>
      <c r="E1132" t="s">
        <v>24</v>
      </c>
      <c r="F1132" t="s">
        <v>200</v>
      </c>
      <c r="G1132">
        <v>30</v>
      </c>
      <c r="H1132" t="s">
        <v>188</v>
      </c>
      <c r="I1132" t="s">
        <v>238</v>
      </c>
      <c r="J1132" t="s">
        <v>1956</v>
      </c>
      <c r="K1132" t="s">
        <v>10002</v>
      </c>
      <c r="R1132">
        <v>98</v>
      </c>
    </row>
    <row r="1133" spans="1:19" x14ac:dyDescent="0.25">
      <c r="A1133" t="s">
        <v>10003</v>
      </c>
      <c r="B1133" s="1">
        <v>45229</v>
      </c>
      <c r="C1133" t="s">
        <v>10004</v>
      </c>
      <c r="D1133" t="s">
        <v>63</v>
      </c>
      <c r="E1133" t="s">
        <v>24</v>
      </c>
      <c r="F1133" t="s">
        <v>33</v>
      </c>
      <c r="G1133">
        <v>90</v>
      </c>
      <c r="H1133" t="s">
        <v>26</v>
      </c>
      <c r="I1133" t="s">
        <v>370</v>
      </c>
      <c r="J1133" t="s">
        <v>1278</v>
      </c>
      <c r="K1133" t="s">
        <v>10005</v>
      </c>
      <c r="L1133">
        <v>516</v>
      </c>
      <c r="M1133">
        <v>100</v>
      </c>
      <c r="N1133" s="2">
        <v>0.38</v>
      </c>
      <c r="O1133">
        <v>80</v>
      </c>
      <c r="P1133">
        <v>16.100000000000001</v>
      </c>
      <c r="Q1133">
        <v>23.41</v>
      </c>
      <c r="R1133">
        <v>936</v>
      </c>
      <c r="S1133">
        <v>158.84</v>
      </c>
    </row>
    <row r="1134" spans="1:19" x14ac:dyDescent="0.25">
      <c r="A1134" t="s">
        <v>10006</v>
      </c>
      <c r="B1134" s="1">
        <v>45229</v>
      </c>
      <c r="C1134" t="s">
        <v>5216</v>
      </c>
      <c r="D1134" t="s">
        <v>63</v>
      </c>
      <c r="E1134" t="s">
        <v>24</v>
      </c>
      <c r="F1134" t="s">
        <v>3250</v>
      </c>
      <c r="G1134">
        <v>10</v>
      </c>
      <c r="H1134" t="s">
        <v>194</v>
      </c>
      <c r="I1134" t="s">
        <v>700</v>
      </c>
      <c r="J1134" t="s">
        <v>1282</v>
      </c>
      <c r="K1134" t="s">
        <v>10007</v>
      </c>
      <c r="R1134">
        <v>58</v>
      </c>
      <c r="S1134">
        <v>114.19</v>
      </c>
    </row>
    <row r="1135" spans="1:19" x14ac:dyDescent="0.25">
      <c r="A1135" t="s">
        <v>10008</v>
      </c>
      <c r="B1135" s="1">
        <v>45229</v>
      </c>
      <c r="C1135" t="s">
        <v>4650</v>
      </c>
      <c r="D1135" t="s">
        <v>63</v>
      </c>
      <c r="E1135" t="s">
        <v>24</v>
      </c>
      <c r="F1135" t="s">
        <v>459</v>
      </c>
      <c r="G1135">
        <v>10</v>
      </c>
      <c r="H1135" t="s">
        <v>464</v>
      </c>
      <c r="I1135" t="s">
        <v>579</v>
      </c>
      <c r="J1135" t="s">
        <v>1000</v>
      </c>
      <c r="K1135" t="s">
        <v>10009</v>
      </c>
    </row>
    <row r="1136" spans="1:19" x14ac:dyDescent="0.25">
      <c r="A1136" t="s">
        <v>10049</v>
      </c>
      <c r="B1136" s="1">
        <v>45236</v>
      </c>
      <c r="C1136" t="s">
        <v>1835</v>
      </c>
      <c r="D1136" t="s">
        <v>63</v>
      </c>
      <c r="E1136" t="s">
        <v>24</v>
      </c>
      <c r="F1136" t="s">
        <v>243</v>
      </c>
      <c r="G1136">
        <v>30</v>
      </c>
      <c r="H1136" t="s">
        <v>188</v>
      </c>
      <c r="I1136" t="s">
        <v>189</v>
      </c>
      <c r="J1136" t="s">
        <v>10050</v>
      </c>
      <c r="K1136" t="s">
        <v>10051</v>
      </c>
      <c r="R1136">
        <v>92</v>
      </c>
    </row>
    <row r="1137" spans="1:19" x14ac:dyDescent="0.25">
      <c r="A1137" t="s">
        <v>10052</v>
      </c>
      <c r="B1137" s="1">
        <v>45236</v>
      </c>
      <c r="C1137" t="s">
        <v>10053</v>
      </c>
      <c r="D1137" t="s">
        <v>63</v>
      </c>
      <c r="E1137" t="s">
        <v>24</v>
      </c>
      <c r="F1137" t="s">
        <v>323</v>
      </c>
      <c r="G1137">
        <v>45</v>
      </c>
      <c r="H1137" t="s">
        <v>26</v>
      </c>
      <c r="I1137" t="s">
        <v>370</v>
      </c>
      <c r="J1137" t="s">
        <v>439</v>
      </c>
      <c r="K1137" t="s">
        <v>10054</v>
      </c>
      <c r="L1137">
        <v>303</v>
      </c>
      <c r="M1137">
        <v>112</v>
      </c>
      <c r="N1137" s="2">
        <v>0.39</v>
      </c>
      <c r="O1137">
        <v>84</v>
      </c>
      <c r="P1137">
        <v>16.87</v>
      </c>
      <c r="Q1137">
        <v>12.65</v>
      </c>
      <c r="R1137">
        <v>479</v>
      </c>
      <c r="S1137">
        <v>157.5</v>
      </c>
    </row>
    <row r="1138" spans="1:19" x14ac:dyDescent="0.25">
      <c r="A1138" t="s">
        <v>10055</v>
      </c>
      <c r="B1138" s="1">
        <v>45236</v>
      </c>
      <c r="C1138" t="s">
        <v>10056</v>
      </c>
      <c r="D1138" t="s">
        <v>63</v>
      </c>
      <c r="E1138" t="s">
        <v>24</v>
      </c>
      <c r="F1138" t="s">
        <v>747</v>
      </c>
      <c r="G1138">
        <v>5</v>
      </c>
      <c r="H1138" t="s">
        <v>26</v>
      </c>
      <c r="I1138" t="s">
        <v>358</v>
      </c>
      <c r="J1138" t="s">
        <v>359</v>
      </c>
      <c r="K1138" t="s">
        <v>10057</v>
      </c>
      <c r="L1138">
        <v>16</v>
      </c>
      <c r="M1138">
        <v>52</v>
      </c>
      <c r="N1138" s="2">
        <v>0.28000000000000003</v>
      </c>
      <c r="O1138">
        <v>81</v>
      </c>
      <c r="P1138">
        <v>12.17</v>
      </c>
      <c r="Q1138">
        <v>1.02</v>
      </c>
      <c r="R1138">
        <v>36</v>
      </c>
      <c r="S1138">
        <v>128.82</v>
      </c>
    </row>
    <row r="1139" spans="1:19" x14ac:dyDescent="0.25">
      <c r="A1139" t="s">
        <v>10058</v>
      </c>
      <c r="B1139" s="1">
        <v>45236</v>
      </c>
      <c r="C1139" t="s">
        <v>10059</v>
      </c>
      <c r="D1139" t="s">
        <v>63</v>
      </c>
      <c r="E1139" t="s">
        <v>24</v>
      </c>
      <c r="F1139" t="s">
        <v>335</v>
      </c>
      <c r="G1139">
        <v>5</v>
      </c>
      <c r="H1139" t="s">
        <v>49</v>
      </c>
      <c r="I1139" t="s">
        <v>50</v>
      </c>
      <c r="J1139" t="s">
        <v>51</v>
      </c>
      <c r="K1139" t="s">
        <v>10060</v>
      </c>
      <c r="R1139">
        <v>29</v>
      </c>
      <c r="S1139">
        <v>116.51</v>
      </c>
    </row>
    <row r="1140" spans="1:19" x14ac:dyDescent="0.25">
      <c r="A1140" t="s">
        <v>10061</v>
      </c>
      <c r="B1140" s="1">
        <v>45236</v>
      </c>
      <c r="C1140" t="s">
        <v>3351</v>
      </c>
      <c r="D1140" t="s">
        <v>63</v>
      </c>
      <c r="E1140" t="s">
        <v>24</v>
      </c>
      <c r="F1140" t="s">
        <v>208</v>
      </c>
      <c r="G1140">
        <v>10</v>
      </c>
      <c r="H1140" t="s">
        <v>464</v>
      </c>
      <c r="I1140" t="s">
        <v>763</v>
      </c>
      <c r="J1140" t="s">
        <v>914</v>
      </c>
      <c r="K1140" t="s">
        <v>10062</v>
      </c>
    </row>
    <row r="1141" spans="1:19" x14ac:dyDescent="0.25">
      <c r="A1141" t="s">
        <v>10110</v>
      </c>
      <c r="B1141" s="1">
        <v>45243</v>
      </c>
      <c r="C1141" t="s">
        <v>8257</v>
      </c>
      <c r="D1141" t="s">
        <v>63</v>
      </c>
      <c r="G1141">
        <v>44</v>
      </c>
      <c r="H1141" t="s">
        <v>1856</v>
      </c>
      <c r="J1141" t="s">
        <v>10111</v>
      </c>
      <c r="L1141">
        <v>0</v>
      </c>
      <c r="P1141">
        <v>3</v>
      </c>
      <c r="Q1141">
        <v>1.96</v>
      </c>
      <c r="R1141">
        <v>297</v>
      </c>
      <c r="S1141">
        <v>123.39</v>
      </c>
    </row>
    <row r="1142" spans="1:19" x14ac:dyDescent="0.25">
      <c r="A1142" t="s">
        <v>10112</v>
      </c>
      <c r="B1142" s="1">
        <v>45243</v>
      </c>
      <c r="C1142" t="s">
        <v>3899</v>
      </c>
      <c r="D1142" t="s">
        <v>63</v>
      </c>
      <c r="E1142" t="s">
        <v>24</v>
      </c>
      <c r="F1142" t="s">
        <v>7754</v>
      </c>
      <c r="G1142">
        <v>30</v>
      </c>
      <c r="H1142" t="s">
        <v>7562</v>
      </c>
      <c r="I1142" t="s">
        <v>7989</v>
      </c>
      <c r="J1142" t="s">
        <v>7990</v>
      </c>
      <c r="K1142" t="s">
        <v>10113</v>
      </c>
      <c r="L1142">
        <v>127</v>
      </c>
      <c r="P1142">
        <v>2.83</v>
      </c>
      <c r="Q1142">
        <v>3.17</v>
      </c>
      <c r="R1142">
        <v>308</v>
      </c>
      <c r="S1142">
        <v>153.31</v>
      </c>
    </row>
    <row r="1143" spans="1:19" x14ac:dyDescent="0.25">
      <c r="A1143" t="s">
        <v>10114</v>
      </c>
      <c r="B1143" s="1">
        <v>45243</v>
      </c>
      <c r="C1143" t="s">
        <v>3902</v>
      </c>
      <c r="D1143" t="s">
        <v>63</v>
      </c>
      <c r="E1143" t="s">
        <v>24</v>
      </c>
      <c r="F1143" t="s">
        <v>335</v>
      </c>
      <c r="G1143">
        <v>10</v>
      </c>
      <c r="H1143" t="s">
        <v>194</v>
      </c>
      <c r="I1143" t="s">
        <v>1445</v>
      </c>
      <c r="J1143" t="s">
        <v>1446</v>
      </c>
      <c r="K1143" t="s">
        <v>10115</v>
      </c>
      <c r="R1143">
        <v>71</v>
      </c>
      <c r="S1143">
        <v>124.68</v>
      </c>
    </row>
    <row r="1144" spans="1:19" x14ac:dyDescent="0.25">
      <c r="A1144" t="s">
        <v>10116</v>
      </c>
      <c r="B1144" s="1">
        <v>45243</v>
      </c>
      <c r="C1144" t="s">
        <v>10117</v>
      </c>
      <c r="D1144" t="s">
        <v>63</v>
      </c>
      <c r="E1144" t="s">
        <v>24</v>
      </c>
      <c r="F1144" t="s">
        <v>2256</v>
      </c>
      <c r="G1144">
        <v>20</v>
      </c>
      <c r="H1144" t="s">
        <v>194</v>
      </c>
      <c r="I1144" t="s">
        <v>1445</v>
      </c>
      <c r="J1144" t="s">
        <v>4217</v>
      </c>
      <c r="K1144" t="s">
        <v>10118</v>
      </c>
      <c r="R1144">
        <v>124</v>
      </c>
      <c r="S1144">
        <v>117.65</v>
      </c>
    </row>
    <row r="1145" spans="1:19" x14ac:dyDescent="0.25">
      <c r="A1145" t="s">
        <v>10119</v>
      </c>
      <c r="B1145" s="1">
        <v>45243</v>
      </c>
      <c r="C1145" t="s">
        <v>10120</v>
      </c>
      <c r="D1145" t="s">
        <v>63</v>
      </c>
      <c r="E1145" t="s">
        <v>24</v>
      </c>
      <c r="F1145" t="s">
        <v>180</v>
      </c>
      <c r="G1145">
        <v>5</v>
      </c>
      <c r="H1145" t="s">
        <v>194</v>
      </c>
      <c r="I1145" t="s">
        <v>195</v>
      </c>
      <c r="J1145" t="s">
        <v>196</v>
      </c>
      <c r="K1145" t="s">
        <v>10118</v>
      </c>
      <c r="R1145">
        <v>22</v>
      </c>
      <c r="S1145">
        <v>101.67</v>
      </c>
    </row>
    <row r="1146" spans="1:19" x14ac:dyDescent="0.25">
      <c r="A1146" t="s">
        <v>10121</v>
      </c>
      <c r="B1146" s="1">
        <v>45243</v>
      </c>
      <c r="C1146" t="s">
        <v>4369</v>
      </c>
      <c r="D1146" t="s">
        <v>63</v>
      </c>
      <c r="E1146" t="s">
        <v>24</v>
      </c>
      <c r="F1146" t="s">
        <v>215</v>
      </c>
      <c r="G1146">
        <v>10</v>
      </c>
      <c r="H1146" t="s">
        <v>464</v>
      </c>
      <c r="I1146" t="s">
        <v>103</v>
      </c>
      <c r="J1146" t="s">
        <v>3441</v>
      </c>
      <c r="K1146" t="s">
        <v>10122</v>
      </c>
    </row>
    <row r="1147" spans="1:19" x14ac:dyDescent="0.25">
      <c r="A1147" t="s">
        <v>10160</v>
      </c>
      <c r="B1147" s="1">
        <v>45250</v>
      </c>
      <c r="C1147" t="s">
        <v>4343</v>
      </c>
      <c r="D1147" t="s">
        <v>63</v>
      </c>
      <c r="E1147" t="s">
        <v>24</v>
      </c>
      <c r="F1147" t="s">
        <v>243</v>
      </c>
      <c r="G1147">
        <v>45</v>
      </c>
      <c r="H1147" t="s">
        <v>26</v>
      </c>
      <c r="I1147" t="s">
        <v>370</v>
      </c>
      <c r="J1147" t="s">
        <v>4416</v>
      </c>
      <c r="K1147" t="s">
        <v>10161</v>
      </c>
      <c r="L1147">
        <v>287</v>
      </c>
      <c r="M1147">
        <v>106</v>
      </c>
      <c r="N1147" s="2">
        <v>0.37</v>
      </c>
      <c r="O1147">
        <v>85</v>
      </c>
      <c r="P1147">
        <v>16.46</v>
      </c>
      <c r="Q1147">
        <v>12.35</v>
      </c>
      <c r="R1147">
        <v>506</v>
      </c>
      <c r="S1147">
        <v>161.13</v>
      </c>
    </row>
    <row r="1148" spans="1:19" x14ac:dyDescent="0.25">
      <c r="A1148" t="s">
        <v>10162</v>
      </c>
      <c r="B1148" s="1">
        <v>45250</v>
      </c>
      <c r="C1148" t="s">
        <v>933</v>
      </c>
      <c r="D1148" t="s">
        <v>63</v>
      </c>
      <c r="E1148" t="s">
        <v>24</v>
      </c>
      <c r="F1148" t="s">
        <v>180</v>
      </c>
      <c r="G1148">
        <v>10</v>
      </c>
      <c r="H1148" t="s">
        <v>26</v>
      </c>
      <c r="I1148" t="s">
        <v>39</v>
      </c>
      <c r="J1148" t="s">
        <v>7372</v>
      </c>
      <c r="K1148" t="s">
        <v>10163</v>
      </c>
      <c r="L1148">
        <v>42</v>
      </c>
      <c r="M1148">
        <v>70</v>
      </c>
      <c r="N1148" s="2">
        <v>0.31</v>
      </c>
      <c r="O1148">
        <v>87</v>
      </c>
      <c r="P1148">
        <v>13.88</v>
      </c>
      <c r="Q1148">
        <v>2.31</v>
      </c>
      <c r="R1148">
        <v>85</v>
      </c>
      <c r="S1148">
        <v>138.5</v>
      </c>
    </row>
    <row r="1149" spans="1:19" x14ac:dyDescent="0.25">
      <c r="A1149" t="s">
        <v>10164</v>
      </c>
      <c r="B1149" s="1">
        <v>45250</v>
      </c>
      <c r="C1149" t="s">
        <v>4301</v>
      </c>
      <c r="D1149" t="s">
        <v>63</v>
      </c>
      <c r="E1149" t="s">
        <v>24</v>
      </c>
      <c r="F1149" t="s">
        <v>2501</v>
      </c>
      <c r="G1149">
        <v>10</v>
      </c>
      <c r="H1149" t="s">
        <v>194</v>
      </c>
      <c r="I1149" t="s">
        <v>195</v>
      </c>
      <c r="J1149" t="s">
        <v>211</v>
      </c>
      <c r="K1149" t="s">
        <v>10163</v>
      </c>
      <c r="R1149">
        <v>49</v>
      </c>
      <c r="S1149">
        <v>106.46</v>
      </c>
    </row>
    <row r="1150" spans="1:19" x14ac:dyDescent="0.25">
      <c r="A1150" t="s">
        <v>10165</v>
      </c>
      <c r="B1150" s="1">
        <v>45250</v>
      </c>
      <c r="C1150" t="s">
        <v>2059</v>
      </c>
      <c r="D1150" t="s">
        <v>63</v>
      </c>
      <c r="E1150" t="s">
        <v>24</v>
      </c>
      <c r="F1150" t="s">
        <v>200</v>
      </c>
      <c r="G1150">
        <v>10</v>
      </c>
      <c r="H1150" t="s">
        <v>464</v>
      </c>
      <c r="I1150" t="s">
        <v>579</v>
      </c>
      <c r="J1150" t="s">
        <v>580</v>
      </c>
      <c r="K1150" t="s">
        <v>10166</v>
      </c>
    </row>
    <row r="1151" spans="1:19" x14ac:dyDescent="0.25">
      <c r="A1151" t="s">
        <v>10188</v>
      </c>
      <c r="B1151" s="1">
        <v>45257</v>
      </c>
      <c r="C1151" t="s">
        <v>10189</v>
      </c>
      <c r="D1151" t="s">
        <v>63</v>
      </c>
      <c r="E1151" t="s">
        <v>24</v>
      </c>
      <c r="F1151" t="s">
        <v>208</v>
      </c>
      <c r="G1151">
        <v>10</v>
      </c>
      <c r="H1151" t="s">
        <v>464</v>
      </c>
      <c r="I1151" t="s">
        <v>579</v>
      </c>
      <c r="J1151" t="s">
        <v>986</v>
      </c>
      <c r="K1151" t="s">
        <v>10190</v>
      </c>
    </row>
    <row r="1152" spans="1:19" x14ac:dyDescent="0.25">
      <c r="A1152" t="s">
        <v>10191</v>
      </c>
      <c r="B1152" s="1">
        <v>45257</v>
      </c>
      <c r="C1152" t="s">
        <v>10192</v>
      </c>
      <c r="D1152" t="s">
        <v>63</v>
      </c>
      <c r="E1152" t="s">
        <v>24</v>
      </c>
      <c r="F1152" t="s">
        <v>237</v>
      </c>
      <c r="G1152">
        <v>10</v>
      </c>
      <c r="H1152" t="s">
        <v>464</v>
      </c>
      <c r="I1152" t="s">
        <v>763</v>
      </c>
      <c r="J1152" t="s">
        <v>764</v>
      </c>
      <c r="K1152" t="s">
        <v>10193</v>
      </c>
    </row>
    <row r="1153" spans="1:19" x14ac:dyDescent="0.25">
      <c r="A1153" t="s">
        <v>10194</v>
      </c>
      <c r="B1153" s="1">
        <v>45257</v>
      </c>
      <c r="C1153" t="s">
        <v>10195</v>
      </c>
      <c r="D1153" t="s">
        <v>63</v>
      </c>
      <c r="E1153" t="s">
        <v>24</v>
      </c>
      <c r="F1153" t="s">
        <v>354</v>
      </c>
      <c r="G1153">
        <v>10</v>
      </c>
      <c r="H1153" t="s">
        <v>194</v>
      </c>
      <c r="I1153" t="s">
        <v>195</v>
      </c>
      <c r="J1153" t="s">
        <v>10196</v>
      </c>
      <c r="K1153" t="s">
        <v>10197</v>
      </c>
      <c r="R1153">
        <v>44</v>
      </c>
      <c r="S1153">
        <v>101.01</v>
      </c>
    </row>
    <row r="1154" spans="1:19" x14ac:dyDescent="0.25">
      <c r="A1154" t="s">
        <v>10229</v>
      </c>
      <c r="B1154" s="1">
        <v>45264</v>
      </c>
      <c r="C1154" t="s">
        <v>1198</v>
      </c>
      <c r="D1154" t="s">
        <v>63</v>
      </c>
      <c r="E1154" t="s">
        <v>24</v>
      </c>
      <c r="F1154" t="s">
        <v>215</v>
      </c>
      <c r="G1154">
        <v>30</v>
      </c>
      <c r="H1154" t="s">
        <v>188</v>
      </c>
      <c r="I1154" t="s">
        <v>189</v>
      </c>
      <c r="J1154" t="s">
        <v>10230</v>
      </c>
      <c r="K1154" t="s">
        <v>10231</v>
      </c>
      <c r="R1154">
        <v>90</v>
      </c>
    </row>
    <row r="1155" spans="1:19" x14ac:dyDescent="0.25">
      <c r="A1155" t="s">
        <v>10232</v>
      </c>
      <c r="B1155" s="1">
        <v>45264</v>
      </c>
      <c r="C1155" t="s">
        <v>10233</v>
      </c>
      <c r="D1155" t="s">
        <v>63</v>
      </c>
      <c r="E1155" t="s">
        <v>24</v>
      </c>
      <c r="F1155" t="s">
        <v>314</v>
      </c>
      <c r="G1155">
        <v>10</v>
      </c>
      <c r="H1155" t="s">
        <v>194</v>
      </c>
      <c r="I1155" t="s">
        <v>195</v>
      </c>
      <c r="J1155" t="s">
        <v>211</v>
      </c>
      <c r="K1155" t="s">
        <v>10234</v>
      </c>
      <c r="R1155">
        <v>55</v>
      </c>
      <c r="S1155">
        <v>113.69</v>
      </c>
    </row>
    <row r="1156" spans="1:19" x14ac:dyDescent="0.25">
      <c r="A1156" t="s">
        <v>10235</v>
      </c>
      <c r="B1156" s="1">
        <v>45264</v>
      </c>
      <c r="C1156" t="s">
        <v>7497</v>
      </c>
      <c r="D1156" t="s">
        <v>63</v>
      </c>
      <c r="E1156" t="s">
        <v>24</v>
      </c>
      <c r="F1156" t="s">
        <v>2256</v>
      </c>
      <c r="G1156">
        <v>20</v>
      </c>
      <c r="H1156" t="s">
        <v>194</v>
      </c>
      <c r="I1156" t="s">
        <v>1445</v>
      </c>
      <c r="J1156" t="s">
        <v>4217</v>
      </c>
      <c r="K1156" t="s">
        <v>10236</v>
      </c>
      <c r="R1156">
        <v>129</v>
      </c>
      <c r="S1156">
        <v>121.52</v>
      </c>
    </row>
    <row r="1157" spans="1:19" x14ac:dyDescent="0.25">
      <c r="A1157" t="s">
        <v>10237</v>
      </c>
      <c r="B1157" s="1">
        <v>45264</v>
      </c>
      <c r="C1157" t="s">
        <v>10238</v>
      </c>
      <c r="D1157" t="s">
        <v>63</v>
      </c>
      <c r="E1157" t="s">
        <v>24</v>
      </c>
      <c r="F1157" t="s">
        <v>323</v>
      </c>
      <c r="G1157">
        <v>30</v>
      </c>
      <c r="H1157" t="s">
        <v>26</v>
      </c>
      <c r="I1157" t="s">
        <v>370</v>
      </c>
      <c r="J1157" t="s">
        <v>396</v>
      </c>
      <c r="K1157" t="s">
        <v>10239</v>
      </c>
      <c r="L1157">
        <v>180</v>
      </c>
      <c r="M1157">
        <v>100</v>
      </c>
      <c r="N1157" s="2">
        <v>0.37</v>
      </c>
      <c r="O1157">
        <v>84</v>
      </c>
      <c r="P1157">
        <v>16.09</v>
      </c>
      <c r="Q1157">
        <v>8.0500000000000007</v>
      </c>
      <c r="R1157">
        <v>296</v>
      </c>
      <c r="S1157">
        <v>149.76</v>
      </c>
    </row>
    <row r="1158" spans="1:19" x14ac:dyDescent="0.25">
      <c r="A1158" t="s">
        <v>10240</v>
      </c>
      <c r="B1158" s="1">
        <v>45264</v>
      </c>
      <c r="C1158" t="s">
        <v>4764</v>
      </c>
      <c r="D1158" t="s">
        <v>63</v>
      </c>
      <c r="E1158" t="s">
        <v>24</v>
      </c>
      <c r="F1158" t="s">
        <v>2833</v>
      </c>
      <c r="G1158">
        <v>10</v>
      </c>
      <c r="H1158" t="s">
        <v>26</v>
      </c>
      <c r="I1158" t="s">
        <v>39</v>
      </c>
      <c r="J1158" t="s">
        <v>7372</v>
      </c>
      <c r="K1158" t="s">
        <v>10241</v>
      </c>
      <c r="L1158">
        <v>53</v>
      </c>
      <c r="M1158">
        <v>89</v>
      </c>
      <c r="N1158" s="2">
        <v>0.34</v>
      </c>
      <c r="O1158">
        <v>88</v>
      </c>
      <c r="P1158">
        <v>15.42</v>
      </c>
      <c r="Q1158">
        <v>2.57</v>
      </c>
      <c r="R1158">
        <v>95</v>
      </c>
      <c r="S1158">
        <v>145.57</v>
      </c>
    </row>
    <row r="1159" spans="1:19" x14ac:dyDescent="0.25">
      <c r="A1159" t="s">
        <v>10242</v>
      </c>
      <c r="B1159" s="1">
        <v>45264</v>
      </c>
      <c r="C1159" t="s">
        <v>8367</v>
      </c>
      <c r="D1159" t="s">
        <v>63</v>
      </c>
      <c r="E1159" t="s">
        <v>24</v>
      </c>
      <c r="F1159" t="s">
        <v>354</v>
      </c>
      <c r="G1159">
        <v>5</v>
      </c>
      <c r="H1159" t="s">
        <v>49</v>
      </c>
      <c r="I1159" t="s">
        <v>50</v>
      </c>
      <c r="J1159" t="s">
        <v>51</v>
      </c>
      <c r="K1159" t="s">
        <v>10243</v>
      </c>
      <c r="R1159">
        <v>27</v>
      </c>
      <c r="S1159">
        <v>110.8</v>
      </c>
    </row>
    <row r="1160" spans="1:19" x14ac:dyDescent="0.25">
      <c r="A1160" t="s">
        <v>10289</v>
      </c>
      <c r="B1160" s="1">
        <v>45271</v>
      </c>
      <c r="C1160" t="s">
        <v>1113</v>
      </c>
      <c r="D1160" t="s">
        <v>63</v>
      </c>
      <c r="E1160" t="s">
        <v>24</v>
      </c>
      <c r="F1160" t="s">
        <v>200</v>
      </c>
      <c r="G1160">
        <v>30</v>
      </c>
      <c r="H1160" t="s">
        <v>188</v>
      </c>
      <c r="I1160" t="s">
        <v>189</v>
      </c>
      <c r="J1160" t="s">
        <v>10290</v>
      </c>
      <c r="K1160" t="s">
        <v>10291</v>
      </c>
      <c r="R1160">
        <v>104</v>
      </c>
    </row>
    <row r="1161" spans="1:19" x14ac:dyDescent="0.25">
      <c r="A1161" t="s">
        <v>10292</v>
      </c>
      <c r="B1161" s="1">
        <v>45271</v>
      </c>
      <c r="C1161" t="s">
        <v>4063</v>
      </c>
      <c r="D1161" t="s">
        <v>63</v>
      </c>
      <c r="E1161" t="s">
        <v>24</v>
      </c>
      <c r="F1161" t="s">
        <v>180</v>
      </c>
      <c r="G1161">
        <v>15</v>
      </c>
      <c r="H1161" t="s">
        <v>194</v>
      </c>
      <c r="I1161" t="s">
        <v>195</v>
      </c>
      <c r="J1161" t="s">
        <v>1217</v>
      </c>
      <c r="K1161" t="s">
        <v>10293</v>
      </c>
      <c r="R1161">
        <v>80</v>
      </c>
      <c r="S1161">
        <v>110.09</v>
      </c>
    </row>
    <row r="1162" spans="1:19" x14ac:dyDescent="0.25">
      <c r="A1162" t="s">
        <v>10294</v>
      </c>
      <c r="B1162" s="1">
        <v>45271</v>
      </c>
      <c r="C1162" t="s">
        <v>10295</v>
      </c>
      <c r="D1162" t="s">
        <v>63</v>
      </c>
      <c r="E1162" t="s">
        <v>24</v>
      </c>
      <c r="F1162" t="s">
        <v>243</v>
      </c>
      <c r="G1162">
        <v>45</v>
      </c>
      <c r="H1162" t="s">
        <v>26</v>
      </c>
      <c r="I1162" t="s">
        <v>370</v>
      </c>
      <c r="J1162" t="s">
        <v>5119</v>
      </c>
      <c r="K1162" t="s">
        <v>10296</v>
      </c>
      <c r="L1162">
        <v>272</v>
      </c>
      <c r="M1162">
        <v>101</v>
      </c>
      <c r="N1162" s="2">
        <v>0.37</v>
      </c>
      <c r="O1162">
        <v>85</v>
      </c>
      <c r="P1162">
        <v>16.190000000000001</v>
      </c>
      <c r="Q1162">
        <v>12.14</v>
      </c>
      <c r="R1162">
        <v>441</v>
      </c>
      <c r="S1162">
        <v>149.52000000000001</v>
      </c>
    </row>
    <row r="1163" spans="1:19" x14ac:dyDescent="0.25">
      <c r="A1163" t="s">
        <v>10297</v>
      </c>
      <c r="B1163" s="1">
        <v>45271</v>
      </c>
      <c r="C1163" t="s">
        <v>1597</v>
      </c>
      <c r="D1163" t="s">
        <v>63</v>
      </c>
      <c r="E1163" t="s">
        <v>24</v>
      </c>
      <c r="F1163" t="s">
        <v>459</v>
      </c>
      <c r="G1163">
        <v>10</v>
      </c>
      <c r="H1163" t="s">
        <v>464</v>
      </c>
      <c r="I1163" t="s">
        <v>579</v>
      </c>
      <c r="J1163" t="s">
        <v>808</v>
      </c>
      <c r="K1163" t="s">
        <v>10298</v>
      </c>
    </row>
    <row r="1164" spans="1:19" x14ac:dyDescent="0.25">
      <c r="A1164" t="s">
        <v>10346</v>
      </c>
      <c r="B1164" s="1">
        <v>45278</v>
      </c>
      <c r="C1164" t="s">
        <v>3604</v>
      </c>
      <c r="D1164" t="s">
        <v>63</v>
      </c>
      <c r="E1164" t="s">
        <v>24</v>
      </c>
      <c r="F1164" t="s">
        <v>243</v>
      </c>
      <c r="G1164">
        <v>30</v>
      </c>
      <c r="H1164" t="s">
        <v>188</v>
      </c>
      <c r="I1164" t="s">
        <v>254</v>
      </c>
      <c r="J1164" t="s">
        <v>255</v>
      </c>
      <c r="K1164" t="s">
        <v>10347</v>
      </c>
      <c r="R1164">
        <v>96</v>
      </c>
    </row>
    <row r="1165" spans="1:19" x14ac:dyDescent="0.25">
      <c r="A1165" t="s">
        <v>10348</v>
      </c>
      <c r="B1165" s="1">
        <v>45278</v>
      </c>
      <c r="C1165" t="s">
        <v>1639</v>
      </c>
      <c r="D1165" t="s">
        <v>63</v>
      </c>
      <c r="E1165" t="s">
        <v>24</v>
      </c>
      <c r="F1165" t="s">
        <v>208</v>
      </c>
      <c r="G1165">
        <v>10</v>
      </c>
      <c r="H1165" t="s">
        <v>464</v>
      </c>
      <c r="I1165" t="s">
        <v>579</v>
      </c>
      <c r="J1165" t="s">
        <v>2432</v>
      </c>
      <c r="K1165" t="s">
        <v>10349</v>
      </c>
    </row>
    <row r="1166" spans="1:19" x14ac:dyDescent="0.25">
      <c r="A1166" t="s">
        <v>10380</v>
      </c>
      <c r="B1166" s="1">
        <v>45285</v>
      </c>
      <c r="C1166" t="s">
        <v>7836</v>
      </c>
      <c r="D1166" t="s">
        <v>63</v>
      </c>
      <c r="E1166" t="s">
        <v>24</v>
      </c>
      <c r="F1166" t="s">
        <v>180</v>
      </c>
      <c r="G1166">
        <v>20</v>
      </c>
      <c r="H1166" t="s">
        <v>194</v>
      </c>
      <c r="I1166" t="s">
        <v>195</v>
      </c>
      <c r="J1166" t="s">
        <v>2247</v>
      </c>
      <c r="K1166" t="s">
        <v>10381</v>
      </c>
      <c r="R1166">
        <v>130</v>
      </c>
      <c r="S1166">
        <v>120.11</v>
      </c>
    </row>
    <row r="1167" spans="1:19" x14ac:dyDescent="0.25">
      <c r="A1167" t="s">
        <v>10382</v>
      </c>
      <c r="B1167" s="1">
        <v>45285</v>
      </c>
      <c r="C1167" t="s">
        <v>10383</v>
      </c>
      <c r="D1167" t="s">
        <v>63</v>
      </c>
      <c r="E1167" t="s">
        <v>24</v>
      </c>
      <c r="F1167" t="s">
        <v>297</v>
      </c>
      <c r="G1167">
        <v>10</v>
      </c>
      <c r="H1167" t="s">
        <v>194</v>
      </c>
      <c r="I1167" t="s">
        <v>423</v>
      </c>
      <c r="J1167" t="s">
        <v>10384</v>
      </c>
      <c r="K1167" t="s">
        <v>10375</v>
      </c>
      <c r="R1167">
        <v>56</v>
      </c>
      <c r="S1167">
        <v>113.52</v>
      </c>
    </row>
    <row r="1168" spans="1:19" x14ac:dyDescent="0.25">
      <c r="A1168" t="s">
        <v>10385</v>
      </c>
      <c r="B1168" s="1">
        <v>45285</v>
      </c>
      <c r="C1168" t="s">
        <v>7439</v>
      </c>
      <c r="D1168" t="s">
        <v>63</v>
      </c>
      <c r="E1168" t="s">
        <v>24</v>
      </c>
      <c r="F1168" t="s">
        <v>297</v>
      </c>
      <c r="G1168">
        <v>30</v>
      </c>
      <c r="H1168" t="s">
        <v>194</v>
      </c>
      <c r="I1168" t="s">
        <v>691</v>
      </c>
      <c r="J1168" t="s">
        <v>10386</v>
      </c>
      <c r="K1168" t="s">
        <v>10375</v>
      </c>
      <c r="R1168">
        <v>235</v>
      </c>
      <c r="S1168">
        <v>132.04</v>
      </c>
    </row>
    <row r="1169" spans="1:19" x14ac:dyDescent="0.25">
      <c r="A1169" t="s">
        <v>10387</v>
      </c>
      <c r="B1169" s="1">
        <v>45285</v>
      </c>
      <c r="C1169" t="s">
        <v>8329</v>
      </c>
      <c r="D1169" t="s">
        <v>63</v>
      </c>
      <c r="E1169" t="s">
        <v>24</v>
      </c>
      <c r="F1169" t="s">
        <v>323</v>
      </c>
      <c r="G1169">
        <v>30</v>
      </c>
      <c r="H1169" t="s">
        <v>7562</v>
      </c>
      <c r="I1169" t="s">
        <v>7989</v>
      </c>
      <c r="J1169" t="s">
        <v>7990</v>
      </c>
      <c r="K1169" t="s">
        <v>10388</v>
      </c>
      <c r="L1169">
        <v>110</v>
      </c>
      <c r="P1169">
        <v>2.69</v>
      </c>
      <c r="Q1169">
        <v>3</v>
      </c>
      <c r="R1169">
        <v>271</v>
      </c>
      <c r="S1169">
        <v>143.16999999999999</v>
      </c>
    </row>
    <row r="1170" spans="1:19" x14ac:dyDescent="0.25">
      <c r="A1170" t="s">
        <v>10389</v>
      </c>
      <c r="B1170" s="1">
        <v>45285</v>
      </c>
      <c r="C1170" t="s">
        <v>10390</v>
      </c>
      <c r="D1170" t="s">
        <v>63</v>
      </c>
      <c r="E1170" t="s">
        <v>24</v>
      </c>
      <c r="F1170" t="s">
        <v>9324</v>
      </c>
      <c r="G1170">
        <v>5</v>
      </c>
      <c r="H1170" t="s">
        <v>49</v>
      </c>
      <c r="I1170" t="s">
        <v>7782</v>
      </c>
      <c r="J1170" t="s">
        <v>10391</v>
      </c>
      <c r="K1170" t="s">
        <v>10392</v>
      </c>
      <c r="R1170">
        <v>20</v>
      </c>
      <c r="S1170">
        <v>99.02</v>
      </c>
    </row>
    <row r="1171" spans="1:19" x14ac:dyDescent="0.25">
      <c r="A1171" t="s">
        <v>10393</v>
      </c>
      <c r="B1171" s="1">
        <v>45285</v>
      </c>
      <c r="C1171" t="s">
        <v>3101</v>
      </c>
      <c r="D1171" t="s">
        <v>63</v>
      </c>
      <c r="E1171" t="s">
        <v>24</v>
      </c>
      <c r="F1171" t="s">
        <v>237</v>
      </c>
      <c r="G1171">
        <v>10</v>
      </c>
      <c r="H1171" t="s">
        <v>464</v>
      </c>
      <c r="I1171" t="s">
        <v>103</v>
      </c>
      <c r="J1171" t="s">
        <v>3291</v>
      </c>
      <c r="K1171" t="s">
        <v>10394</v>
      </c>
    </row>
    <row r="1172" spans="1:19" x14ac:dyDescent="0.25">
      <c r="A1172" t="s">
        <v>10431</v>
      </c>
      <c r="B1172" s="1">
        <v>45292</v>
      </c>
      <c r="C1172" t="s">
        <v>8389</v>
      </c>
      <c r="D1172" t="s">
        <v>63</v>
      </c>
      <c r="E1172" t="s">
        <v>24</v>
      </c>
      <c r="F1172" t="s">
        <v>297</v>
      </c>
      <c r="G1172">
        <v>30</v>
      </c>
      <c r="H1172" t="s">
        <v>194</v>
      </c>
      <c r="I1172" t="s">
        <v>691</v>
      </c>
      <c r="J1172" t="s">
        <v>10386</v>
      </c>
      <c r="K1172" t="s">
        <v>10422</v>
      </c>
      <c r="R1172">
        <v>182</v>
      </c>
      <c r="S1172">
        <v>117.22</v>
      </c>
    </row>
    <row r="1173" spans="1:19" x14ac:dyDescent="0.25">
      <c r="A1173" t="s">
        <v>10432</v>
      </c>
      <c r="B1173" s="1">
        <v>45292</v>
      </c>
      <c r="C1173" t="s">
        <v>4764</v>
      </c>
      <c r="D1173" t="s">
        <v>63</v>
      </c>
      <c r="E1173" t="s">
        <v>24</v>
      </c>
      <c r="F1173" t="s">
        <v>5142</v>
      </c>
      <c r="G1173">
        <v>15</v>
      </c>
      <c r="H1173" t="s">
        <v>194</v>
      </c>
      <c r="I1173" t="s">
        <v>195</v>
      </c>
      <c r="J1173" t="s">
        <v>6498</v>
      </c>
      <c r="K1173" t="s">
        <v>10433</v>
      </c>
      <c r="R1173">
        <v>66</v>
      </c>
      <c r="S1173">
        <v>98.85</v>
      </c>
    </row>
    <row r="1174" spans="1:19" x14ac:dyDescent="0.25">
      <c r="A1174" t="s">
        <v>10434</v>
      </c>
      <c r="B1174" s="1">
        <v>45292</v>
      </c>
      <c r="C1174" t="s">
        <v>669</v>
      </c>
      <c r="D1174" t="s">
        <v>63</v>
      </c>
      <c r="E1174" t="s">
        <v>24</v>
      </c>
      <c r="F1174" t="s">
        <v>200</v>
      </c>
      <c r="G1174">
        <v>30</v>
      </c>
      <c r="H1174" t="s">
        <v>188</v>
      </c>
      <c r="I1174" t="s">
        <v>189</v>
      </c>
      <c r="J1174" t="s">
        <v>3951</v>
      </c>
      <c r="K1174" t="s">
        <v>10435</v>
      </c>
      <c r="R1174">
        <v>87</v>
      </c>
    </row>
    <row r="1175" spans="1:19" x14ac:dyDescent="0.25">
      <c r="A1175" t="s">
        <v>10436</v>
      </c>
      <c r="B1175" s="1">
        <v>45292</v>
      </c>
      <c r="C1175" t="s">
        <v>6560</v>
      </c>
      <c r="D1175" t="s">
        <v>63</v>
      </c>
      <c r="E1175" t="s">
        <v>24</v>
      </c>
      <c r="F1175" t="s">
        <v>237</v>
      </c>
      <c r="G1175">
        <v>10</v>
      </c>
      <c r="H1175" t="s">
        <v>464</v>
      </c>
      <c r="I1175" t="s">
        <v>103</v>
      </c>
      <c r="J1175" t="s">
        <v>7829</v>
      </c>
      <c r="K1175" t="s">
        <v>10437</v>
      </c>
    </row>
    <row r="1176" spans="1:19" x14ac:dyDescent="0.25">
      <c r="A1176" t="s">
        <v>10498</v>
      </c>
      <c r="B1176" s="1">
        <v>45299</v>
      </c>
      <c r="C1176" t="s">
        <v>475</v>
      </c>
      <c r="D1176" t="s">
        <v>63</v>
      </c>
      <c r="E1176" t="s">
        <v>24</v>
      </c>
      <c r="F1176" t="s">
        <v>237</v>
      </c>
      <c r="G1176">
        <v>30</v>
      </c>
      <c r="H1176" t="s">
        <v>188</v>
      </c>
      <c r="I1176" t="s">
        <v>189</v>
      </c>
      <c r="J1176" t="s">
        <v>201</v>
      </c>
      <c r="K1176" t="s">
        <v>10499</v>
      </c>
      <c r="R1176">
        <v>103</v>
      </c>
    </row>
    <row r="1177" spans="1:19" x14ac:dyDescent="0.25">
      <c r="A1177" t="s">
        <v>10500</v>
      </c>
      <c r="B1177" s="1">
        <v>45299</v>
      </c>
      <c r="C1177" t="s">
        <v>10501</v>
      </c>
      <c r="D1177" t="s">
        <v>63</v>
      </c>
      <c r="E1177" t="s">
        <v>24</v>
      </c>
      <c r="F1177" t="s">
        <v>1203</v>
      </c>
      <c r="G1177">
        <v>45</v>
      </c>
      <c r="H1177" t="s">
        <v>1856</v>
      </c>
      <c r="I1177" t="s">
        <v>2096</v>
      </c>
      <c r="J1177" t="s">
        <v>4587</v>
      </c>
      <c r="K1177" t="s">
        <v>10502</v>
      </c>
      <c r="L1177">
        <v>0</v>
      </c>
      <c r="P1177">
        <v>0</v>
      </c>
      <c r="Q1177">
        <v>0</v>
      </c>
      <c r="R1177">
        <v>37</v>
      </c>
    </row>
    <row r="1178" spans="1:19" x14ac:dyDescent="0.25">
      <c r="A1178" t="s">
        <v>10503</v>
      </c>
      <c r="B1178" s="1">
        <v>45299</v>
      </c>
      <c r="C1178" t="s">
        <v>10248</v>
      </c>
      <c r="D1178" t="s">
        <v>63</v>
      </c>
      <c r="E1178" t="s">
        <v>24</v>
      </c>
      <c r="F1178" t="s">
        <v>323</v>
      </c>
      <c r="G1178">
        <v>45</v>
      </c>
      <c r="H1178" t="s">
        <v>26</v>
      </c>
      <c r="I1178" t="s">
        <v>370</v>
      </c>
      <c r="J1178" t="s">
        <v>4001</v>
      </c>
      <c r="K1178" t="s">
        <v>10504</v>
      </c>
      <c r="L1178">
        <v>286</v>
      </c>
      <c r="M1178">
        <v>103</v>
      </c>
      <c r="N1178" s="2">
        <v>0.37</v>
      </c>
      <c r="O1178">
        <v>83</v>
      </c>
      <c r="P1178">
        <v>16.12</v>
      </c>
      <c r="Q1178">
        <v>12.37</v>
      </c>
      <c r="R1178">
        <v>449</v>
      </c>
      <c r="S1178">
        <v>149.62</v>
      </c>
    </row>
    <row r="1179" spans="1:19" x14ac:dyDescent="0.25">
      <c r="A1179" t="s">
        <v>10505</v>
      </c>
      <c r="B1179" s="1">
        <v>45299</v>
      </c>
      <c r="C1179" t="s">
        <v>4177</v>
      </c>
      <c r="D1179" t="s">
        <v>63</v>
      </c>
      <c r="E1179" t="s">
        <v>24</v>
      </c>
      <c r="F1179" t="s">
        <v>354</v>
      </c>
      <c r="G1179">
        <v>10</v>
      </c>
      <c r="H1179" t="s">
        <v>26</v>
      </c>
      <c r="I1179" t="s">
        <v>39</v>
      </c>
      <c r="J1179" t="s">
        <v>7372</v>
      </c>
      <c r="K1179" t="s">
        <v>10506</v>
      </c>
      <c r="L1179">
        <v>37</v>
      </c>
      <c r="M1179">
        <v>61</v>
      </c>
      <c r="N1179" s="2">
        <v>0.3</v>
      </c>
      <c r="O1179">
        <v>83</v>
      </c>
      <c r="P1179">
        <v>13.13</v>
      </c>
      <c r="Q1179">
        <v>2.19</v>
      </c>
      <c r="R1179">
        <v>72</v>
      </c>
      <c r="S1179">
        <v>126.39</v>
      </c>
    </row>
    <row r="1180" spans="1:19" x14ac:dyDescent="0.25">
      <c r="A1180" t="s">
        <v>10507</v>
      </c>
      <c r="B1180" s="1">
        <v>45299</v>
      </c>
      <c r="C1180" t="s">
        <v>10508</v>
      </c>
      <c r="D1180" t="s">
        <v>63</v>
      </c>
      <c r="E1180" t="s">
        <v>24</v>
      </c>
      <c r="F1180" t="s">
        <v>305</v>
      </c>
      <c r="G1180">
        <v>5</v>
      </c>
      <c r="H1180" t="s">
        <v>194</v>
      </c>
      <c r="I1180" t="s">
        <v>195</v>
      </c>
      <c r="J1180" t="s">
        <v>196</v>
      </c>
      <c r="K1180" t="s">
        <v>10509</v>
      </c>
      <c r="R1180">
        <v>24</v>
      </c>
      <c r="S1180">
        <v>105.53</v>
      </c>
    </row>
    <row r="1181" spans="1:19" x14ac:dyDescent="0.25">
      <c r="A1181" t="s">
        <v>10510</v>
      </c>
      <c r="B1181" s="1">
        <v>45299</v>
      </c>
      <c r="C1181" t="s">
        <v>1597</v>
      </c>
      <c r="D1181" t="s">
        <v>63</v>
      </c>
      <c r="E1181" t="s">
        <v>24</v>
      </c>
      <c r="F1181" t="s">
        <v>200</v>
      </c>
      <c r="G1181">
        <v>10</v>
      </c>
      <c r="H1181" t="s">
        <v>464</v>
      </c>
      <c r="I1181" t="s">
        <v>579</v>
      </c>
      <c r="J1181" t="s">
        <v>602</v>
      </c>
      <c r="K1181" t="s">
        <v>10511</v>
      </c>
    </row>
    <row r="1182" spans="1:19" x14ac:dyDescent="0.25">
      <c r="A1182" t="s">
        <v>10542</v>
      </c>
      <c r="B1182" s="1">
        <v>45306</v>
      </c>
      <c r="C1182" t="s">
        <v>7823</v>
      </c>
      <c r="D1182" t="s">
        <v>63</v>
      </c>
      <c r="E1182" t="s">
        <v>24</v>
      </c>
      <c r="F1182" t="s">
        <v>180</v>
      </c>
      <c r="G1182">
        <v>15</v>
      </c>
      <c r="H1182" t="s">
        <v>194</v>
      </c>
      <c r="I1182" t="s">
        <v>195</v>
      </c>
      <c r="J1182" t="s">
        <v>10543</v>
      </c>
      <c r="K1182" t="s">
        <v>10544</v>
      </c>
      <c r="R1182">
        <v>73</v>
      </c>
    </row>
    <row r="1183" spans="1:19" x14ac:dyDescent="0.25">
      <c r="A1183" t="s">
        <v>10545</v>
      </c>
      <c r="B1183" s="1">
        <v>45306</v>
      </c>
      <c r="C1183" t="s">
        <v>10546</v>
      </c>
      <c r="D1183" t="s">
        <v>63</v>
      </c>
      <c r="E1183" t="s">
        <v>24</v>
      </c>
      <c r="F1183" t="s">
        <v>335</v>
      </c>
      <c r="G1183">
        <v>45</v>
      </c>
      <c r="H1183" t="s">
        <v>26</v>
      </c>
      <c r="I1183" t="s">
        <v>370</v>
      </c>
      <c r="J1183" t="s">
        <v>479</v>
      </c>
      <c r="K1183" t="s">
        <v>3778</v>
      </c>
      <c r="L1183">
        <v>278</v>
      </c>
      <c r="M1183">
        <v>103</v>
      </c>
      <c r="N1183" s="2">
        <v>0.37</v>
      </c>
      <c r="O1183">
        <v>82</v>
      </c>
      <c r="P1183">
        <v>16.059999999999999</v>
      </c>
      <c r="Q1183">
        <v>12.05</v>
      </c>
      <c r="R1183">
        <v>489</v>
      </c>
      <c r="S1183">
        <v>158.63</v>
      </c>
    </row>
    <row r="1184" spans="1:19" x14ac:dyDescent="0.25">
      <c r="A1184" t="s">
        <v>10547</v>
      </c>
      <c r="B1184" s="1">
        <v>45306</v>
      </c>
      <c r="C1184" t="s">
        <v>10548</v>
      </c>
      <c r="D1184" t="s">
        <v>63</v>
      </c>
      <c r="E1184" t="s">
        <v>24</v>
      </c>
      <c r="F1184" t="s">
        <v>180</v>
      </c>
      <c r="G1184">
        <v>10</v>
      </c>
      <c r="H1184" t="s">
        <v>26</v>
      </c>
      <c r="I1184" t="s">
        <v>358</v>
      </c>
      <c r="J1184" t="s">
        <v>389</v>
      </c>
      <c r="K1184" t="s">
        <v>10549</v>
      </c>
      <c r="L1184">
        <v>35</v>
      </c>
      <c r="M1184">
        <v>58</v>
      </c>
      <c r="N1184" s="2">
        <v>0.28999999999999998</v>
      </c>
      <c r="O1184">
        <v>82</v>
      </c>
      <c r="P1184">
        <v>12.79</v>
      </c>
      <c r="Q1184">
        <v>2.13</v>
      </c>
      <c r="R1184">
        <v>86</v>
      </c>
      <c r="S1184">
        <v>138.54</v>
      </c>
    </row>
    <row r="1185" spans="1:19" x14ac:dyDescent="0.25">
      <c r="A1185" t="s">
        <v>10550</v>
      </c>
      <c r="B1185" s="1">
        <v>45306</v>
      </c>
      <c r="C1185" t="s">
        <v>3876</v>
      </c>
      <c r="D1185" t="s">
        <v>63</v>
      </c>
      <c r="E1185" t="s">
        <v>24</v>
      </c>
      <c r="F1185" t="s">
        <v>354</v>
      </c>
      <c r="G1185">
        <v>10</v>
      </c>
      <c r="H1185" t="s">
        <v>194</v>
      </c>
      <c r="I1185" t="s">
        <v>700</v>
      </c>
      <c r="J1185" t="s">
        <v>1282</v>
      </c>
      <c r="K1185" t="s">
        <v>10551</v>
      </c>
      <c r="R1185">
        <v>65</v>
      </c>
      <c r="S1185">
        <v>120.34</v>
      </c>
    </row>
    <row r="1186" spans="1:19" x14ac:dyDescent="0.25">
      <c r="A1186" t="s">
        <v>10552</v>
      </c>
      <c r="B1186" s="1">
        <v>45306</v>
      </c>
      <c r="C1186" t="s">
        <v>3886</v>
      </c>
      <c r="D1186" t="s">
        <v>63</v>
      </c>
      <c r="E1186" t="s">
        <v>24</v>
      </c>
      <c r="F1186" t="s">
        <v>459</v>
      </c>
      <c r="G1186">
        <v>10</v>
      </c>
      <c r="H1186" t="s">
        <v>464</v>
      </c>
      <c r="I1186" t="s">
        <v>103</v>
      </c>
      <c r="J1186" t="s">
        <v>10553</v>
      </c>
      <c r="K1186" t="s">
        <v>10554</v>
      </c>
    </row>
    <row r="1187" spans="1:19" x14ac:dyDescent="0.25">
      <c r="A1187" t="s">
        <v>339</v>
      </c>
      <c r="B1187" s="1">
        <v>44128</v>
      </c>
      <c r="C1187" t="s">
        <v>340</v>
      </c>
      <c r="D1187" t="s">
        <v>341</v>
      </c>
      <c r="E1187" t="s">
        <v>24</v>
      </c>
      <c r="F1187" t="s">
        <v>323</v>
      </c>
      <c r="G1187">
        <v>5</v>
      </c>
      <c r="H1187" t="s">
        <v>49</v>
      </c>
      <c r="I1187" t="s">
        <v>310</v>
      </c>
      <c r="J1187" t="s">
        <v>324</v>
      </c>
      <c r="K1187" t="s">
        <v>325</v>
      </c>
      <c r="R1187">
        <v>28</v>
      </c>
    </row>
    <row r="1188" spans="1:19" x14ac:dyDescent="0.25">
      <c r="A1188" t="s">
        <v>342</v>
      </c>
      <c r="B1188" s="1">
        <v>44128</v>
      </c>
      <c r="C1188" t="s">
        <v>343</v>
      </c>
      <c r="D1188" t="s">
        <v>341</v>
      </c>
      <c r="E1188" t="s">
        <v>24</v>
      </c>
      <c r="F1188" t="s">
        <v>309</v>
      </c>
      <c r="G1188">
        <v>10</v>
      </c>
      <c r="H1188" t="s">
        <v>49</v>
      </c>
      <c r="I1188" t="s">
        <v>310</v>
      </c>
      <c r="J1188" t="s">
        <v>311</v>
      </c>
      <c r="K1188" t="s">
        <v>312</v>
      </c>
      <c r="R1188">
        <v>2</v>
      </c>
    </row>
    <row r="1189" spans="1:19" x14ac:dyDescent="0.25">
      <c r="A1189" t="s">
        <v>344</v>
      </c>
      <c r="B1189" s="1">
        <v>44128</v>
      </c>
      <c r="C1189" t="s">
        <v>345</v>
      </c>
      <c r="D1189" t="s">
        <v>341</v>
      </c>
      <c r="E1189" t="s">
        <v>24</v>
      </c>
      <c r="F1189" t="s">
        <v>305</v>
      </c>
      <c r="G1189">
        <v>10</v>
      </c>
      <c r="H1189" t="s">
        <v>49</v>
      </c>
      <c r="I1189" t="s">
        <v>226</v>
      </c>
      <c r="J1189" t="s">
        <v>293</v>
      </c>
      <c r="K1189" t="s">
        <v>306</v>
      </c>
      <c r="R1189">
        <v>28</v>
      </c>
    </row>
    <row r="1190" spans="1:19" x14ac:dyDescent="0.25">
      <c r="A1190" t="s">
        <v>346</v>
      </c>
      <c r="B1190" s="1">
        <v>44135</v>
      </c>
      <c r="C1190" t="s">
        <v>347</v>
      </c>
      <c r="D1190" t="s">
        <v>341</v>
      </c>
      <c r="E1190" t="s">
        <v>24</v>
      </c>
      <c r="F1190" t="s">
        <v>180</v>
      </c>
      <c r="G1190">
        <v>30</v>
      </c>
      <c r="H1190" t="s">
        <v>26</v>
      </c>
      <c r="I1190" t="s">
        <v>44</v>
      </c>
      <c r="J1190" t="s">
        <v>348</v>
      </c>
      <c r="K1190" t="s">
        <v>349</v>
      </c>
      <c r="L1190">
        <v>172</v>
      </c>
      <c r="M1190">
        <v>96</v>
      </c>
      <c r="N1190" s="2">
        <v>0.41</v>
      </c>
      <c r="O1190">
        <v>75</v>
      </c>
      <c r="P1190">
        <v>15.65</v>
      </c>
      <c r="Q1190">
        <v>7.82</v>
      </c>
      <c r="R1190">
        <v>236</v>
      </c>
    </row>
    <row r="1191" spans="1:19" x14ac:dyDescent="0.25">
      <c r="A1191" t="s">
        <v>350</v>
      </c>
      <c r="B1191" s="1">
        <v>44135</v>
      </c>
      <c r="C1191" t="s">
        <v>157</v>
      </c>
      <c r="D1191" t="s">
        <v>341</v>
      </c>
      <c r="E1191" t="s">
        <v>24</v>
      </c>
      <c r="F1191" t="s">
        <v>297</v>
      </c>
      <c r="G1191">
        <v>10</v>
      </c>
      <c r="H1191" t="s">
        <v>49</v>
      </c>
      <c r="I1191" t="s">
        <v>226</v>
      </c>
      <c r="J1191" t="s">
        <v>293</v>
      </c>
      <c r="K1191" t="s">
        <v>351</v>
      </c>
      <c r="R1191">
        <v>26</v>
      </c>
    </row>
    <row r="1192" spans="1:19" x14ac:dyDescent="0.25">
      <c r="A1192" t="s">
        <v>400</v>
      </c>
      <c r="B1192" s="1">
        <v>44142</v>
      </c>
      <c r="C1192" t="s">
        <v>401</v>
      </c>
      <c r="D1192" t="s">
        <v>341</v>
      </c>
      <c r="E1192" t="s">
        <v>24</v>
      </c>
      <c r="F1192" t="s">
        <v>180</v>
      </c>
      <c r="G1192">
        <v>60</v>
      </c>
      <c r="H1192" t="s">
        <v>26</v>
      </c>
      <c r="I1192" t="s">
        <v>402</v>
      </c>
      <c r="J1192" t="s">
        <v>403</v>
      </c>
      <c r="K1192" t="s">
        <v>404</v>
      </c>
      <c r="L1192">
        <v>105</v>
      </c>
      <c r="M1192">
        <v>77</v>
      </c>
      <c r="N1192" s="2">
        <v>0.34</v>
      </c>
      <c r="O1192">
        <v>81</v>
      </c>
      <c r="P1192">
        <v>14.35</v>
      </c>
      <c r="Q1192">
        <v>5.45</v>
      </c>
      <c r="R1192">
        <v>143</v>
      </c>
    </row>
    <row r="1193" spans="1:19" x14ac:dyDescent="0.25">
      <c r="A1193" t="s">
        <v>405</v>
      </c>
      <c r="B1193" s="1">
        <v>44142</v>
      </c>
      <c r="C1193" t="s">
        <v>406</v>
      </c>
      <c r="D1193" t="s">
        <v>341</v>
      </c>
      <c r="E1193" t="s">
        <v>24</v>
      </c>
      <c r="F1193" t="s">
        <v>180</v>
      </c>
      <c r="G1193">
        <v>30</v>
      </c>
      <c r="H1193" t="s">
        <v>26</v>
      </c>
      <c r="I1193" t="s">
        <v>39</v>
      </c>
      <c r="J1193" t="s">
        <v>407</v>
      </c>
      <c r="K1193" t="s">
        <v>408</v>
      </c>
      <c r="L1193">
        <v>131</v>
      </c>
      <c r="M1193">
        <v>73</v>
      </c>
      <c r="N1193" s="2">
        <v>0.36</v>
      </c>
      <c r="O1193">
        <v>75</v>
      </c>
      <c r="P1193">
        <v>14.08</v>
      </c>
      <c r="Q1193">
        <v>7.04</v>
      </c>
      <c r="R1193">
        <v>180</v>
      </c>
    </row>
    <row r="1194" spans="1:19" x14ac:dyDescent="0.25">
      <c r="A1194" t="s">
        <v>409</v>
      </c>
      <c r="B1194" s="1">
        <v>44142</v>
      </c>
      <c r="C1194" t="s">
        <v>410</v>
      </c>
      <c r="D1194" t="s">
        <v>341</v>
      </c>
      <c r="E1194" t="s">
        <v>24</v>
      </c>
      <c r="F1194" t="s">
        <v>243</v>
      </c>
      <c r="G1194">
        <v>10</v>
      </c>
      <c r="H1194" t="s">
        <v>188</v>
      </c>
      <c r="I1194" t="s">
        <v>238</v>
      </c>
      <c r="J1194" t="s">
        <v>411</v>
      </c>
      <c r="K1194" t="s">
        <v>412</v>
      </c>
      <c r="R1194">
        <v>38</v>
      </c>
    </row>
    <row r="1195" spans="1:19" x14ac:dyDescent="0.25">
      <c r="A1195" t="s">
        <v>446</v>
      </c>
      <c r="B1195" s="1">
        <v>44149</v>
      </c>
      <c r="C1195" t="s">
        <v>447</v>
      </c>
      <c r="D1195" t="s">
        <v>341</v>
      </c>
      <c r="E1195" t="s">
        <v>24</v>
      </c>
      <c r="F1195" t="s">
        <v>448</v>
      </c>
      <c r="G1195">
        <v>30</v>
      </c>
      <c r="H1195" t="s">
        <v>26</v>
      </c>
      <c r="I1195" t="s">
        <v>44</v>
      </c>
      <c r="J1195" t="s">
        <v>449</v>
      </c>
      <c r="K1195" t="s">
        <v>450</v>
      </c>
      <c r="L1195">
        <v>161</v>
      </c>
      <c r="M1195">
        <v>89</v>
      </c>
      <c r="N1195" s="2">
        <v>0.38</v>
      </c>
      <c r="O1195">
        <v>77</v>
      </c>
      <c r="P1195">
        <v>15.39</v>
      </c>
      <c r="Q1195">
        <v>7.69</v>
      </c>
      <c r="R1195">
        <v>220</v>
      </c>
    </row>
    <row r="1196" spans="1:19" x14ac:dyDescent="0.25">
      <c r="A1196" t="s">
        <v>503</v>
      </c>
      <c r="B1196" s="1">
        <v>44156</v>
      </c>
      <c r="C1196" t="s">
        <v>504</v>
      </c>
      <c r="D1196" t="s">
        <v>341</v>
      </c>
      <c r="E1196" t="s">
        <v>24</v>
      </c>
      <c r="F1196" t="s">
        <v>490</v>
      </c>
      <c r="G1196">
        <v>5</v>
      </c>
      <c r="H1196" t="s">
        <v>26</v>
      </c>
      <c r="I1196" t="s">
        <v>423</v>
      </c>
      <c r="J1196" t="s">
        <v>505</v>
      </c>
      <c r="K1196" t="s">
        <v>506</v>
      </c>
      <c r="L1196">
        <v>28</v>
      </c>
      <c r="M1196">
        <v>91</v>
      </c>
      <c r="N1196" s="2">
        <v>0.33</v>
      </c>
      <c r="O1196">
        <v>92</v>
      </c>
      <c r="P1196">
        <v>15.47</v>
      </c>
      <c r="Q1196">
        <v>1.31</v>
      </c>
      <c r="R1196">
        <v>38</v>
      </c>
    </row>
    <row r="1197" spans="1:19" x14ac:dyDescent="0.25">
      <c r="A1197" t="s">
        <v>507</v>
      </c>
      <c r="B1197" s="1">
        <v>44156</v>
      </c>
      <c r="C1197" t="s">
        <v>508</v>
      </c>
      <c r="D1197" t="s">
        <v>341</v>
      </c>
      <c r="E1197" t="s">
        <v>24</v>
      </c>
      <c r="F1197" t="s">
        <v>490</v>
      </c>
      <c r="G1197">
        <v>30</v>
      </c>
      <c r="H1197" t="s">
        <v>26</v>
      </c>
      <c r="I1197" t="s">
        <v>103</v>
      </c>
      <c r="J1197" t="s">
        <v>509</v>
      </c>
      <c r="K1197" t="s">
        <v>510</v>
      </c>
      <c r="L1197">
        <v>182</v>
      </c>
      <c r="M1197">
        <v>101</v>
      </c>
      <c r="N1197" s="2">
        <v>0.4</v>
      </c>
      <c r="O1197">
        <v>76</v>
      </c>
      <c r="P1197">
        <v>16.22</v>
      </c>
      <c r="Q1197">
        <v>8.11</v>
      </c>
      <c r="R1197">
        <v>249</v>
      </c>
    </row>
    <row r="1198" spans="1:19" x14ac:dyDescent="0.25">
      <c r="A1198" t="s">
        <v>511</v>
      </c>
      <c r="B1198" s="1">
        <v>44156</v>
      </c>
      <c r="C1198" t="s">
        <v>512</v>
      </c>
      <c r="D1198" t="s">
        <v>341</v>
      </c>
      <c r="E1198" t="s">
        <v>24</v>
      </c>
      <c r="F1198" t="s">
        <v>490</v>
      </c>
      <c r="G1198">
        <v>5</v>
      </c>
      <c r="H1198" t="s">
        <v>26</v>
      </c>
      <c r="I1198" t="s">
        <v>358</v>
      </c>
      <c r="J1198" t="s">
        <v>359</v>
      </c>
      <c r="K1198" t="s">
        <v>513</v>
      </c>
      <c r="L1198">
        <v>20</v>
      </c>
      <c r="M1198">
        <v>68</v>
      </c>
      <c r="N1198" s="2">
        <v>0.34</v>
      </c>
      <c r="O1198">
        <v>71</v>
      </c>
      <c r="P1198">
        <v>12.98</v>
      </c>
      <c r="Q1198">
        <v>1.08</v>
      </c>
      <c r="R1198">
        <v>28</v>
      </c>
    </row>
    <row r="1199" spans="1:19" x14ac:dyDescent="0.25">
      <c r="A1199" t="s">
        <v>514</v>
      </c>
      <c r="B1199" s="1">
        <v>44156</v>
      </c>
      <c r="C1199" t="s">
        <v>515</v>
      </c>
      <c r="D1199" t="s">
        <v>341</v>
      </c>
      <c r="E1199" t="s">
        <v>24</v>
      </c>
      <c r="F1199" t="s">
        <v>243</v>
      </c>
      <c r="G1199">
        <v>20</v>
      </c>
      <c r="H1199" t="s">
        <v>188</v>
      </c>
      <c r="I1199" t="s">
        <v>254</v>
      </c>
      <c r="J1199" t="s">
        <v>516</v>
      </c>
      <c r="K1199" t="s">
        <v>517</v>
      </c>
      <c r="R1199">
        <v>72</v>
      </c>
    </row>
    <row r="1200" spans="1:19" x14ac:dyDescent="0.25">
      <c r="A1200" t="s">
        <v>592</v>
      </c>
      <c r="B1200" s="1">
        <v>44170</v>
      </c>
      <c r="C1200" t="s">
        <v>593</v>
      </c>
      <c r="D1200" t="s">
        <v>341</v>
      </c>
      <c r="E1200" t="s">
        <v>24</v>
      </c>
      <c r="F1200" t="s">
        <v>180</v>
      </c>
      <c r="G1200">
        <v>30</v>
      </c>
      <c r="H1200" t="s">
        <v>26</v>
      </c>
      <c r="I1200" t="s">
        <v>103</v>
      </c>
      <c r="J1200" t="s">
        <v>594</v>
      </c>
      <c r="K1200" t="s">
        <v>595</v>
      </c>
      <c r="L1200">
        <v>155</v>
      </c>
      <c r="M1200">
        <v>86</v>
      </c>
      <c r="N1200" s="2">
        <v>0.37</v>
      </c>
      <c r="O1200">
        <v>79</v>
      </c>
      <c r="P1200">
        <v>15.12</v>
      </c>
      <c r="Q1200">
        <v>7.55</v>
      </c>
      <c r="R1200">
        <v>212</v>
      </c>
    </row>
    <row r="1201" spans="1:18" x14ac:dyDescent="0.25">
      <c r="A1201" t="s">
        <v>596</v>
      </c>
      <c r="B1201" s="1">
        <v>44170</v>
      </c>
      <c r="C1201" t="s">
        <v>597</v>
      </c>
      <c r="D1201" t="s">
        <v>341</v>
      </c>
      <c r="E1201" t="s">
        <v>24</v>
      </c>
      <c r="F1201" t="s">
        <v>243</v>
      </c>
      <c r="G1201">
        <v>30</v>
      </c>
      <c r="H1201" t="s">
        <v>188</v>
      </c>
      <c r="I1201" t="s">
        <v>575</v>
      </c>
      <c r="J1201" t="s">
        <v>598</v>
      </c>
      <c r="K1201" t="s">
        <v>599</v>
      </c>
      <c r="R1201">
        <v>113</v>
      </c>
    </row>
    <row r="1202" spans="1:18" x14ac:dyDescent="0.25">
      <c r="A1202" t="s">
        <v>600</v>
      </c>
      <c r="B1202" s="1">
        <v>44170</v>
      </c>
      <c r="C1202" t="s">
        <v>601</v>
      </c>
      <c r="D1202" t="s">
        <v>341</v>
      </c>
      <c r="E1202" t="s">
        <v>24</v>
      </c>
      <c r="F1202" t="s">
        <v>215</v>
      </c>
      <c r="G1202">
        <v>10</v>
      </c>
      <c r="H1202" t="s">
        <v>464</v>
      </c>
      <c r="I1202" t="s">
        <v>103</v>
      </c>
      <c r="J1202" t="s">
        <v>602</v>
      </c>
      <c r="K1202" t="s">
        <v>603</v>
      </c>
    </row>
    <row r="1203" spans="1:18" x14ac:dyDescent="0.25">
      <c r="A1203" t="s">
        <v>634</v>
      </c>
      <c r="B1203" s="1">
        <v>44177</v>
      </c>
      <c r="C1203" t="s">
        <v>635</v>
      </c>
      <c r="D1203" t="s">
        <v>341</v>
      </c>
      <c r="E1203" t="s">
        <v>24</v>
      </c>
      <c r="F1203" t="s">
        <v>335</v>
      </c>
      <c r="G1203">
        <v>5</v>
      </c>
      <c r="H1203" t="s">
        <v>26</v>
      </c>
      <c r="I1203" t="s">
        <v>423</v>
      </c>
      <c r="J1203" t="s">
        <v>505</v>
      </c>
      <c r="K1203" t="s">
        <v>636</v>
      </c>
      <c r="L1203">
        <v>21</v>
      </c>
      <c r="M1203">
        <v>71</v>
      </c>
      <c r="N1203" s="2">
        <v>0.32</v>
      </c>
      <c r="O1203">
        <v>84</v>
      </c>
      <c r="P1203">
        <v>13.9</v>
      </c>
      <c r="Q1203">
        <v>1.1499999999999999</v>
      </c>
      <c r="R1203">
        <v>26</v>
      </c>
    </row>
    <row r="1204" spans="1:18" x14ac:dyDescent="0.25">
      <c r="A1204" t="s">
        <v>637</v>
      </c>
      <c r="B1204" s="1">
        <v>44177</v>
      </c>
      <c r="C1204" t="s">
        <v>638</v>
      </c>
      <c r="D1204" t="s">
        <v>341</v>
      </c>
      <c r="E1204" t="s">
        <v>24</v>
      </c>
      <c r="F1204" t="s">
        <v>354</v>
      </c>
      <c r="G1204">
        <v>20</v>
      </c>
      <c r="H1204" t="s">
        <v>26</v>
      </c>
      <c r="I1204" t="s">
        <v>44</v>
      </c>
      <c r="J1204" t="s">
        <v>639</v>
      </c>
      <c r="K1204" t="s">
        <v>640</v>
      </c>
      <c r="L1204">
        <v>106</v>
      </c>
      <c r="M1204">
        <v>88</v>
      </c>
      <c r="N1204" s="2">
        <v>0.35</v>
      </c>
      <c r="O1204">
        <v>84</v>
      </c>
      <c r="P1204">
        <v>15.25</v>
      </c>
      <c r="Q1204">
        <v>5.08</v>
      </c>
      <c r="R1204">
        <v>131</v>
      </c>
    </row>
    <row r="1205" spans="1:18" x14ac:dyDescent="0.25">
      <c r="A1205" t="s">
        <v>641</v>
      </c>
      <c r="B1205" s="1">
        <v>44177</v>
      </c>
      <c r="C1205" t="s">
        <v>642</v>
      </c>
      <c r="D1205" t="s">
        <v>341</v>
      </c>
      <c r="E1205" t="s">
        <v>24</v>
      </c>
      <c r="F1205" t="s">
        <v>215</v>
      </c>
      <c r="G1205">
        <v>45</v>
      </c>
      <c r="H1205" t="s">
        <v>188</v>
      </c>
      <c r="I1205" t="s">
        <v>189</v>
      </c>
      <c r="J1205" t="s">
        <v>244</v>
      </c>
      <c r="K1205" t="s">
        <v>643</v>
      </c>
      <c r="R1205">
        <v>152</v>
      </c>
    </row>
    <row r="1206" spans="1:18" x14ac:dyDescent="0.25">
      <c r="A1206" t="s">
        <v>683</v>
      </c>
      <c r="B1206" s="1">
        <v>44184</v>
      </c>
      <c r="C1206" t="s">
        <v>684</v>
      </c>
      <c r="D1206" t="s">
        <v>341</v>
      </c>
      <c r="E1206" t="s">
        <v>24</v>
      </c>
      <c r="F1206" t="s">
        <v>323</v>
      </c>
      <c r="G1206">
        <v>45</v>
      </c>
      <c r="H1206" t="s">
        <v>26</v>
      </c>
      <c r="I1206" t="s">
        <v>370</v>
      </c>
      <c r="J1206" t="s">
        <v>439</v>
      </c>
      <c r="K1206" t="s">
        <v>685</v>
      </c>
      <c r="L1206">
        <v>216</v>
      </c>
      <c r="M1206">
        <v>80</v>
      </c>
      <c r="N1206" s="2">
        <v>0.33</v>
      </c>
      <c r="O1206">
        <v>88</v>
      </c>
      <c r="P1206">
        <v>14.72</v>
      </c>
      <c r="Q1206">
        <v>10.98</v>
      </c>
      <c r="R1206">
        <v>267</v>
      </c>
    </row>
    <row r="1207" spans="1:18" x14ac:dyDescent="0.25">
      <c r="A1207" t="s">
        <v>686</v>
      </c>
      <c r="B1207" s="1">
        <v>44184</v>
      </c>
      <c r="C1207" t="s">
        <v>687</v>
      </c>
      <c r="D1207" t="s">
        <v>341</v>
      </c>
      <c r="E1207" t="s">
        <v>24</v>
      </c>
      <c r="F1207" t="s">
        <v>354</v>
      </c>
      <c r="G1207">
        <v>10</v>
      </c>
      <c r="H1207" t="s">
        <v>26</v>
      </c>
      <c r="I1207" t="s">
        <v>39</v>
      </c>
      <c r="J1207" t="s">
        <v>431</v>
      </c>
      <c r="K1207" t="s">
        <v>688</v>
      </c>
      <c r="L1207">
        <v>48</v>
      </c>
      <c r="M1207">
        <v>81</v>
      </c>
      <c r="N1207" s="2">
        <v>0.33</v>
      </c>
      <c r="O1207">
        <v>89</v>
      </c>
      <c r="P1207">
        <v>14.81</v>
      </c>
      <c r="Q1207">
        <v>2.46</v>
      </c>
      <c r="R1207">
        <v>60</v>
      </c>
    </row>
    <row r="1208" spans="1:18" x14ac:dyDescent="0.25">
      <c r="A1208" t="s">
        <v>689</v>
      </c>
      <c r="B1208" s="1">
        <v>44184</v>
      </c>
      <c r="C1208" t="s">
        <v>690</v>
      </c>
      <c r="D1208" t="s">
        <v>341</v>
      </c>
      <c r="E1208" t="s">
        <v>24</v>
      </c>
      <c r="F1208" t="s">
        <v>335</v>
      </c>
      <c r="G1208">
        <v>10</v>
      </c>
      <c r="H1208" t="s">
        <v>194</v>
      </c>
      <c r="I1208" t="s">
        <v>691</v>
      </c>
      <c r="J1208" t="s">
        <v>692</v>
      </c>
      <c r="K1208" t="s">
        <v>693</v>
      </c>
      <c r="R1208">
        <v>46</v>
      </c>
    </row>
    <row r="1209" spans="1:18" x14ac:dyDescent="0.25">
      <c r="A1209" t="s">
        <v>742</v>
      </c>
      <c r="B1209" s="1">
        <v>44191</v>
      </c>
      <c r="C1209" t="s">
        <v>743</v>
      </c>
      <c r="D1209" t="s">
        <v>341</v>
      </c>
      <c r="E1209" t="s">
        <v>24</v>
      </c>
      <c r="F1209" t="s">
        <v>180</v>
      </c>
      <c r="G1209">
        <v>30</v>
      </c>
      <c r="H1209" t="s">
        <v>26</v>
      </c>
      <c r="I1209" t="s">
        <v>126</v>
      </c>
      <c r="J1209" t="s">
        <v>141</v>
      </c>
      <c r="K1209" t="s">
        <v>744</v>
      </c>
      <c r="L1209">
        <v>144</v>
      </c>
      <c r="M1209">
        <v>80</v>
      </c>
      <c r="N1209" s="2">
        <v>0.36</v>
      </c>
      <c r="O1209">
        <v>70</v>
      </c>
      <c r="P1209">
        <v>13.79</v>
      </c>
      <c r="Q1209">
        <v>6.89</v>
      </c>
      <c r="R1209">
        <v>178</v>
      </c>
    </row>
    <row r="1210" spans="1:18" x14ac:dyDescent="0.25">
      <c r="A1210" t="s">
        <v>745</v>
      </c>
      <c r="B1210" s="1">
        <v>44191</v>
      </c>
      <c r="C1210" t="s">
        <v>746</v>
      </c>
      <c r="D1210" t="s">
        <v>341</v>
      </c>
      <c r="E1210" t="s">
        <v>24</v>
      </c>
      <c r="F1210" t="s">
        <v>747</v>
      </c>
      <c r="G1210">
        <v>5</v>
      </c>
      <c r="H1210" t="s">
        <v>26</v>
      </c>
      <c r="I1210" t="s">
        <v>358</v>
      </c>
      <c r="J1210" t="s">
        <v>359</v>
      </c>
      <c r="K1210" t="s">
        <v>748</v>
      </c>
      <c r="L1210">
        <v>18</v>
      </c>
      <c r="M1210">
        <v>60</v>
      </c>
      <c r="N1210" s="2">
        <v>0.33</v>
      </c>
      <c r="O1210">
        <v>73</v>
      </c>
      <c r="P1210">
        <v>12.84</v>
      </c>
      <c r="Q1210">
        <v>1.06</v>
      </c>
      <c r="R1210">
        <v>22</v>
      </c>
    </row>
    <row r="1211" spans="1:18" x14ac:dyDescent="0.25">
      <c r="A1211" t="s">
        <v>749</v>
      </c>
      <c r="B1211" s="1">
        <v>44191</v>
      </c>
      <c r="C1211" t="s">
        <v>750</v>
      </c>
      <c r="D1211" t="s">
        <v>341</v>
      </c>
      <c r="E1211" t="s">
        <v>24</v>
      </c>
      <c r="F1211" t="s">
        <v>554</v>
      </c>
      <c r="G1211">
        <v>10</v>
      </c>
      <c r="H1211" t="s">
        <v>194</v>
      </c>
      <c r="I1211" t="s">
        <v>705</v>
      </c>
      <c r="J1211" t="s">
        <v>751</v>
      </c>
      <c r="K1211" t="s">
        <v>707</v>
      </c>
      <c r="R1211">
        <v>46</v>
      </c>
    </row>
    <row r="1212" spans="1:18" x14ac:dyDescent="0.25">
      <c r="A1212" t="s">
        <v>810</v>
      </c>
      <c r="B1212" s="1">
        <v>44198</v>
      </c>
      <c r="C1212" t="s">
        <v>811</v>
      </c>
      <c r="D1212" t="s">
        <v>341</v>
      </c>
      <c r="E1212" t="s">
        <v>24</v>
      </c>
      <c r="F1212" t="s">
        <v>292</v>
      </c>
      <c r="G1212">
        <v>60</v>
      </c>
      <c r="H1212" t="s">
        <v>605</v>
      </c>
      <c r="I1212" t="s">
        <v>44</v>
      </c>
      <c r="J1212" t="s">
        <v>812</v>
      </c>
      <c r="K1212" t="s">
        <v>813</v>
      </c>
      <c r="L1212">
        <v>206</v>
      </c>
      <c r="P1212">
        <v>15.96</v>
      </c>
      <c r="Q1212">
        <v>8.8800000000000008</v>
      </c>
      <c r="R1212">
        <v>326</v>
      </c>
    </row>
    <row r="1213" spans="1:18" x14ac:dyDescent="0.25">
      <c r="A1213" t="s">
        <v>814</v>
      </c>
      <c r="B1213" s="1">
        <v>44198</v>
      </c>
      <c r="C1213" t="s">
        <v>815</v>
      </c>
      <c r="D1213" t="s">
        <v>341</v>
      </c>
      <c r="E1213" t="s">
        <v>24</v>
      </c>
      <c r="F1213" t="s">
        <v>768</v>
      </c>
      <c r="G1213">
        <v>10</v>
      </c>
      <c r="H1213" t="s">
        <v>26</v>
      </c>
      <c r="I1213" t="s">
        <v>358</v>
      </c>
      <c r="J1213" t="s">
        <v>389</v>
      </c>
      <c r="K1213" t="s">
        <v>816</v>
      </c>
      <c r="L1213">
        <v>49</v>
      </c>
      <c r="M1213">
        <v>81</v>
      </c>
      <c r="N1213" s="2">
        <v>0.36</v>
      </c>
      <c r="O1213">
        <v>79</v>
      </c>
      <c r="P1213">
        <v>14.74</v>
      </c>
      <c r="Q1213">
        <v>2.46</v>
      </c>
      <c r="R1213">
        <v>60</v>
      </c>
    </row>
    <row r="1214" spans="1:18" x14ac:dyDescent="0.25">
      <c r="A1214" t="s">
        <v>817</v>
      </c>
      <c r="B1214" s="1">
        <v>44198</v>
      </c>
      <c r="C1214" t="s">
        <v>818</v>
      </c>
      <c r="D1214" t="s">
        <v>341</v>
      </c>
      <c r="E1214" t="s">
        <v>24</v>
      </c>
      <c r="F1214" t="s">
        <v>180</v>
      </c>
      <c r="G1214">
        <v>5</v>
      </c>
      <c r="H1214" t="s">
        <v>194</v>
      </c>
      <c r="I1214" t="s">
        <v>195</v>
      </c>
      <c r="J1214" t="s">
        <v>196</v>
      </c>
      <c r="K1214" t="s">
        <v>205</v>
      </c>
      <c r="R1214">
        <v>23</v>
      </c>
    </row>
    <row r="1215" spans="1:18" x14ac:dyDescent="0.25">
      <c r="A1215" t="s">
        <v>819</v>
      </c>
      <c r="B1215" s="1">
        <v>44198</v>
      </c>
      <c r="C1215" t="s">
        <v>820</v>
      </c>
      <c r="D1215" t="s">
        <v>341</v>
      </c>
      <c r="E1215" t="s">
        <v>24</v>
      </c>
      <c r="F1215" t="s">
        <v>243</v>
      </c>
      <c r="G1215">
        <v>10</v>
      </c>
      <c r="H1215" t="s">
        <v>188</v>
      </c>
      <c r="I1215" t="s">
        <v>189</v>
      </c>
      <c r="J1215" t="s">
        <v>821</v>
      </c>
      <c r="K1215" t="s">
        <v>822</v>
      </c>
      <c r="R1215">
        <v>34</v>
      </c>
    </row>
    <row r="1216" spans="1:18" x14ac:dyDescent="0.25">
      <c r="A1216" t="s">
        <v>863</v>
      </c>
      <c r="B1216" s="1">
        <v>44205</v>
      </c>
      <c r="C1216" t="s">
        <v>740</v>
      </c>
      <c r="D1216" t="s">
        <v>341</v>
      </c>
      <c r="E1216" t="s">
        <v>24</v>
      </c>
      <c r="F1216" t="s">
        <v>323</v>
      </c>
      <c r="G1216">
        <v>60</v>
      </c>
      <c r="H1216" t="s">
        <v>26</v>
      </c>
      <c r="I1216" t="s">
        <v>370</v>
      </c>
      <c r="J1216" t="s">
        <v>498</v>
      </c>
      <c r="K1216" t="s">
        <v>864</v>
      </c>
      <c r="L1216">
        <v>313</v>
      </c>
      <c r="M1216">
        <v>87</v>
      </c>
      <c r="N1216" s="2">
        <v>0.34</v>
      </c>
      <c r="O1216">
        <v>88</v>
      </c>
      <c r="P1216">
        <v>15.24</v>
      </c>
      <c r="Q1216">
        <v>15.24</v>
      </c>
      <c r="R1216">
        <v>387</v>
      </c>
    </row>
    <row r="1217" spans="1:18" x14ac:dyDescent="0.25">
      <c r="A1217" t="s">
        <v>865</v>
      </c>
      <c r="B1217" s="1">
        <v>44205</v>
      </c>
      <c r="C1217" t="s">
        <v>866</v>
      </c>
      <c r="D1217" t="s">
        <v>341</v>
      </c>
      <c r="E1217" t="s">
        <v>24</v>
      </c>
      <c r="F1217" t="s">
        <v>323</v>
      </c>
      <c r="G1217">
        <v>10</v>
      </c>
      <c r="H1217" t="s">
        <v>194</v>
      </c>
      <c r="I1217" t="s">
        <v>232</v>
      </c>
      <c r="J1217" t="s">
        <v>867</v>
      </c>
      <c r="K1217" t="s">
        <v>868</v>
      </c>
      <c r="R1217">
        <v>49</v>
      </c>
    </row>
    <row r="1218" spans="1:18" x14ac:dyDescent="0.25">
      <c r="A1218" t="s">
        <v>912</v>
      </c>
      <c r="B1218" s="1">
        <v>44212</v>
      </c>
      <c r="C1218" t="s">
        <v>913</v>
      </c>
      <c r="D1218" t="s">
        <v>341</v>
      </c>
      <c r="E1218" t="s">
        <v>24</v>
      </c>
      <c r="F1218" t="s">
        <v>200</v>
      </c>
      <c r="G1218">
        <v>10</v>
      </c>
      <c r="H1218" t="s">
        <v>464</v>
      </c>
      <c r="I1218" t="s">
        <v>763</v>
      </c>
      <c r="J1218" t="s">
        <v>914</v>
      </c>
      <c r="K1218" t="s">
        <v>915</v>
      </c>
    </row>
    <row r="1219" spans="1:18" x14ac:dyDescent="0.25">
      <c r="A1219" t="s">
        <v>959</v>
      </c>
      <c r="B1219" s="1">
        <v>44219</v>
      </c>
      <c r="C1219" t="s">
        <v>960</v>
      </c>
      <c r="D1219" t="s">
        <v>341</v>
      </c>
      <c r="E1219" t="s">
        <v>24</v>
      </c>
      <c r="F1219" t="s">
        <v>243</v>
      </c>
      <c r="G1219">
        <v>45</v>
      </c>
      <c r="H1219" t="s">
        <v>188</v>
      </c>
      <c r="I1219" t="s">
        <v>189</v>
      </c>
      <c r="J1219" t="s">
        <v>244</v>
      </c>
      <c r="K1219" t="s">
        <v>961</v>
      </c>
      <c r="R1219">
        <v>142</v>
      </c>
    </row>
    <row r="1220" spans="1:18" x14ac:dyDescent="0.25">
      <c r="A1220" t="s">
        <v>962</v>
      </c>
      <c r="B1220" s="1">
        <v>44219</v>
      </c>
      <c r="C1220" t="s">
        <v>963</v>
      </c>
      <c r="D1220" t="s">
        <v>341</v>
      </c>
      <c r="E1220" t="s">
        <v>24</v>
      </c>
      <c r="F1220" t="s">
        <v>215</v>
      </c>
      <c r="G1220">
        <v>10</v>
      </c>
      <c r="H1220" t="s">
        <v>464</v>
      </c>
      <c r="I1220" t="s">
        <v>103</v>
      </c>
      <c r="J1220" t="s">
        <v>964</v>
      </c>
      <c r="K1220" t="s">
        <v>965</v>
      </c>
    </row>
    <row r="1221" spans="1:18" x14ac:dyDescent="0.25">
      <c r="A1221" t="s">
        <v>1025</v>
      </c>
      <c r="B1221" s="1">
        <v>44226</v>
      </c>
      <c r="C1221" t="s">
        <v>832</v>
      </c>
      <c r="D1221" t="s">
        <v>341</v>
      </c>
      <c r="E1221" t="s">
        <v>24</v>
      </c>
      <c r="F1221" t="s">
        <v>215</v>
      </c>
      <c r="G1221">
        <v>20</v>
      </c>
      <c r="H1221" t="s">
        <v>188</v>
      </c>
      <c r="I1221" t="s">
        <v>238</v>
      </c>
      <c r="J1221" t="s">
        <v>1026</v>
      </c>
      <c r="K1221" t="s">
        <v>1027</v>
      </c>
      <c r="R1221">
        <v>67</v>
      </c>
    </row>
    <row r="1222" spans="1:18" x14ac:dyDescent="0.25">
      <c r="A1222" t="s">
        <v>1087</v>
      </c>
      <c r="B1222" s="1">
        <v>44233</v>
      </c>
      <c r="C1222" t="s">
        <v>261</v>
      </c>
      <c r="D1222" t="s">
        <v>341</v>
      </c>
      <c r="E1222" t="s">
        <v>24</v>
      </c>
      <c r="F1222" t="s">
        <v>243</v>
      </c>
      <c r="G1222">
        <v>20</v>
      </c>
      <c r="H1222" t="s">
        <v>188</v>
      </c>
      <c r="I1222" t="s">
        <v>1088</v>
      </c>
      <c r="J1222" t="s">
        <v>1089</v>
      </c>
      <c r="K1222" t="s">
        <v>1090</v>
      </c>
      <c r="R1222">
        <v>35</v>
      </c>
    </row>
    <row r="1223" spans="1:18" x14ac:dyDescent="0.25">
      <c r="A1223" t="s">
        <v>1130</v>
      </c>
      <c r="B1223" s="1">
        <v>44240</v>
      </c>
      <c r="C1223" t="s">
        <v>1131</v>
      </c>
      <c r="D1223" t="s">
        <v>341</v>
      </c>
      <c r="E1223" t="s">
        <v>24</v>
      </c>
      <c r="F1223" t="s">
        <v>335</v>
      </c>
      <c r="G1223">
        <v>5</v>
      </c>
      <c r="H1223" t="s">
        <v>26</v>
      </c>
      <c r="I1223" t="s">
        <v>423</v>
      </c>
      <c r="J1223" t="s">
        <v>505</v>
      </c>
      <c r="K1223" t="s">
        <v>636</v>
      </c>
      <c r="L1223">
        <v>22</v>
      </c>
      <c r="M1223">
        <v>74</v>
      </c>
      <c r="N1223" s="2">
        <v>0.32</v>
      </c>
      <c r="O1223">
        <v>87</v>
      </c>
      <c r="P1223">
        <v>14.23</v>
      </c>
      <c r="Q1223">
        <v>1.18</v>
      </c>
      <c r="R1223">
        <v>27</v>
      </c>
    </row>
    <row r="1224" spans="1:18" x14ac:dyDescent="0.25">
      <c r="A1224" t="s">
        <v>1132</v>
      </c>
      <c r="B1224" s="1">
        <v>44240</v>
      </c>
      <c r="C1224" t="s">
        <v>1133</v>
      </c>
      <c r="D1224" t="s">
        <v>341</v>
      </c>
      <c r="E1224" t="s">
        <v>24</v>
      </c>
      <c r="F1224" t="s">
        <v>335</v>
      </c>
      <c r="G1224">
        <v>5</v>
      </c>
      <c r="H1224" t="s">
        <v>26</v>
      </c>
      <c r="I1224" t="s">
        <v>423</v>
      </c>
      <c r="J1224" t="s">
        <v>505</v>
      </c>
      <c r="K1224" t="s">
        <v>1134</v>
      </c>
      <c r="L1224">
        <v>23</v>
      </c>
      <c r="M1224">
        <v>77</v>
      </c>
      <c r="N1224" s="2">
        <v>0.31</v>
      </c>
      <c r="O1224">
        <v>92</v>
      </c>
      <c r="P1224">
        <v>14.43</v>
      </c>
      <c r="Q1224">
        <v>1.2</v>
      </c>
      <c r="R1224">
        <v>28</v>
      </c>
    </row>
    <row r="1225" spans="1:18" x14ac:dyDescent="0.25">
      <c r="A1225" t="s">
        <v>1135</v>
      </c>
      <c r="B1225" s="1">
        <v>44240</v>
      </c>
      <c r="C1225" t="s">
        <v>1136</v>
      </c>
      <c r="D1225" t="s">
        <v>341</v>
      </c>
      <c r="E1225" t="s">
        <v>24</v>
      </c>
      <c r="F1225" t="s">
        <v>335</v>
      </c>
      <c r="G1225">
        <v>60</v>
      </c>
      <c r="H1225" t="s">
        <v>26</v>
      </c>
      <c r="I1225" t="s">
        <v>884</v>
      </c>
      <c r="J1225" t="s">
        <v>1137</v>
      </c>
      <c r="K1225" t="s">
        <v>1138</v>
      </c>
      <c r="L1225">
        <v>349</v>
      </c>
      <c r="M1225">
        <v>97</v>
      </c>
      <c r="N1225" s="2">
        <v>0.42</v>
      </c>
      <c r="O1225">
        <v>71</v>
      </c>
      <c r="P1225">
        <v>15.9</v>
      </c>
      <c r="Q1225">
        <v>15.89</v>
      </c>
      <c r="R1225">
        <v>432</v>
      </c>
    </row>
    <row r="1226" spans="1:18" x14ac:dyDescent="0.25">
      <c r="A1226" t="s">
        <v>1139</v>
      </c>
      <c r="B1226" s="1">
        <v>44240</v>
      </c>
      <c r="C1226" t="s">
        <v>508</v>
      </c>
      <c r="D1226" t="s">
        <v>341</v>
      </c>
      <c r="E1226" t="s">
        <v>24</v>
      </c>
      <c r="F1226" t="s">
        <v>335</v>
      </c>
      <c r="G1226">
        <v>5</v>
      </c>
      <c r="H1226" t="s">
        <v>26</v>
      </c>
      <c r="I1226" t="s">
        <v>358</v>
      </c>
      <c r="J1226" t="s">
        <v>359</v>
      </c>
      <c r="K1226" t="s">
        <v>1140</v>
      </c>
      <c r="L1226">
        <v>19</v>
      </c>
      <c r="M1226">
        <v>62</v>
      </c>
      <c r="N1226" s="2">
        <v>0.35</v>
      </c>
      <c r="O1226">
        <v>69</v>
      </c>
      <c r="P1226">
        <v>12.97</v>
      </c>
      <c r="Q1226">
        <v>1.08</v>
      </c>
      <c r="R1226">
        <v>23</v>
      </c>
    </row>
    <row r="1227" spans="1:18" x14ac:dyDescent="0.25">
      <c r="A1227" t="s">
        <v>1187</v>
      </c>
      <c r="B1227" s="1">
        <v>44247</v>
      </c>
      <c r="C1227" t="s">
        <v>1128</v>
      </c>
      <c r="D1227" t="s">
        <v>341</v>
      </c>
      <c r="E1227" t="s">
        <v>24</v>
      </c>
      <c r="F1227" t="s">
        <v>335</v>
      </c>
      <c r="G1227">
        <v>5</v>
      </c>
      <c r="H1227" t="s">
        <v>26</v>
      </c>
      <c r="I1227" t="s">
        <v>423</v>
      </c>
      <c r="J1227" t="s">
        <v>505</v>
      </c>
      <c r="K1227" t="s">
        <v>636</v>
      </c>
      <c r="L1227">
        <v>21</v>
      </c>
      <c r="M1227">
        <v>69</v>
      </c>
      <c r="N1227" s="2">
        <v>0.32</v>
      </c>
      <c r="O1227">
        <v>86</v>
      </c>
      <c r="P1227">
        <v>14.26</v>
      </c>
      <c r="Q1227">
        <v>1.18</v>
      </c>
      <c r="R1227">
        <v>25</v>
      </c>
    </row>
    <row r="1228" spans="1:18" x14ac:dyDescent="0.25">
      <c r="A1228" t="s">
        <v>1188</v>
      </c>
      <c r="B1228" s="1">
        <v>44247</v>
      </c>
      <c r="C1228" t="s">
        <v>1136</v>
      </c>
      <c r="D1228" t="s">
        <v>341</v>
      </c>
      <c r="E1228" t="s">
        <v>24</v>
      </c>
      <c r="F1228" t="s">
        <v>33</v>
      </c>
      <c r="G1228">
        <v>60</v>
      </c>
      <c r="H1228" t="s">
        <v>26</v>
      </c>
      <c r="I1228" t="s">
        <v>884</v>
      </c>
      <c r="J1228" t="s">
        <v>1137</v>
      </c>
      <c r="K1228" t="s">
        <v>1189</v>
      </c>
      <c r="L1228">
        <v>383</v>
      </c>
      <c r="M1228">
        <v>106</v>
      </c>
      <c r="N1228" s="2">
        <v>0.42</v>
      </c>
      <c r="O1228">
        <v>73</v>
      </c>
      <c r="P1228">
        <v>16.54</v>
      </c>
      <c r="Q1228">
        <v>16.54</v>
      </c>
      <c r="R1228">
        <v>474</v>
      </c>
    </row>
    <row r="1229" spans="1:18" x14ac:dyDescent="0.25">
      <c r="A1229" t="s">
        <v>1190</v>
      </c>
      <c r="B1229" s="1">
        <v>44247</v>
      </c>
      <c r="C1229" t="s">
        <v>1191</v>
      </c>
      <c r="D1229" t="s">
        <v>341</v>
      </c>
      <c r="E1229" t="s">
        <v>24</v>
      </c>
      <c r="F1229" t="s">
        <v>33</v>
      </c>
      <c r="G1229">
        <v>5</v>
      </c>
      <c r="H1229" t="s">
        <v>26</v>
      </c>
      <c r="I1229" t="s">
        <v>358</v>
      </c>
      <c r="J1229" t="s">
        <v>359</v>
      </c>
      <c r="K1229" t="s">
        <v>718</v>
      </c>
      <c r="L1229">
        <v>17</v>
      </c>
      <c r="M1229">
        <v>59</v>
      </c>
      <c r="N1229" s="2">
        <v>0.32</v>
      </c>
      <c r="O1229">
        <v>74</v>
      </c>
      <c r="P1229">
        <v>12.85</v>
      </c>
      <c r="Q1229">
        <v>1.07</v>
      </c>
      <c r="R1229">
        <v>22</v>
      </c>
    </row>
    <row r="1230" spans="1:18" x14ac:dyDescent="0.25">
      <c r="A1230" t="s">
        <v>1192</v>
      </c>
      <c r="B1230" s="1">
        <v>44247</v>
      </c>
      <c r="C1230" t="s">
        <v>1193</v>
      </c>
      <c r="D1230" t="s">
        <v>341</v>
      </c>
      <c r="E1230" t="s">
        <v>24</v>
      </c>
      <c r="F1230" t="s">
        <v>180</v>
      </c>
      <c r="G1230">
        <v>5</v>
      </c>
      <c r="H1230" t="s">
        <v>26</v>
      </c>
      <c r="I1230" t="s">
        <v>358</v>
      </c>
      <c r="J1230" t="s">
        <v>359</v>
      </c>
      <c r="K1230" t="s">
        <v>1177</v>
      </c>
      <c r="L1230">
        <v>19</v>
      </c>
      <c r="M1230">
        <v>65</v>
      </c>
      <c r="N1230" s="2">
        <v>0.33</v>
      </c>
      <c r="O1230">
        <v>77</v>
      </c>
      <c r="P1230">
        <v>13.43</v>
      </c>
      <c r="Q1230">
        <v>1.1200000000000001</v>
      </c>
      <c r="R1230">
        <v>24</v>
      </c>
    </row>
    <row r="1231" spans="1:18" x14ac:dyDescent="0.25">
      <c r="A1231" t="s">
        <v>1194</v>
      </c>
      <c r="B1231" s="1">
        <v>44247</v>
      </c>
      <c r="C1231" t="s">
        <v>1195</v>
      </c>
      <c r="D1231" t="s">
        <v>341</v>
      </c>
      <c r="E1231" t="s">
        <v>24</v>
      </c>
      <c r="F1231" t="s">
        <v>237</v>
      </c>
      <c r="G1231">
        <v>10</v>
      </c>
      <c r="H1231" t="s">
        <v>464</v>
      </c>
      <c r="I1231" t="s">
        <v>943</v>
      </c>
      <c r="J1231" t="s">
        <v>944</v>
      </c>
      <c r="K1231" t="s">
        <v>1196</v>
      </c>
    </row>
    <row r="1232" spans="1:18" x14ac:dyDescent="0.25">
      <c r="A1232" t="s">
        <v>1280</v>
      </c>
      <c r="B1232" s="1">
        <v>44261</v>
      </c>
      <c r="C1232" t="s">
        <v>1281</v>
      </c>
      <c r="D1232" t="s">
        <v>341</v>
      </c>
      <c r="E1232" t="s">
        <v>24</v>
      </c>
      <c r="F1232" t="s">
        <v>354</v>
      </c>
      <c r="G1232">
        <v>10</v>
      </c>
      <c r="H1232" t="s">
        <v>194</v>
      </c>
      <c r="I1232" t="s">
        <v>700</v>
      </c>
      <c r="J1232" t="s">
        <v>1282</v>
      </c>
      <c r="K1232" t="s">
        <v>1283</v>
      </c>
      <c r="R1232">
        <v>46</v>
      </c>
    </row>
    <row r="1233" spans="1:19" x14ac:dyDescent="0.25">
      <c r="A1233" t="s">
        <v>1284</v>
      </c>
      <c r="B1233" s="1">
        <v>44261</v>
      </c>
      <c r="C1233" t="s">
        <v>1285</v>
      </c>
      <c r="D1233" t="s">
        <v>341</v>
      </c>
      <c r="E1233" t="s">
        <v>24</v>
      </c>
      <c r="F1233" t="s">
        <v>243</v>
      </c>
      <c r="G1233">
        <v>20</v>
      </c>
      <c r="H1233" t="s">
        <v>188</v>
      </c>
      <c r="I1233" t="s">
        <v>1088</v>
      </c>
      <c r="J1233" t="s">
        <v>1089</v>
      </c>
      <c r="K1233" t="s">
        <v>1286</v>
      </c>
      <c r="R1233">
        <v>40</v>
      </c>
      <c r="S1233">
        <v>79.27</v>
      </c>
    </row>
    <row r="1234" spans="1:19" x14ac:dyDescent="0.25">
      <c r="A1234" t="s">
        <v>1346</v>
      </c>
      <c r="B1234" s="1">
        <v>44268</v>
      </c>
      <c r="C1234" t="s">
        <v>275</v>
      </c>
      <c r="D1234" t="s">
        <v>341</v>
      </c>
      <c r="E1234" t="s">
        <v>24</v>
      </c>
      <c r="F1234" t="s">
        <v>208</v>
      </c>
      <c r="G1234">
        <v>20</v>
      </c>
      <c r="H1234" t="s">
        <v>464</v>
      </c>
      <c r="I1234" t="s">
        <v>943</v>
      </c>
      <c r="J1234" t="s">
        <v>1347</v>
      </c>
      <c r="K1234" t="s">
        <v>1348</v>
      </c>
    </row>
    <row r="1235" spans="1:19" x14ac:dyDescent="0.25">
      <c r="A1235" t="s">
        <v>1416</v>
      </c>
      <c r="B1235" s="1">
        <v>44275</v>
      </c>
      <c r="C1235" t="s">
        <v>1417</v>
      </c>
      <c r="D1235" t="s">
        <v>341</v>
      </c>
      <c r="E1235" t="s">
        <v>24</v>
      </c>
      <c r="F1235" t="s">
        <v>490</v>
      </c>
      <c r="G1235">
        <v>30</v>
      </c>
      <c r="H1235" t="s">
        <v>26</v>
      </c>
      <c r="I1235" t="s">
        <v>39</v>
      </c>
      <c r="J1235" t="s">
        <v>407</v>
      </c>
      <c r="K1235" t="s">
        <v>1418</v>
      </c>
      <c r="L1235">
        <v>160</v>
      </c>
      <c r="M1235">
        <v>89</v>
      </c>
      <c r="N1235" s="2">
        <v>0.37</v>
      </c>
      <c r="O1235">
        <v>81</v>
      </c>
      <c r="P1235">
        <v>15.37</v>
      </c>
      <c r="Q1235">
        <v>7.69</v>
      </c>
      <c r="R1235">
        <v>198</v>
      </c>
    </row>
    <row r="1236" spans="1:19" x14ac:dyDescent="0.25">
      <c r="A1236" t="s">
        <v>1419</v>
      </c>
      <c r="B1236" s="1">
        <v>44275</v>
      </c>
      <c r="C1236" t="s">
        <v>1420</v>
      </c>
      <c r="D1236" t="s">
        <v>341</v>
      </c>
      <c r="E1236" t="s">
        <v>24</v>
      </c>
      <c r="F1236" t="s">
        <v>335</v>
      </c>
      <c r="G1236">
        <v>60</v>
      </c>
      <c r="H1236" t="s">
        <v>26</v>
      </c>
      <c r="I1236" t="s">
        <v>44</v>
      </c>
      <c r="J1236" t="s">
        <v>1421</v>
      </c>
      <c r="K1236" t="s">
        <v>1422</v>
      </c>
      <c r="L1236">
        <v>386</v>
      </c>
      <c r="M1236">
        <v>107</v>
      </c>
      <c r="N1236" s="2">
        <v>0.41</v>
      </c>
      <c r="O1236">
        <v>78</v>
      </c>
      <c r="P1236">
        <v>16.53</v>
      </c>
      <c r="Q1236">
        <v>16.53</v>
      </c>
      <c r="R1236">
        <v>477</v>
      </c>
    </row>
    <row r="1237" spans="1:19" x14ac:dyDescent="0.25">
      <c r="A1237" t="s">
        <v>1423</v>
      </c>
      <c r="B1237" s="1">
        <v>44275</v>
      </c>
      <c r="C1237" t="s">
        <v>1424</v>
      </c>
      <c r="D1237" t="s">
        <v>341</v>
      </c>
      <c r="E1237" t="s">
        <v>24</v>
      </c>
      <c r="F1237" t="s">
        <v>335</v>
      </c>
      <c r="G1237">
        <v>5</v>
      </c>
      <c r="H1237" t="s">
        <v>26</v>
      </c>
      <c r="I1237" t="s">
        <v>358</v>
      </c>
      <c r="J1237" t="s">
        <v>359</v>
      </c>
      <c r="K1237" t="s">
        <v>1425</v>
      </c>
      <c r="L1237">
        <v>23</v>
      </c>
      <c r="M1237">
        <v>75</v>
      </c>
      <c r="N1237" s="2">
        <v>0.38</v>
      </c>
      <c r="O1237">
        <v>69</v>
      </c>
      <c r="P1237">
        <v>14.06</v>
      </c>
      <c r="Q1237">
        <v>1.1599999999999999</v>
      </c>
      <c r="R1237">
        <v>28</v>
      </c>
    </row>
    <row r="1238" spans="1:19" x14ac:dyDescent="0.25">
      <c r="A1238" t="s">
        <v>1426</v>
      </c>
      <c r="B1238" s="1">
        <v>44275</v>
      </c>
      <c r="C1238" t="s">
        <v>1427</v>
      </c>
      <c r="D1238" t="s">
        <v>341</v>
      </c>
      <c r="E1238" t="s">
        <v>24</v>
      </c>
      <c r="F1238" t="s">
        <v>768</v>
      </c>
      <c r="G1238">
        <v>10</v>
      </c>
      <c r="H1238" t="s">
        <v>194</v>
      </c>
      <c r="I1238" t="s">
        <v>700</v>
      </c>
      <c r="J1238" t="s">
        <v>1282</v>
      </c>
      <c r="K1238" t="s">
        <v>1428</v>
      </c>
      <c r="R1238">
        <v>46</v>
      </c>
    </row>
    <row r="1239" spans="1:19" x14ac:dyDescent="0.25">
      <c r="A1239" t="s">
        <v>1429</v>
      </c>
      <c r="B1239" s="1">
        <v>44275</v>
      </c>
      <c r="C1239" t="s">
        <v>1430</v>
      </c>
      <c r="D1239" t="s">
        <v>341</v>
      </c>
      <c r="E1239" t="s">
        <v>24</v>
      </c>
      <c r="F1239" t="s">
        <v>180</v>
      </c>
      <c r="G1239">
        <v>10</v>
      </c>
      <c r="H1239" t="s">
        <v>194</v>
      </c>
      <c r="I1239" t="s">
        <v>195</v>
      </c>
      <c r="J1239" t="s">
        <v>1431</v>
      </c>
      <c r="K1239" t="s">
        <v>1432</v>
      </c>
      <c r="R1239">
        <v>46</v>
      </c>
    </row>
    <row r="1240" spans="1:19" x14ac:dyDescent="0.25">
      <c r="A1240" t="s">
        <v>1433</v>
      </c>
      <c r="B1240" s="1">
        <v>44275</v>
      </c>
      <c r="C1240" t="s">
        <v>549</v>
      </c>
      <c r="D1240" t="s">
        <v>341</v>
      </c>
      <c r="E1240" t="s">
        <v>24</v>
      </c>
      <c r="F1240" t="s">
        <v>200</v>
      </c>
      <c r="G1240">
        <v>10</v>
      </c>
      <c r="H1240" t="s">
        <v>188</v>
      </c>
      <c r="I1240" t="s">
        <v>238</v>
      </c>
      <c r="J1240" t="s">
        <v>674</v>
      </c>
      <c r="K1240" t="s">
        <v>1434</v>
      </c>
      <c r="R1240">
        <v>35</v>
      </c>
    </row>
    <row r="1241" spans="1:19" x14ac:dyDescent="0.25">
      <c r="A1241" t="s">
        <v>1503</v>
      </c>
      <c r="B1241" s="1">
        <v>44282</v>
      </c>
      <c r="C1241" t="s">
        <v>1504</v>
      </c>
      <c r="D1241" t="s">
        <v>341</v>
      </c>
      <c r="E1241" t="s">
        <v>24</v>
      </c>
      <c r="F1241" t="s">
        <v>208</v>
      </c>
      <c r="G1241">
        <v>10</v>
      </c>
      <c r="H1241" t="s">
        <v>464</v>
      </c>
      <c r="I1241" t="s">
        <v>579</v>
      </c>
      <c r="J1241" t="s">
        <v>602</v>
      </c>
      <c r="K1241" t="s">
        <v>1505</v>
      </c>
    </row>
    <row r="1242" spans="1:19" x14ac:dyDescent="0.25">
      <c r="A1242" t="s">
        <v>1506</v>
      </c>
      <c r="B1242" s="1">
        <v>44282</v>
      </c>
      <c r="C1242" t="s">
        <v>1507</v>
      </c>
      <c r="D1242" t="s">
        <v>341</v>
      </c>
      <c r="E1242" t="s">
        <v>24</v>
      </c>
      <c r="F1242" t="s">
        <v>208</v>
      </c>
      <c r="G1242">
        <v>20</v>
      </c>
      <c r="H1242" t="s">
        <v>464</v>
      </c>
      <c r="I1242" t="s">
        <v>763</v>
      </c>
      <c r="J1242" t="s">
        <v>1335</v>
      </c>
      <c r="K1242" t="s">
        <v>1508</v>
      </c>
    </row>
    <row r="1243" spans="1:19" x14ac:dyDescent="0.25">
      <c r="A1243" t="s">
        <v>1569</v>
      </c>
      <c r="B1243" s="1">
        <v>44289</v>
      </c>
      <c r="C1243" t="s">
        <v>1570</v>
      </c>
      <c r="D1243" t="s">
        <v>341</v>
      </c>
      <c r="E1243" t="s">
        <v>24</v>
      </c>
      <c r="F1243" t="s">
        <v>215</v>
      </c>
      <c r="G1243">
        <v>20</v>
      </c>
      <c r="H1243" t="s">
        <v>464</v>
      </c>
      <c r="I1243" t="s">
        <v>1571</v>
      </c>
      <c r="J1243" t="s">
        <v>1572</v>
      </c>
      <c r="K1243" t="s">
        <v>1573</v>
      </c>
    </row>
    <row r="1244" spans="1:19" x14ac:dyDescent="0.25">
      <c r="A1244" t="s">
        <v>1574</v>
      </c>
      <c r="B1244" s="1">
        <v>44289</v>
      </c>
      <c r="C1244" t="s">
        <v>1575</v>
      </c>
      <c r="D1244" t="s">
        <v>341</v>
      </c>
      <c r="E1244" t="s">
        <v>24</v>
      </c>
      <c r="F1244" t="s">
        <v>208</v>
      </c>
      <c r="G1244">
        <v>20</v>
      </c>
      <c r="H1244" t="s">
        <v>464</v>
      </c>
      <c r="I1244" t="s">
        <v>579</v>
      </c>
      <c r="J1244" t="s">
        <v>1576</v>
      </c>
      <c r="K1244" t="s">
        <v>1577</v>
      </c>
    </row>
    <row r="1245" spans="1:19" x14ac:dyDescent="0.25">
      <c r="A1245" t="s">
        <v>1623</v>
      </c>
      <c r="B1245" s="1">
        <v>44296</v>
      </c>
      <c r="C1245" t="s">
        <v>1624</v>
      </c>
      <c r="D1245" t="s">
        <v>341</v>
      </c>
      <c r="E1245" t="s">
        <v>24</v>
      </c>
      <c r="F1245" t="s">
        <v>323</v>
      </c>
      <c r="G1245">
        <v>5</v>
      </c>
      <c r="H1245" t="s">
        <v>26</v>
      </c>
      <c r="I1245" t="s">
        <v>423</v>
      </c>
      <c r="J1245" t="s">
        <v>505</v>
      </c>
      <c r="K1245" t="s">
        <v>1625</v>
      </c>
      <c r="L1245">
        <v>15</v>
      </c>
      <c r="M1245">
        <v>52</v>
      </c>
      <c r="N1245" s="2">
        <v>0.25</v>
      </c>
      <c r="O1245">
        <v>94</v>
      </c>
      <c r="P1245">
        <v>11.92</v>
      </c>
      <c r="Q1245">
        <v>0.99</v>
      </c>
      <c r="R1245">
        <v>19</v>
      </c>
    </row>
    <row r="1246" spans="1:19" x14ac:dyDescent="0.25">
      <c r="A1246" t="s">
        <v>1626</v>
      </c>
      <c r="B1246" s="1">
        <v>44296</v>
      </c>
      <c r="C1246" t="s">
        <v>1627</v>
      </c>
      <c r="D1246" t="s">
        <v>341</v>
      </c>
      <c r="E1246" t="s">
        <v>24</v>
      </c>
      <c r="F1246" t="s">
        <v>323</v>
      </c>
      <c r="G1246">
        <v>45</v>
      </c>
      <c r="H1246" t="s">
        <v>26</v>
      </c>
      <c r="I1246" t="s">
        <v>370</v>
      </c>
      <c r="J1246" t="s">
        <v>479</v>
      </c>
      <c r="K1246" t="s">
        <v>1628</v>
      </c>
      <c r="L1246">
        <v>259</v>
      </c>
      <c r="M1246">
        <v>96</v>
      </c>
      <c r="N1246" s="2">
        <v>0.36</v>
      </c>
      <c r="O1246">
        <v>86</v>
      </c>
      <c r="P1246">
        <v>15.78</v>
      </c>
      <c r="Q1246">
        <v>11.84</v>
      </c>
      <c r="R1246">
        <v>320</v>
      </c>
    </row>
    <row r="1247" spans="1:19" x14ac:dyDescent="0.25">
      <c r="A1247" t="s">
        <v>1629</v>
      </c>
      <c r="B1247" s="1">
        <v>44296</v>
      </c>
      <c r="C1247" t="s">
        <v>1630</v>
      </c>
      <c r="D1247" t="s">
        <v>341</v>
      </c>
      <c r="E1247" t="s">
        <v>24</v>
      </c>
      <c r="F1247" t="s">
        <v>323</v>
      </c>
      <c r="G1247">
        <v>60</v>
      </c>
      <c r="H1247" t="s">
        <v>26</v>
      </c>
      <c r="I1247" t="s">
        <v>370</v>
      </c>
      <c r="J1247" t="s">
        <v>498</v>
      </c>
      <c r="K1247" t="s">
        <v>1631</v>
      </c>
      <c r="L1247">
        <v>328</v>
      </c>
      <c r="M1247">
        <v>91</v>
      </c>
      <c r="N1247" s="2">
        <v>0.35</v>
      </c>
      <c r="O1247">
        <v>87</v>
      </c>
      <c r="P1247">
        <v>15.48</v>
      </c>
      <c r="Q1247">
        <v>15.48</v>
      </c>
      <c r="R1247">
        <v>406</v>
      </c>
    </row>
    <row r="1248" spans="1:19" x14ac:dyDescent="0.25">
      <c r="A1248" t="s">
        <v>1632</v>
      </c>
      <c r="B1248" s="1">
        <v>44296</v>
      </c>
      <c r="C1248" t="s">
        <v>1633</v>
      </c>
      <c r="D1248" t="s">
        <v>341</v>
      </c>
      <c r="E1248" t="s">
        <v>24</v>
      </c>
      <c r="F1248" t="s">
        <v>335</v>
      </c>
      <c r="G1248">
        <v>10</v>
      </c>
      <c r="H1248" t="s">
        <v>26</v>
      </c>
      <c r="I1248" t="s">
        <v>39</v>
      </c>
      <c r="J1248" t="s">
        <v>1511</v>
      </c>
      <c r="K1248" t="s">
        <v>1447</v>
      </c>
      <c r="L1248">
        <v>35</v>
      </c>
      <c r="M1248">
        <v>58</v>
      </c>
      <c r="N1248" s="2">
        <v>0.28999999999999998</v>
      </c>
      <c r="O1248">
        <v>84</v>
      </c>
      <c r="P1248">
        <v>12.67</v>
      </c>
      <c r="Q1248">
        <v>2.11</v>
      </c>
      <c r="R1248">
        <v>43</v>
      </c>
    </row>
    <row r="1249" spans="1:19" x14ac:dyDescent="0.25">
      <c r="A1249" t="s">
        <v>1634</v>
      </c>
      <c r="B1249" s="1">
        <v>44296</v>
      </c>
      <c r="C1249" t="s">
        <v>1635</v>
      </c>
      <c r="D1249" t="s">
        <v>341</v>
      </c>
      <c r="E1249" t="s">
        <v>24</v>
      </c>
      <c r="F1249" t="s">
        <v>243</v>
      </c>
      <c r="G1249">
        <v>10</v>
      </c>
      <c r="H1249" t="s">
        <v>188</v>
      </c>
      <c r="I1249" t="s">
        <v>238</v>
      </c>
      <c r="J1249" t="s">
        <v>674</v>
      </c>
      <c r="K1249" t="s">
        <v>741</v>
      </c>
      <c r="R1249">
        <v>33</v>
      </c>
    </row>
    <row r="1250" spans="1:19" x14ac:dyDescent="0.25">
      <c r="A1250" t="s">
        <v>1636</v>
      </c>
      <c r="B1250" s="1">
        <v>44296</v>
      </c>
      <c r="C1250" t="s">
        <v>1637</v>
      </c>
      <c r="D1250" t="s">
        <v>341</v>
      </c>
      <c r="E1250" t="s">
        <v>24</v>
      </c>
      <c r="F1250" t="s">
        <v>215</v>
      </c>
      <c r="G1250">
        <v>20</v>
      </c>
      <c r="H1250" t="s">
        <v>464</v>
      </c>
      <c r="I1250" t="s">
        <v>763</v>
      </c>
      <c r="J1250" t="s">
        <v>1335</v>
      </c>
      <c r="K1250" t="s">
        <v>1541</v>
      </c>
    </row>
    <row r="1251" spans="1:19" x14ac:dyDescent="0.25">
      <c r="A1251" t="s">
        <v>1673</v>
      </c>
      <c r="B1251" s="1">
        <v>44303</v>
      </c>
      <c r="C1251" t="s">
        <v>1674</v>
      </c>
      <c r="D1251" t="s">
        <v>341</v>
      </c>
      <c r="E1251" t="s">
        <v>24</v>
      </c>
      <c r="F1251" t="s">
        <v>208</v>
      </c>
      <c r="G1251">
        <v>30</v>
      </c>
      <c r="H1251" t="s">
        <v>464</v>
      </c>
      <c r="I1251" t="s">
        <v>763</v>
      </c>
      <c r="J1251" t="s">
        <v>1675</v>
      </c>
      <c r="K1251" t="s">
        <v>1676</v>
      </c>
    </row>
    <row r="1252" spans="1:19" x14ac:dyDescent="0.25">
      <c r="A1252" t="s">
        <v>1746</v>
      </c>
      <c r="B1252" s="1">
        <v>44310</v>
      </c>
      <c r="C1252" t="s">
        <v>1747</v>
      </c>
      <c r="D1252" t="s">
        <v>341</v>
      </c>
      <c r="E1252" t="s">
        <v>24</v>
      </c>
      <c r="F1252" t="s">
        <v>323</v>
      </c>
      <c r="G1252">
        <v>30</v>
      </c>
      <c r="H1252" t="s">
        <v>26</v>
      </c>
      <c r="I1252" t="s">
        <v>370</v>
      </c>
      <c r="J1252" t="s">
        <v>396</v>
      </c>
      <c r="K1252" t="s">
        <v>1748</v>
      </c>
      <c r="L1252">
        <v>147</v>
      </c>
      <c r="M1252">
        <v>81</v>
      </c>
      <c r="N1252" s="2">
        <v>0.33</v>
      </c>
      <c r="O1252">
        <v>88</v>
      </c>
      <c r="P1252">
        <v>14.75</v>
      </c>
      <c r="Q1252">
        <v>7.38</v>
      </c>
      <c r="R1252">
        <v>181</v>
      </c>
    </row>
    <row r="1253" spans="1:19" x14ac:dyDescent="0.25">
      <c r="A1253" t="s">
        <v>1749</v>
      </c>
      <c r="B1253" s="1">
        <v>44310</v>
      </c>
      <c r="C1253" t="s">
        <v>1750</v>
      </c>
      <c r="D1253" t="s">
        <v>341</v>
      </c>
      <c r="E1253" t="s">
        <v>24</v>
      </c>
      <c r="F1253" t="s">
        <v>33</v>
      </c>
      <c r="G1253">
        <v>60</v>
      </c>
      <c r="H1253" t="s">
        <v>26</v>
      </c>
      <c r="I1253" t="s">
        <v>884</v>
      </c>
      <c r="J1253" t="s">
        <v>1137</v>
      </c>
      <c r="K1253" t="s">
        <v>1751</v>
      </c>
      <c r="L1253">
        <v>398</v>
      </c>
      <c r="M1253">
        <v>111</v>
      </c>
      <c r="N1253" s="2">
        <v>0.45</v>
      </c>
      <c r="O1253">
        <v>70</v>
      </c>
      <c r="P1253">
        <v>16.68</v>
      </c>
      <c r="Q1253">
        <v>16.68</v>
      </c>
      <c r="R1253">
        <v>492</v>
      </c>
    </row>
    <row r="1254" spans="1:19" x14ac:dyDescent="0.25">
      <c r="A1254" t="s">
        <v>1752</v>
      </c>
      <c r="B1254" s="1">
        <v>44310</v>
      </c>
      <c r="C1254" t="s">
        <v>1753</v>
      </c>
      <c r="D1254" t="s">
        <v>341</v>
      </c>
      <c r="E1254" t="s">
        <v>24</v>
      </c>
      <c r="F1254" t="s">
        <v>243</v>
      </c>
      <c r="G1254">
        <v>10</v>
      </c>
      <c r="H1254" t="s">
        <v>26</v>
      </c>
      <c r="I1254" t="s">
        <v>358</v>
      </c>
      <c r="J1254" t="s">
        <v>389</v>
      </c>
      <c r="K1254" t="s">
        <v>1754</v>
      </c>
      <c r="L1254">
        <v>43</v>
      </c>
      <c r="M1254">
        <v>72</v>
      </c>
      <c r="N1254" s="2">
        <v>0.35</v>
      </c>
      <c r="O1254">
        <v>76</v>
      </c>
      <c r="P1254">
        <v>14.03</v>
      </c>
      <c r="Q1254">
        <v>2.34</v>
      </c>
      <c r="R1254">
        <v>53</v>
      </c>
    </row>
    <row r="1255" spans="1:19" x14ac:dyDescent="0.25">
      <c r="A1255" t="s">
        <v>1755</v>
      </c>
      <c r="B1255" s="1">
        <v>44310</v>
      </c>
      <c r="C1255" t="s">
        <v>1756</v>
      </c>
      <c r="D1255" t="s">
        <v>341</v>
      </c>
      <c r="E1255" t="s">
        <v>24</v>
      </c>
      <c r="F1255" t="s">
        <v>243</v>
      </c>
      <c r="G1255">
        <v>5</v>
      </c>
      <c r="H1255" t="s">
        <v>49</v>
      </c>
      <c r="I1255" t="s">
        <v>50</v>
      </c>
      <c r="J1255" t="s">
        <v>51</v>
      </c>
      <c r="K1255" t="s">
        <v>1396</v>
      </c>
      <c r="R1255">
        <v>12</v>
      </c>
    </row>
    <row r="1256" spans="1:19" x14ac:dyDescent="0.25">
      <c r="A1256" t="s">
        <v>1808</v>
      </c>
      <c r="B1256" s="1">
        <v>44317</v>
      </c>
      <c r="C1256" t="s">
        <v>1809</v>
      </c>
      <c r="D1256" t="s">
        <v>341</v>
      </c>
      <c r="E1256" t="s">
        <v>24</v>
      </c>
      <c r="F1256" t="s">
        <v>323</v>
      </c>
      <c r="G1256">
        <v>30</v>
      </c>
      <c r="H1256" t="s">
        <v>26</v>
      </c>
      <c r="I1256" t="s">
        <v>370</v>
      </c>
      <c r="J1256" t="s">
        <v>396</v>
      </c>
      <c r="K1256" t="s">
        <v>1810</v>
      </c>
      <c r="L1256">
        <v>155</v>
      </c>
      <c r="M1256">
        <v>86</v>
      </c>
      <c r="N1256" s="2">
        <v>0.35</v>
      </c>
      <c r="O1256">
        <v>84</v>
      </c>
      <c r="P1256">
        <v>15.11</v>
      </c>
      <c r="Q1256">
        <v>7.56</v>
      </c>
      <c r="R1256">
        <v>191</v>
      </c>
    </row>
    <row r="1257" spans="1:19" x14ac:dyDescent="0.25">
      <c r="A1257" t="s">
        <v>1811</v>
      </c>
      <c r="B1257" s="1">
        <v>44317</v>
      </c>
      <c r="C1257" t="s">
        <v>1812</v>
      </c>
      <c r="D1257" t="s">
        <v>341</v>
      </c>
      <c r="E1257" t="s">
        <v>24</v>
      </c>
      <c r="F1257" t="s">
        <v>292</v>
      </c>
      <c r="G1257">
        <v>45</v>
      </c>
      <c r="H1257" t="s">
        <v>194</v>
      </c>
      <c r="I1257" t="s">
        <v>232</v>
      </c>
      <c r="J1257" t="s">
        <v>1813</v>
      </c>
      <c r="K1257" t="s">
        <v>1814</v>
      </c>
      <c r="R1257">
        <v>208</v>
      </c>
    </row>
    <row r="1258" spans="1:19" x14ac:dyDescent="0.25">
      <c r="A1258" t="s">
        <v>1815</v>
      </c>
      <c r="B1258" s="1">
        <v>44317</v>
      </c>
      <c r="C1258" t="s">
        <v>1816</v>
      </c>
      <c r="D1258" t="s">
        <v>341</v>
      </c>
      <c r="E1258" t="s">
        <v>24</v>
      </c>
      <c r="F1258" t="s">
        <v>335</v>
      </c>
      <c r="G1258">
        <v>10</v>
      </c>
      <c r="H1258" t="s">
        <v>49</v>
      </c>
      <c r="I1258" t="s">
        <v>226</v>
      </c>
      <c r="J1258" t="s">
        <v>293</v>
      </c>
      <c r="K1258" t="s">
        <v>1817</v>
      </c>
      <c r="R1258">
        <v>23</v>
      </c>
    </row>
    <row r="1259" spans="1:19" x14ac:dyDescent="0.25">
      <c r="A1259" t="s">
        <v>1818</v>
      </c>
      <c r="B1259" s="1">
        <v>44317</v>
      </c>
      <c r="C1259" t="s">
        <v>1819</v>
      </c>
      <c r="D1259" t="s">
        <v>341</v>
      </c>
      <c r="E1259" t="s">
        <v>24</v>
      </c>
      <c r="F1259" t="s">
        <v>200</v>
      </c>
      <c r="G1259">
        <v>10</v>
      </c>
      <c r="H1259" t="s">
        <v>464</v>
      </c>
      <c r="I1259" t="s">
        <v>579</v>
      </c>
      <c r="J1259" t="s">
        <v>1820</v>
      </c>
      <c r="K1259" t="s">
        <v>1821</v>
      </c>
    </row>
    <row r="1260" spans="1:19" x14ac:dyDescent="0.25">
      <c r="A1260" t="s">
        <v>1883</v>
      </c>
      <c r="B1260" s="1">
        <v>44324</v>
      </c>
      <c r="C1260" t="s">
        <v>1884</v>
      </c>
      <c r="D1260" t="s">
        <v>341</v>
      </c>
      <c r="E1260" t="s">
        <v>24</v>
      </c>
      <c r="F1260" t="s">
        <v>208</v>
      </c>
      <c r="G1260">
        <v>20</v>
      </c>
      <c r="H1260" t="s">
        <v>188</v>
      </c>
      <c r="I1260" t="s">
        <v>189</v>
      </c>
      <c r="J1260" t="s">
        <v>248</v>
      </c>
      <c r="K1260" t="s">
        <v>1885</v>
      </c>
      <c r="R1260">
        <v>66</v>
      </c>
      <c r="S1260">
        <v>72</v>
      </c>
    </row>
    <row r="1261" spans="1:19" x14ac:dyDescent="0.25">
      <c r="A1261" t="s">
        <v>1886</v>
      </c>
      <c r="B1261" s="1">
        <v>44324</v>
      </c>
      <c r="C1261" t="s">
        <v>1616</v>
      </c>
      <c r="D1261" t="s">
        <v>341</v>
      </c>
      <c r="E1261" t="s">
        <v>24</v>
      </c>
      <c r="F1261" t="s">
        <v>459</v>
      </c>
      <c r="G1261">
        <v>20</v>
      </c>
      <c r="H1261" t="s">
        <v>464</v>
      </c>
      <c r="I1261" t="s">
        <v>579</v>
      </c>
      <c r="J1261" t="s">
        <v>1553</v>
      </c>
      <c r="K1261" t="s">
        <v>1887</v>
      </c>
    </row>
    <row r="1262" spans="1:19" x14ac:dyDescent="0.25">
      <c r="A1262" t="s">
        <v>1937</v>
      </c>
      <c r="B1262" s="1">
        <v>44331</v>
      </c>
      <c r="C1262" t="s">
        <v>1938</v>
      </c>
      <c r="D1262" t="s">
        <v>341</v>
      </c>
      <c r="E1262" t="s">
        <v>24</v>
      </c>
      <c r="F1262" t="s">
        <v>768</v>
      </c>
      <c r="G1262">
        <v>5</v>
      </c>
      <c r="H1262" t="s">
        <v>464</v>
      </c>
      <c r="I1262" t="s">
        <v>1249</v>
      </c>
      <c r="J1262" t="s">
        <v>1939</v>
      </c>
      <c r="K1262" t="s">
        <v>1940</v>
      </c>
    </row>
    <row r="1263" spans="1:19" x14ac:dyDescent="0.25">
      <c r="A1263" t="s">
        <v>1941</v>
      </c>
      <c r="B1263" s="1">
        <v>44331</v>
      </c>
      <c r="C1263" t="s">
        <v>1942</v>
      </c>
      <c r="D1263" t="s">
        <v>341</v>
      </c>
      <c r="E1263" t="s">
        <v>24</v>
      </c>
      <c r="F1263" t="s">
        <v>243</v>
      </c>
      <c r="G1263">
        <v>5</v>
      </c>
      <c r="H1263" t="s">
        <v>26</v>
      </c>
      <c r="I1263" t="s">
        <v>423</v>
      </c>
      <c r="J1263" t="s">
        <v>505</v>
      </c>
      <c r="K1263" t="s">
        <v>1943</v>
      </c>
      <c r="L1263">
        <v>23</v>
      </c>
      <c r="M1263">
        <v>77</v>
      </c>
      <c r="N1263" s="2">
        <v>0.3</v>
      </c>
      <c r="O1263">
        <v>97</v>
      </c>
      <c r="P1263">
        <v>14.39</v>
      </c>
      <c r="Q1263">
        <v>1.2</v>
      </c>
      <c r="R1263">
        <v>29</v>
      </c>
    </row>
    <row r="1264" spans="1:19" x14ac:dyDescent="0.25">
      <c r="A1264" t="s">
        <v>1944</v>
      </c>
      <c r="B1264" s="1">
        <v>44331</v>
      </c>
      <c r="C1264" t="s">
        <v>1658</v>
      </c>
      <c r="D1264" t="s">
        <v>341</v>
      </c>
      <c r="E1264" t="s">
        <v>24</v>
      </c>
      <c r="F1264" t="s">
        <v>208</v>
      </c>
      <c r="G1264">
        <v>20</v>
      </c>
      <c r="H1264" t="s">
        <v>464</v>
      </c>
      <c r="I1264" t="s">
        <v>579</v>
      </c>
      <c r="J1264" t="s">
        <v>1758</v>
      </c>
      <c r="K1264" t="s">
        <v>1759</v>
      </c>
    </row>
    <row r="1265" spans="1:19" x14ac:dyDescent="0.25">
      <c r="A1265" t="s">
        <v>2011</v>
      </c>
      <c r="B1265" s="1">
        <v>44338</v>
      </c>
      <c r="C1265" t="s">
        <v>2012</v>
      </c>
      <c r="D1265" t="s">
        <v>341</v>
      </c>
      <c r="E1265" t="s">
        <v>24</v>
      </c>
      <c r="F1265" t="s">
        <v>243</v>
      </c>
      <c r="G1265">
        <v>45</v>
      </c>
      <c r="H1265" t="s">
        <v>188</v>
      </c>
      <c r="I1265" t="s">
        <v>189</v>
      </c>
      <c r="J1265" t="s">
        <v>244</v>
      </c>
      <c r="K1265" t="s">
        <v>2013</v>
      </c>
      <c r="R1265">
        <v>147</v>
      </c>
    </row>
    <row r="1266" spans="1:19" x14ac:dyDescent="0.25">
      <c r="A1266" t="s">
        <v>2014</v>
      </c>
      <c r="B1266" s="1">
        <v>44338</v>
      </c>
      <c r="C1266" t="s">
        <v>2015</v>
      </c>
      <c r="D1266" t="s">
        <v>341</v>
      </c>
      <c r="E1266" t="s">
        <v>24</v>
      </c>
      <c r="F1266" t="s">
        <v>215</v>
      </c>
      <c r="G1266">
        <v>20</v>
      </c>
      <c r="H1266" t="s">
        <v>464</v>
      </c>
      <c r="I1266" t="s">
        <v>943</v>
      </c>
      <c r="J1266" t="s">
        <v>1347</v>
      </c>
      <c r="K1266" t="s">
        <v>1415</v>
      </c>
    </row>
    <row r="1267" spans="1:19" x14ac:dyDescent="0.25">
      <c r="A1267" t="s">
        <v>2070</v>
      </c>
      <c r="B1267" s="1">
        <v>44345</v>
      </c>
      <c r="C1267" t="s">
        <v>2071</v>
      </c>
      <c r="D1267" t="s">
        <v>341</v>
      </c>
      <c r="E1267" t="s">
        <v>24</v>
      </c>
      <c r="F1267" t="s">
        <v>215</v>
      </c>
      <c r="G1267">
        <v>10</v>
      </c>
      <c r="H1267" t="s">
        <v>464</v>
      </c>
      <c r="I1267" t="s">
        <v>943</v>
      </c>
      <c r="J1267" t="s">
        <v>944</v>
      </c>
      <c r="K1267" t="s">
        <v>2072</v>
      </c>
    </row>
    <row r="1268" spans="1:19" x14ac:dyDescent="0.25">
      <c r="A1268" t="s">
        <v>2073</v>
      </c>
      <c r="B1268" s="1">
        <v>44345</v>
      </c>
      <c r="C1268" t="s">
        <v>1491</v>
      </c>
      <c r="D1268" t="s">
        <v>341</v>
      </c>
      <c r="E1268" t="s">
        <v>24</v>
      </c>
      <c r="F1268" t="s">
        <v>237</v>
      </c>
      <c r="G1268">
        <v>20</v>
      </c>
      <c r="H1268" t="s">
        <v>464</v>
      </c>
      <c r="I1268" t="s">
        <v>579</v>
      </c>
      <c r="J1268" t="s">
        <v>2029</v>
      </c>
      <c r="K1268" t="s">
        <v>2030</v>
      </c>
    </row>
    <row r="1269" spans="1:19" x14ac:dyDescent="0.25">
      <c r="A1269" t="s">
        <v>2127</v>
      </c>
      <c r="B1269" s="1">
        <v>44352</v>
      </c>
      <c r="C1269" t="s">
        <v>2128</v>
      </c>
      <c r="D1269" t="s">
        <v>341</v>
      </c>
      <c r="E1269" t="s">
        <v>24</v>
      </c>
      <c r="F1269" t="s">
        <v>459</v>
      </c>
      <c r="G1269">
        <v>5</v>
      </c>
      <c r="H1269" t="s">
        <v>464</v>
      </c>
      <c r="I1269" t="s">
        <v>579</v>
      </c>
      <c r="J1269" t="s">
        <v>2129</v>
      </c>
      <c r="K1269" t="s">
        <v>2130</v>
      </c>
      <c r="S1269">
        <v>66.28</v>
      </c>
    </row>
    <row r="1270" spans="1:19" x14ac:dyDescent="0.25">
      <c r="A1270" t="s">
        <v>2194</v>
      </c>
      <c r="B1270" s="1">
        <v>44359</v>
      </c>
      <c r="C1270" t="s">
        <v>2195</v>
      </c>
      <c r="D1270" t="s">
        <v>341</v>
      </c>
      <c r="E1270" t="s">
        <v>24</v>
      </c>
      <c r="F1270" t="s">
        <v>328</v>
      </c>
      <c r="G1270">
        <v>30</v>
      </c>
      <c r="H1270" t="s">
        <v>26</v>
      </c>
      <c r="I1270" t="s">
        <v>370</v>
      </c>
      <c r="J1270" t="s">
        <v>396</v>
      </c>
      <c r="K1270" t="s">
        <v>2196</v>
      </c>
      <c r="L1270">
        <v>172</v>
      </c>
      <c r="M1270">
        <v>95</v>
      </c>
      <c r="N1270" s="2">
        <v>0.35</v>
      </c>
      <c r="O1270">
        <v>88</v>
      </c>
      <c r="P1270">
        <v>15.76</v>
      </c>
      <c r="Q1270">
        <v>7.88</v>
      </c>
      <c r="R1270">
        <v>212</v>
      </c>
    </row>
    <row r="1271" spans="1:19" x14ac:dyDescent="0.25">
      <c r="A1271" t="s">
        <v>2197</v>
      </c>
      <c r="B1271" s="1">
        <v>44359</v>
      </c>
      <c r="C1271" t="s">
        <v>2198</v>
      </c>
      <c r="D1271" t="s">
        <v>341</v>
      </c>
      <c r="E1271" t="s">
        <v>24</v>
      </c>
      <c r="F1271" t="s">
        <v>292</v>
      </c>
      <c r="G1271">
        <v>20</v>
      </c>
      <c r="H1271" t="s">
        <v>194</v>
      </c>
      <c r="I1271" t="s">
        <v>691</v>
      </c>
      <c r="J1271" t="s">
        <v>920</v>
      </c>
      <c r="K1271" t="s">
        <v>2199</v>
      </c>
      <c r="R1271">
        <v>92</v>
      </c>
    </row>
    <row r="1272" spans="1:19" x14ac:dyDescent="0.25">
      <c r="A1272" t="s">
        <v>2200</v>
      </c>
      <c r="B1272" s="1">
        <v>44359</v>
      </c>
      <c r="C1272" t="s">
        <v>2201</v>
      </c>
      <c r="D1272" t="s">
        <v>341</v>
      </c>
      <c r="E1272" t="s">
        <v>24</v>
      </c>
      <c r="F1272" t="s">
        <v>292</v>
      </c>
      <c r="G1272">
        <v>10</v>
      </c>
      <c r="H1272" t="s">
        <v>194</v>
      </c>
      <c r="I1272" t="s">
        <v>195</v>
      </c>
      <c r="J1272" t="s">
        <v>211</v>
      </c>
      <c r="K1272" t="s">
        <v>2202</v>
      </c>
      <c r="R1272">
        <v>46</v>
      </c>
    </row>
    <row r="1273" spans="1:19" x14ac:dyDescent="0.25">
      <c r="A1273" t="s">
        <v>2262</v>
      </c>
      <c r="B1273" s="1">
        <v>44366</v>
      </c>
      <c r="C1273" t="s">
        <v>2263</v>
      </c>
      <c r="D1273" t="s">
        <v>341</v>
      </c>
      <c r="E1273" t="s">
        <v>24</v>
      </c>
      <c r="F1273" t="s">
        <v>208</v>
      </c>
      <c r="G1273">
        <v>30</v>
      </c>
      <c r="H1273" t="s">
        <v>188</v>
      </c>
      <c r="I1273" t="s">
        <v>238</v>
      </c>
      <c r="J1273" t="s">
        <v>1956</v>
      </c>
      <c r="K1273" t="s">
        <v>2264</v>
      </c>
      <c r="R1273">
        <v>89</v>
      </c>
    </row>
    <row r="1274" spans="1:19" x14ac:dyDescent="0.25">
      <c r="A1274" t="s">
        <v>2265</v>
      </c>
      <c r="B1274" s="1">
        <v>44366</v>
      </c>
      <c r="C1274" t="s">
        <v>2266</v>
      </c>
      <c r="D1274" t="s">
        <v>341</v>
      </c>
      <c r="E1274" t="s">
        <v>24</v>
      </c>
      <c r="F1274" t="s">
        <v>459</v>
      </c>
      <c r="G1274">
        <v>20</v>
      </c>
      <c r="H1274" t="s">
        <v>464</v>
      </c>
      <c r="I1274" t="s">
        <v>943</v>
      </c>
      <c r="J1274" t="s">
        <v>1347</v>
      </c>
      <c r="K1274" t="s">
        <v>2267</v>
      </c>
    </row>
    <row r="1275" spans="1:19" x14ac:dyDescent="0.25">
      <c r="A1275" t="s">
        <v>2265</v>
      </c>
      <c r="B1275" s="1">
        <v>44366</v>
      </c>
      <c r="C1275" t="s">
        <v>2266</v>
      </c>
      <c r="D1275" t="s">
        <v>341</v>
      </c>
      <c r="E1275" t="s">
        <v>24</v>
      </c>
      <c r="F1275" t="s">
        <v>459</v>
      </c>
      <c r="G1275">
        <v>20</v>
      </c>
      <c r="H1275" t="s">
        <v>464</v>
      </c>
      <c r="I1275" t="s">
        <v>943</v>
      </c>
      <c r="J1275" t="s">
        <v>1347</v>
      </c>
      <c r="K1275" t="s">
        <v>2267</v>
      </c>
    </row>
    <row r="1276" spans="1:19" x14ac:dyDescent="0.25">
      <c r="A1276" t="s">
        <v>2324</v>
      </c>
      <c r="B1276" s="1">
        <v>44373</v>
      </c>
      <c r="C1276" t="s">
        <v>2325</v>
      </c>
      <c r="D1276" t="s">
        <v>341</v>
      </c>
      <c r="E1276" t="s">
        <v>24</v>
      </c>
      <c r="F1276" t="s">
        <v>323</v>
      </c>
      <c r="G1276">
        <v>30</v>
      </c>
      <c r="H1276" t="s">
        <v>26</v>
      </c>
      <c r="I1276" t="s">
        <v>370</v>
      </c>
      <c r="J1276" t="s">
        <v>396</v>
      </c>
      <c r="K1276" t="s">
        <v>2326</v>
      </c>
      <c r="L1276">
        <v>173</v>
      </c>
      <c r="M1276">
        <v>96</v>
      </c>
      <c r="N1276" s="2">
        <v>0.36</v>
      </c>
      <c r="O1276">
        <v>87</v>
      </c>
      <c r="P1276">
        <v>15.8</v>
      </c>
      <c r="Q1276">
        <v>7.9</v>
      </c>
      <c r="R1276">
        <v>213</v>
      </c>
    </row>
    <row r="1277" spans="1:19" x14ac:dyDescent="0.25">
      <c r="A1277" t="s">
        <v>2327</v>
      </c>
      <c r="B1277" s="1">
        <v>44373</v>
      </c>
      <c r="C1277" t="s">
        <v>2195</v>
      </c>
      <c r="D1277" t="s">
        <v>341</v>
      </c>
      <c r="E1277" t="s">
        <v>24</v>
      </c>
      <c r="F1277" t="s">
        <v>328</v>
      </c>
      <c r="G1277">
        <v>10</v>
      </c>
      <c r="H1277" t="s">
        <v>194</v>
      </c>
      <c r="I1277" t="s">
        <v>700</v>
      </c>
      <c r="J1277" t="s">
        <v>2328</v>
      </c>
      <c r="K1277" t="s">
        <v>2329</v>
      </c>
      <c r="R1277">
        <v>46</v>
      </c>
    </row>
    <row r="1278" spans="1:19" x14ac:dyDescent="0.25">
      <c r="A1278" t="s">
        <v>2330</v>
      </c>
      <c r="B1278" s="1">
        <v>44373</v>
      </c>
      <c r="C1278" t="s">
        <v>2331</v>
      </c>
      <c r="D1278" t="s">
        <v>341</v>
      </c>
      <c r="E1278" t="s">
        <v>24</v>
      </c>
      <c r="F1278" t="s">
        <v>335</v>
      </c>
      <c r="G1278">
        <v>15</v>
      </c>
      <c r="H1278" t="s">
        <v>194</v>
      </c>
      <c r="I1278" t="s">
        <v>691</v>
      </c>
      <c r="J1278" t="s">
        <v>2332</v>
      </c>
      <c r="K1278" t="s">
        <v>2271</v>
      </c>
      <c r="R1278">
        <v>69</v>
      </c>
    </row>
    <row r="1279" spans="1:19" x14ac:dyDescent="0.25">
      <c r="A1279" t="s">
        <v>2333</v>
      </c>
      <c r="B1279" s="1">
        <v>44373</v>
      </c>
      <c r="C1279" t="s">
        <v>2334</v>
      </c>
      <c r="D1279" t="s">
        <v>341</v>
      </c>
      <c r="E1279" t="s">
        <v>24</v>
      </c>
      <c r="F1279" t="s">
        <v>660</v>
      </c>
      <c r="G1279">
        <v>5</v>
      </c>
      <c r="H1279" t="s">
        <v>49</v>
      </c>
      <c r="I1279" t="s">
        <v>50</v>
      </c>
      <c r="J1279" t="s">
        <v>51</v>
      </c>
      <c r="K1279" t="s">
        <v>2335</v>
      </c>
      <c r="R1279">
        <v>11</v>
      </c>
    </row>
    <row r="1280" spans="1:19" x14ac:dyDescent="0.25">
      <c r="A1280" t="s">
        <v>2336</v>
      </c>
      <c r="B1280" s="1">
        <v>44373</v>
      </c>
      <c r="C1280" t="s">
        <v>2337</v>
      </c>
      <c r="D1280" t="s">
        <v>341</v>
      </c>
      <c r="E1280" t="s">
        <v>24</v>
      </c>
      <c r="F1280" t="s">
        <v>297</v>
      </c>
      <c r="G1280">
        <v>10</v>
      </c>
      <c r="H1280" t="s">
        <v>194</v>
      </c>
      <c r="I1280" t="s">
        <v>195</v>
      </c>
      <c r="J1280" t="s">
        <v>211</v>
      </c>
      <c r="K1280" t="s">
        <v>2338</v>
      </c>
      <c r="R1280">
        <v>46</v>
      </c>
    </row>
    <row r="1281" spans="1:19" x14ac:dyDescent="0.25">
      <c r="A1281" t="s">
        <v>2339</v>
      </c>
      <c r="B1281" s="1">
        <v>44373</v>
      </c>
      <c r="C1281" t="s">
        <v>2340</v>
      </c>
      <c r="D1281" t="s">
        <v>341</v>
      </c>
      <c r="E1281" t="s">
        <v>24</v>
      </c>
      <c r="F1281" t="s">
        <v>200</v>
      </c>
      <c r="G1281">
        <v>45</v>
      </c>
      <c r="H1281" t="s">
        <v>188</v>
      </c>
      <c r="I1281" t="s">
        <v>238</v>
      </c>
      <c r="J1281" t="s">
        <v>1543</v>
      </c>
      <c r="K1281" t="s">
        <v>2341</v>
      </c>
      <c r="R1281">
        <v>143</v>
      </c>
    </row>
    <row r="1282" spans="1:19" x14ac:dyDescent="0.25">
      <c r="A1282" t="s">
        <v>2342</v>
      </c>
      <c r="B1282" s="1">
        <v>44373</v>
      </c>
      <c r="C1282" t="s">
        <v>2343</v>
      </c>
      <c r="D1282" t="s">
        <v>341</v>
      </c>
      <c r="E1282" t="s">
        <v>24</v>
      </c>
      <c r="F1282" t="s">
        <v>459</v>
      </c>
      <c r="G1282">
        <v>10</v>
      </c>
      <c r="H1282" t="s">
        <v>464</v>
      </c>
      <c r="I1282" t="s">
        <v>763</v>
      </c>
      <c r="J1282" t="s">
        <v>914</v>
      </c>
      <c r="K1282" t="s">
        <v>2344</v>
      </c>
    </row>
    <row r="1283" spans="1:19" x14ac:dyDescent="0.25">
      <c r="A1283" t="s">
        <v>2402</v>
      </c>
      <c r="B1283" s="1">
        <v>44380</v>
      </c>
      <c r="C1283" t="s">
        <v>2403</v>
      </c>
      <c r="D1283" t="s">
        <v>341</v>
      </c>
      <c r="E1283" t="s">
        <v>24</v>
      </c>
      <c r="F1283" t="s">
        <v>243</v>
      </c>
      <c r="G1283">
        <v>45</v>
      </c>
      <c r="H1283" t="s">
        <v>26</v>
      </c>
      <c r="I1283" t="s">
        <v>370</v>
      </c>
      <c r="J1283" t="s">
        <v>479</v>
      </c>
      <c r="K1283" t="s">
        <v>2404</v>
      </c>
      <c r="L1283">
        <v>268</v>
      </c>
      <c r="M1283">
        <v>99</v>
      </c>
      <c r="N1283" s="2">
        <v>0.37</v>
      </c>
      <c r="O1283">
        <v>82</v>
      </c>
      <c r="P1283">
        <v>15.83</v>
      </c>
      <c r="Q1283">
        <v>11.88</v>
      </c>
      <c r="R1283">
        <v>331</v>
      </c>
    </row>
    <row r="1284" spans="1:19" x14ac:dyDescent="0.25">
      <c r="A1284" t="s">
        <v>2405</v>
      </c>
      <c r="B1284" s="1">
        <v>44380</v>
      </c>
      <c r="C1284" t="s">
        <v>2232</v>
      </c>
      <c r="D1284" t="s">
        <v>341</v>
      </c>
      <c r="E1284" t="s">
        <v>24</v>
      </c>
      <c r="F1284" t="s">
        <v>25</v>
      </c>
      <c r="G1284">
        <v>5</v>
      </c>
      <c r="H1284" t="s">
        <v>26</v>
      </c>
      <c r="I1284" t="s">
        <v>358</v>
      </c>
      <c r="J1284" t="s">
        <v>2406</v>
      </c>
      <c r="K1284" t="s">
        <v>2407</v>
      </c>
      <c r="L1284">
        <v>25</v>
      </c>
      <c r="M1284">
        <v>84</v>
      </c>
      <c r="N1284" s="2">
        <v>0.4</v>
      </c>
      <c r="O1284">
        <v>68</v>
      </c>
      <c r="P1284">
        <v>14.7</v>
      </c>
      <c r="Q1284">
        <v>1.23</v>
      </c>
      <c r="R1284">
        <v>31</v>
      </c>
    </row>
    <row r="1285" spans="1:19" x14ac:dyDescent="0.25">
      <c r="A1285" t="s">
        <v>2408</v>
      </c>
      <c r="B1285" s="1">
        <v>44380</v>
      </c>
      <c r="C1285" t="s">
        <v>2409</v>
      </c>
      <c r="D1285" t="s">
        <v>341</v>
      </c>
      <c r="E1285" t="s">
        <v>24</v>
      </c>
      <c r="F1285" t="s">
        <v>243</v>
      </c>
      <c r="G1285">
        <v>5</v>
      </c>
      <c r="H1285" t="s">
        <v>49</v>
      </c>
      <c r="I1285" t="s">
        <v>50</v>
      </c>
      <c r="J1285" t="s">
        <v>51</v>
      </c>
      <c r="K1285" t="s">
        <v>2042</v>
      </c>
      <c r="R1285">
        <v>11</v>
      </c>
    </row>
    <row r="1286" spans="1:19" x14ac:dyDescent="0.25">
      <c r="A1286" t="s">
        <v>2410</v>
      </c>
      <c r="B1286" s="1">
        <v>44380</v>
      </c>
      <c r="C1286" t="s">
        <v>1556</v>
      </c>
      <c r="D1286" t="s">
        <v>341</v>
      </c>
      <c r="E1286" t="s">
        <v>24</v>
      </c>
      <c r="F1286" t="s">
        <v>292</v>
      </c>
      <c r="G1286">
        <v>5</v>
      </c>
      <c r="H1286" t="s">
        <v>194</v>
      </c>
      <c r="I1286" t="s">
        <v>195</v>
      </c>
      <c r="J1286" t="s">
        <v>196</v>
      </c>
      <c r="K1286" t="s">
        <v>2411</v>
      </c>
      <c r="R1286">
        <v>23</v>
      </c>
    </row>
    <row r="1287" spans="1:19" x14ac:dyDescent="0.25">
      <c r="A1287" t="s">
        <v>2450</v>
      </c>
      <c r="B1287" s="1">
        <v>44387</v>
      </c>
      <c r="C1287" t="s">
        <v>1964</v>
      </c>
      <c r="D1287" t="s">
        <v>341</v>
      </c>
      <c r="E1287" t="s">
        <v>24</v>
      </c>
      <c r="F1287" t="s">
        <v>208</v>
      </c>
      <c r="G1287">
        <v>10</v>
      </c>
      <c r="H1287" t="s">
        <v>464</v>
      </c>
      <c r="I1287" t="s">
        <v>763</v>
      </c>
      <c r="J1287" t="s">
        <v>914</v>
      </c>
      <c r="K1287" t="s">
        <v>2451</v>
      </c>
    </row>
    <row r="1288" spans="1:19" x14ac:dyDescent="0.25">
      <c r="A1288" t="s">
        <v>2578</v>
      </c>
      <c r="B1288" s="1">
        <v>44401</v>
      </c>
      <c r="C1288" t="s">
        <v>267</v>
      </c>
      <c r="D1288" t="s">
        <v>341</v>
      </c>
      <c r="E1288" t="s">
        <v>24</v>
      </c>
      <c r="F1288" t="s">
        <v>215</v>
      </c>
      <c r="G1288">
        <v>10</v>
      </c>
      <c r="H1288" t="s">
        <v>188</v>
      </c>
      <c r="I1288" t="s">
        <v>238</v>
      </c>
      <c r="J1288" t="s">
        <v>2579</v>
      </c>
      <c r="K1288" t="s">
        <v>2580</v>
      </c>
      <c r="R1288">
        <v>35</v>
      </c>
      <c r="S1288">
        <v>93.4</v>
      </c>
    </row>
    <row r="1289" spans="1:19" x14ac:dyDescent="0.25">
      <c r="A1289" t="s">
        <v>2581</v>
      </c>
      <c r="B1289" s="1">
        <v>44401</v>
      </c>
      <c r="C1289" t="s">
        <v>2582</v>
      </c>
      <c r="D1289" t="s">
        <v>341</v>
      </c>
      <c r="E1289" t="s">
        <v>24</v>
      </c>
      <c r="F1289" t="s">
        <v>200</v>
      </c>
      <c r="G1289">
        <v>20</v>
      </c>
      <c r="H1289" t="s">
        <v>464</v>
      </c>
      <c r="I1289" t="s">
        <v>943</v>
      </c>
      <c r="J1289" t="s">
        <v>1347</v>
      </c>
      <c r="K1289" t="s">
        <v>2386</v>
      </c>
    </row>
    <row r="1290" spans="1:19" x14ac:dyDescent="0.25">
      <c r="A1290" t="s">
        <v>2647</v>
      </c>
      <c r="B1290" s="1">
        <v>44408</v>
      </c>
      <c r="C1290" t="s">
        <v>2648</v>
      </c>
      <c r="D1290" t="s">
        <v>341</v>
      </c>
      <c r="E1290" t="s">
        <v>24</v>
      </c>
      <c r="F1290" t="s">
        <v>323</v>
      </c>
      <c r="G1290">
        <v>90</v>
      </c>
      <c r="H1290" t="s">
        <v>26</v>
      </c>
      <c r="I1290" t="s">
        <v>370</v>
      </c>
      <c r="J1290" t="s">
        <v>1278</v>
      </c>
      <c r="K1290" t="s">
        <v>2649</v>
      </c>
      <c r="L1290">
        <v>550</v>
      </c>
      <c r="M1290">
        <v>102</v>
      </c>
      <c r="N1290" s="2">
        <v>0.38</v>
      </c>
      <c r="O1290">
        <v>83</v>
      </c>
      <c r="P1290">
        <v>16.28</v>
      </c>
      <c r="Q1290">
        <v>24.42</v>
      </c>
      <c r="R1290">
        <v>679</v>
      </c>
    </row>
    <row r="1291" spans="1:19" x14ac:dyDescent="0.25">
      <c r="A1291" t="s">
        <v>2650</v>
      </c>
      <c r="B1291" s="1">
        <v>44408</v>
      </c>
      <c r="C1291" t="s">
        <v>2651</v>
      </c>
      <c r="D1291" t="s">
        <v>341</v>
      </c>
      <c r="E1291" t="s">
        <v>24</v>
      </c>
      <c r="F1291" t="s">
        <v>170</v>
      </c>
      <c r="G1291">
        <v>10</v>
      </c>
      <c r="H1291" t="s">
        <v>194</v>
      </c>
      <c r="I1291" t="s">
        <v>195</v>
      </c>
      <c r="J1291" t="s">
        <v>211</v>
      </c>
      <c r="K1291" t="s">
        <v>2652</v>
      </c>
      <c r="R1291">
        <v>46</v>
      </c>
    </row>
    <row r="1292" spans="1:19" x14ac:dyDescent="0.25">
      <c r="A1292" t="s">
        <v>2653</v>
      </c>
      <c r="B1292" s="1">
        <v>44408</v>
      </c>
      <c r="C1292" t="s">
        <v>1674</v>
      </c>
      <c r="D1292" t="s">
        <v>341</v>
      </c>
      <c r="E1292" t="s">
        <v>24</v>
      </c>
      <c r="F1292" t="s">
        <v>459</v>
      </c>
      <c r="G1292">
        <v>20</v>
      </c>
      <c r="H1292" t="s">
        <v>464</v>
      </c>
      <c r="I1292" t="s">
        <v>579</v>
      </c>
      <c r="J1292" t="s">
        <v>1758</v>
      </c>
      <c r="K1292" t="s">
        <v>2654</v>
      </c>
    </row>
    <row r="1293" spans="1:19" x14ac:dyDescent="0.25">
      <c r="A1293" t="s">
        <v>2706</v>
      </c>
      <c r="B1293" s="1">
        <v>44415</v>
      </c>
      <c r="C1293" t="s">
        <v>2707</v>
      </c>
      <c r="D1293" t="s">
        <v>341</v>
      </c>
      <c r="E1293" t="s">
        <v>24</v>
      </c>
      <c r="F1293" t="s">
        <v>2708</v>
      </c>
      <c r="G1293">
        <v>20</v>
      </c>
      <c r="H1293" t="s">
        <v>188</v>
      </c>
      <c r="I1293" t="s">
        <v>238</v>
      </c>
      <c r="J1293" t="s">
        <v>2709</v>
      </c>
      <c r="K1293" t="s">
        <v>2710</v>
      </c>
      <c r="R1293">
        <v>60</v>
      </c>
    </row>
    <row r="1294" spans="1:19" x14ac:dyDescent="0.25">
      <c r="A1294" t="s">
        <v>2711</v>
      </c>
      <c r="B1294" s="1">
        <v>44415</v>
      </c>
      <c r="C1294" t="s">
        <v>1375</v>
      </c>
      <c r="D1294" t="s">
        <v>341</v>
      </c>
      <c r="E1294" t="s">
        <v>24</v>
      </c>
      <c r="F1294" t="s">
        <v>237</v>
      </c>
      <c r="G1294">
        <v>5</v>
      </c>
      <c r="H1294" t="s">
        <v>464</v>
      </c>
      <c r="I1294" t="s">
        <v>763</v>
      </c>
      <c r="J1294" t="s">
        <v>2354</v>
      </c>
      <c r="K1294" t="s">
        <v>2712</v>
      </c>
    </row>
    <row r="1295" spans="1:19" x14ac:dyDescent="0.25">
      <c r="A1295" t="s">
        <v>2771</v>
      </c>
      <c r="B1295" s="1">
        <v>44422</v>
      </c>
      <c r="C1295" t="s">
        <v>2772</v>
      </c>
      <c r="D1295" t="s">
        <v>341</v>
      </c>
      <c r="E1295" t="s">
        <v>24</v>
      </c>
      <c r="F1295" t="s">
        <v>215</v>
      </c>
      <c r="G1295">
        <v>75</v>
      </c>
      <c r="H1295" t="s">
        <v>188</v>
      </c>
      <c r="I1295" t="s">
        <v>189</v>
      </c>
      <c r="J1295" t="s">
        <v>1890</v>
      </c>
      <c r="K1295" t="s">
        <v>2773</v>
      </c>
      <c r="R1295">
        <v>253</v>
      </c>
    </row>
    <row r="1296" spans="1:19" x14ac:dyDescent="0.25">
      <c r="A1296" t="s">
        <v>2824</v>
      </c>
      <c r="B1296" s="1">
        <v>44429</v>
      </c>
      <c r="C1296" t="s">
        <v>2825</v>
      </c>
      <c r="D1296" t="s">
        <v>341</v>
      </c>
      <c r="E1296" t="s">
        <v>24</v>
      </c>
      <c r="F1296" t="s">
        <v>323</v>
      </c>
      <c r="G1296">
        <v>60</v>
      </c>
      <c r="H1296" t="s">
        <v>26</v>
      </c>
      <c r="I1296" t="s">
        <v>370</v>
      </c>
      <c r="J1296" t="s">
        <v>646</v>
      </c>
      <c r="K1296" t="s">
        <v>2826</v>
      </c>
      <c r="L1296">
        <v>371</v>
      </c>
      <c r="M1296">
        <v>103</v>
      </c>
      <c r="N1296" s="2">
        <v>0.36</v>
      </c>
      <c r="O1296">
        <v>88</v>
      </c>
      <c r="P1296">
        <v>16.22</v>
      </c>
      <c r="Q1296">
        <v>16.22</v>
      </c>
      <c r="R1296">
        <v>457</v>
      </c>
    </row>
    <row r="1297" spans="1:19" x14ac:dyDescent="0.25">
      <c r="A1297" t="s">
        <v>2827</v>
      </c>
      <c r="B1297" s="1">
        <v>44429</v>
      </c>
      <c r="C1297" t="s">
        <v>2828</v>
      </c>
      <c r="D1297" t="s">
        <v>341</v>
      </c>
      <c r="E1297" t="s">
        <v>24</v>
      </c>
      <c r="F1297" t="s">
        <v>323</v>
      </c>
      <c r="G1297">
        <v>5</v>
      </c>
      <c r="H1297" t="s">
        <v>26</v>
      </c>
      <c r="I1297" t="s">
        <v>358</v>
      </c>
      <c r="J1297" t="s">
        <v>359</v>
      </c>
      <c r="K1297" t="s">
        <v>2791</v>
      </c>
      <c r="L1297">
        <v>16</v>
      </c>
      <c r="M1297">
        <v>54</v>
      </c>
      <c r="N1297" s="2">
        <v>0.26</v>
      </c>
      <c r="O1297">
        <v>91</v>
      </c>
      <c r="P1297">
        <v>12.35</v>
      </c>
      <c r="Q1297">
        <v>1.03</v>
      </c>
      <c r="R1297">
        <v>20</v>
      </c>
    </row>
    <row r="1298" spans="1:19" x14ac:dyDescent="0.25">
      <c r="A1298" t="s">
        <v>2829</v>
      </c>
      <c r="B1298" s="1">
        <v>44429</v>
      </c>
      <c r="C1298" t="s">
        <v>2830</v>
      </c>
      <c r="D1298" t="s">
        <v>341</v>
      </c>
      <c r="E1298" t="s">
        <v>24</v>
      </c>
      <c r="F1298" t="s">
        <v>2256</v>
      </c>
      <c r="G1298">
        <v>10</v>
      </c>
      <c r="H1298" t="s">
        <v>194</v>
      </c>
      <c r="I1298" t="s">
        <v>195</v>
      </c>
      <c r="J1298" t="s">
        <v>211</v>
      </c>
      <c r="K1298" t="s">
        <v>2831</v>
      </c>
      <c r="R1298">
        <v>46</v>
      </c>
    </row>
    <row r="1299" spans="1:19" x14ac:dyDescent="0.25">
      <c r="A1299" t="s">
        <v>2832</v>
      </c>
      <c r="B1299" s="1">
        <v>44429</v>
      </c>
      <c r="C1299" t="s">
        <v>2419</v>
      </c>
      <c r="D1299" t="s">
        <v>341</v>
      </c>
      <c r="E1299" t="s">
        <v>24</v>
      </c>
      <c r="F1299" t="s">
        <v>2833</v>
      </c>
      <c r="G1299">
        <v>5</v>
      </c>
      <c r="H1299" t="s">
        <v>49</v>
      </c>
      <c r="I1299" t="s">
        <v>50</v>
      </c>
      <c r="J1299" t="s">
        <v>51</v>
      </c>
      <c r="K1299" t="s">
        <v>2834</v>
      </c>
      <c r="R1299">
        <v>11</v>
      </c>
    </row>
    <row r="1300" spans="1:19" x14ac:dyDescent="0.25">
      <c r="A1300" t="s">
        <v>2882</v>
      </c>
      <c r="B1300" s="1">
        <v>44436</v>
      </c>
      <c r="C1300" t="s">
        <v>2883</v>
      </c>
      <c r="D1300" t="s">
        <v>341</v>
      </c>
      <c r="E1300" t="s">
        <v>24</v>
      </c>
      <c r="F1300" t="s">
        <v>237</v>
      </c>
      <c r="G1300">
        <v>30</v>
      </c>
      <c r="H1300" t="s">
        <v>188</v>
      </c>
      <c r="I1300" t="s">
        <v>238</v>
      </c>
      <c r="J1300" t="s">
        <v>1322</v>
      </c>
      <c r="K1300" t="s">
        <v>2884</v>
      </c>
      <c r="R1300">
        <v>114</v>
      </c>
      <c r="S1300">
        <v>103.39</v>
      </c>
    </row>
    <row r="1301" spans="1:19" x14ac:dyDescent="0.25">
      <c r="A1301" t="s">
        <v>2885</v>
      </c>
      <c r="B1301" s="1">
        <v>44436</v>
      </c>
      <c r="C1301" t="s">
        <v>677</v>
      </c>
      <c r="D1301" t="s">
        <v>341</v>
      </c>
      <c r="E1301" t="s">
        <v>24</v>
      </c>
      <c r="F1301" t="s">
        <v>305</v>
      </c>
      <c r="G1301">
        <v>10</v>
      </c>
      <c r="H1301" t="s">
        <v>194</v>
      </c>
      <c r="I1301" t="s">
        <v>195</v>
      </c>
      <c r="J1301" t="s">
        <v>211</v>
      </c>
      <c r="K1301" t="s">
        <v>2886</v>
      </c>
      <c r="R1301">
        <v>49</v>
      </c>
      <c r="S1301">
        <v>108.54</v>
      </c>
    </row>
    <row r="1302" spans="1:19" x14ac:dyDescent="0.25">
      <c r="A1302" t="s">
        <v>2887</v>
      </c>
      <c r="B1302" s="1">
        <v>44436</v>
      </c>
      <c r="C1302" t="s">
        <v>2888</v>
      </c>
      <c r="D1302" t="s">
        <v>341</v>
      </c>
      <c r="E1302" t="s">
        <v>24</v>
      </c>
      <c r="F1302" t="s">
        <v>215</v>
      </c>
      <c r="G1302">
        <v>20</v>
      </c>
      <c r="H1302" t="s">
        <v>464</v>
      </c>
      <c r="I1302" t="s">
        <v>943</v>
      </c>
      <c r="J1302" t="s">
        <v>1347</v>
      </c>
      <c r="K1302" t="s">
        <v>1415</v>
      </c>
    </row>
    <row r="1303" spans="1:19" x14ac:dyDescent="0.25">
      <c r="A1303" t="s">
        <v>2938</v>
      </c>
      <c r="B1303" s="1">
        <v>44443</v>
      </c>
      <c r="C1303" t="s">
        <v>2939</v>
      </c>
      <c r="D1303" t="s">
        <v>341</v>
      </c>
      <c r="E1303" t="s">
        <v>24</v>
      </c>
      <c r="F1303" t="s">
        <v>243</v>
      </c>
      <c r="G1303">
        <v>45</v>
      </c>
      <c r="H1303" t="s">
        <v>26</v>
      </c>
      <c r="I1303" t="s">
        <v>370</v>
      </c>
      <c r="J1303" t="s">
        <v>479</v>
      </c>
      <c r="K1303" t="s">
        <v>1790</v>
      </c>
      <c r="L1303">
        <v>281</v>
      </c>
      <c r="M1303">
        <v>104</v>
      </c>
      <c r="N1303" s="2">
        <v>0.37</v>
      </c>
      <c r="O1303">
        <v>83</v>
      </c>
      <c r="P1303">
        <v>16.21</v>
      </c>
      <c r="Q1303">
        <v>12.16</v>
      </c>
      <c r="R1303">
        <v>347</v>
      </c>
    </row>
    <row r="1304" spans="1:19" x14ac:dyDescent="0.25">
      <c r="A1304" t="s">
        <v>2940</v>
      </c>
      <c r="B1304" s="1">
        <v>44443</v>
      </c>
      <c r="C1304" t="s">
        <v>2941</v>
      </c>
      <c r="D1304" t="s">
        <v>341</v>
      </c>
      <c r="E1304" t="s">
        <v>24</v>
      </c>
      <c r="F1304" t="s">
        <v>243</v>
      </c>
      <c r="G1304">
        <v>10</v>
      </c>
      <c r="H1304" t="s">
        <v>26</v>
      </c>
      <c r="I1304" t="s">
        <v>358</v>
      </c>
      <c r="J1304" t="s">
        <v>389</v>
      </c>
      <c r="K1304" t="s">
        <v>1754</v>
      </c>
      <c r="L1304">
        <v>53</v>
      </c>
      <c r="M1304">
        <v>89</v>
      </c>
      <c r="N1304" s="2">
        <v>0.35</v>
      </c>
      <c r="O1304">
        <v>86</v>
      </c>
      <c r="P1304">
        <v>15.3</v>
      </c>
      <c r="Q1304">
        <v>2.5499999999999998</v>
      </c>
      <c r="R1304">
        <v>66</v>
      </c>
    </row>
    <row r="1305" spans="1:19" x14ac:dyDescent="0.25">
      <c r="A1305" t="s">
        <v>2942</v>
      </c>
      <c r="B1305" s="1">
        <v>44443</v>
      </c>
      <c r="C1305" t="s">
        <v>2943</v>
      </c>
      <c r="D1305" t="s">
        <v>341</v>
      </c>
      <c r="E1305" t="s">
        <v>24</v>
      </c>
      <c r="F1305" t="s">
        <v>243</v>
      </c>
      <c r="G1305">
        <v>5</v>
      </c>
      <c r="H1305" t="s">
        <v>49</v>
      </c>
      <c r="I1305" t="s">
        <v>50</v>
      </c>
      <c r="J1305" t="s">
        <v>51</v>
      </c>
      <c r="K1305" t="s">
        <v>2042</v>
      </c>
      <c r="R1305">
        <v>11</v>
      </c>
    </row>
    <row r="1306" spans="1:19" x14ac:dyDescent="0.25">
      <c r="A1306" t="s">
        <v>2944</v>
      </c>
      <c r="B1306" s="1">
        <v>44443</v>
      </c>
      <c r="C1306" t="s">
        <v>1507</v>
      </c>
      <c r="D1306" t="s">
        <v>341</v>
      </c>
      <c r="E1306" t="s">
        <v>24</v>
      </c>
      <c r="F1306" t="s">
        <v>237</v>
      </c>
      <c r="G1306">
        <v>10</v>
      </c>
      <c r="H1306" t="s">
        <v>464</v>
      </c>
      <c r="I1306" t="s">
        <v>579</v>
      </c>
      <c r="J1306" t="s">
        <v>602</v>
      </c>
      <c r="K1306" t="s">
        <v>2908</v>
      </c>
    </row>
    <row r="1307" spans="1:19" x14ac:dyDescent="0.25">
      <c r="A1307" t="s">
        <v>3017</v>
      </c>
      <c r="B1307" s="1">
        <v>44450</v>
      </c>
      <c r="C1307" t="s">
        <v>3018</v>
      </c>
      <c r="D1307" t="s">
        <v>341</v>
      </c>
      <c r="E1307" t="s">
        <v>24</v>
      </c>
      <c r="F1307" t="s">
        <v>33</v>
      </c>
      <c r="G1307">
        <v>45</v>
      </c>
      <c r="H1307" t="s">
        <v>26</v>
      </c>
      <c r="I1307" t="s">
        <v>370</v>
      </c>
      <c r="J1307" t="s">
        <v>479</v>
      </c>
      <c r="K1307" t="s">
        <v>1790</v>
      </c>
      <c r="L1307">
        <v>271</v>
      </c>
      <c r="M1307">
        <v>100</v>
      </c>
      <c r="N1307" s="2">
        <v>0.37</v>
      </c>
      <c r="O1307">
        <v>83</v>
      </c>
      <c r="P1307">
        <v>15.98</v>
      </c>
      <c r="Q1307">
        <v>11.99</v>
      </c>
      <c r="R1307">
        <v>334</v>
      </c>
    </row>
    <row r="1308" spans="1:19" x14ac:dyDescent="0.25">
      <c r="A1308" t="s">
        <v>3019</v>
      </c>
      <c r="B1308" s="1">
        <v>44450</v>
      </c>
      <c r="C1308" t="s">
        <v>3020</v>
      </c>
      <c r="D1308" t="s">
        <v>341</v>
      </c>
      <c r="E1308" t="s">
        <v>24</v>
      </c>
      <c r="F1308" t="s">
        <v>2833</v>
      </c>
      <c r="G1308">
        <v>10</v>
      </c>
      <c r="H1308" t="s">
        <v>26</v>
      </c>
      <c r="I1308" t="s">
        <v>39</v>
      </c>
      <c r="J1308" t="s">
        <v>431</v>
      </c>
      <c r="K1308" t="s">
        <v>3021</v>
      </c>
      <c r="L1308">
        <v>33</v>
      </c>
      <c r="M1308">
        <v>55</v>
      </c>
      <c r="N1308" s="2">
        <v>0.3</v>
      </c>
      <c r="O1308">
        <v>79</v>
      </c>
      <c r="P1308">
        <v>12.45</v>
      </c>
      <c r="Q1308">
        <v>2.08</v>
      </c>
      <c r="R1308">
        <v>41</v>
      </c>
    </row>
    <row r="1309" spans="1:19" x14ac:dyDescent="0.25">
      <c r="A1309" t="s">
        <v>3022</v>
      </c>
      <c r="B1309" s="1">
        <v>44450</v>
      </c>
      <c r="C1309" t="s">
        <v>3023</v>
      </c>
      <c r="D1309" t="s">
        <v>341</v>
      </c>
      <c r="E1309" t="s">
        <v>24</v>
      </c>
      <c r="F1309" t="s">
        <v>297</v>
      </c>
      <c r="G1309">
        <v>30</v>
      </c>
      <c r="H1309" t="s">
        <v>194</v>
      </c>
      <c r="I1309" t="s">
        <v>232</v>
      </c>
      <c r="J1309" t="s">
        <v>233</v>
      </c>
      <c r="K1309" t="s">
        <v>3024</v>
      </c>
      <c r="R1309">
        <v>138</v>
      </c>
    </row>
    <row r="1310" spans="1:19" x14ac:dyDescent="0.25">
      <c r="A1310" t="s">
        <v>3025</v>
      </c>
      <c r="B1310" s="1">
        <v>44450</v>
      </c>
      <c r="C1310" t="s">
        <v>2419</v>
      </c>
      <c r="D1310" t="s">
        <v>341</v>
      </c>
      <c r="E1310" t="s">
        <v>24</v>
      </c>
      <c r="F1310" t="s">
        <v>1203</v>
      </c>
      <c r="G1310">
        <v>10</v>
      </c>
      <c r="H1310" t="s">
        <v>194</v>
      </c>
      <c r="I1310" t="s">
        <v>195</v>
      </c>
      <c r="J1310" t="s">
        <v>211</v>
      </c>
      <c r="K1310" t="s">
        <v>3026</v>
      </c>
      <c r="R1310">
        <v>46</v>
      </c>
    </row>
    <row r="1311" spans="1:19" x14ac:dyDescent="0.25">
      <c r="A1311" t="s">
        <v>3027</v>
      </c>
      <c r="B1311" s="1">
        <v>44450</v>
      </c>
      <c r="C1311" t="s">
        <v>818</v>
      </c>
      <c r="D1311" t="s">
        <v>341</v>
      </c>
      <c r="E1311" t="s">
        <v>24</v>
      </c>
      <c r="F1311" t="s">
        <v>237</v>
      </c>
      <c r="G1311">
        <v>5</v>
      </c>
      <c r="H1311" t="s">
        <v>464</v>
      </c>
      <c r="I1311" t="s">
        <v>943</v>
      </c>
      <c r="J1311" t="s">
        <v>2205</v>
      </c>
      <c r="K1311" t="s">
        <v>3028</v>
      </c>
    </row>
    <row r="1312" spans="1:19" x14ac:dyDescent="0.25">
      <c r="A1312" t="s">
        <v>3070</v>
      </c>
      <c r="B1312" s="1">
        <v>44457</v>
      </c>
      <c r="C1312" t="s">
        <v>251</v>
      </c>
      <c r="D1312" t="s">
        <v>341</v>
      </c>
      <c r="E1312" t="s">
        <v>24</v>
      </c>
      <c r="F1312" t="s">
        <v>200</v>
      </c>
      <c r="G1312">
        <v>10</v>
      </c>
      <c r="H1312" t="s">
        <v>464</v>
      </c>
      <c r="I1312" t="s">
        <v>943</v>
      </c>
      <c r="J1312" t="s">
        <v>3071</v>
      </c>
      <c r="K1312" t="s">
        <v>3072</v>
      </c>
    </row>
    <row r="1313" spans="1:18" x14ac:dyDescent="0.25">
      <c r="A1313" t="s">
        <v>3135</v>
      </c>
      <c r="B1313" s="1">
        <v>44464</v>
      </c>
      <c r="C1313" t="s">
        <v>3136</v>
      </c>
      <c r="D1313" t="s">
        <v>341</v>
      </c>
      <c r="E1313" t="s">
        <v>24</v>
      </c>
      <c r="F1313" t="s">
        <v>323</v>
      </c>
      <c r="G1313">
        <v>10</v>
      </c>
      <c r="H1313" t="s">
        <v>26</v>
      </c>
      <c r="I1313" t="s">
        <v>370</v>
      </c>
      <c r="J1313" t="s">
        <v>381</v>
      </c>
      <c r="K1313" t="s">
        <v>1790</v>
      </c>
      <c r="L1313">
        <v>58</v>
      </c>
      <c r="M1313">
        <v>96</v>
      </c>
      <c r="N1313" s="2">
        <v>0.33</v>
      </c>
      <c r="O1313">
        <v>94</v>
      </c>
      <c r="P1313">
        <v>15.64</v>
      </c>
      <c r="Q1313">
        <v>2.61</v>
      </c>
      <c r="R1313">
        <v>71</v>
      </c>
    </row>
    <row r="1314" spans="1:18" x14ac:dyDescent="0.25">
      <c r="A1314" t="s">
        <v>3137</v>
      </c>
      <c r="B1314" s="1">
        <v>44464</v>
      </c>
      <c r="C1314" t="s">
        <v>1747</v>
      </c>
      <c r="D1314" t="s">
        <v>341</v>
      </c>
      <c r="E1314" t="s">
        <v>24</v>
      </c>
      <c r="F1314" t="s">
        <v>323</v>
      </c>
      <c r="G1314">
        <v>20</v>
      </c>
      <c r="H1314" t="s">
        <v>26</v>
      </c>
      <c r="I1314" t="s">
        <v>370</v>
      </c>
      <c r="J1314" t="s">
        <v>385</v>
      </c>
      <c r="K1314" t="s">
        <v>1790</v>
      </c>
      <c r="L1314">
        <v>174</v>
      </c>
      <c r="M1314">
        <v>145</v>
      </c>
      <c r="N1314" s="2">
        <v>0.43</v>
      </c>
      <c r="O1314">
        <v>84</v>
      </c>
      <c r="P1314">
        <v>18.86</v>
      </c>
      <c r="Q1314">
        <v>6.29</v>
      </c>
      <c r="R1314">
        <v>215</v>
      </c>
    </row>
    <row r="1315" spans="1:18" x14ac:dyDescent="0.25">
      <c r="A1315" t="s">
        <v>3138</v>
      </c>
      <c r="B1315" s="1">
        <v>44464</v>
      </c>
      <c r="C1315" t="s">
        <v>3139</v>
      </c>
      <c r="D1315" t="s">
        <v>341</v>
      </c>
      <c r="E1315" t="s">
        <v>24</v>
      </c>
      <c r="F1315" t="s">
        <v>354</v>
      </c>
      <c r="G1315">
        <v>20</v>
      </c>
      <c r="H1315" t="s">
        <v>26</v>
      </c>
      <c r="I1315" t="s">
        <v>39</v>
      </c>
      <c r="J1315" t="s">
        <v>870</v>
      </c>
      <c r="K1315" t="s">
        <v>3140</v>
      </c>
      <c r="L1315">
        <v>85</v>
      </c>
      <c r="M1315">
        <v>71</v>
      </c>
      <c r="N1315" s="2">
        <v>0.33</v>
      </c>
      <c r="O1315">
        <v>82</v>
      </c>
      <c r="P1315">
        <v>14</v>
      </c>
      <c r="Q1315">
        <v>4.67</v>
      </c>
      <c r="R1315">
        <v>105</v>
      </c>
    </row>
    <row r="1316" spans="1:18" x14ac:dyDescent="0.25">
      <c r="A1316" t="s">
        <v>3141</v>
      </c>
      <c r="B1316" s="1">
        <v>44464</v>
      </c>
      <c r="C1316" t="s">
        <v>3142</v>
      </c>
      <c r="D1316" t="s">
        <v>341</v>
      </c>
      <c r="E1316" t="s">
        <v>24</v>
      </c>
      <c r="F1316" t="s">
        <v>323</v>
      </c>
      <c r="G1316">
        <v>5</v>
      </c>
      <c r="H1316" t="s">
        <v>49</v>
      </c>
      <c r="I1316" t="s">
        <v>50</v>
      </c>
      <c r="J1316" t="s">
        <v>51</v>
      </c>
      <c r="K1316" t="s">
        <v>2791</v>
      </c>
      <c r="R1316">
        <v>11</v>
      </c>
    </row>
    <row r="1317" spans="1:18" x14ac:dyDescent="0.25">
      <c r="A1317" t="s">
        <v>3207</v>
      </c>
      <c r="B1317" s="1">
        <v>44471</v>
      </c>
      <c r="C1317" t="s">
        <v>3208</v>
      </c>
      <c r="D1317" t="s">
        <v>341</v>
      </c>
      <c r="E1317" t="s">
        <v>24</v>
      </c>
      <c r="F1317" t="s">
        <v>292</v>
      </c>
      <c r="G1317">
        <v>45</v>
      </c>
      <c r="H1317" t="s">
        <v>605</v>
      </c>
      <c r="I1317" t="s">
        <v>663</v>
      </c>
      <c r="J1317" t="s">
        <v>769</v>
      </c>
      <c r="K1317" t="s">
        <v>3209</v>
      </c>
      <c r="L1317">
        <v>173</v>
      </c>
      <c r="P1317">
        <v>17.09</v>
      </c>
      <c r="Q1317">
        <v>7.03</v>
      </c>
      <c r="R1317">
        <v>263</v>
      </c>
    </row>
    <row r="1318" spans="1:18" x14ac:dyDescent="0.25">
      <c r="A1318" t="s">
        <v>3210</v>
      </c>
      <c r="B1318" s="1">
        <v>44471</v>
      </c>
      <c r="C1318" t="s">
        <v>3211</v>
      </c>
      <c r="D1318" t="s">
        <v>341</v>
      </c>
      <c r="E1318" t="s">
        <v>24</v>
      </c>
      <c r="F1318" t="s">
        <v>323</v>
      </c>
      <c r="G1318">
        <v>30</v>
      </c>
      <c r="H1318" t="s">
        <v>26</v>
      </c>
      <c r="I1318" t="s">
        <v>370</v>
      </c>
      <c r="J1318" t="s">
        <v>1260</v>
      </c>
      <c r="K1318" t="s">
        <v>3212</v>
      </c>
      <c r="L1318">
        <v>148</v>
      </c>
      <c r="M1318">
        <v>82</v>
      </c>
      <c r="N1318" s="2">
        <v>0.33</v>
      </c>
      <c r="O1318">
        <v>87</v>
      </c>
      <c r="P1318">
        <v>14.87</v>
      </c>
      <c r="Q1318">
        <v>7.44</v>
      </c>
      <c r="R1318">
        <v>183</v>
      </c>
    </row>
    <row r="1319" spans="1:18" x14ac:dyDescent="0.25">
      <c r="A1319" t="s">
        <v>3213</v>
      </c>
      <c r="B1319" s="1">
        <v>44471</v>
      </c>
      <c r="C1319" t="s">
        <v>3214</v>
      </c>
      <c r="D1319" t="s">
        <v>341</v>
      </c>
      <c r="E1319" t="s">
        <v>24</v>
      </c>
      <c r="F1319" t="s">
        <v>33</v>
      </c>
      <c r="G1319">
        <v>5</v>
      </c>
      <c r="H1319" t="s">
        <v>49</v>
      </c>
      <c r="I1319" t="s">
        <v>50</v>
      </c>
      <c r="J1319" t="s">
        <v>51</v>
      </c>
      <c r="K1319" t="s">
        <v>3123</v>
      </c>
      <c r="R1319">
        <v>12</v>
      </c>
    </row>
    <row r="1320" spans="1:18" x14ac:dyDescent="0.25">
      <c r="A1320" t="s">
        <v>3215</v>
      </c>
      <c r="B1320" s="1">
        <v>44471</v>
      </c>
      <c r="C1320" t="s">
        <v>2853</v>
      </c>
      <c r="D1320" t="s">
        <v>341</v>
      </c>
      <c r="E1320" t="s">
        <v>24</v>
      </c>
      <c r="F1320" t="s">
        <v>243</v>
      </c>
      <c r="G1320">
        <v>10</v>
      </c>
      <c r="H1320" t="s">
        <v>188</v>
      </c>
      <c r="I1320" t="s">
        <v>189</v>
      </c>
      <c r="J1320" t="s">
        <v>564</v>
      </c>
      <c r="K1320" t="s">
        <v>3216</v>
      </c>
      <c r="R1320">
        <v>34</v>
      </c>
    </row>
    <row r="1321" spans="1:18" x14ac:dyDescent="0.25">
      <c r="A1321" t="s">
        <v>3217</v>
      </c>
      <c r="B1321" s="1">
        <v>44471</v>
      </c>
      <c r="C1321" t="s">
        <v>3205</v>
      </c>
      <c r="D1321" t="s">
        <v>341</v>
      </c>
      <c r="E1321" t="s">
        <v>24</v>
      </c>
      <c r="F1321" t="s">
        <v>459</v>
      </c>
      <c r="G1321">
        <v>20</v>
      </c>
      <c r="H1321" t="s">
        <v>464</v>
      </c>
      <c r="I1321" t="s">
        <v>763</v>
      </c>
      <c r="J1321" t="s">
        <v>1385</v>
      </c>
      <c r="K1321" t="s">
        <v>3218</v>
      </c>
    </row>
    <row r="1322" spans="1:18" x14ac:dyDescent="0.25">
      <c r="A1322" t="s">
        <v>3271</v>
      </c>
      <c r="B1322" s="1">
        <v>44478</v>
      </c>
      <c r="C1322" t="s">
        <v>3272</v>
      </c>
      <c r="D1322" t="s">
        <v>341</v>
      </c>
      <c r="E1322" t="s">
        <v>24</v>
      </c>
      <c r="F1322" t="s">
        <v>323</v>
      </c>
      <c r="G1322">
        <v>60</v>
      </c>
      <c r="H1322" t="s">
        <v>26</v>
      </c>
      <c r="I1322" t="s">
        <v>370</v>
      </c>
      <c r="J1322" t="s">
        <v>498</v>
      </c>
      <c r="K1322" t="s">
        <v>3273</v>
      </c>
      <c r="L1322">
        <v>379</v>
      </c>
      <c r="M1322">
        <v>105</v>
      </c>
      <c r="N1322" s="2">
        <v>0.38</v>
      </c>
      <c r="O1322">
        <v>83</v>
      </c>
      <c r="P1322">
        <v>16.5</v>
      </c>
      <c r="Q1322">
        <v>16.5</v>
      </c>
      <c r="R1322">
        <v>467</v>
      </c>
    </row>
    <row r="1323" spans="1:18" x14ac:dyDescent="0.25">
      <c r="A1323" t="s">
        <v>3274</v>
      </c>
      <c r="B1323" s="1">
        <v>44478</v>
      </c>
      <c r="C1323" t="s">
        <v>3275</v>
      </c>
      <c r="D1323" t="s">
        <v>341</v>
      </c>
      <c r="E1323" t="s">
        <v>24</v>
      </c>
      <c r="F1323" t="s">
        <v>323</v>
      </c>
      <c r="G1323">
        <v>5</v>
      </c>
      <c r="H1323" t="s">
        <v>26</v>
      </c>
      <c r="I1323" t="s">
        <v>358</v>
      </c>
      <c r="J1323" t="s">
        <v>359</v>
      </c>
      <c r="K1323" t="s">
        <v>2791</v>
      </c>
      <c r="L1323">
        <v>18</v>
      </c>
      <c r="M1323">
        <v>61</v>
      </c>
      <c r="N1323" s="2">
        <v>0.28999999999999998</v>
      </c>
      <c r="O1323">
        <v>87</v>
      </c>
      <c r="P1323">
        <v>13.12</v>
      </c>
      <c r="Q1323">
        <v>1.0900000000000001</v>
      </c>
      <c r="R1323">
        <v>22</v>
      </c>
    </row>
    <row r="1324" spans="1:18" x14ac:dyDescent="0.25">
      <c r="A1324" t="s">
        <v>3276</v>
      </c>
      <c r="B1324" s="1">
        <v>44478</v>
      </c>
      <c r="C1324" t="s">
        <v>3277</v>
      </c>
      <c r="D1324" t="s">
        <v>341</v>
      </c>
      <c r="E1324" t="s">
        <v>24</v>
      </c>
      <c r="F1324" t="s">
        <v>328</v>
      </c>
      <c r="G1324">
        <v>10</v>
      </c>
      <c r="H1324" t="s">
        <v>194</v>
      </c>
      <c r="I1324" t="s">
        <v>195</v>
      </c>
      <c r="J1324" t="s">
        <v>211</v>
      </c>
      <c r="K1324" t="s">
        <v>3278</v>
      </c>
      <c r="R1324">
        <v>46</v>
      </c>
    </row>
    <row r="1325" spans="1:18" x14ac:dyDescent="0.25">
      <c r="A1325" t="s">
        <v>3279</v>
      </c>
      <c r="B1325" s="1">
        <v>44478</v>
      </c>
      <c r="C1325" t="s">
        <v>2090</v>
      </c>
      <c r="D1325" t="s">
        <v>341</v>
      </c>
      <c r="E1325" t="s">
        <v>24</v>
      </c>
      <c r="F1325" t="s">
        <v>33</v>
      </c>
      <c r="G1325">
        <v>5</v>
      </c>
      <c r="H1325" t="s">
        <v>49</v>
      </c>
      <c r="I1325" t="s">
        <v>50</v>
      </c>
      <c r="J1325" t="s">
        <v>51</v>
      </c>
      <c r="K1325" t="s">
        <v>3123</v>
      </c>
      <c r="R1325">
        <v>11</v>
      </c>
    </row>
    <row r="1326" spans="1:18" x14ac:dyDescent="0.25">
      <c r="A1326" t="s">
        <v>3345</v>
      </c>
      <c r="B1326" s="1">
        <v>44485</v>
      </c>
      <c r="C1326" t="s">
        <v>3346</v>
      </c>
      <c r="D1326" t="s">
        <v>341</v>
      </c>
      <c r="E1326" t="s">
        <v>24</v>
      </c>
      <c r="F1326" t="s">
        <v>554</v>
      </c>
      <c r="G1326">
        <v>15</v>
      </c>
      <c r="H1326" t="s">
        <v>49</v>
      </c>
      <c r="I1326" t="s">
        <v>298</v>
      </c>
      <c r="J1326" t="s">
        <v>3347</v>
      </c>
      <c r="K1326" t="s">
        <v>2126</v>
      </c>
      <c r="R1326">
        <v>34</v>
      </c>
    </row>
    <row r="1327" spans="1:18" x14ac:dyDescent="0.25">
      <c r="A1327" t="s">
        <v>3348</v>
      </c>
      <c r="B1327" s="1">
        <v>44485</v>
      </c>
      <c r="C1327" t="s">
        <v>3322</v>
      </c>
      <c r="D1327" t="s">
        <v>341</v>
      </c>
      <c r="E1327" t="s">
        <v>24</v>
      </c>
      <c r="F1327" t="s">
        <v>554</v>
      </c>
      <c r="G1327">
        <v>15</v>
      </c>
      <c r="H1327" t="s">
        <v>49</v>
      </c>
      <c r="I1327" t="s">
        <v>1960</v>
      </c>
      <c r="J1327" t="s">
        <v>3349</v>
      </c>
      <c r="K1327" t="s">
        <v>2862</v>
      </c>
      <c r="R1327">
        <v>65</v>
      </c>
    </row>
    <row r="1328" spans="1:18" x14ac:dyDescent="0.25">
      <c r="A1328" t="s">
        <v>3350</v>
      </c>
      <c r="B1328" s="1">
        <v>44485</v>
      </c>
      <c r="C1328" t="s">
        <v>3351</v>
      </c>
      <c r="D1328" t="s">
        <v>341</v>
      </c>
      <c r="E1328" t="s">
        <v>24</v>
      </c>
      <c r="F1328" t="s">
        <v>208</v>
      </c>
      <c r="G1328">
        <v>10</v>
      </c>
      <c r="H1328" t="s">
        <v>464</v>
      </c>
      <c r="I1328" t="s">
        <v>1571</v>
      </c>
      <c r="J1328" t="s">
        <v>2704</v>
      </c>
      <c r="K1328" t="s">
        <v>3325</v>
      </c>
    </row>
    <row r="1329" spans="1:18" x14ac:dyDescent="0.25">
      <c r="A1329" t="s">
        <v>3452</v>
      </c>
      <c r="B1329" s="1">
        <v>44499</v>
      </c>
      <c r="C1329" t="s">
        <v>3453</v>
      </c>
      <c r="D1329" t="s">
        <v>341</v>
      </c>
      <c r="E1329" t="s">
        <v>24</v>
      </c>
      <c r="F1329" t="s">
        <v>243</v>
      </c>
      <c r="G1329">
        <v>30</v>
      </c>
      <c r="H1329" t="s">
        <v>188</v>
      </c>
      <c r="I1329" t="s">
        <v>254</v>
      </c>
      <c r="J1329" t="s">
        <v>255</v>
      </c>
      <c r="K1329" t="s">
        <v>3454</v>
      </c>
      <c r="R1329">
        <v>101</v>
      </c>
    </row>
    <row r="1330" spans="1:18" x14ac:dyDescent="0.25">
      <c r="A1330" t="s">
        <v>3455</v>
      </c>
      <c r="B1330" s="1">
        <v>44499</v>
      </c>
      <c r="C1330" t="s">
        <v>3456</v>
      </c>
      <c r="D1330" t="s">
        <v>341</v>
      </c>
      <c r="E1330" t="s">
        <v>24</v>
      </c>
      <c r="F1330" t="s">
        <v>208</v>
      </c>
      <c r="G1330">
        <v>10</v>
      </c>
      <c r="H1330" t="s">
        <v>464</v>
      </c>
      <c r="I1330" t="s">
        <v>943</v>
      </c>
      <c r="J1330" t="s">
        <v>944</v>
      </c>
      <c r="K1330" t="s">
        <v>3457</v>
      </c>
    </row>
    <row r="1331" spans="1:18" x14ac:dyDescent="0.25">
      <c r="A1331" t="s">
        <v>3498</v>
      </c>
      <c r="B1331" s="1">
        <v>44506</v>
      </c>
      <c r="C1331" t="s">
        <v>1635</v>
      </c>
      <c r="D1331" t="s">
        <v>341</v>
      </c>
      <c r="E1331" t="s">
        <v>24</v>
      </c>
      <c r="F1331" t="s">
        <v>180</v>
      </c>
      <c r="G1331">
        <v>10</v>
      </c>
      <c r="H1331" t="s">
        <v>194</v>
      </c>
      <c r="I1331" t="s">
        <v>700</v>
      </c>
      <c r="J1331" t="s">
        <v>1282</v>
      </c>
      <c r="K1331" t="s">
        <v>3499</v>
      </c>
      <c r="R1331">
        <v>46</v>
      </c>
    </row>
    <row r="1332" spans="1:18" x14ac:dyDescent="0.25">
      <c r="A1332" t="s">
        <v>3500</v>
      </c>
      <c r="B1332" s="1">
        <v>44506</v>
      </c>
      <c r="C1332" t="s">
        <v>3501</v>
      </c>
      <c r="D1332" t="s">
        <v>341</v>
      </c>
      <c r="E1332" t="s">
        <v>24</v>
      </c>
      <c r="F1332" t="s">
        <v>2256</v>
      </c>
      <c r="G1332">
        <v>10</v>
      </c>
      <c r="H1332" t="s">
        <v>194</v>
      </c>
      <c r="I1332" t="s">
        <v>195</v>
      </c>
      <c r="J1332" t="s">
        <v>211</v>
      </c>
      <c r="K1332" t="s">
        <v>3502</v>
      </c>
      <c r="R1332">
        <v>46</v>
      </c>
    </row>
    <row r="1333" spans="1:18" x14ac:dyDescent="0.25">
      <c r="A1333" t="s">
        <v>3503</v>
      </c>
      <c r="B1333" s="1">
        <v>44506</v>
      </c>
      <c r="C1333" t="s">
        <v>130</v>
      </c>
      <c r="D1333" t="s">
        <v>341</v>
      </c>
      <c r="E1333" t="s">
        <v>24</v>
      </c>
      <c r="F1333" t="s">
        <v>215</v>
      </c>
      <c r="G1333">
        <v>45</v>
      </c>
      <c r="H1333" t="s">
        <v>188</v>
      </c>
      <c r="I1333" t="s">
        <v>254</v>
      </c>
      <c r="J1333" t="s">
        <v>1741</v>
      </c>
      <c r="K1333" t="s">
        <v>3504</v>
      </c>
      <c r="R1333">
        <v>136</v>
      </c>
    </row>
    <row r="1334" spans="1:18" x14ac:dyDescent="0.25">
      <c r="A1334" t="s">
        <v>3505</v>
      </c>
      <c r="B1334" s="1">
        <v>44506</v>
      </c>
      <c r="C1334" t="s">
        <v>3506</v>
      </c>
      <c r="D1334" t="s">
        <v>341</v>
      </c>
      <c r="E1334" t="s">
        <v>24</v>
      </c>
      <c r="F1334" t="s">
        <v>459</v>
      </c>
      <c r="G1334">
        <v>10</v>
      </c>
      <c r="H1334" t="s">
        <v>464</v>
      </c>
      <c r="I1334" t="s">
        <v>763</v>
      </c>
      <c r="J1334" t="s">
        <v>914</v>
      </c>
      <c r="K1334" t="s">
        <v>3507</v>
      </c>
    </row>
    <row r="1335" spans="1:18" x14ac:dyDescent="0.25">
      <c r="A1335" t="s">
        <v>3589</v>
      </c>
      <c r="B1335" s="1">
        <v>44513</v>
      </c>
      <c r="C1335" t="s">
        <v>3590</v>
      </c>
      <c r="D1335" t="s">
        <v>341</v>
      </c>
      <c r="E1335" t="s">
        <v>24</v>
      </c>
      <c r="F1335" t="s">
        <v>323</v>
      </c>
      <c r="G1335">
        <v>5</v>
      </c>
      <c r="H1335" t="s">
        <v>26</v>
      </c>
      <c r="I1335" t="s">
        <v>423</v>
      </c>
      <c r="J1335" t="s">
        <v>505</v>
      </c>
      <c r="K1335" t="s">
        <v>3591</v>
      </c>
      <c r="L1335">
        <v>20</v>
      </c>
      <c r="M1335">
        <v>68</v>
      </c>
      <c r="N1335" s="2">
        <v>0.28999999999999998</v>
      </c>
      <c r="O1335">
        <v>91</v>
      </c>
      <c r="P1335">
        <v>13.65</v>
      </c>
      <c r="Q1335">
        <v>1.1299999999999999</v>
      </c>
      <c r="R1335">
        <v>25</v>
      </c>
    </row>
    <row r="1336" spans="1:18" x14ac:dyDescent="0.25">
      <c r="A1336" t="s">
        <v>3592</v>
      </c>
      <c r="B1336" s="1">
        <v>44513</v>
      </c>
      <c r="C1336" t="s">
        <v>3593</v>
      </c>
      <c r="D1336" t="s">
        <v>341</v>
      </c>
      <c r="E1336" t="s">
        <v>24</v>
      </c>
      <c r="F1336" t="s">
        <v>323</v>
      </c>
      <c r="G1336">
        <v>60</v>
      </c>
      <c r="H1336" t="s">
        <v>26</v>
      </c>
      <c r="I1336" t="s">
        <v>370</v>
      </c>
      <c r="J1336" t="s">
        <v>498</v>
      </c>
      <c r="K1336" t="s">
        <v>3594</v>
      </c>
      <c r="L1336">
        <v>358</v>
      </c>
      <c r="M1336">
        <v>100</v>
      </c>
      <c r="N1336" s="2">
        <v>0.38</v>
      </c>
      <c r="O1336">
        <v>82</v>
      </c>
      <c r="P1336">
        <v>16.07</v>
      </c>
      <c r="Q1336">
        <v>16.07</v>
      </c>
      <c r="R1336">
        <v>442</v>
      </c>
    </row>
    <row r="1337" spans="1:18" x14ac:dyDescent="0.25">
      <c r="A1337" t="s">
        <v>3595</v>
      </c>
      <c r="B1337" s="1">
        <v>44513</v>
      </c>
      <c r="C1337" t="s">
        <v>3596</v>
      </c>
      <c r="D1337" t="s">
        <v>341</v>
      </c>
      <c r="E1337" t="s">
        <v>24</v>
      </c>
      <c r="F1337" t="s">
        <v>323</v>
      </c>
      <c r="G1337">
        <v>5</v>
      </c>
      <c r="H1337" t="s">
        <v>26</v>
      </c>
      <c r="I1337" t="s">
        <v>358</v>
      </c>
      <c r="J1337" t="s">
        <v>359</v>
      </c>
      <c r="K1337" t="s">
        <v>3597</v>
      </c>
      <c r="L1337">
        <v>14</v>
      </c>
      <c r="M1337">
        <v>45</v>
      </c>
      <c r="N1337" s="2">
        <v>0.25</v>
      </c>
      <c r="O1337">
        <v>85</v>
      </c>
      <c r="P1337">
        <v>11.4</v>
      </c>
      <c r="Q1337">
        <v>0.95</v>
      </c>
      <c r="R1337">
        <v>17</v>
      </c>
    </row>
    <row r="1338" spans="1:18" x14ac:dyDescent="0.25">
      <c r="A1338" t="s">
        <v>3598</v>
      </c>
      <c r="B1338" s="1">
        <v>44513</v>
      </c>
      <c r="C1338" t="s">
        <v>3599</v>
      </c>
      <c r="D1338" t="s">
        <v>341</v>
      </c>
      <c r="E1338" t="s">
        <v>24</v>
      </c>
      <c r="F1338" t="s">
        <v>215</v>
      </c>
      <c r="G1338">
        <v>10</v>
      </c>
      <c r="H1338" t="s">
        <v>188</v>
      </c>
      <c r="I1338" t="s">
        <v>238</v>
      </c>
      <c r="J1338" t="s">
        <v>674</v>
      </c>
      <c r="K1338" t="s">
        <v>3600</v>
      </c>
      <c r="R1338">
        <v>34</v>
      </c>
    </row>
    <row r="1339" spans="1:18" x14ac:dyDescent="0.25">
      <c r="A1339" t="s">
        <v>3601</v>
      </c>
      <c r="B1339" s="1">
        <v>44513</v>
      </c>
      <c r="C1339" t="s">
        <v>942</v>
      </c>
      <c r="D1339" t="s">
        <v>341</v>
      </c>
      <c r="E1339" t="s">
        <v>24</v>
      </c>
      <c r="F1339" t="s">
        <v>215</v>
      </c>
      <c r="G1339">
        <v>10</v>
      </c>
      <c r="H1339" t="s">
        <v>464</v>
      </c>
      <c r="I1339" t="s">
        <v>103</v>
      </c>
      <c r="J1339" t="s">
        <v>3441</v>
      </c>
      <c r="K1339" t="s">
        <v>3602</v>
      </c>
    </row>
    <row r="1340" spans="1:18" x14ac:dyDescent="0.25">
      <c r="A1340" t="s">
        <v>3687</v>
      </c>
      <c r="B1340" s="1">
        <v>44520</v>
      </c>
      <c r="C1340" t="s">
        <v>3688</v>
      </c>
      <c r="D1340" t="s">
        <v>341</v>
      </c>
      <c r="E1340" t="s">
        <v>24</v>
      </c>
      <c r="F1340" t="s">
        <v>323</v>
      </c>
      <c r="G1340">
        <v>60</v>
      </c>
      <c r="H1340" t="s">
        <v>26</v>
      </c>
      <c r="I1340" t="s">
        <v>370</v>
      </c>
      <c r="J1340" t="s">
        <v>498</v>
      </c>
      <c r="K1340" t="s">
        <v>3689</v>
      </c>
      <c r="L1340">
        <v>361</v>
      </c>
      <c r="M1340">
        <v>100</v>
      </c>
      <c r="N1340" s="2">
        <v>0.36</v>
      </c>
      <c r="O1340">
        <v>87</v>
      </c>
      <c r="P1340">
        <v>16.14</v>
      </c>
      <c r="Q1340">
        <v>16.14</v>
      </c>
      <c r="R1340">
        <v>445</v>
      </c>
    </row>
    <row r="1341" spans="1:18" x14ac:dyDescent="0.25">
      <c r="A1341" t="s">
        <v>3690</v>
      </c>
      <c r="B1341" s="1">
        <v>44520</v>
      </c>
      <c r="C1341" t="s">
        <v>3691</v>
      </c>
      <c r="D1341" t="s">
        <v>341</v>
      </c>
      <c r="E1341" t="s">
        <v>24</v>
      </c>
      <c r="F1341" t="s">
        <v>323</v>
      </c>
      <c r="G1341">
        <v>5</v>
      </c>
      <c r="H1341" t="s">
        <v>26</v>
      </c>
      <c r="I1341" t="s">
        <v>358</v>
      </c>
      <c r="J1341" t="s">
        <v>359</v>
      </c>
      <c r="K1341" t="s">
        <v>3597</v>
      </c>
      <c r="L1341">
        <v>16</v>
      </c>
      <c r="M1341">
        <v>53</v>
      </c>
      <c r="N1341" s="2">
        <v>0.27</v>
      </c>
      <c r="O1341">
        <v>86</v>
      </c>
      <c r="P1341">
        <v>12.3</v>
      </c>
      <c r="Q1341">
        <v>1.03</v>
      </c>
      <c r="R1341">
        <v>20</v>
      </c>
    </row>
    <row r="1342" spans="1:18" x14ac:dyDescent="0.25">
      <c r="A1342" t="s">
        <v>3692</v>
      </c>
      <c r="B1342" s="1">
        <v>44520</v>
      </c>
      <c r="C1342" t="s">
        <v>3693</v>
      </c>
      <c r="D1342" t="s">
        <v>341</v>
      </c>
      <c r="E1342" t="s">
        <v>24</v>
      </c>
      <c r="F1342" t="s">
        <v>180</v>
      </c>
      <c r="G1342">
        <v>10</v>
      </c>
      <c r="H1342" t="s">
        <v>194</v>
      </c>
      <c r="I1342" t="s">
        <v>195</v>
      </c>
      <c r="J1342" t="s">
        <v>211</v>
      </c>
      <c r="K1342" t="s">
        <v>3694</v>
      </c>
      <c r="R1342">
        <v>46</v>
      </c>
    </row>
    <row r="1343" spans="1:18" x14ac:dyDescent="0.25">
      <c r="A1343" t="s">
        <v>3695</v>
      </c>
      <c r="B1343" s="1">
        <v>44520</v>
      </c>
      <c r="C1343" t="s">
        <v>3696</v>
      </c>
      <c r="D1343" t="s">
        <v>341</v>
      </c>
      <c r="E1343" t="s">
        <v>24</v>
      </c>
      <c r="F1343" t="s">
        <v>180</v>
      </c>
      <c r="G1343">
        <v>5</v>
      </c>
      <c r="H1343" t="s">
        <v>49</v>
      </c>
      <c r="I1343" t="s">
        <v>50</v>
      </c>
      <c r="J1343" t="s">
        <v>51</v>
      </c>
      <c r="K1343" t="s">
        <v>3697</v>
      </c>
      <c r="R1343">
        <v>11</v>
      </c>
    </row>
    <row r="1344" spans="1:18" x14ac:dyDescent="0.25">
      <c r="A1344" t="s">
        <v>3860</v>
      </c>
      <c r="B1344" s="1">
        <v>44534</v>
      </c>
      <c r="C1344" t="s">
        <v>3861</v>
      </c>
      <c r="D1344" t="s">
        <v>341</v>
      </c>
      <c r="E1344" t="s">
        <v>24</v>
      </c>
      <c r="F1344" t="s">
        <v>243</v>
      </c>
      <c r="G1344">
        <v>30</v>
      </c>
      <c r="H1344" t="s">
        <v>188</v>
      </c>
      <c r="I1344" t="s">
        <v>254</v>
      </c>
      <c r="J1344" t="s">
        <v>3862</v>
      </c>
      <c r="K1344" t="s">
        <v>3863</v>
      </c>
      <c r="R1344">
        <v>96</v>
      </c>
    </row>
    <row r="1345" spans="1:18" x14ac:dyDescent="0.25">
      <c r="A1345" t="s">
        <v>3864</v>
      </c>
      <c r="B1345" s="1">
        <v>44534</v>
      </c>
      <c r="C1345" t="s">
        <v>3865</v>
      </c>
      <c r="D1345" t="s">
        <v>341</v>
      </c>
      <c r="E1345" t="s">
        <v>24</v>
      </c>
      <c r="F1345" t="s">
        <v>215</v>
      </c>
      <c r="G1345">
        <v>10</v>
      </c>
      <c r="H1345" t="s">
        <v>464</v>
      </c>
      <c r="I1345" t="s">
        <v>103</v>
      </c>
      <c r="J1345" t="s">
        <v>3441</v>
      </c>
      <c r="K1345" t="s">
        <v>3866</v>
      </c>
    </row>
    <row r="1346" spans="1:18" x14ac:dyDescent="0.25">
      <c r="A1346" t="s">
        <v>3978</v>
      </c>
      <c r="B1346" s="1">
        <v>44541</v>
      </c>
      <c r="C1346" t="s">
        <v>3979</v>
      </c>
      <c r="D1346" t="s">
        <v>341</v>
      </c>
      <c r="E1346" t="s">
        <v>24</v>
      </c>
      <c r="F1346" t="s">
        <v>237</v>
      </c>
      <c r="G1346">
        <v>15</v>
      </c>
      <c r="H1346" t="s">
        <v>464</v>
      </c>
      <c r="I1346" t="s">
        <v>763</v>
      </c>
      <c r="J1346" t="s">
        <v>2508</v>
      </c>
      <c r="K1346" t="s">
        <v>3980</v>
      </c>
    </row>
    <row r="1347" spans="1:18" x14ac:dyDescent="0.25">
      <c r="A1347" t="s">
        <v>4059</v>
      </c>
      <c r="B1347" s="1">
        <v>44548</v>
      </c>
      <c r="C1347" t="s">
        <v>4060</v>
      </c>
      <c r="D1347" t="s">
        <v>341</v>
      </c>
      <c r="E1347" t="s">
        <v>24</v>
      </c>
      <c r="F1347" t="s">
        <v>323</v>
      </c>
      <c r="G1347">
        <v>45</v>
      </c>
      <c r="H1347" t="s">
        <v>26</v>
      </c>
      <c r="I1347" t="s">
        <v>370</v>
      </c>
      <c r="J1347" t="s">
        <v>439</v>
      </c>
      <c r="K1347" t="s">
        <v>4061</v>
      </c>
      <c r="L1347">
        <v>280</v>
      </c>
      <c r="M1347">
        <v>104</v>
      </c>
      <c r="N1347" s="2">
        <v>0.38</v>
      </c>
      <c r="O1347">
        <v>85</v>
      </c>
      <c r="P1347">
        <v>16.36</v>
      </c>
      <c r="Q1347">
        <v>12.26</v>
      </c>
      <c r="R1347">
        <v>345</v>
      </c>
    </row>
    <row r="1348" spans="1:18" x14ac:dyDescent="0.25">
      <c r="A1348" t="s">
        <v>4062</v>
      </c>
      <c r="B1348" s="1">
        <v>44548</v>
      </c>
      <c r="C1348" t="s">
        <v>4063</v>
      </c>
      <c r="D1348" t="s">
        <v>341</v>
      </c>
      <c r="E1348" t="s">
        <v>24</v>
      </c>
      <c r="F1348" t="s">
        <v>323</v>
      </c>
      <c r="G1348">
        <v>20</v>
      </c>
      <c r="H1348" t="s">
        <v>26</v>
      </c>
      <c r="I1348" t="s">
        <v>39</v>
      </c>
      <c r="J1348" t="s">
        <v>2657</v>
      </c>
      <c r="K1348" t="s">
        <v>4064</v>
      </c>
      <c r="L1348">
        <v>98</v>
      </c>
      <c r="M1348">
        <v>81</v>
      </c>
      <c r="N1348" s="2">
        <v>0.32</v>
      </c>
      <c r="O1348">
        <v>92</v>
      </c>
      <c r="P1348">
        <v>14.83</v>
      </c>
      <c r="Q1348">
        <v>4.9400000000000004</v>
      </c>
      <c r="R1348">
        <v>120</v>
      </c>
    </row>
    <row r="1349" spans="1:18" x14ac:dyDescent="0.25">
      <c r="A1349" t="s">
        <v>4065</v>
      </c>
      <c r="B1349" s="1">
        <v>44548</v>
      </c>
      <c r="C1349" t="s">
        <v>4066</v>
      </c>
      <c r="D1349" t="s">
        <v>341</v>
      </c>
      <c r="E1349" t="s">
        <v>24</v>
      </c>
      <c r="F1349" t="s">
        <v>243</v>
      </c>
      <c r="G1349">
        <v>30</v>
      </c>
      <c r="H1349" t="s">
        <v>188</v>
      </c>
      <c r="I1349" t="s">
        <v>189</v>
      </c>
      <c r="J1349" t="s">
        <v>3951</v>
      </c>
      <c r="K1349" t="s">
        <v>4067</v>
      </c>
      <c r="R1349">
        <v>99</v>
      </c>
    </row>
    <row r="1350" spans="1:18" x14ac:dyDescent="0.25">
      <c r="A1350" t="s">
        <v>4068</v>
      </c>
      <c r="B1350" s="1">
        <v>44548</v>
      </c>
      <c r="C1350" t="s">
        <v>1876</v>
      </c>
      <c r="D1350" t="s">
        <v>341</v>
      </c>
      <c r="E1350" t="s">
        <v>24</v>
      </c>
      <c r="F1350" t="s">
        <v>200</v>
      </c>
      <c r="G1350">
        <v>5</v>
      </c>
      <c r="H1350" t="s">
        <v>464</v>
      </c>
      <c r="I1350" t="s">
        <v>763</v>
      </c>
      <c r="J1350" t="s">
        <v>2354</v>
      </c>
      <c r="K1350" t="s">
        <v>4069</v>
      </c>
    </row>
    <row r="1351" spans="1:18" x14ac:dyDescent="0.25">
      <c r="A1351" t="s">
        <v>4150</v>
      </c>
      <c r="B1351" s="1">
        <v>44555</v>
      </c>
      <c r="C1351" t="s">
        <v>4151</v>
      </c>
      <c r="D1351" t="s">
        <v>341</v>
      </c>
      <c r="E1351" t="s">
        <v>24</v>
      </c>
      <c r="F1351" t="s">
        <v>215</v>
      </c>
      <c r="G1351">
        <v>30</v>
      </c>
      <c r="H1351" t="s">
        <v>188</v>
      </c>
      <c r="I1351" t="s">
        <v>189</v>
      </c>
      <c r="J1351" t="s">
        <v>4152</v>
      </c>
      <c r="K1351" t="s">
        <v>4153</v>
      </c>
      <c r="R1351">
        <v>101</v>
      </c>
    </row>
    <row r="1352" spans="1:18" x14ac:dyDescent="0.25">
      <c r="A1352" t="s">
        <v>4154</v>
      </c>
      <c r="B1352" s="1">
        <v>44555</v>
      </c>
      <c r="C1352" t="s">
        <v>4155</v>
      </c>
      <c r="D1352" t="s">
        <v>341</v>
      </c>
      <c r="E1352" t="s">
        <v>24</v>
      </c>
      <c r="F1352" t="s">
        <v>170</v>
      </c>
      <c r="G1352">
        <v>10</v>
      </c>
      <c r="H1352" t="s">
        <v>194</v>
      </c>
      <c r="I1352" t="s">
        <v>195</v>
      </c>
      <c r="J1352" t="s">
        <v>211</v>
      </c>
      <c r="K1352" t="s">
        <v>4156</v>
      </c>
      <c r="R1352">
        <v>46</v>
      </c>
    </row>
    <row r="1353" spans="1:18" x14ac:dyDescent="0.25">
      <c r="A1353" t="s">
        <v>4157</v>
      </c>
      <c r="B1353" s="1">
        <v>44555</v>
      </c>
      <c r="C1353" t="s">
        <v>1588</v>
      </c>
      <c r="D1353" t="s">
        <v>341</v>
      </c>
      <c r="E1353" t="s">
        <v>24</v>
      </c>
      <c r="F1353" t="s">
        <v>459</v>
      </c>
      <c r="G1353">
        <v>10</v>
      </c>
      <c r="H1353" t="s">
        <v>464</v>
      </c>
      <c r="I1353" t="s">
        <v>763</v>
      </c>
      <c r="J1353" t="s">
        <v>764</v>
      </c>
      <c r="K1353" t="s">
        <v>4158</v>
      </c>
    </row>
    <row r="1354" spans="1:18" x14ac:dyDescent="0.25">
      <c r="A1354" t="s">
        <v>4246</v>
      </c>
      <c r="B1354" s="1">
        <v>44562</v>
      </c>
      <c r="C1354" t="s">
        <v>4247</v>
      </c>
      <c r="D1354" t="s">
        <v>341</v>
      </c>
      <c r="E1354" t="s">
        <v>24</v>
      </c>
      <c r="F1354" t="s">
        <v>208</v>
      </c>
      <c r="G1354">
        <v>5</v>
      </c>
      <c r="H1354" t="s">
        <v>464</v>
      </c>
      <c r="I1354" t="s">
        <v>943</v>
      </c>
      <c r="J1354" t="s">
        <v>2205</v>
      </c>
      <c r="K1354" t="s">
        <v>4139</v>
      </c>
    </row>
    <row r="1355" spans="1:18" x14ac:dyDescent="0.25">
      <c r="A1355" t="s">
        <v>4248</v>
      </c>
      <c r="B1355" s="1">
        <v>44562</v>
      </c>
      <c r="C1355" t="s">
        <v>140</v>
      </c>
      <c r="D1355" t="s">
        <v>341</v>
      </c>
      <c r="E1355" t="s">
        <v>24</v>
      </c>
      <c r="F1355" t="s">
        <v>215</v>
      </c>
      <c r="G1355">
        <v>60</v>
      </c>
      <c r="H1355" t="s">
        <v>188</v>
      </c>
      <c r="I1355" t="s">
        <v>189</v>
      </c>
      <c r="J1355" t="s">
        <v>216</v>
      </c>
      <c r="K1355" t="s">
        <v>4249</v>
      </c>
      <c r="R1355">
        <v>194</v>
      </c>
    </row>
    <row r="1356" spans="1:18" x14ac:dyDescent="0.25">
      <c r="A1356" t="s">
        <v>4250</v>
      </c>
      <c r="B1356" s="1">
        <v>44562</v>
      </c>
      <c r="C1356" t="s">
        <v>1367</v>
      </c>
      <c r="D1356" t="s">
        <v>341</v>
      </c>
      <c r="E1356" t="s">
        <v>24</v>
      </c>
      <c r="F1356" t="s">
        <v>237</v>
      </c>
      <c r="G1356">
        <v>10</v>
      </c>
      <c r="H1356" t="s">
        <v>464</v>
      </c>
      <c r="I1356" t="s">
        <v>1617</v>
      </c>
      <c r="J1356" t="s">
        <v>4251</v>
      </c>
      <c r="K1356" t="s">
        <v>4252</v>
      </c>
    </row>
    <row r="1357" spans="1:18" x14ac:dyDescent="0.25">
      <c r="A1357" t="s">
        <v>4349</v>
      </c>
      <c r="B1357" s="1">
        <v>44569</v>
      </c>
      <c r="C1357" t="s">
        <v>48</v>
      </c>
      <c r="D1357" t="s">
        <v>341</v>
      </c>
      <c r="E1357" t="s">
        <v>24</v>
      </c>
      <c r="F1357" t="s">
        <v>215</v>
      </c>
      <c r="G1357">
        <v>60</v>
      </c>
      <c r="H1357" t="s">
        <v>188</v>
      </c>
      <c r="I1357" t="s">
        <v>189</v>
      </c>
      <c r="J1357" t="s">
        <v>216</v>
      </c>
      <c r="K1357" t="s">
        <v>4350</v>
      </c>
      <c r="R1357">
        <v>201</v>
      </c>
    </row>
    <row r="1358" spans="1:18" x14ac:dyDescent="0.25">
      <c r="A1358" t="s">
        <v>4351</v>
      </c>
      <c r="B1358" s="1">
        <v>44569</v>
      </c>
      <c r="C1358" t="s">
        <v>1737</v>
      </c>
      <c r="D1358" t="s">
        <v>341</v>
      </c>
      <c r="E1358" t="s">
        <v>24</v>
      </c>
      <c r="F1358" t="s">
        <v>2708</v>
      </c>
      <c r="G1358">
        <v>20</v>
      </c>
      <c r="H1358" t="s">
        <v>464</v>
      </c>
      <c r="I1358" t="s">
        <v>579</v>
      </c>
      <c r="J1358" t="s">
        <v>4352</v>
      </c>
      <c r="K1358" t="s">
        <v>4353</v>
      </c>
    </row>
    <row r="1359" spans="1:18" x14ac:dyDescent="0.25">
      <c r="A1359" t="s">
        <v>4433</v>
      </c>
      <c r="B1359" s="1">
        <v>44576</v>
      </c>
      <c r="C1359" t="s">
        <v>4434</v>
      </c>
      <c r="D1359" t="s">
        <v>341</v>
      </c>
      <c r="E1359" t="s">
        <v>24</v>
      </c>
      <c r="F1359" t="s">
        <v>180</v>
      </c>
      <c r="G1359">
        <v>20</v>
      </c>
      <c r="H1359" t="s">
        <v>194</v>
      </c>
      <c r="I1359" t="s">
        <v>195</v>
      </c>
      <c r="J1359" t="s">
        <v>2247</v>
      </c>
      <c r="K1359" t="s">
        <v>3724</v>
      </c>
      <c r="R1359">
        <v>92</v>
      </c>
    </row>
    <row r="1360" spans="1:18" x14ac:dyDescent="0.25">
      <c r="A1360" t="s">
        <v>4435</v>
      </c>
      <c r="B1360" s="1">
        <v>44576</v>
      </c>
      <c r="C1360" t="s">
        <v>4436</v>
      </c>
      <c r="D1360" t="s">
        <v>341</v>
      </c>
      <c r="E1360" t="s">
        <v>24</v>
      </c>
      <c r="F1360" t="s">
        <v>323</v>
      </c>
      <c r="G1360">
        <v>60</v>
      </c>
      <c r="H1360" t="s">
        <v>26</v>
      </c>
      <c r="I1360" t="s">
        <v>370</v>
      </c>
      <c r="J1360" t="s">
        <v>498</v>
      </c>
      <c r="K1360" t="s">
        <v>4437</v>
      </c>
      <c r="L1360">
        <v>362</v>
      </c>
      <c r="M1360">
        <v>100</v>
      </c>
      <c r="N1360" s="2">
        <v>0.37</v>
      </c>
      <c r="O1360">
        <v>85</v>
      </c>
      <c r="P1360">
        <v>16.18</v>
      </c>
      <c r="Q1360">
        <v>16.18</v>
      </c>
      <c r="R1360">
        <v>446</v>
      </c>
    </row>
    <row r="1361" spans="1:18" x14ac:dyDescent="0.25">
      <c r="A1361" t="s">
        <v>4438</v>
      </c>
      <c r="B1361" s="1">
        <v>44576</v>
      </c>
      <c r="C1361" t="s">
        <v>4439</v>
      </c>
      <c r="D1361" t="s">
        <v>341</v>
      </c>
      <c r="E1361" t="s">
        <v>24</v>
      </c>
      <c r="F1361" t="s">
        <v>323</v>
      </c>
      <c r="G1361">
        <v>5</v>
      </c>
      <c r="H1361" t="s">
        <v>49</v>
      </c>
      <c r="I1361" t="s">
        <v>50</v>
      </c>
      <c r="J1361" t="s">
        <v>51</v>
      </c>
      <c r="K1361" t="s">
        <v>4332</v>
      </c>
      <c r="R1361">
        <v>11</v>
      </c>
    </row>
    <row r="1362" spans="1:18" x14ac:dyDescent="0.25">
      <c r="A1362" t="s">
        <v>4440</v>
      </c>
      <c r="B1362" s="1">
        <v>44576</v>
      </c>
      <c r="C1362" t="s">
        <v>3101</v>
      </c>
      <c r="D1362" t="s">
        <v>341</v>
      </c>
      <c r="E1362" t="s">
        <v>24</v>
      </c>
      <c r="F1362" t="s">
        <v>208</v>
      </c>
      <c r="G1362">
        <v>15</v>
      </c>
      <c r="H1362" t="s">
        <v>464</v>
      </c>
      <c r="I1362" t="s">
        <v>943</v>
      </c>
      <c r="J1362" t="s">
        <v>1709</v>
      </c>
      <c r="K1362" t="s">
        <v>4441</v>
      </c>
    </row>
    <row r="1363" spans="1:18" x14ac:dyDescent="0.25">
      <c r="A1363" t="s">
        <v>4528</v>
      </c>
      <c r="B1363" s="1">
        <v>44583</v>
      </c>
      <c r="C1363" t="s">
        <v>3390</v>
      </c>
      <c r="D1363" t="s">
        <v>341</v>
      </c>
      <c r="E1363" t="s">
        <v>24</v>
      </c>
      <c r="F1363" t="s">
        <v>215</v>
      </c>
      <c r="G1363">
        <v>20</v>
      </c>
      <c r="H1363" t="s">
        <v>464</v>
      </c>
      <c r="I1363" t="s">
        <v>763</v>
      </c>
      <c r="J1363" t="s">
        <v>1335</v>
      </c>
      <c r="K1363" t="s">
        <v>4529</v>
      </c>
    </row>
    <row r="1364" spans="1:18" x14ac:dyDescent="0.25">
      <c r="A1364" t="s">
        <v>4600</v>
      </c>
      <c r="B1364" s="1">
        <v>44590</v>
      </c>
      <c r="C1364" t="s">
        <v>4601</v>
      </c>
      <c r="D1364" t="s">
        <v>341</v>
      </c>
      <c r="E1364" t="s">
        <v>24</v>
      </c>
      <c r="F1364" t="s">
        <v>323</v>
      </c>
      <c r="G1364">
        <v>75</v>
      </c>
      <c r="H1364" t="s">
        <v>26</v>
      </c>
      <c r="I1364" t="s">
        <v>370</v>
      </c>
      <c r="J1364" t="s">
        <v>1081</v>
      </c>
      <c r="K1364" t="s">
        <v>4602</v>
      </c>
      <c r="L1364">
        <v>476</v>
      </c>
      <c r="M1364">
        <v>106</v>
      </c>
      <c r="N1364" s="2">
        <v>0.38</v>
      </c>
      <c r="O1364">
        <v>85</v>
      </c>
      <c r="P1364">
        <v>16.54</v>
      </c>
      <c r="Q1364">
        <v>20.68</v>
      </c>
      <c r="R1364">
        <v>587</v>
      </c>
    </row>
    <row r="1365" spans="1:18" x14ac:dyDescent="0.25">
      <c r="A1365" t="s">
        <v>4603</v>
      </c>
      <c r="B1365" s="1">
        <v>44590</v>
      </c>
      <c r="C1365" t="s">
        <v>3593</v>
      </c>
      <c r="D1365" t="s">
        <v>341</v>
      </c>
      <c r="E1365" t="s">
        <v>24</v>
      </c>
      <c r="F1365" t="s">
        <v>554</v>
      </c>
      <c r="G1365">
        <v>5</v>
      </c>
      <c r="H1365" t="s">
        <v>26</v>
      </c>
      <c r="I1365" t="s">
        <v>358</v>
      </c>
      <c r="J1365" t="s">
        <v>359</v>
      </c>
      <c r="K1365" t="s">
        <v>4569</v>
      </c>
      <c r="L1365">
        <v>25</v>
      </c>
      <c r="M1365">
        <v>85</v>
      </c>
      <c r="N1365" s="2">
        <v>0.36</v>
      </c>
      <c r="O1365">
        <v>79</v>
      </c>
      <c r="P1365">
        <v>15</v>
      </c>
      <c r="Q1365">
        <v>1.25</v>
      </c>
      <c r="R1365">
        <v>31</v>
      </c>
    </row>
    <row r="1366" spans="1:18" x14ac:dyDescent="0.25">
      <c r="A1366" t="s">
        <v>4604</v>
      </c>
      <c r="B1366" s="1">
        <v>44590</v>
      </c>
      <c r="C1366" t="s">
        <v>4004</v>
      </c>
      <c r="D1366" t="s">
        <v>341</v>
      </c>
      <c r="E1366" t="s">
        <v>24</v>
      </c>
      <c r="F1366" t="s">
        <v>180</v>
      </c>
      <c r="G1366">
        <v>10</v>
      </c>
      <c r="H1366" t="s">
        <v>194</v>
      </c>
      <c r="I1366" t="s">
        <v>195</v>
      </c>
      <c r="J1366" t="s">
        <v>211</v>
      </c>
      <c r="K1366" t="s">
        <v>4524</v>
      </c>
      <c r="R1366">
        <v>46</v>
      </c>
    </row>
    <row r="1367" spans="1:18" x14ac:dyDescent="0.25">
      <c r="A1367" t="s">
        <v>4605</v>
      </c>
      <c r="B1367" s="1">
        <v>44590</v>
      </c>
      <c r="C1367" t="s">
        <v>4606</v>
      </c>
      <c r="D1367" t="s">
        <v>341</v>
      </c>
      <c r="E1367" t="s">
        <v>24</v>
      </c>
      <c r="F1367" t="s">
        <v>905</v>
      </c>
      <c r="G1367">
        <v>5</v>
      </c>
      <c r="H1367" t="s">
        <v>49</v>
      </c>
      <c r="I1367" t="s">
        <v>50</v>
      </c>
      <c r="J1367" t="s">
        <v>51</v>
      </c>
      <c r="K1367" t="s">
        <v>4607</v>
      </c>
      <c r="R1367">
        <v>11</v>
      </c>
    </row>
    <row r="1368" spans="1:18" x14ac:dyDescent="0.25">
      <c r="A1368" t="s">
        <v>4608</v>
      </c>
      <c r="B1368" s="1">
        <v>44590</v>
      </c>
      <c r="C1368" t="s">
        <v>4609</v>
      </c>
      <c r="D1368" t="s">
        <v>341</v>
      </c>
      <c r="E1368" t="s">
        <v>24</v>
      </c>
      <c r="F1368" t="s">
        <v>208</v>
      </c>
      <c r="G1368">
        <v>20</v>
      </c>
      <c r="H1368" t="s">
        <v>464</v>
      </c>
      <c r="I1368" t="s">
        <v>579</v>
      </c>
      <c r="J1368" t="s">
        <v>2519</v>
      </c>
      <c r="K1368" t="s">
        <v>4610</v>
      </c>
    </row>
    <row r="1369" spans="1:18" x14ac:dyDescent="0.25">
      <c r="A1369" t="s">
        <v>4689</v>
      </c>
      <c r="B1369" s="1">
        <v>44597</v>
      </c>
      <c r="C1369" t="s">
        <v>4690</v>
      </c>
      <c r="D1369" t="s">
        <v>341</v>
      </c>
      <c r="E1369" t="s">
        <v>24</v>
      </c>
      <c r="F1369" t="s">
        <v>323</v>
      </c>
      <c r="G1369">
        <v>75</v>
      </c>
      <c r="H1369" t="s">
        <v>26</v>
      </c>
      <c r="I1369" t="s">
        <v>370</v>
      </c>
      <c r="J1369" t="s">
        <v>1081</v>
      </c>
      <c r="K1369" t="s">
        <v>4691</v>
      </c>
      <c r="L1369">
        <v>479</v>
      </c>
      <c r="M1369">
        <v>106</v>
      </c>
      <c r="N1369" s="2">
        <v>0.37</v>
      </c>
      <c r="O1369">
        <v>87</v>
      </c>
      <c r="P1369">
        <v>16.579999999999998</v>
      </c>
      <c r="Q1369">
        <v>20.72</v>
      </c>
      <c r="R1369">
        <v>590</v>
      </c>
    </row>
    <row r="1370" spans="1:18" x14ac:dyDescent="0.25">
      <c r="A1370" t="s">
        <v>4692</v>
      </c>
      <c r="B1370" s="1">
        <v>44597</v>
      </c>
      <c r="C1370" t="s">
        <v>4693</v>
      </c>
      <c r="D1370" t="s">
        <v>341</v>
      </c>
      <c r="E1370" t="s">
        <v>24</v>
      </c>
      <c r="F1370" t="s">
        <v>25</v>
      </c>
      <c r="G1370">
        <v>5</v>
      </c>
      <c r="H1370" t="s">
        <v>26</v>
      </c>
      <c r="I1370" t="s">
        <v>358</v>
      </c>
      <c r="J1370" t="s">
        <v>359</v>
      </c>
      <c r="K1370" t="s">
        <v>4694</v>
      </c>
      <c r="L1370">
        <v>18</v>
      </c>
      <c r="M1370">
        <v>60</v>
      </c>
      <c r="N1370" s="2">
        <v>0.3</v>
      </c>
      <c r="O1370">
        <v>82</v>
      </c>
      <c r="P1370">
        <v>12.98</v>
      </c>
      <c r="Q1370">
        <v>1.08</v>
      </c>
      <c r="R1370">
        <v>22</v>
      </c>
    </row>
    <row r="1371" spans="1:18" x14ac:dyDescent="0.25">
      <c r="A1371" t="s">
        <v>4695</v>
      </c>
      <c r="B1371" s="1">
        <v>44597</v>
      </c>
      <c r="C1371" t="s">
        <v>4546</v>
      </c>
      <c r="D1371" t="s">
        <v>341</v>
      </c>
      <c r="E1371" t="s">
        <v>24</v>
      </c>
      <c r="F1371" t="s">
        <v>768</v>
      </c>
      <c r="G1371">
        <v>5</v>
      </c>
      <c r="H1371" t="s">
        <v>49</v>
      </c>
      <c r="I1371" t="s">
        <v>50</v>
      </c>
      <c r="J1371" t="s">
        <v>51</v>
      </c>
      <c r="K1371" t="s">
        <v>4471</v>
      </c>
      <c r="R1371">
        <v>11</v>
      </c>
    </row>
    <row r="1372" spans="1:18" x14ac:dyDescent="0.25">
      <c r="A1372" t="s">
        <v>4696</v>
      </c>
      <c r="B1372" s="1">
        <v>44597</v>
      </c>
      <c r="C1372" t="s">
        <v>3478</v>
      </c>
      <c r="D1372" t="s">
        <v>341</v>
      </c>
      <c r="E1372" t="s">
        <v>24</v>
      </c>
      <c r="F1372" t="s">
        <v>237</v>
      </c>
      <c r="G1372">
        <v>10</v>
      </c>
      <c r="H1372" t="s">
        <v>188</v>
      </c>
      <c r="I1372" t="s">
        <v>238</v>
      </c>
      <c r="J1372" t="s">
        <v>731</v>
      </c>
      <c r="K1372" t="s">
        <v>4697</v>
      </c>
      <c r="R1372">
        <v>33</v>
      </c>
    </row>
    <row r="1373" spans="1:18" x14ac:dyDescent="0.25">
      <c r="A1373" t="s">
        <v>4698</v>
      </c>
      <c r="B1373" s="1">
        <v>44597</v>
      </c>
      <c r="C1373" t="s">
        <v>1734</v>
      </c>
      <c r="D1373" t="s">
        <v>341</v>
      </c>
      <c r="E1373" t="s">
        <v>24</v>
      </c>
      <c r="F1373" t="s">
        <v>200</v>
      </c>
      <c r="G1373">
        <v>10</v>
      </c>
      <c r="H1373" t="s">
        <v>188</v>
      </c>
      <c r="I1373" t="s">
        <v>238</v>
      </c>
      <c r="J1373" t="s">
        <v>674</v>
      </c>
      <c r="K1373" t="s">
        <v>4699</v>
      </c>
      <c r="R1373">
        <v>31</v>
      </c>
    </row>
    <row r="1374" spans="1:18" x14ac:dyDescent="0.25">
      <c r="A1374" t="s">
        <v>4700</v>
      </c>
      <c r="B1374" s="1">
        <v>44597</v>
      </c>
      <c r="C1374" t="s">
        <v>2100</v>
      </c>
      <c r="D1374" t="s">
        <v>341</v>
      </c>
      <c r="E1374" t="s">
        <v>24</v>
      </c>
      <c r="F1374" t="s">
        <v>215</v>
      </c>
      <c r="G1374">
        <v>15</v>
      </c>
      <c r="H1374" t="s">
        <v>464</v>
      </c>
      <c r="I1374" t="s">
        <v>943</v>
      </c>
      <c r="J1374" t="s">
        <v>1709</v>
      </c>
      <c r="K1374" t="s">
        <v>4701</v>
      </c>
    </row>
    <row r="1375" spans="1:18" x14ac:dyDescent="0.25">
      <c r="A1375" t="s">
        <v>4767</v>
      </c>
      <c r="B1375" s="1">
        <v>44604</v>
      </c>
      <c r="C1375" t="s">
        <v>4768</v>
      </c>
      <c r="D1375" t="s">
        <v>341</v>
      </c>
      <c r="E1375" t="s">
        <v>24</v>
      </c>
      <c r="F1375" t="s">
        <v>215</v>
      </c>
      <c r="G1375">
        <v>60</v>
      </c>
      <c r="H1375" t="s">
        <v>188</v>
      </c>
      <c r="I1375" t="s">
        <v>189</v>
      </c>
      <c r="J1375" t="s">
        <v>216</v>
      </c>
      <c r="K1375" t="s">
        <v>4769</v>
      </c>
      <c r="R1375">
        <v>203</v>
      </c>
    </row>
    <row r="1376" spans="1:18" x14ac:dyDescent="0.25">
      <c r="A1376" t="s">
        <v>4770</v>
      </c>
      <c r="B1376" s="1">
        <v>44604</v>
      </c>
      <c r="C1376" t="s">
        <v>3858</v>
      </c>
      <c r="D1376" t="s">
        <v>341</v>
      </c>
      <c r="E1376" t="s">
        <v>24</v>
      </c>
      <c r="F1376" t="s">
        <v>200</v>
      </c>
      <c r="G1376">
        <v>20</v>
      </c>
      <c r="H1376" t="s">
        <v>464</v>
      </c>
      <c r="I1376" t="s">
        <v>943</v>
      </c>
      <c r="J1376" t="s">
        <v>1347</v>
      </c>
      <c r="K1376" t="s">
        <v>4771</v>
      </c>
    </row>
    <row r="1377" spans="1:19" x14ac:dyDescent="0.25">
      <c r="A1377" t="s">
        <v>4841</v>
      </c>
      <c r="B1377" s="1">
        <v>44611</v>
      </c>
      <c r="C1377" t="s">
        <v>157</v>
      </c>
      <c r="D1377" t="s">
        <v>341</v>
      </c>
      <c r="E1377" t="s">
        <v>24</v>
      </c>
      <c r="F1377" t="s">
        <v>243</v>
      </c>
      <c r="G1377">
        <v>30</v>
      </c>
      <c r="H1377" t="s">
        <v>188</v>
      </c>
      <c r="I1377" t="s">
        <v>189</v>
      </c>
      <c r="J1377" t="s">
        <v>3149</v>
      </c>
      <c r="K1377" t="s">
        <v>4842</v>
      </c>
      <c r="R1377">
        <v>97</v>
      </c>
    </row>
    <row r="1378" spans="1:19" x14ac:dyDescent="0.25">
      <c r="A1378" t="s">
        <v>4843</v>
      </c>
      <c r="B1378" s="1">
        <v>44611</v>
      </c>
      <c r="C1378" t="s">
        <v>4550</v>
      </c>
      <c r="D1378" t="s">
        <v>341</v>
      </c>
      <c r="E1378" t="s">
        <v>24</v>
      </c>
      <c r="F1378" t="s">
        <v>208</v>
      </c>
      <c r="G1378">
        <v>20</v>
      </c>
      <c r="H1378" t="s">
        <v>464</v>
      </c>
      <c r="I1378" t="s">
        <v>943</v>
      </c>
      <c r="J1378" t="s">
        <v>1347</v>
      </c>
      <c r="K1378" t="s">
        <v>4844</v>
      </c>
    </row>
    <row r="1379" spans="1:19" x14ac:dyDescent="0.25">
      <c r="A1379" t="s">
        <v>4910</v>
      </c>
      <c r="B1379" s="1">
        <v>44618</v>
      </c>
      <c r="C1379" t="s">
        <v>4911</v>
      </c>
      <c r="D1379" t="s">
        <v>341</v>
      </c>
      <c r="E1379" t="s">
        <v>24</v>
      </c>
      <c r="F1379" t="s">
        <v>490</v>
      </c>
      <c r="G1379">
        <v>30</v>
      </c>
      <c r="H1379" t="s">
        <v>1856</v>
      </c>
      <c r="I1379" t="s">
        <v>4912</v>
      </c>
      <c r="J1379" t="s">
        <v>4913</v>
      </c>
      <c r="K1379" t="s">
        <v>4733</v>
      </c>
      <c r="L1379">
        <v>0</v>
      </c>
      <c r="P1379">
        <v>3.55</v>
      </c>
      <c r="Q1379">
        <v>1.49</v>
      </c>
      <c r="R1379">
        <v>110</v>
      </c>
    </row>
    <row r="1380" spans="1:19" x14ac:dyDescent="0.25">
      <c r="A1380" t="s">
        <v>4914</v>
      </c>
      <c r="B1380" s="1">
        <v>44618</v>
      </c>
      <c r="C1380" t="s">
        <v>414</v>
      </c>
      <c r="D1380" t="s">
        <v>341</v>
      </c>
      <c r="E1380" t="s">
        <v>24</v>
      </c>
      <c r="F1380" t="s">
        <v>4915</v>
      </c>
      <c r="G1380">
        <v>10</v>
      </c>
      <c r="H1380" t="s">
        <v>1856</v>
      </c>
      <c r="I1380" t="s">
        <v>358</v>
      </c>
      <c r="J1380" t="s">
        <v>4916</v>
      </c>
      <c r="K1380" t="s">
        <v>4917</v>
      </c>
      <c r="L1380">
        <v>0</v>
      </c>
      <c r="P1380">
        <v>2.88</v>
      </c>
      <c r="Q1380">
        <v>0.46</v>
      </c>
      <c r="R1380">
        <v>62</v>
      </c>
      <c r="S1380">
        <v>122.03</v>
      </c>
    </row>
    <row r="1381" spans="1:19" x14ac:dyDescent="0.25">
      <c r="A1381" t="s">
        <v>4918</v>
      </c>
      <c r="B1381" s="1">
        <v>44618</v>
      </c>
      <c r="C1381" t="s">
        <v>4919</v>
      </c>
      <c r="D1381" t="s">
        <v>341</v>
      </c>
      <c r="E1381" t="s">
        <v>24</v>
      </c>
      <c r="F1381" t="s">
        <v>1203</v>
      </c>
      <c r="G1381">
        <v>10</v>
      </c>
      <c r="H1381" t="s">
        <v>194</v>
      </c>
      <c r="I1381" t="s">
        <v>1445</v>
      </c>
      <c r="J1381" t="s">
        <v>2809</v>
      </c>
      <c r="K1381" t="s">
        <v>4920</v>
      </c>
      <c r="R1381">
        <v>67</v>
      </c>
      <c r="S1381">
        <v>127.97</v>
      </c>
    </row>
    <row r="1382" spans="1:19" x14ac:dyDescent="0.25">
      <c r="A1382" t="s">
        <v>4921</v>
      </c>
      <c r="B1382" s="1">
        <v>44618</v>
      </c>
      <c r="C1382" t="s">
        <v>504</v>
      </c>
      <c r="D1382" t="s">
        <v>341</v>
      </c>
      <c r="E1382" t="s">
        <v>24</v>
      </c>
      <c r="F1382" t="s">
        <v>2256</v>
      </c>
      <c r="G1382">
        <v>5</v>
      </c>
      <c r="H1382" t="s">
        <v>194</v>
      </c>
      <c r="I1382" t="s">
        <v>195</v>
      </c>
      <c r="J1382" t="s">
        <v>196</v>
      </c>
      <c r="K1382" t="s">
        <v>4922</v>
      </c>
      <c r="R1382">
        <v>24</v>
      </c>
      <c r="S1382">
        <v>108.76</v>
      </c>
    </row>
    <row r="1383" spans="1:19" x14ac:dyDescent="0.25">
      <c r="A1383" t="s">
        <v>4923</v>
      </c>
      <c r="B1383" s="1">
        <v>44618</v>
      </c>
      <c r="C1383" t="s">
        <v>4254</v>
      </c>
      <c r="D1383" t="s">
        <v>341</v>
      </c>
      <c r="E1383" t="s">
        <v>24</v>
      </c>
      <c r="F1383" t="s">
        <v>314</v>
      </c>
      <c r="G1383">
        <v>5</v>
      </c>
      <c r="H1383" t="s">
        <v>49</v>
      </c>
      <c r="I1383" t="s">
        <v>4924</v>
      </c>
      <c r="J1383" t="s">
        <v>4925</v>
      </c>
      <c r="K1383" t="s">
        <v>4926</v>
      </c>
      <c r="R1383">
        <v>22</v>
      </c>
      <c r="S1383">
        <v>107.41</v>
      </c>
    </row>
    <row r="1384" spans="1:19" x14ac:dyDescent="0.25">
      <c r="A1384" t="s">
        <v>5016</v>
      </c>
      <c r="B1384" s="1">
        <v>44625</v>
      </c>
      <c r="C1384" t="s">
        <v>3743</v>
      </c>
      <c r="D1384" t="s">
        <v>341</v>
      </c>
      <c r="E1384" t="s">
        <v>24</v>
      </c>
      <c r="F1384" t="s">
        <v>200</v>
      </c>
      <c r="G1384">
        <v>10</v>
      </c>
      <c r="H1384" t="s">
        <v>464</v>
      </c>
      <c r="I1384" t="s">
        <v>579</v>
      </c>
      <c r="J1384" t="s">
        <v>986</v>
      </c>
      <c r="K1384" t="s">
        <v>5017</v>
      </c>
    </row>
    <row r="1385" spans="1:19" x14ac:dyDescent="0.25">
      <c r="A1385" t="s">
        <v>5086</v>
      </c>
      <c r="B1385" s="1">
        <v>44632</v>
      </c>
      <c r="C1385" t="s">
        <v>5087</v>
      </c>
      <c r="D1385" t="s">
        <v>341</v>
      </c>
      <c r="E1385" t="s">
        <v>24</v>
      </c>
      <c r="F1385" t="s">
        <v>200</v>
      </c>
      <c r="G1385">
        <v>20</v>
      </c>
      <c r="H1385" t="s">
        <v>188</v>
      </c>
      <c r="I1385" t="s">
        <v>238</v>
      </c>
      <c r="J1385" t="s">
        <v>796</v>
      </c>
      <c r="K1385" t="s">
        <v>5088</v>
      </c>
      <c r="R1385">
        <v>61</v>
      </c>
    </row>
    <row r="1386" spans="1:19" x14ac:dyDescent="0.25">
      <c r="A1386" t="s">
        <v>5089</v>
      </c>
      <c r="B1386" s="1">
        <v>44632</v>
      </c>
      <c r="C1386" t="s">
        <v>5090</v>
      </c>
      <c r="D1386" t="s">
        <v>341</v>
      </c>
      <c r="E1386" t="s">
        <v>24</v>
      </c>
      <c r="F1386" t="s">
        <v>200</v>
      </c>
      <c r="G1386">
        <v>20</v>
      </c>
      <c r="H1386" t="s">
        <v>188</v>
      </c>
      <c r="I1386" t="s">
        <v>238</v>
      </c>
      <c r="J1386" t="s">
        <v>2898</v>
      </c>
      <c r="K1386" t="s">
        <v>5091</v>
      </c>
      <c r="R1386">
        <v>57</v>
      </c>
    </row>
    <row r="1387" spans="1:19" x14ac:dyDescent="0.25">
      <c r="A1387" t="s">
        <v>5092</v>
      </c>
      <c r="B1387" s="1">
        <v>44632</v>
      </c>
      <c r="C1387" t="s">
        <v>5093</v>
      </c>
      <c r="D1387" t="s">
        <v>341</v>
      </c>
      <c r="E1387" t="s">
        <v>24</v>
      </c>
      <c r="F1387" t="s">
        <v>200</v>
      </c>
      <c r="G1387">
        <v>10</v>
      </c>
      <c r="H1387" t="s">
        <v>188</v>
      </c>
      <c r="I1387" t="s">
        <v>238</v>
      </c>
      <c r="J1387" t="s">
        <v>5094</v>
      </c>
      <c r="K1387" t="s">
        <v>5095</v>
      </c>
      <c r="R1387">
        <v>32</v>
      </c>
    </row>
    <row r="1388" spans="1:19" x14ac:dyDescent="0.25">
      <c r="A1388" t="s">
        <v>5096</v>
      </c>
      <c r="B1388" s="1">
        <v>44632</v>
      </c>
      <c r="C1388" t="s">
        <v>5097</v>
      </c>
      <c r="D1388" t="s">
        <v>341</v>
      </c>
      <c r="E1388" t="s">
        <v>24</v>
      </c>
      <c r="F1388" t="s">
        <v>180</v>
      </c>
      <c r="G1388">
        <v>20</v>
      </c>
      <c r="H1388" t="s">
        <v>26</v>
      </c>
      <c r="I1388" t="s">
        <v>39</v>
      </c>
      <c r="J1388" t="s">
        <v>2657</v>
      </c>
      <c r="K1388" t="s">
        <v>5098</v>
      </c>
      <c r="L1388">
        <v>84</v>
      </c>
      <c r="M1388">
        <v>70</v>
      </c>
      <c r="N1388" s="2">
        <v>0.33</v>
      </c>
      <c r="O1388">
        <v>81</v>
      </c>
      <c r="P1388">
        <v>13.92</v>
      </c>
      <c r="Q1388">
        <v>4.6399999999999997</v>
      </c>
      <c r="R1388">
        <v>131</v>
      </c>
      <c r="S1388">
        <v>123.69</v>
      </c>
    </row>
    <row r="1389" spans="1:19" x14ac:dyDescent="0.25">
      <c r="A1389" t="s">
        <v>5099</v>
      </c>
      <c r="B1389" s="1">
        <v>44632</v>
      </c>
      <c r="C1389" t="s">
        <v>5100</v>
      </c>
      <c r="D1389" t="s">
        <v>341</v>
      </c>
      <c r="E1389" t="s">
        <v>24</v>
      </c>
      <c r="F1389" t="s">
        <v>33</v>
      </c>
      <c r="G1389">
        <v>20</v>
      </c>
      <c r="H1389" t="s">
        <v>26</v>
      </c>
      <c r="I1389" t="s">
        <v>39</v>
      </c>
      <c r="J1389" t="s">
        <v>2657</v>
      </c>
      <c r="K1389" t="s">
        <v>4882</v>
      </c>
      <c r="L1389">
        <v>82</v>
      </c>
      <c r="M1389">
        <v>69</v>
      </c>
      <c r="N1389" s="2">
        <v>0.31</v>
      </c>
      <c r="O1389">
        <v>85</v>
      </c>
      <c r="P1389">
        <v>13.8</v>
      </c>
      <c r="Q1389">
        <v>4.5999999999999996</v>
      </c>
      <c r="R1389">
        <v>114</v>
      </c>
      <c r="S1389">
        <v>117.66</v>
      </c>
    </row>
    <row r="1390" spans="1:19" x14ac:dyDescent="0.25">
      <c r="A1390" t="s">
        <v>5101</v>
      </c>
      <c r="B1390" s="1">
        <v>44632</v>
      </c>
      <c r="C1390" t="s">
        <v>2240</v>
      </c>
      <c r="D1390" t="s">
        <v>341</v>
      </c>
      <c r="E1390" t="s">
        <v>24</v>
      </c>
      <c r="F1390" t="s">
        <v>5014</v>
      </c>
      <c r="G1390">
        <v>10</v>
      </c>
      <c r="H1390" t="s">
        <v>464</v>
      </c>
      <c r="I1390" t="s">
        <v>579</v>
      </c>
      <c r="J1390" t="s">
        <v>1820</v>
      </c>
      <c r="K1390" t="s">
        <v>5015</v>
      </c>
    </row>
    <row r="1391" spans="1:19" x14ac:dyDescent="0.25">
      <c r="A1391" t="s">
        <v>5181</v>
      </c>
      <c r="B1391" s="1">
        <v>44639</v>
      </c>
      <c r="C1391" t="s">
        <v>3064</v>
      </c>
      <c r="D1391" t="s">
        <v>341</v>
      </c>
      <c r="E1391" t="s">
        <v>24</v>
      </c>
      <c r="F1391" t="s">
        <v>328</v>
      </c>
      <c r="G1391">
        <v>5</v>
      </c>
      <c r="H1391" t="s">
        <v>26</v>
      </c>
      <c r="I1391" t="s">
        <v>423</v>
      </c>
      <c r="J1391" t="s">
        <v>505</v>
      </c>
      <c r="K1391" t="s">
        <v>5182</v>
      </c>
      <c r="L1391">
        <v>26</v>
      </c>
      <c r="M1391">
        <v>86</v>
      </c>
      <c r="N1391" s="2">
        <v>0.33</v>
      </c>
      <c r="O1391">
        <v>91</v>
      </c>
      <c r="P1391">
        <v>15.11</v>
      </c>
      <c r="Q1391">
        <v>1.26</v>
      </c>
      <c r="R1391">
        <v>37</v>
      </c>
      <c r="S1391">
        <v>133.81</v>
      </c>
    </row>
    <row r="1392" spans="1:19" x14ac:dyDescent="0.25">
      <c r="A1392" t="s">
        <v>5183</v>
      </c>
      <c r="B1392" s="1">
        <v>44639</v>
      </c>
      <c r="C1392" t="s">
        <v>5184</v>
      </c>
      <c r="D1392" t="s">
        <v>341</v>
      </c>
      <c r="E1392" t="s">
        <v>24</v>
      </c>
      <c r="F1392" t="s">
        <v>323</v>
      </c>
      <c r="G1392">
        <v>60</v>
      </c>
      <c r="H1392" t="s">
        <v>26</v>
      </c>
      <c r="I1392" t="s">
        <v>370</v>
      </c>
      <c r="J1392" t="s">
        <v>498</v>
      </c>
      <c r="K1392" t="s">
        <v>5185</v>
      </c>
      <c r="L1392">
        <v>372</v>
      </c>
      <c r="M1392">
        <v>103</v>
      </c>
      <c r="N1392" s="2">
        <v>0.37</v>
      </c>
      <c r="O1392">
        <v>87</v>
      </c>
      <c r="P1392">
        <v>16.350000000000001</v>
      </c>
      <c r="Q1392">
        <v>16.350000000000001</v>
      </c>
      <c r="R1392">
        <v>611</v>
      </c>
      <c r="S1392">
        <v>155.47999999999999</v>
      </c>
    </row>
    <row r="1393" spans="1:19" x14ac:dyDescent="0.25">
      <c r="A1393" t="s">
        <v>5186</v>
      </c>
      <c r="B1393" s="1">
        <v>44639</v>
      </c>
      <c r="C1393" t="s">
        <v>5187</v>
      </c>
      <c r="D1393" t="s">
        <v>341</v>
      </c>
      <c r="E1393" t="s">
        <v>24</v>
      </c>
      <c r="F1393" t="s">
        <v>354</v>
      </c>
      <c r="G1393">
        <v>10</v>
      </c>
      <c r="H1393" t="s">
        <v>26</v>
      </c>
      <c r="I1393" t="s">
        <v>358</v>
      </c>
      <c r="J1393" t="s">
        <v>5188</v>
      </c>
      <c r="K1393" t="s">
        <v>5189</v>
      </c>
      <c r="L1393">
        <v>28</v>
      </c>
      <c r="M1393">
        <v>47</v>
      </c>
      <c r="N1393" s="2">
        <v>0.28000000000000003</v>
      </c>
      <c r="O1393">
        <v>78</v>
      </c>
      <c r="P1393">
        <v>11.58</v>
      </c>
      <c r="Q1393">
        <v>1.93</v>
      </c>
      <c r="R1393">
        <v>60</v>
      </c>
      <c r="S1393">
        <v>119.04</v>
      </c>
    </row>
    <row r="1394" spans="1:19" x14ac:dyDescent="0.25">
      <c r="A1394" t="s">
        <v>5190</v>
      </c>
      <c r="B1394" s="1">
        <v>44639</v>
      </c>
      <c r="C1394" t="s">
        <v>5191</v>
      </c>
      <c r="D1394" t="s">
        <v>341</v>
      </c>
      <c r="E1394" t="s">
        <v>24</v>
      </c>
      <c r="F1394" t="s">
        <v>323</v>
      </c>
      <c r="G1394">
        <v>10</v>
      </c>
      <c r="H1394" t="s">
        <v>194</v>
      </c>
      <c r="I1394" t="s">
        <v>700</v>
      </c>
      <c r="J1394" t="s">
        <v>1282</v>
      </c>
      <c r="K1394" t="s">
        <v>5192</v>
      </c>
      <c r="R1394">
        <v>49</v>
      </c>
      <c r="S1394">
        <v>109.8</v>
      </c>
    </row>
    <row r="1395" spans="1:19" x14ac:dyDescent="0.25">
      <c r="A1395" t="s">
        <v>5193</v>
      </c>
      <c r="B1395" s="1">
        <v>44639</v>
      </c>
      <c r="C1395" t="s">
        <v>5194</v>
      </c>
      <c r="D1395" t="s">
        <v>341</v>
      </c>
      <c r="E1395" t="s">
        <v>24</v>
      </c>
      <c r="F1395" t="s">
        <v>2833</v>
      </c>
      <c r="G1395">
        <v>5</v>
      </c>
      <c r="H1395" t="s">
        <v>49</v>
      </c>
      <c r="I1395" t="s">
        <v>50</v>
      </c>
      <c r="J1395" t="s">
        <v>51</v>
      </c>
      <c r="K1395" t="s">
        <v>5195</v>
      </c>
      <c r="R1395">
        <v>16</v>
      </c>
      <c r="S1395">
        <v>72.69</v>
      </c>
    </row>
    <row r="1396" spans="1:19" x14ac:dyDescent="0.25">
      <c r="A1396" t="s">
        <v>5196</v>
      </c>
      <c r="B1396" s="1">
        <v>44639</v>
      </c>
      <c r="C1396" t="s">
        <v>3456</v>
      </c>
      <c r="D1396" t="s">
        <v>341</v>
      </c>
      <c r="E1396" t="s">
        <v>24</v>
      </c>
      <c r="F1396" t="s">
        <v>2708</v>
      </c>
      <c r="G1396">
        <v>10</v>
      </c>
      <c r="H1396" t="s">
        <v>464</v>
      </c>
      <c r="I1396" t="s">
        <v>763</v>
      </c>
      <c r="J1396" t="s">
        <v>764</v>
      </c>
      <c r="K1396" t="s">
        <v>5197</v>
      </c>
    </row>
    <row r="1397" spans="1:19" x14ac:dyDescent="0.25">
      <c r="A1397" t="s">
        <v>5279</v>
      </c>
      <c r="B1397" s="1">
        <v>44646</v>
      </c>
      <c r="C1397" t="s">
        <v>1092</v>
      </c>
      <c r="D1397" t="s">
        <v>341</v>
      </c>
      <c r="E1397" t="s">
        <v>24</v>
      </c>
      <c r="F1397" t="s">
        <v>215</v>
      </c>
      <c r="G1397">
        <v>20</v>
      </c>
      <c r="H1397" t="s">
        <v>188</v>
      </c>
      <c r="I1397" t="s">
        <v>1088</v>
      </c>
      <c r="J1397" t="s">
        <v>1089</v>
      </c>
      <c r="K1397" t="s">
        <v>5280</v>
      </c>
      <c r="R1397">
        <v>34</v>
      </c>
    </row>
    <row r="1398" spans="1:19" x14ac:dyDescent="0.25">
      <c r="A1398" t="s">
        <v>5281</v>
      </c>
      <c r="B1398" s="1">
        <v>44646</v>
      </c>
      <c r="C1398" t="s">
        <v>1540</v>
      </c>
      <c r="D1398" t="s">
        <v>341</v>
      </c>
      <c r="E1398" t="s">
        <v>24</v>
      </c>
      <c r="F1398" t="s">
        <v>208</v>
      </c>
      <c r="G1398">
        <v>15</v>
      </c>
      <c r="H1398" t="s">
        <v>464</v>
      </c>
      <c r="I1398" t="s">
        <v>763</v>
      </c>
      <c r="J1398" t="s">
        <v>2926</v>
      </c>
      <c r="K1398" t="s">
        <v>5278</v>
      </c>
    </row>
    <row r="1399" spans="1:19" x14ac:dyDescent="0.25">
      <c r="A1399" t="s">
        <v>5350</v>
      </c>
      <c r="B1399" s="1">
        <v>44653</v>
      </c>
      <c r="C1399" t="s">
        <v>4919</v>
      </c>
      <c r="D1399" t="s">
        <v>341</v>
      </c>
      <c r="E1399" t="s">
        <v>24</v>
      </c>
      <c r="F1399" t="s">
        <v>1203</v>
      </c>
      <c r="G1399">
        <v>60</v>
      </c>
      <c r="H1399" t="s">
        <v>1856</v>
      </c>
      <c r="I1399" t="s">
        <v>2096</v>
      </c>
      <c r="J1399" t="s">
        <v>5351</v>
      </c>
      <c r="K1399" t="s">
        <v>5352</v>
      </c>
      <c r="L1399">
        <v>0</v>
      </c>
      <c r="P1399">
        <v>0</v>
      </c>
      <c r="Q1399">
        <v>0</v>
      </c>
      <c r="R1399">
        <v>215</v>
      </c>
    </row>
    <row r="1400" spans="1:19" x14ac:dyDescent="0.25">
      <c r="A1400" t="s">
        <v>5353</v>
      </c>
      <c r="B1400" s="1">
        <v>44653</v>
      </c>
      <c r="C1400" t="s">
        <v>1092</v>
      </c>
      <c r="D1400" t="s">
        <v>341</v>
      </c>
      <c r="E1400" t="s">
        <v>24</v>
      </c>
      <c r="F1400" t="s">
        <v>459</v>
      </c>
      <c r="G1400">
        <v>10</v>
      </c>
      <c r="H1400" t="s">
        <v>188</v>
      </c>
      <c r="I1400" t="s">
        <v>238</v>
      </c>
      <c r="J1400" t="s">
        <v>674</v>
      </c>
      <c r="K1400" t="s">
        <v>5354</v>
      </c>
      <c r="R1400">
        <v>37</v>
      </c>
    </row>
    <row r="1401" spans="1:19" x14ac:dyDescent="0.25">
      <c r="A1401" t="s">
        <v>5434</v>
      </c>
      <c r="B1401" s="1">
        <v>44660</v>
      </c>
      <c r="C1401" t="s">
        <v>4151</v>
      </c>
      <c r="D1401" t="s">
        <v>341</v>
      </c>
      <c r="E1401" t="s">
        <v>24</v>
      </c>
      <c r="F1401" t="s">
        <v>215</v>
      </c>
      <c r="G1401">
        <v>10</v>
      </c>
      <c r="H1401" t="s">
        <v>464</v>
      </c>
      <c r="I1401" t="s">
        <v>1571</v>
      </c>
      <c r="J1401" t="s">
        <v>5082</v>
      </c>
      <c r="K1401" t="s">
        <v>5435</v>
      </c>
    </row>
    <row r="1402" spans="1:19" x14ac:dyDescent="0.25">
      <c r="A1402" t="s">
        <v>5436</v>
      </c>
      <c r="B1402" s="1">
        <v>44660</v>
      </c>
      <c r="C1402" t="s">
        <v>5437</v>
      </c>
      <c r="D1402" t="s">
        <v>341</v>
      </c>
      <c r="E1402" t="s">
        <v>24</v>
      </c>
      <c r="F1402" t="s">
        <v>200</v>
      </c>
      <c r="G1402">
        <v>10</v>
      </c>
      <c r="H1402" t="s">
        <v>464</v>
      </c>
      <c r="I1402" t="s">
        <v>763</v>
      </c>
      <c r="J1402" t="s">
        <v>764</v>
      </c>
      <c r="K1402" t="s">
        <v>5438</v>
      </c>
    </row>
    <row r="1403" spans="1:19" x14ac:dyDescent="0.25">
      <c r="A1403" t="s">
        <v>5520</v>
      </c>
      <c r="B1403" s="1">
        <v>44667</v>
      </c>
      <c r="C1403" t="s">
        <v>5521</v>
      </c>
      <c r="D1403" t="s">
        <v>341</v>
      </c>
      <c r="E1403" t="s">
        <v>24</v>
      </c>
      <c r="F1403" t="s">
        <v>215</v>
      </c>
      <c r="G1403">
        <v>20</v>
      </c>
      <c r="H1403" t="s">
        <v>464</v>
      </c>
      <c r="I1403" t="s">
        <v>763</v>
      </c>
      <c r="J1403" t="s">
        <v>1335</v>
      </c>
      <c r="K1403" t="s">
        <v>1336</v>
      </c>
    </row>
    <row r="1404" spans="1:19" x14ac:dyDescent="0.25">
      <c r="A1404" t="s">
        <v>5522</v>
      </c>
      <c r="B1404" s="1">
        <v>44667</v>
      </c>
      <c r="C1404" t="s">
        <v>5523</v>
      </c>
      <c r="D1404" t="s">
        <v>341</v>
      </c>
      <c r="E1404" t="s">
        <v>24</v>
      </c>
      <c r="F1404" t="s">
        <v>323</v>
      </c>
      <c r="G1404">
        <v>60</v>
      </c>
      <c r="H1404" t="s">
        <v>26</v>
      </c>
      <c r="I1404" t="s">
        <v>370</v>
      </c>
      <c r="J1404" t="s">
        <v>646</v>
      </c>
      <c r="K1404" t="s">
        <v>5524</v>
      </c>
      <c r="L1404">
        <v>203</v>
      </c>
      <c r="M1404">
        <v>99</v>
      </c>
      <c r="N1404" s="2">
        <v>0.35</v>
      </c>
      <c r="O1404">
        <v>88</v>
      </c>
      <c r="P1404">
        <v>15.63</v>
      </c>
      <c r="Q1404">
        <v>8.91</v>
      </c>
      <c r="R1404">
        <v>369</v>
      </c>
      <c r="S1404">
        <v>160.55000000000001</v>
      </c>
    </row>
    <row r="1405" spans="1:19" x14ac:dyDescent="0.25">
      <c r="A1405" t="s">
        <v>5525</v>
      </c>
      <c r="B1405" s="1">
        <v>44667</v>
      </c>
      <c r="C1405" t="s">
        <v>347</v>
      </c>
      <c r="D1405" t="s">
        <v>341</v>
      </c>
      <c r="E1405" t="s">
        <v>24</v>
      </c>
      <c r="F1405" t="s">
        <v>237</v>
      </c>
      <c r="G1405">
        <v>20</v>
      </c>
      <c r="H1405" t="s">
        <v>188</v>
      </c>
      <c r="I1405" t="s">
        <v>189</v>
      </c>
      <c r="J1405" t="s">
        <v>5526</v>
      </c>
      <c r="K1405" t="s">
        <v>5527</v>
      </c>
    </row>
    <row r="1406" spans="1:19" x14ac:dyDescent="0.25">
      <c r="A1406" t="s">
        <v>5612</v>
      </c>
      <c r="B1406" s="1">
        <v>44674</v>
      </c>
      <c r="C1406" t="s">
        <v>5613</v>
      </c>
      <c r="D1406" t="s">
        <v>341</v>
      </c>
      <c r="E1406" t="s">
        <v>24</v>
      </c>
      <c r="F1406" t="s">
        <v>855</v>
      </c>
      <c r="G1406">
        <v>60</v>
      </c>
      <c r="H1406" t="s">
        <v>26</v>
      </c>
      <c r="I1406" t="s">
        <v>370</v>
      </c>
      <c r="J1406" t="s">
        <v>856</v>
      </c>
      <c r="K1406" t="s">
        <v>5614</v>
      </c>
      <c r="L1406">
        <v>346</v>
      </c>
      <c r="M1406">
        <v>96</v>
      </c>
      <c r="N1406" s="2">
        <v>0.34</v>
      </c>
      <c r="O1406">
        <v>84</v>
      </c>
      <c r="P1406">
        <v>14.98</v>
      </c>
      <c r="Q1406">
        <v>14.98</v>
      </c>
      <c r="R1406">
        <v>645</v>
      </c>
      <c r="S1406">
        <v>160.72999999999999</v>
      </c>
    </row>
    <row r="1407" spans="1:19" x14ac:dyDescent="0.25">
      <c r="A1407" t="s">
        <v>5615</v>
      </c>
      <c r="B1407" s="1">
        <v>44674</v>
      </c>
      <c r="C1407" t="s">
        <v>5616</v>
      </c>
      <c r="D1407" t="s">
        <v>341</v>
      </c>
      <c r="E1407" t="s">
        <v>24</v>
      </c>
      <c r="F1407" t="s">
        <v>243</v>
      </c>
      <c r="G1407">
        <v>10</v>
      </c>
      <c r="H1407" t="s">
        <v>26</v>
      </c>
      <c r="I1407" t="s">
        <v>39</v>
      </c>
      <c r="J1407" t="s">
        <v>431</v>
      </c>
      <c r="K1407" t="s">
        <v>5617</v>
      </c>
      <c r="L1407">
        <v>25</v>
      </c>
      <c r="M1407">
        <v>42</v>
      </c>
      <c r="N1407" s="2">
        <v>0.26</v>
      </c>
      <c r="O1407">
        <v>79</v>
      </c>
      <c r="P1407">
        <v>11</v>
      </c>
      <c r="Q1407">
        <v>1.83</v>
      </c>
      <c r="R1407">
        <v>67</v>
      </c>
      <c r="S1407">
        <v>126.22</v>
      </c>
    </row>
    <row r="1408" spans="1:19" x14ac:dyDescent="0.25">
      <c r="A1408" t="s">
        <v>5618</v>
      </c>
      <c r="B1408" s="1">
        <v>44674</v>
      </c>
      <c r="C1408" t="s">
        <v>1427</v>
      </c>
      <c r="D1408" t="s">
        <v>341</v>
      </c>
      <c r="E1408" t="s">
        <v>24</v>
      </c>
      <c r="F1408" t="s">
        <v>5567</v>
      </c>
      <c r="G1408">
        <v>10</v>
      </c>
      <c r="H1408" t="s">
        <v>194</v>
      </c>
      <c r="I1408" t="s">
        <v>195</v>
      </c>
      <c r="J1408" t="s">
        <v>211</v>
      </c>
      <c r="K1408" t="s">
        <v>5619</v>
      </c>
      <c r="R1408">
        <v>51</v>
      </c>
      <c r="S1408">
        <v>112.42</v>
      </c>
    </row>
    <row r="1409" spans="1:19" x14ac:dyDescent="0.25">
      <c r="A1409" t="s">
        <v>5620</v>
      </c>
      <c r="B1409" s="1">
        <v>44674</v>
      </c>
      <c r="C1409" t="s">
        <v>2950</v>
      </c>
      <c r="D1409" t="s">
        <v>341</v>
      </c>
      <c r="E1409" t="s">
        <v>24</v>
      </c>
      <c r="F1409" t="s">
        <v>170</v>
      </c>
      <c r="G1409">
        <v>5</v>
      </c>
      <c r="H1409" t="s">
        <v>49</v>
      </c>
      <c r="I1409" t="s">
        <v>226</v>
      </c>
      <c r="J1409" t="s">
        <v>227</v>
      </c>
      <c r="K1409" t="s">
        <v>5621</v>
      </c>
      <c r="R1409">
        <v>19</v>
      </c>
      <c r="S1409">
        <v>98.96</v>
      </c>
    </row>
    <row r="1410" spans="1:19" x14ac:dyDescent="0.25">
      <c r="A1410" t="s">
        <v>5622</v>
      </c>
      <c r="B1410" s="1">
        <v>44674</v>
      </c>
      <c r="C1410" t="s">
        <v>2353</v>
      </c>
      <c r="D1410" t="s">
        <v>341</v>
      </c>
      <c r="E1410" t="s">
        <v>24</v>
      </c>
      <c r="F1410" t="s">
        <v>2708</v>
      </c>
      <c r="G1410">
        <v>10</v>
      </c>
      <c r="H1410" t="s">
        <v>464</v>
      </c>
      <c r="I1410" t="s">
        <v>103</v>
      </c>
      <c r="J1410" t="s">
        <v>5610</v>
      </c>
      <c r="K1410" t="s">
        <v>5623</v>
      </c>
    </row>
    <row r="1411" spans="1:19" x14ac:dyDescent="0.25">
      <c r="A1411" t="s">
        <v>5682</v>
      </c>
      <c r="B1411" s="1">
        <v>44681</v>
      </c>
      <c r="C1411" t="s">
        <v>5683</v>
      </c>
      <c r="D1411" t="s">
        <v>341</v>
      </c>
      <c r="E1411" t="s">
        <v>24</v>
      </c>
      <c r="F1411" t="s">
        <v>323</v>
      </c>
      <c r="G1411">
        <v>90</v>
      </c>
      <c r="H1411" t="s">
        <v>26</v>
      </c>
      <c r="I1411" t="s">
        <v>370</v>
      </c>
      <c r="J1411" t="s">
        <v>1278</v>
      </c>
      <c r="K1411" t="s">
        <v>5684</v>
      </c>
      <c r="L1411">
        <v>561</v>
      </c>
      <c r="M1411">
        <v>104</v>
      </c>
      <c r="N1411" s="2">
        <v>0.37</v>
      </c>
      <c r="O1411">
        <v>86</v>
      </c>
      <c r="P1411">
        <v>16.37</v>
      </c>
      <c r="Q1411">
        <v>24.56</v>
      </c>
      <c r="R1411">
        <v>855</v>
      </c>
      <c r="S1411">
        <v>151.85</v>
      </c>
    </row>
    <row r="1412" spans="1:19" x14ac:dyDescent="0.25">
      <c r="A1412" t="s">
        <v>5685</v>
      </c>
      <c r="B1412" s="1">
        <v>44681</v>
      </c>
      <c r="C1412" t="s">
        <v>5686</v>
      </c>
      <c r="D1412" t="s">
        <v>341</v>
      </c>
      <c r="E1412" t="s">
        <v>24</v>
      </c>
      <c r="G1412">
        <v>5</v>
      </c>
      <c r="H1412" t="s">
        <v>26</v>
      </c>
      <c r="I1412" t="s">
        <v>427</v>
      </c>
      <c r="J1412" t="s">
        <v>5687</v>
      </c>
      <c r="L1412">
        <v>15</v>
      </c>
      <c r="M1412">
        <v>51</v>
      </c>
      <c r="N1412" s="2">
        <v>0.28999999999999998</v>
      </c>
      <c r="O1412">
        <v>79</v>
      </c>
      <c r="P1412">
        <v>12.12</v>
      </c>
      <c r="Q1412">
        <v>1.01</v>
      </c>
      <c r="R1412">
        <v>28</v>
      </c>
      <c r="S1412">
        <v>118.35</v>
      </c>
    </row>
    <row r="1413" spans="1:19" x14ac:dyDescent="0.25">
      <c r="A1413" t="s">
        <v>5688</v>
      </c>
      <c r="B1413" s="1">
        <v>44681</v>
      </c>
      <c r="C1413" t="s">
        <v>5689</v>
      </c>
      <c r="D1413" t="s">
        <v>341</v>
      </c>
      <c r="E1413" t="s">
        <v>24</v>
      </c>
      <c r="F1413" t="s">
        <v>1203</v>
      </c>
      <c r="G1413">
        <v>10</v>
      </c>
      <c r="H1413" t="s">
        <v>49</v>
      </c>
      <c r="I1413" t="s">
        <v>298</v>
      </c>
      <c r="J1413" t="s">
        <v>5690</v>
      </c>
      <c r="K1413" t="s">
        <v>5621</v>
      </c>
      <c r="R1413">
        <v>30</v>
      </c>
      <c r="S1413">
        <v>96.27</v>
      </c>
    </row>
    <row r="1414" spans="1:19" x14ac:dyDescent="0.25">
      <c r="A1414" t="s">
        <v>5691</v>
      </c>
      <c r="B1414" s="1">
        <v>44681</v>
      </c>
      <c r="C1414" t="s">
        <v>1310</v>
      </c>
      <c r="D1414" t="s">
        <v>341</v>
      </c>
      <c r="E1414" t="s">
        <v>24</v>
      </c>
      <c r="F1414" t="s">
        <v>208</v>
      </c>
      <c r="G1414">
        <v>10</v>
      </c>
      <c r="H1414" t="s">
        <v>464</v>
      </c>
      <c r="I1414" t="s">
        <v>943</v>
      </c>
      <c r="J1414" t="s">
        <v>944</v>
      </c>
      <c r="K1414" t="s">
        <v>5692</v>
      </c>
    </row>
    <row r="1415" spans="1:19" x14ac:dyDescent="0.25">
      <c r="A1415" t="s">
        <v>5747</v>
      </c>
      <c r="B1415" s="1">
        <v>44688</v>
      </c>
      <c r="C1415" t="s">
        <v>5748</v>
      </c>
      <c r="D1415" t="s">
        <v>341</v>
      </c>
      <c r="E1415" t="s">
        <v>24</v>
      </c>
      <c r="F1415" t="s">
        <v>323</v>
      </c>
      <c r="G1415">
        <v>5</v>
      </c>
      <c r="H1415" t="s">
        <v>26</v>
      </c>
      <c r="I1415" t="s">
        <v>423</v>
      </c>
      <c r="J1415" t="s">
        <v>505</v>
      </c>
      <c r="K1415" t="s">
        <v>5749</v>
      </c>
      <c r="L1415">
        <v>26</v>
      </c>
      <c r="M1415">
        <v>85</v>
      </c>
      <c r="N1415" s="2">
        <v>0.3</v>
      </c>
      <c r="O1415">
        <v>101</v>
      </c>
      <c r="P1415">
        <v>15.05</v>
      </c>
      <c r="Q1415">
        <v>1.25</v>
      </c>
      <c r="R1415">
        <v>32</v>
      </c>
    </row>
    <row r="1416" spans="1:19" x14ac:dyDescent="0.25">
      <c r="A1416" t="s">
        <v>5750</v>
      </c>
      <c r="B1416" s="1">
        <v>44688</v>
      </c>
      <c r="C1416" t="s">
        <v>5751</v>
      </c>
      <c r="D1416" t="s">
        <v>341</v>
      </c>
      <c r="E1416" t="s">
        <v>24</v>
      </c>
      <c r="F1416" t="s">
        <v>323</v>
      </c>
      <c r="G1416">
        <v>15</v>
      </c>
      <c r="H1416" t="s">
        <v>26</v>
      </c>
      <c r="I1416" t="s">
        <v>370</v>
      </c>
      <c r="J1416" t="s">
        <v>531</v>
      </c>
      <c r="K1416" t="s">
        <v>2181</v>
      </c>
      <c r="L1416">
        <v>85</v>
      </c>
      <c r="M1416">
        <v>94</v>
      </c>
      <c r="N1416" s="2">
        <v>0.34</v>
      </c>
      <c r="O1416">
        <v>93</v>
      </c>
      <c r="P1416">
        <v>15.58</v>
      </c>
      <c r="Q1416">
        <v>3.9</v>
      </c>
      <c r="R1416">
        <v>148</v>
      </c>
      <c r="S1416">
        <v>152.77000000000001</v>
      </c>
    </row>
    <row r="1417" spans="1:19" x14ac:dyDescent="0.25">
      <c r="A1417" t="s">
        <v>5752</v>
      </c>
      <c r="B1417" s="1">
        <v>44688</v>
      </c>
      <c r="C1417" t="s">
        <v>5753</v>
      </c>
      <c r="D1417" t="s">
        <v>341</v>
      </c>
      <c r="E1417" t="s">
        <v>24</v>
      </c>
      <c r="F1417" t="s">
        <v>323</v>
      </c>
      <c r="G1417">
        <v>20</v>
      </c>
      <c r="H1417" t="s">
        <v>26</v>
      </c>
      <c r="I1417" t="s">
        <v>370</v>
      </c>
      <c r="J1417" t="s">
        <v>385</v>
      </c>
      <c r="K1417" t="s">
        <v>2184</v>
      </c>
      <c r="L1417">
        <v>181</v>
      </c>
      <c r="M1417">
        <v>150</v>
      </c>
      <c r="N1417" s="2">
        <v>0.47</v>
      </c>
      <c r="O1417">
        <v>78</v>
      </c>
      <c r="P1417">
        <v>19.100000000000001</v>
      </c>
      <c r="Q1417">
        <v>6.37</v>
      </c>
      <c r="R1417">
        <v>246</v>
      </c>
      <c r="S1417">
        <v>173.92</v>
      </c>
    </row>
    <row r="1418" spans="1:19" x14ac:dyDescent="0.25">
      <c r="A1418" t="s">
        <v>5754</v>
      </c>
      <c r="B1418" s="1">
        <v>44688</v>
      </c>
      <c r="C1418" t="s">
        <v>5755</v>
      </c>
      <c r="D1418" t="s">
        <v>341</v>
      </c>
      <c r="E1418" t="s">
        <v>24</v>
      </c>
      <c r="F1418" t="s">
        <v>323</v>
      </c>
      <c r="G1418">
        <v>5</v>
      </c>
      <c r="H1418" t="s">
        <v>26</v>
      </c>
      <c r="I1418" t="s">
        <v>358</v>
      </c>
      <c r="J1418" t="s">
        <v>359</v>
      </c>
      <c r="K1418" t="s">
        <v>5749</v>
      </c>
      <c r="L1418">
        <v>12</v>
      </c>
      <c r="M1418">
        <v>39</v>
      </c>
      <c r="N1418" s="2">
        <v>0.25</v>
      </c>
      <c r="O1418">
        <v>77</v>
      </c>
      <c r="P1418">
        <v>10.63</v>
      </c>
      <c r="Q1418">
        <v>0.89</v>
      </c>
      <c r="R1418">
        <v>42</v>
      </c>
      <c r="S1418">
        <v>30.86</v>
      </c>
    </row>
    <row r="1419" spans="1:19" x14ac:dyDescent="0.25">
      <c r="A1419" t="s">
        <v>5756</v>
      </c>
      <c r="B1419" s="1">
        <v>44688</v>
      </c>
      <c r="C1419" t="s">
        <v>5757</v>
      </c>
      <c r="D1419" t="s">
        <v>341</v>
      </c>
      <c r="E1419" t="s">
        <v>24</v>
      </c>
      <c r="G1419" t="s">
        <v>5758</v>
      </c>
      <c r="H1419" t="s">
        <v>26</v>
      </c>
      <c r="I1419" t="s">
        <v>427</v>
      </c>
      <c r="J1419" t="s">
        <v>5759</v>
      </c>
      <c r="L1419">
        <v>50</v>
      </c>
      <c r="M1419">
        <v>57</v>
      </c>
      <c r="N1419" s="2">
        <v>0.28999999999999998</v>
      </c>
      <c r="O1419">
        <v>82</v>
      </c>
      <c r="P1419">
        <v>12.7</v>
      </c>
      <c r="Q1419">
        <v>3.11</v>
      </c>
      <c r="R1419">
        <v>113</v>
      </c>
      <c r="S1419">
        <v>135.16999999999999</v>
      </c>
    </row>
    <row r="1420" spans="1:19" x14ac:dyDescent="0.25">
      <c r="A1420" t="s">
        <v>5760</v>
      </c>
      <c r="B1420" s="1">
        <v>44688</v>
      </c>
      <c r="C1420" t="s">
        <v>5761</v>
      </c>
      <c r="D1420" t="s">
        <v>341</v>
      </c>
      <c r="E1420" t="s">
        <v>24</v>
      </c>
      <c r="F1420" t="s">
        <v>335</v>
      </c>
      <c r="G1420">
        <v>10</v>
      </c>
      <c r="H1420" t="s">
        <v>194</v>
      </c>
      <c r="I1420" t="s">
        <v>195</v>
      </c>
      <c r="J1420" t="s">
        <v>5762</v>
      </c>
      <c r="K1420" t="s">
        <v>5763</v>
      </c>
      <c r="R1420">
        <v>48</v>
      </c>
      <c r="S1420">
        <v>108.06</v>
      </c>
    </row>
    <row r="1421" spans="1:19" x14ac:dyDescent="0.25">
      <c r="A1421" t="s">
        <v>5764</v>
      </c>
      <c r="B1421" s="1">
        <v>44688</v>
      </c>
      <c r="C1421" t="s">
        <v>5765</v>
      </c>
      <c r="D1421" t="s">
        <v>341</v>
      </c>
      <c r="E1421" t="s">
        <v>24</v>
      </c>
      <c r="F1421" t="s">
        <v>215</v>
      </c>
      <c r="G1421">
        <v>20</v>
      </c>
      <c r="H1421" t="s">
        <v>188</v>
      </c>
      <c r="I1421" t="s">
        <v>238</v>
      </c>
      <c r="J1421" t="s">
        <v>483</v>
      </c>
      <c r="K1421" t="s">
        <v>5766</v>
      </c>
      <c r="R1421">
        <v>67</v>
      </c>
    </row>
    <row r="1422" spans="1:19" x14ac:dyDescent="0.25">
      <c r="A1422" t="s">
        <v>5767</v>
      </c>
      <c r="B1422" s="1">
        <v>44688</v>
      </c>
      <c r="C1422" t="s">
        <v>4908</v>
      </c>
      <c r="D1422" t="s">
        <v>341</v>
      </c>
      <c r="E1422" t="s">
        <v>24</v>
      </c>
      <c r="F1422" t="s">
        <v>208</v>
      </c>
      <c r="G1422">
        <v>10</v>
      </c>
      <c r="H1422" t="s">
        <v>464</v>
      </c>
      <c r="I1422" t="s">
        <v>763</v>
      </c>
      <c r="J1422" t="s">
        <v>764</v>
      </c>
      <c r="K1422" t="s">
        <v>5768</v>
      </c>
    </row>
    <row r="1423" spans="1:19" x14ac:dyDescent="0.25">
      <c r="A1423" t="s">
        <v>5822</v>
      </c>
      <c r="B1423" s="1">
        <v>44695</v>
      </c>
      <c r="C1423" t="s">
        <v>5823</v>
      </c>
      <c r="D1423" t="s">
        <v>341</v>
      </c>
      <c r="E1423" t="s">
        <v>24</v>
      </c>
      <c r="F1423" t="s">
        <v>768</v>
      </c>
      <c r="G1423">
        <v>10</v>
      </c>
      <c r="H1423" t="s">
        <v>464</v>
      </c>
      <c r="I1423" t="s">
        <v>1249</v>
      </c>
      <c r="J1423" t="s">
        <v>1250</v>
      </c>
      <c r="K1423" t="s">
        <v>5824</v>
      </c>
    </row>
    <row r="1424" spans="1:19" x14ac:dyDescent="0.25">
      <c r="A1424" t="s">
        <v>5825</v>
      </c>
      <c r="B1424" s="1">
        <v>44695</v>
      </c>
      <c r="C1424" t="s">
        <v>1784</v>
      </c>
      <c r="D1424" t="s">
        <v>341</v>
      </c>
      <c r="E1424" t="s">
        <v>24</v>
      </c>
      <c r="F1424" t="s">
        <v>208</v>
      </c>
      <c r="G1424">
        <v>15</v>
      </c>
      <c r="H1424" t="s">
        <v>464</v>
      </c>
      <c r="I1424" t="s">
        <v>943</v>
      </c>
      <c r="J1424" t="s">
        <v>1709</v>
      </c>
      <c r="K1424" t="s">
        <v>5826</v>
      </c>
    </row>
    <row r="1425" spans="1:19" x14ac:dyDescent="0.25">
      <c r="A1425" t="s">
        <v>5899</v>
      </c>
      <c r="B1425" s="1">
        <v>44702</v>
      </c>
      <c r="C1425" t="s">
        <v>1570</v>
      </c>
      <c r="D1425" t="s">
        <v>341</v>
      </c>
      <c r="E1425" t="s">
        <v>24</v>
      </c>
      <c r="F1425" t="s">
        <v>215</v>
      </c>
      <c r="G1425">
        <v>5</v>
      </c>
      <c r="H1425" t="s">
        <v>464</v>
      </c>
      <c r="I1425" t="s">
        <v>579</v>
      </c>
      <c r="J1425" t="s">
        <v>2457</v>
      </c>
      <c r="K1425" t="s">
        <v>5900</v>
      </c>
    </row>
    <row r="1426" spans="1:19" x14ac:dyDescent="0.25">
      <c r="A1426" t="s">
        <v>5901</v>
      </c>
      <c r="B1426" s="1">
        <v>44702</v>
      </c>
      <c r="C1426" t="s">
        <v>5902</v>
      </c>
      <c r="D1426" t="s">
        <v>341</v>
      </c>
      <c r="E1426" t="s">
        <v>24</v>
      </c>
      <c r="F1426" t="s">
        <v>231</v>
      </c>
      <c r="G1426">
        <v>10</v>
      </c>
      <c r="H1426" t="s">
        <v>194</v>
      </c>
      <c r="I1426" t="s">
        <v>195</v>
      </c>
      <c r="J1426" t="s">
        <v>211</v>
      </c>
      <c r="K1426" t="s">
        <v>5903</v>
      </c>
      <c r="R1426">
        <v>55</v>
      </c>
      <c r="S1426">
        <v>114.27</v>
      </c>
    </row>
    <row r="1427" spans="1:19" x14ac:dyDescent="0.25">
      <c r="A1427" t="s">
        <v>5904</v>
      </c>
      <c r="B1427" s="1">
        <v>44702</v>
      </c>
      <c r="C1427" t="s">
        <v>4768</v>
      </c>
      <c r="D1427" t="s">
        <v>341</v>
      </c>
      <c r="E1427" t="s">
        <v>24</v>
      </c>
      <c r="F1427" t="s">
        <v>25</v>
      </c>
      <c r="G1427">
        <v>10</v>
      </c>
      <c r="H1427" t="s">
        <v>194</v>
      </c>
      <c r="I1427" t="s">
        <v>5421</v>
      </c>
      <c r="J1427" t="s">
        <v>5905</v>
      </c>
      <c r="K1427" t="s">
        <v>5906</v>
      </c>
      <c r="R1427">
        <v>65</v>
      </c>
      <c r="S1427">
        <v>123.7</v>
      </c>
    </row>
    <row r="1428" spans="1:19" x14ac:dyDescent="0.25">
      <c r="A1428" t="s">
        <v>5907</v>
      </c>
      <c r="B1428" s="1">
        <v>44702</v>
      </c>
      <c r="C1428" t="s">
        <v>2504</v>
      </c>
      <c r="D1428" t="s">
        <v>341</v>
      </c>
      <c r="E1428" t="s">
        <v>24</v>
      </c>
      <c r="F1428" t="s">
        <v>215</v>
      </c>
      <c r="G1428">
        <v>75</v>
      </c>
      <c r="H1428" t="s">
        <v>188</v>
      </c>
      <c r="I1428" t="s">
        <v>189</v>
      </c>
      <c r="J1428" t="s">
        <v>1890</v>
      </c>
      <c r="K1428" t="s">
        <v>5908</v>
      </c>
      <c r="R1428">
        <v>216</v>
      </c>
    </row>
    <row r="1429" spans="1:19" x14ac:dyDescent="0.25">
      <c r="A1429" t="s">
        <v>5973</v>
      </c>
      <c r="B1429" s="1">
        <v>44709</v>
      </c>
      <c r="C1429" t="s">
        <v>5974</v>
      </c>
      <c r="D1429" t="s">
        <v>341</v>
      </c>
      <c r="E1429" t="s">
        <v>24</v>
      </c>
      <c r="F1429" t="s">
        <v>323</v>
      </c>
      <c r="G1429">
        <v>90</v>
      </c>
      <c r="H1429" t="s">
        <v>26</v>
      </c>
      <c r="I1429" t="s">
        <v>370</v>
      </c>
      <c r="J1429" t="s">
        <v>1278</v>
      </c>
      <c r="K1429" t="s">
        <v>5975</v>
      </c>
      <c r="L1429">
        <v>554</v>
      </c>
      <c r="M1429">
        <v>103</v>
      </c>
      <c r="N1429" s="2">
        <v>0.37</v>
      </c>
      <c r="O1429">
        <v>86</v>
      </c>
      <c r="P1429">
        <v>16.32</v>
      </c>
      <c r="Q1429">
        <v>24.48</v>
      </c>
      <c r="R1429">
        <v>784</v>
      </c>
      <c r="S1429">
        <v>141.88</v>
      </c>
    </row>
    <row r="1430" spans="1:19" x14ac:dyDescent="0.25">
      <c r="A1430" t="s">
        <v>5976</v>
      </c>
      <c r="B1430" s="1">
        <v>44709</v>
      </c>
      <c r="C1430" t="s">
        <v>5977</v>
      </c>
      <c r="D1430" t="s">
        <v>341</v>
      </c>
      <c r="E1430" t="s">
        <v>24</v>
      </c>
      <c r="F1430" t="s">
        <v>323</v>
      </c>
      <c r="G1430">
        <v>5</v>
      </c>
      <c r="H1430" t="s">
        <v>49</v>
      </c>
      <c r="I1430" t="s">
        <v>50</v>
      </c>
      <c r="J1430" t="s">
        <v>51</v>
      </c>
      <c r="K1430" t="s">
        <v>5860</v>
      </c>
      <c r="R1430">
        <v>24</v>
      </c>
      <c r="S1430">
        <v>111.2</v>
      </c>
    </row>
    <row r="1431" spans="1:19" x14ac:dyDescent="0.25">
      <c r="A1431" t="s">
        <v>5978</v>
      </c>
      <c r="B1431" s="1">
        <v>44709</v>
      </c>
      <c r="C1431" t="s">
        <v>1861</v>
      </c>
      <c r="D1431" t="s">
        <v>341</v>
      </c>
      <c r="E1431" t="s">
        <v>24</v>
      </c>
      <c r="F1431" t="s">
        <v>2708</v>
      </c>
      <c r="G1431">
        <v>20</v>
      </c>
      <c r="H1431" t="s">
        <v>464</v>
      </c>
      <c r="I1431" t="s">
        <v>943</v>
      </c>
      <c r="J1431" t="s">
        <v>1347</v>
      </c>
      <c r="K1431" t="s">
        <v>5963</v>
      </c>
    </row>
    <row r="1432" spans="1:19" x14ac:dyDescent="0.25">
      <c r="A1432" t="s">
        <v>6041</v>
      </c>
      <c r="B1432" s="1">
        <v>44716</v>
      </c>
      <c r="C1432" t="s">
        <v>626</v>
      </c>
      <c r="D1432" t="s">
        <v>341</v>
      </c>
      <c r="E1432" t="s">
        <v>24</v>
      </c>
      <c r="F1432" t="s">
        <v>208</v>
      </c>
      <c r="G1432">
        <v>5</v>
      </c>
      <c r="H1432" t="s">
        <v>464</v>
      </c>
      <c r="I1432" t="s">
        <v>1249</v>
      </c>
      <c r="J1432" t="s">
        <v>3935</v>
      </c>
      <c r="K1432" t="s">
        <v>6042</v>
      </c>
    </row>
    <row r="1433" spans="1:19" x14ac:dyDescent="0.25">
      <c r="A1433" t="s">
        <v>6043</v>
      </c>
      <c r="B1433" s="1">
        <v>44716</v>
      </c>
      <c r="C1433" t="s">
        <v>1639</v>
      </c>
      <c r="D1433" t="s">
        <v>341</v>
      </c>
      <c r="E1433" t="s">
        <v>24</v>
      </c>
      <c r="F1433" t="s">
        <v>237</v>
      </c>
      <c r="G1433">
        <v>5</v>
      </c>
      <c r="H1433" t="s">
        <v>464</v>
      </c>
      <c r="I1433" t="s">
        <v>579</v>
      </c>
      <c r="J1433" t="s">
        <v>833</v>
      </c>
      <c r="K1433" t="s">
        <v>6044</v>
      </c>
    </row>
    <row r="1434" spans="1:19" x14ac:dyDescent="0.25">
      <c r="A1434" t="s">
        <v>6105</v>
      </c>
      <c r="B1434" s="1">
        <v>44723</v>
      </c>
      <c r="C1434" t="s">
        <v>2307</v>
      </c>
      <c r="D1434" t="s">
        <v>341</v>
      </c>
      <c r="E1434" t="s">
        <v>24</v>
      </c>
      <c r="F1434" t="s">
        <v>215</v>
      </c>
      <c r="G1434">
        <v>20</v>
      </c>
      <c r="H1434" t="s">
        <v>464</v>
      </c>
      <c r="I1434" t="s">
        <v>579</v>
      </c>
      <c r="J1434" t="s">
        <v>1758</v>
      </c>
      <c r="K1434" t="s">
        <v>6106</v>
      </c>
    </row>
    <row r="1435" spans="1:19" x14ac:dyDescent="0.25">
      <c r="A1435" t="s">
        <v>6168</v>
      </c>
      <c r="B1435" s="1">
        <v>44730</v>
      </c>
      <c r="C1435" t="s">
        <v>6169</v>
      </c>
      <c r="D1435" t="s">
        <v>341</v>
      </c>
      <c r="E1435" t="s">
        <v>24</v>
      </c>
      <c r="F1435" t="s">
        <v>243</v>
      </c>
      <c r="G1435">
        <v>45</v>
      </c>
      <c r="H1435" t="s">
        <v>188</v>
      </c>
      <c r="I1435" t="s">
        <v>254</v>
      </c>
      <c r="J1435" t="s">
        <v>1741</v>
      </c>
      <c r="K1435" t="s">
        <v>6170</v>
      </c>
      <c r="R1435">
        <v>138</v>
      </c>
    </row>
    <row r="1436" spans="1:19" x14ac:dyDescent="0.25">
      <c r="A1436" t="s">
        <v>6171</v>
      </c>
      <c r="B1436" s="1">
        <v>44730</v>
      </c>
      <c r="C1436" t="s">
        <v>6172</v>
      </c>
      <c r="D1436" t="s">
        <v>341</v>
      </c>
      <c r="E1436" t="s">
        <v>24</v>
      </c>
      <c r="F1436" t="s">
        <v>200</v>
      </c>
      <c r="G1436">
        <v>10</v>
      </c>
      <c r="H1436" t="s">
        <v>464</v>
      </c>
      <c r="I1436" t="s">
        <v>943</v>
      </c>
      <c r="J1436" t="s">
        <v>944</v>
      </c>
      <c r="K1436" t="s">
        <v>6173</v>
      </c>
    </row>
    <row r="1437" spans="1:19" x14ac:dyDescent="0.25">
      <c r="A1437" t="s">
        <v>6225</v>
      </c>
      <c r="B1437" s="1">
        <v>44737</v>
      </c>
      <c r="C1437" t="s">
        <v>6226</v>
      </c>
      <c r="D1437" t="s">
        <v>341</v>
      </c>
      <c r="E1437" t="s">
        <v>24</v>
      </c>
      <c r="F1437" t="s">
        <v>237</v>
      </c>
      <c r="G1437">
        <v>20</v>
      </c>
      <c r="H1437" t="s">
        <v>188</v>
      </c>
      <c r="I1437" t="s">
        <v>238</v>
      </c>
      <c r="J1437" t="s">
        <v>4709</v>
      </c>
      <c r="K1437" t="s">
        <v>6227</v>
      </c>
      <c r="R1437">
        <v>82</v>
      </c>
      <c r="S1437">
        <v>101.59</v>
      </c>
    </row>
    <row r="1438" spans="1:19" x14ac:dyDescent="0.25">
      <c r="A1438" t="s">
        <v>6295</v>
      </c>
      <c r="B1438" s="1">
        <v>44744</v>
      </c>
      <c r="C1438" t="s">
        <v>6296</v>
      </c>
      <c r="D1438" t="s">
        <v>341</v>
      </c>
      <c r="E1438" t="s">
        <v>24</v>
      </c>
      <c r="F1438" t="s">
        <v>200</v>
      </c>
      <c r="G1438">
        <v>10</v>
      </c>
      <c r="H1438" t="s">
        <v>464</v>
      </c>
      <c r="I1438" t="s">
        <v>1571</v>
      </c>
      <c r="J1438" t="s">
        <v>2704</v>
      </c>
      <c r="K1438" t="s">
        <v>6297</v>
      </c>
    </row>
    <row r="1439" spans="1:19" x14ac:dyDescent="0.25">
      <c r="A1439" t="s">
        <v>6369</v>
      </c>
      <c r="B1439" s="1">
        <v>44751</v>
      </c>
      <c r="C1439" t="s">
        <v>6370</v>
      </c>
      <c r="D1439" t="s">
        <v>341</v>
      </c>
      <c r="E1439" t="s">
        <v>24</v>
      </c>
      <c r="F1439" t="s">
        <v>243</v>
      </c>
      <c r="G1439">
        <v>45</v>
      </c>
      <c r="H1439" t="s">
        <v>26</v>
      </c>
      <c r="I1439" t="s">
        <v>370</v>
      </c>
      <c r="J1439" t="s">
        <v>479</v>
      </c>
      <c r="K1439" t="s">
        <v>6371</v>
      </c>
      <c r="L1439">
        <v>281</v>
      </c>
      <c r="M1439">
        <v>104</v>
      </c>
      <c r="N1439" s="2">
        <v>0.37</v>
      </c>
      <c r="O1439">
        <v>86</v>
      </c>
      <c r="P1439">
        <v>16.16</v>
      </c>
      <c r="Q1439">
        <v>12.12</v>
      </c>
      <c r="R1439">
        <v>422</v>
      </c>
      <c r="S1439">
        <v>149.91</v>
      </c>
    </row>
    <row r="1440" spans="1:19" x14ac:dyDescent="0.25">
      <c r="A1440" t="s">
        <v>6372</v>
      </c>
      <c r="B1440" s="1">
        <v>44751</v>
      </c>
      <c r="C1440" t="s">
        <v>6373</v>
      </c>
      <c r="D1440" t="s">
        <v>341</v>
      </c>
      <c r="E1440" t="s">
        <v>24</v>
      </c>
      <c r="F1440" t="s">
        <v>243</v>
      </c>
      <c r="G1440">
        <v>15</v>
      </c>
      <c r="H1440" t="s">
        <v>26</v>
      </c>
      <c r="I1440" t="s">
        <v>39</v>
      </c>
      <c r="J1440" t="s">
        <v>366</v>
      </c>
      <c r="K1440" t="s">
        <v>6374</v>
      </c>
      <c r="L1440">
        <v>81</v>
      </c>
      <c r="M1440">
        <v>90</v>
      </c>
      <c r="N1440" s="2">
        <v>0.36</v>
      </c>
      <c r="O1440">
        <v>82</v>
      </c>
      <c r="P1440">
        <v>15.4</v>
      </c>
      <c r="Q1440">
        <v>3.86</v>
      </c>
      <c r="R1440">
        <v>122</v>
      </c>
      <c r="S1440">
        <v>136.94</v>
      </c>
    </row>
    <row r="1441" spans="1:19" x14ac:dyDescent="0.25">
      <c r="A1441" t="s">
        <v>6375</v>
      </c>
      <c r="B1441" s="1">
        <v>44751</v>
      </c>
      <c r="C1441" t="s">
        <v>6325</v>
      </c>
      <c r="D1441" t="s">
        <v>341</v>
      </c>
      <c r="E1441" t="s">
        <v>24</v>
      </c>
      <c r="F1441" t="s">
        <v>6030</v>
      </c>
      <c r="G1441">
        <v>10</v>
      </c>
      <c r="H1441" t="s">
        <v>194</v>
      </c>
      <c r="I1441" t="s">
        <v>195</v>
      </c>
      <c r="J1441" t="s">
        <v>211</v>
      </c>
      <c r="K1441" t="s">
        <v>6376</v>
      </c>
      <c r="R1441">
        <v>52</v>
      </c>
      <c r="S1441">
        <v>110.63</v>
      </c>
    </row>
    <row r="1442" spans="1:19" x14ac:dyDescent="0.25">
      <c r="A1442" t="s">
        <v>6377</v>
      </c>
      <c r="B1442" s="1">
        <v>44751</v>
      </c>
      <c r="C1442" t="s">
        <v>6378</v>
      </c>
      <c r="D1442" t="s">
        <v>341</v>
      </c>
      <c r="E1442" t="s">
        <v>24</v>
      </c>
      <c r="F1442" t="s">
        <v>237</v>
      </c>
      <c r="G1442">
        <v>10</v>
      </c>
      <c r="H1442" t="s">
        <v>188</v>
      </c>
      <c r="I1442" t="s">
        <v>238</v>
      </c>
      <c r="J1442" t="s">
        <v>6379</v>
      </c>
      <c r="K1442" t="s">
        <v>6380</v>
      </c>
      <c r="R1442">
        <v>35</v>
      </c>
    </row>
    <row r="1443" spans="1:19" x14ac:dyDescent="0.25">
      <c r="A1443" t="s">
        <v>6455</v>
      </c>
      <c r="B1443" s="1">
        <v>44758</v>
      </c>
      <c r="C1443" t="s">
        <v>1292</v>
      </c>
      <c r="D1443" t="s">
        <v>341</v>
      </c>
      <c r="E1443" t="s">
        <v>24</v>
      </c>
      <c r="F1443" t="s">
        <v>237</v>
      </c>
      <c r="G1443">
        <v>10</v>
      </c>
      <c r="H1443" t="s">
        <v>464</v>
      </c>
      <c r="I1443" t="s">
        <v>1571</v>
      </c>
      <c r="J1443" t="s">
        <v>2704</v>
      </c>
      <c r="K1443" t="s">
        <v>6456</v>
      </c>
    </row>
    <row r="1444" spans="1:19" x14ac:dyDescent="0.25">
      <c r="A1444" t="s">
        <v>6517</v>
      </c>
      <c r="B1444" s="1">
        <v>44765</v>
      </c>
      <c r="C1444" t="s">
        <v>6518</v>
      </c>
      <c r="D1444" t="s">
        <v>341</v>
      </c>
      <c r="E1444" t="s">
        <v>24</v>
      </c>
      <c r="F1444" t="s">
        <v>323</v>
      </c>
      <c r="G1444">
        <v>15</v>
      </c>
      <c r="H1444" t="s">
        <v>26</v>
      </c>
      <c r="I1444" t="s">
        <v>370</v>
      </c>
      <c r="J1444" t="s">
        <v>531</v>
      </c>
      <c r="K1444" t="s">
        <v>2181</v>
      </c>
      <c r="L1444">
        <v>85</v>
      </c>
      <c r="M1444">
        <v>95</v>
      </c>
      <c r="N1444" s="2">
        <v>0.34</v>
      </c>
      <c r="O1444">
        <v>91</v>
      </c>
      <c r="P1444">
        <v>15.56</v>
      </c>
      <c r="Q1444">
        <v>3.89</v>
      </c>
      <c r="R1444">
        <v>120</v>
      </c>
      <c r="S1444">
        <v>136.08000000000001</v>
      </c>
    </row>
    <row r="1445" spans="1:19" x14ac:dyDescent="0.25">
      <c r="A1445" t="s">
        <v>6519</v>
      </c>
      <c r="B1445" s="1">
        <v>44765</v>
      </c>
      <c r="C1445" t="s">
        <v>6520</v>
      </c>
      <c r="D1445" t="s">
        <v>341</v>
      </c>
      <c r="E1445" t="s">
        <v>24</v>
      </c>
      <c r="F1445" t="s">
        <v>323</v>
      </c>
      <c r="G1445">
        <v>20</v>
      </c>
      <c r="H1445" t="s">
        <v>26</v>
      </c>
      <c r="I1445" t="s">
        <v>370</v>
      </c>
      <c r="J1445" t="s">
        <v>385</v>
      </c>
      <c r="K1445" t="s">
        <v>2184</v>
      </c>
      <c r="L1445">
        <v>202</v>
      </c>
      <c r="M1445">
        <v>168</v>
      </c>
      <c r="N1445" s="2">
        <v>0.47</v>
      </c>
      <c r="O1445">
        <v>82</v>
      </c>
      <c r="P1445">
        <v>19.96</v>
      </c>
      <c r="Q1445">
        <v>6.66</v>
      </c>
      <c r="R1445">
        <v>246</v>
      </c>
      <c r="S1445">
        <v>172.7</v>
      </c>
    </row>
    <row r="1446" spans="1:19" x14ac:dyDescent="0.25">
      <c r="A1446" t="s">
        <v>6521</v>
      </c>
      <c r="B1446" s="1">
        <v>44765</v>
      </c>
      <c r="C1446" t="s">
        <v>3018</v>
      </c>
      <c r="D1446" t="s">
        <v>341</v>
      </c>
      <c r="E1446" t="s">
        <v>24</v>
      </c>
      <c r="G1446">
        <v>10</v>
      </c>
      <c r="H1446" t="s">
        <v>26</v>
      </c>
      <c r="I1446" t="s">
        <v>427</v>
      </c>
      <c r="J1446" t="s">
        <v>6522</v>
      </c>
      <c r="L1446">
        <v>26</v>
      </c>
      <c r="M1446">
        <v>44</v>
      </c>
      <c r="N1446" s="2">
        <v>0.28000000000000003</v>
      </c>
      <c r="O1446">
        <v>72</v>
      </c>
      <c r="P1446">
        <v>11.13</v>
      </c>
      <c r="Q1446">
        <v>1.85</v>
      </c>
      <c r="R1446">
        <v>69</v>
      </c>
      <c r="S1446">
        <v>127.03</v>
      </c>
    </row>
    <row r="1447" spans="1:19" x14ac:dyDescent="0.25">
      <c r="A1447" t="s">
        <v>6523</v>
      </c>
      <c r="B1447" s="1">
        <v>44765</v>
      </c>
      <c r="C1447" t="s">
        <v>746</v>
      </c>
      <c r="D1447" t="s">
        <v>341</v>
      </c>
      <c r="E1447" t="s">
        <v>24</v>
      </c>
      <c r="F1447" t="s">
        <v>237</v>
      </c>
      <c r="G1447">
        <v>30</v>
      </c>
      <c r="H1447" t="s">
        <v>188</v>
      </c>
      <c r="I1447" t="s">
        <v>254</v>
      </c>
      <c r="J1447" t="s">
        <v>255</v>
      </c>
      <c r="K1447" t="s">
        <v>6524</v>
      </c>
      <c r="R1447">
        <v>96</v>
      </c>
    </row>
    <row r="1448" spans="1:19" x14ac:dyDescent="0.25">
      <c r="A1448" t="s">
        <v>6586</v>
      </c>
      <c r="B1448" s="1">
        <v>44772</v>
      </c>
      <c r="C1448" t="s">
        <v>2240</v>
      </c>
      <c r="D1448" t="s">
        <v>341</v>
      </c>
      <c r="E1448" t="s">
        <v>24</v>
      </c>
      <c r="F1448" t="s">
        <v>208</v>
      </c>
      <c r="G1448">
        <v>10</v>
      </c>
      <c r="H1448" t="s">
        <v>464</v>
      </c>
      <c r="I1448" t="s">
        <v>579</v>
      </c>
      <c r="J1448" t="s">
        <v>986</v>
      </c>
      <c r="K1448" t="s">
        <v>6587</v>
      </c>
    </row>
    <row r="1449" spans="1:19" x14ac:dyDescent="0.25">
      <c r="A1449" t="s">
        <v>6637</v>
      </c>
      <c r="B1449" s="1">
        <v>44779</v>
      </c>
      <c r="C1449" t="s">
        <v>251</v>
      </c>
      <c r="D1449" t="s">
        <v>341</v>
      </c>
      <c r="E1449" t="s">
        <v>24</v>
      </c>
      <c r="F1449" t="s">
        <v>200</v>
      </c>
      <c r="G1449">
        <v>5</v>
      </c>
      <c r="H1449" t="s">
        <v>464</v>
      </c>
      <c r="I1449" t="s">
        <v>579</v>
      </c>
      <c r="J1449" t="s">
        <v>6638</v>
      </c>
      <c r="K1449" t="s">
        <v>6639</v>
      </c>
    </row>
    <row r="1450" spans="1:19" x14ac:dyDescent="0.25">
      <c r="A1450" t="s">
        <v>6720</v>
      </c>
      <c r="B1450" s="1">
        <v>44793</v>
      </c>
      <c r="C1450" t="s">
        <v>4650</v>
      </c>
      <c r="D1450" t="s">
        <v>341</v>
      </c>
      <c r="E1450" t="s">
        <v>24</v>
      </c>
      <c r="F1450" t="s">
        <v>215</v>
      </c>
      <c r="G1450">
        <v>10</v>
      </c>
      <c r="H1450" t="s">
        <v>464</v>
      </c>
      <c r="I1450" t="s">
        <v>943</v>
      </c>
      <c r="J1450" t="s">
        <v>944</v>
      </c>
      <c r="K1450" t="s">
        <v>6653</v>
      </c>
    </row>
    <row r="1451" spans="1:19" x14ac:dyDescent="0.25">
      <c r="A1451" t="s">
        <v>6799</v>
      </c>
      <c r="B1451" s="1">
        <v>44800</v>
      </c>
      <c r="C1451" t="s">
        <v>5393</v>
      </c>
      <c r="D1451" t="s">
        <v>341</v>
      </c>
      <c r="E1451" t="s">
        <v>24</v>
      </c>
      <c r="F1451" t="s">
        <v>243</v>
      </c>
      <c r="G1451">
        <v>30</v>
      </c>
      <c r="H1451" t="s">
        <v>188</v>
      </c>
      <c r="I1451" t="s">
        <v>254</v>
      </c>
      <c r="J1451" t="s">
        <v>6800</v>
      </c>
      <c r="K1451" t="s">
        <v>6732</v>
      </c>
      <c r="R1451">
        <v>95</v>
      </c>
    </row>
    <row r="1452" spans="1:19" x14ac:dyDescent="0.25">
      <c r="A1452" t="s">
        <v>6801</v>
      </c>
      <c r="B1452" s="1">
        <v>44800</v>
      </c>
      <c r="C1452" t="s">
        <v>4409</v>
      </c>
      <c r="D1452" t="s">
        <v>341</v>
      </c>
      <c r="E1452" t="s">
        <v>24</v>
      </c>
      <c r="F1452" t="s">
        <v>180</v>
      </c>
      <c r="G1452">
        <v>5</v>
      </c>
      <c r="H1452" t="s">
        <v>194</v>
      </c>
      <c r="I1452" t="s">
        <v>195</v>
      </c>
      <c r="J1452" t="s">
        <v>196</v>
      </c>
      <c r="K1452" t="s">
        <v>6802</v>
      </c>
      <c r="R1452">
        <v>21</v>
      </c>
    </row>
    <row r="1453" spans="1:19" x14ac:dyDescent="0.25">
      <c r="A1453" t="s">
        <v>6803</v>
      </c>
      <c r="B1453" s="1">
        <v>44800</v>
      </c>
      <c r="C1453" t="s">
        <v>3733</v>
      </c>
      <c r="D1453" t="s">
        <v>341</v>
      </c>
      <c r="E1453" t="s">
        <v>24</v>
      </c>
      <c r="F1453" t="s">
        <v>554</v>
      </c>
      <c r="G1453">
        <v>15</v>
      </c>
      <c r="H1453" t="s">
        <v>49</v>
      </c>
      <c r="I1453" t="s">
        <v>1960</v>
      </c>
      <c r="J1453" t="s">
        <v>3349</v>
      </c>
      <c r="K1453" t="s">
        <v>2862</v>
      </c>
      <c r="R1453">
        <v>64</v>
      </c>
    </row>
    <row r="1454" spans="1:19" x14ac:dyDescent="0.25">
      <c r="A1454" t="s">
        <v>6852</v>
      </c>
      <c r="B1454" s="1">
        <v>44807</v>
      </c>
      <c r="C1454" t="s">
        <v>230</v>
      </c>
      <c r="D1454" t="s">
        <v>341</v>
      </c>
      <c r="E1454" t="s">
        <v>24</v>
      </c>
      <c r="F1454" t="s">
        <v>554</v>
      </c>
      <c r="G1454">
        <v>10</v>
      </c>
      <c r="H1454" t="s">
        <v>49</v>
      </c>
      <c r="I1454" t="s">
        <v>1960</v>
      </c>
      <c r="J1454" t="s">
        <v>3287</v>
      </c>
      <c r="K1454" t="s">
        <v>2862</v>
      </c>
      <c r="R1454">
        <v>43</v>
      </c>
      <c r="S1454">
        <v>103.08</v>
      </c>
    </row>
    <row r="1455" spans="1:19" x14ac:dyDescent="0.25">
      <c r="A1455" t="s">
        <v>6853</v>
      </c>
      <c r="B1455" s="1">
        <v>44807</v>
      </c>
      <c r="C1455" t="s">
        <v>753</v>
      </c>
      <c r="D1455" t="s">
        <v>341</v>
      </c>
      <c r="E1455" t="s">
        <v>24</v>
      </c>
      <c r="F1455" t="s">
        <v>554</v>
      </c>
      <c r="G1455">
        <v>10</v>
      </c>
      <c r="H1455" t="s">
        <v>49</v>
      </c>
      <c r="I1455" t="s">
        <v>1960</v>
      </c>
      <c r="J1455" t="s">
        <v>3284</v>
      </c>
      <c r="K1455" t="s">
        <v>3285</v>
      </c>
      <c r="R1455">
        <v>45</v>
      </c>
      <c r="S1455">
        <v>105.45</v>
      </c>
    </row>
    <row r="1456" spans="1:19" x14ac:dyDescent="0.25">
      <c r="A1456" t="s">
        <v>6854</v>
      </c>
      <c r="B1456" s="1">
        <v>44807</v>
      </c>
      <c r="C1456" t="s">
        <v>6855</v>
      </c>
      <c r="D1456" t="s">
        <v>341</v>
      </c>
      <c r="E1456" t="s">
        <v>24</v>
      </c>
      <c r="F1456" t="s">
        <v>237</v>
      </c>
      <c r="G1456">
        <v>30</v>
      </c>
      <c r="H1456" t="s">
        <v>188</v>
      </c>
      <c r="I1456" t="s">
        <v>238</v>
      </c>
      <c r="J1456" t="s">
        <v>6856</v>
      </c>
      <c r="K1456" t="s">
        <v>6802</v>
      </c>
      <c r="R1456">
        <v>101</v>
      </c>
      <c r="S1456">
        <v>94.53</v>
      </c>
    </row>
    <row r="1457" spans="1:19" x14ac:dyDescent="0.25">
      <c r="A1457" t="s">
        <v>6954</v>
      </c>
      <c r="B1457" s="1">
        <v>44821</v>
      </c>
      <c r="C1457" t="s">
        <v>6955</v>
      </c>
      <c r="D1457" t="s">
        <v>341</v>
      </c>
      <c r="E1457" t="s">
        <v>24</v>
      </c>
      <c r="F1457" t="s">
        <v>2708</v>
      </c>
      <c r="G1457">
        <v>10</v>
      </c>
      <c r="H1457" t="s">
        <v>464</v>
      </c>
      <c r="I1457" t="s">
        <v>579</v>
      </c>
      <c r="J1457" t="s">
        <v>602</v>
      </c>
      <c r="K1457" t="s">
        <v>6956</v>
      </c>
    </row>
    <row r="1458" spans="1:19" x14ac:dyDescent="0.25">
      <c r="A1458" t="s">
        <v>6957</v>
      </c>
      <c r="B1458" s="1">
        <v>44821</v>
      </c>
      <c r="C1458" t="s">
        <v>193</v>
      </c>
      <c r="D1458" t="s">
        <v>341</v>
      </c>
      <c r="E1458" t="s">
        <v>24</v>
      </c>
      <c r="F1458" t="s">
        <v>2708</v>
      </c>
      <c r="G1458">
        <v>10</v>
      </c>
      <c r="H1458" t="s">
        <v>464</v>
      </c>
      <c r="I1458" t="s">
        <v>579</v>
      </c>
      <c r="J1458" t="s">
        <v>602</v>
      </c>
      <c r="K1458" t="s">
        <v>6956</v>
      </c>
    </row>
    <row r="1459" spans="1:19" x14ac:dyDescent="0.25">
      <c r="A1459" t="s">
        <v>7047</v>
      </c>
      <c r="B1459" s="1">
        <v>44835</v>
      </c>
      <c r="C1459" t="s">
        <v>2059</v>
      </c>
      <c r="D1459" t="s">
        <v>341</v>
      </c>
      <c r="E1459" t="s">
        <v>24</v>
      </c>
      <c r="F1459" t="s">
        <v>215</v>
      </c>
      <c r="G1459">
        <v>10</v>
      </c>
      <c r="H1459" t="s">
        <v>464</v>
      </c>
      <c r="I1459" t="s">
        <v>763</v>
      </c>
      <c r="J1459" t="s">
        <v>764</v>
      </c>
      <c r="K1459" t="s">
        <v>7048</v>
      </c>
    </row>
    <row r="1460" spans="1:19" x14ac:dyDescent="0.25">
      <c r="A1460" t="s">
        <v>7138</v>
      </c>
      <c r="B1460" s="1">
        <v>44849</v>
      </c>
      <c r="C1460" t="s">
        <v>7139</v>
      </c>
      <c r="D1460" t="s">
        <v>341</v>
      </c>
      <c r="E1460" t="s">
        <v>24</v>
      </c>
      <c r="F1460" t="s">
        <v>323</v>
      </c>
      <c r="G1460">
        <v>60</v>
      </c>
      <c r="H1460" t="s">
        <v>26</v>
      </c>
      <c r="I1460" t="s">
        <v>370</v>
      </c>
      <c r="J1460" t="s">
        <v>498</v>
      </c>
      <c r="K1460" t="s">
        <v>7140</v>
      </c>
      <c r="L1460">
        <v>421</v>
      </c>
      <c r="M1460">
        <v>117</v>
      </c>
      <c r="N1460" s="2">
        <v>0.39</v>
      </c>
      <c r="O1460">
        <v>86</v>
      </c>
      <c r="P1460">
        <v>17.18</v>
      </c>
      <c r="Q1460">
        <v>17.18</v>
      </c>
      <c r="R1460">
        <v>610</v>
      </c>
      <c r="S1460">
        <v>154.62</v>
      </c>
    </row>
    <row r="1461" spans="1:19" x14ac:dyDescent="0.25">
      <c r="A1461" t="s">
        <v>7141</v>
      </c>
      <c r="B1461" s="1">
        <v>44849</v>
      </c>
      <c r="C1461" t="s">
        <v>3275</v>
      </c>
      <c r="D1461" t="s">
        <v>341</v>
      </c>
      <c r="E1461" t="s">
        <v>24</v>
      </c>
      <c r="G1461">
        <v>5</v>
      </c>
      <c r="H1461" t="s">
        <v>26</v>
      </c>
      <c r="I1461" t="s">
        <v>427</v>
      </c>
      <c r="J1461" t="s">
        <v>7142</v>
      </c>
      <c r="L1461">
        <v>18</v>
      </c>
      <c r="M1461">
        <v>61</v>
      </c>
      <c r="N1461" s="2">
        <v>0.31</v>
      </c>
      <c r="O1461">
        <v>80</v>
      </c>
      <c r="P1461">
        <v>13.06</v>
      </c>
      <c r="Q1461">
        <v>1.0900000000000001</v>
      </c>
      <c r="R1461">
        <v>29</v>
      </c>
      <c r="S1461">
        <v>94.14</v>
      </c>
    </row>
    <row r="1462" spans="1:19" x14ac:dyDescent="0.25">
      <c r="A1462" t="s">
        <v>7143</v>
      </c>
      <c r="B1462" s="1">
        <v>44849</v>
      </c>
      <c r="C1462" t="s">
        <v>3396</v>
      </c>
      <c r="D1462" t="s">
        <v>341</v>
      </c>
      <c r="E1462" t="s">
        <v>24</v>
      </c>
      <c r="F1462" t="s">
        <v>354</v>
      </c>
      <c r="G1462">
        <v>10</v>
      </c>
      <c r="H1462" t="s">
        <v>194</v>
      </c>
      <c r="I1462" t="s">
        <v>700</v>
      </c>
      <c r="J1462" t="s">
        <v>1282</v>
      </c>
      <c r="K1462" t="s">
        <v>7144</v>
      </c>
      <c r="R1462">
        <v>49</v>
      </c>
      <c r="S1462">
        <v>109.61</v>
      </c>
    </row>
    <row r="1463" spans="1:19" x14ac:dyDescent="0.25">
      <c r="A1463" t="s">
        <v>7145</v>
      </c>
      <c r="B1463" s="1">
        <v>44849</v>
      </c>
      <c r="C1463" t="s">
        <v>7146</v>
      </c>
      <c r="D1463" t="s">
        <v>341</v>
      </c>
      <c r="E1463" t="s">
        <v>24</v>
      </c>
      <c r="F1463" t="s">
        <v>180</v>
      </c>
      <c r="G1463">
        <v>5</v>
      </c>
      <c r="H1463" t="s">
        <v>194</v>
      </c>
      <c r="I1463" t="s">
        <v>195</v>
      </c>
      <c r="J1463" t="s">
        <v>196</v>
      </c>
      <c r="K1463" t="s">
        <v>7147</v>
      </c>
      <c r="R1463">
        <v>17</v>
      </c>
      <c r="S1463">
        <v>96.99</v>
      </c>
    </row>
    <row r="1464" spans="1:19" x14ac:dyDescent="0.25">
      <c r="A1464" t="s">
        <v>7148</v>
      </c>
      <c r="B1464" s="1">
        <v>44849</v>
      </c>
      <c r="C1464" t="s">
        <v>7149</v>
      </c>
      <c r="D1464" t="s">
        <v>341</v>
      </c>
      <c r="E1464" t="s">
        <v>24</v>
      </c>
      <c r="F1464" t="s">
        <v>200</v>
      </c>
      <c r="G1464">
        <v>10</v>
      </c>
      <c r="H1464" t="s">
        <v>188</v>
      </c>
      <c r="I1464" t="s">
        <v>238</v>
      </c>
      <c r="J1464" t="s">
        <v>674</v>
      </c>
      <c r="K1464" t="s">
        <v>7150</v>
      </c>
      <c r="R1464">
        <v>29</v>
      </c>
      <c r="S1464">
        <v>88.66</v>
      </c>
    </row>
    <row r="1465" spans="1:19" x14ac:dyDescent="0.25">
      <c r="A1465" t="s">
        <v>7207</v>
      </c>
      <c r="B1465" s="1">
        <v>44856</v>
      </c>
      <c r="C1465" t="s">
        <v>1658</v>
      </c>
      <c r="D1465" t="s">
        <v>341</v>
      </c>
      <c r="E1465" t="s">
        <v>24</v>
      </c>
      <c r="F1465" t="s">
        <v>215</v>
      </c>
      <c r="G1465">
        <v>15</v>
      </c>
      <c r="H1465" t="s">
        <v>464</v>
      </c>
      <c r="I1465" t="s">
        <v>943</v>
      </c>
      <c r="J1465" t="s">
        <v>1709</v>
      </c>
      <c r="K1465" t="s">
        <v>7172</v>
      </c>
    </row>
    <row r="1466" spans="1:19" x14ac:dyDescent="0.25">
      <c r="A1466" t="s">
        <v>7265</v>
      </c>
      <c r="B1466" s="1">
        <v>44863</v>
      </c>
      <c r="C1466" t="s">
        <v>7266</v>
      </c>
      <c r="D1466" t="s">
        <v>341</v>
      </c>
      <c r="E1466" t="s">
        <v>24</v>
      </c>
      <c r="F1466" t="s">
        <v>208</v>
      </c>
      <c r="G1466">
        <v>30</v>
      </c>
      <c r="H1466" t="s">
        <v>464</v>
      </c>
      <c r="I1466" t="s">
        <v>943</v>
      </c>
      <c r="J1466" t="s">
        <v>1621</v>
      </c>
      <c r="K1466" t="s">
        <v>7267</v>
      </c>
    </row>
    <row r="1467" spans="1:19" x14ac:dyDescent="0.25">
      <c r="A1467" t="s">
        <v>7345</v>
      </c>
      <c r="B1467" s="1">
        <v>44877</v>
      </c>
      <c r="C1467" t="s">
        <v>7346</v>
      </c>
      <c r="D1467" t="s">
        <v>341</v>
      </c>
      <c r="E1467" t="s">
        <v>24</v>
      </c>
      <c r="F1467" t="s">
        <v>215</v>
      </c>
      <c r="G1467">
        <v>30</v>
      </c>
      <c r="H1467" t="s">
        <v>188</v>
      </c>
      <c r="I1467" t="s">
        <v>254</v>
      </c>
      <c r="J1467" t="s">
        <v>255</v>
      </c>
      <c r="K1467" t="s">
        <v>7347</v>
      </c>
      <c r="R1467">
        <v>87</v>
      </c>
      <c r="S1467">
        <v>84.45</v>
      </c>
    </row>
    <row r="1468" spans="1:19" x14ac:dyDescent="0.25">
      <c r="A1468" t="s">
        <v>7396</v>
      </c>
      <c r="B1468" s="1">
        <v>44884</v>
      </c>
      <c r="C1468" t="s">
        <v>7397</v>
      </c>
      <c r="D1468" t="s">
        <v>341</v>
      </c>
      <c r="E1468" t="s">
        <v>24</v>
      </c>
      <c r="F1468" t="s">
        <v>243</v>
      </c>
      <c r="G1468">
        <v>30</v>
      </c>
      <c r="H1468" t="s">
        <v>188</v>
      </c>
      <c r="I1468" t="s">
        <v>238</v>
      </c>
      <c r="J1468" t="s">
        <v>1956</v>
      </c>
      <c r="K1468" t="s">
        <v>7398</v>
      </c>
      <c r="R1468">
        <v>88</v>
      </c>
    </row>
    <row r="1469" spans="1:19" x14ac:dyDescent="0.25">
      <c r="A1469" t="s">
        <v>7399</v>
      </c>
      <c r="B1469" s="1">
        <v>44884</v>
      </c>
      <c r="C1469" t="s">
        <v>818</v>
      </c>
      <c r="D1469" t="s">
        <v>341</v>
      </c>
      <c r="E1469" t="s">
        <v>24</v>
      </c>
      <c r="F1469" t="s">
        <v>208</v>
      </c>
      <c r="G1469">
        <v>10</v>
      </c>
      <c r="H1469" t="s">
        <v>464</v>
      </c>
      <c r="I1469" t="s">
        <v>763</v>
      </c>
      <c r="J1469" t="s">
        <v>914</v>
      </c>
      <c r="K1469" t="s">
        <v>7400</v>
      </c>
    </row>
    <row r="1470" spans="1:19" x14ac:dyDescent="0.25">
      <c r="A1470" t="s">
        <v>7401</v>
      </c>
      <c r="B1470" s="1">
        <v>44884</v>
      </c>
      <c r="C1470" t="s">
        <v>4369</v>
      </c>
      <c r="D1470" t="s">
        <v>341</v>
      </c>
      <c r="E1470" t="s">
        <v>24</v>
      </c>
      <c r="F1470" t="s">
        <v>215</v>
      </c>
      <c r="G1470">
        <v>10</v>
      </c>
      <c r="H1470" t="s">
        <v>464</v>
      </c>
      <c r="I1470" t="s">
        <v>103</v>
      </c>
      <c r="J1470" t="s">
        <v>3441</v>
      </c>
      <c r="K1470" t="s">
        <v>7402</v>
      </c>
    </row>
    <row r="1471" spans="1:19" x14ac:dyDescent="0.25">
      <c r="A1471" t="s">
        <v>7493</v>
      </c>
      <c r="B1471" s="1">
        <v>44898</v>
      </c>
      <c r="C1471" t="s">
        <v>7494</v>
      </c>
      <c r="D1471" t="s">
        <v>341</v>
      </c>
      <c r="E1471" t="s">
        <v>24</v>
      </c>
      <c r="F1471" t="s">
        <v>323</v>
      </c>
      <c r="G1471">
        <v>45</v>
      </c>
      <c r="H1471" t="s">
        <v>26</v>
      </c>
      <c r="I1471" t="s">
        <v>370</v>
      </c>
      <c r="J1471" t="s">
        <v>479</v>
      </c>
      <c r="K1471" t="s">
        <v>7495</v>
      </c>
      <c r="L1471">
        <v>274</v>
      </c>
      <c r="M1471">
        <v>102</v>
      </c>
      <c r="N1471" s="2">
        <v>0.34</v>
      </c>
      <c r="O1471">
        <v>90</v>
      </c>
      <c r="P1471">
        <v>15.61</v>
      </c>
      <c r="Q1471">
        <v>11.71</v>
      </c>
      <c r="R1471">
        <v>502</v>
      </c>
      <c r="S1471">
        <v>163.38999999999999</v>
      </c>
    </row>
    <row r="1472" spans="1:19" x14ac:dyDescent="0.25">
      <c r="A1472" t="s">
        <v>7496</v>
      </c>
      <c r="B1472" s="1">
        <v>44898</v>
      </c>
      <c r="C1472" t="s">
        <v>7497</v>
      </c>
      <c r="D1472" t="s">
        <v>341</v>
      </c>
      <c r="E1472" t="s">
        <v>24</v>
      </c>
      <c r="F1472" t="s">
        <v>905</v>
      </c>
      <c r="G1472">
        <v>5</v>
      </c>
      <c r="H1472" t="s">
        <v>26</v>
      </c>
      <c r="I1472" t="s">
        <v>358</v>
      </c>
      <c r="J1472" t="s">
        <v>359</v>
      </c>
      <c r="K1472" t="s">
        <v>7498</v>
      </c>
      <c r="L1472">
        <v>13</v>
      </c>
      <c r="M1472">
        <v>42</v>
      </c>
      <c r="N1472" s="2">
        <v>0.25</v>
      </c>
      <c r="O1472">
        <v>84</v>
      </c>
      <c r="P1472">
        <v>11.03</v>
      </c>
      <c r="Q1472">
        <v>0.92</v>
      </c>
      <c r="R1472">
        <v>38</v>
      </c>
      <c r="S1472">
        <v>128.53</v>
      </c>
    </row>
    <row r="1473" spans="1:19" x14ac:dyDescent="0.25">
      <c r="A1473" t="s">
        <v>7499</v>
      </c>
      <c r="B1473" s="1">
        <v>44898</v>
      </c>
      <c r="C1473" t="s">
        <v>3754</v>
      </c>
      <c r="D1473" t="s">
        <v>341</v>
      </c>
      <c r="E1473" t="s">
        <v>24</v>
      </c>
      <c r="F1473" t="s">
        <v>354</v>
      </c>
      <c r="G1473">
        <v>20</v>
      </c>
      <c r="H1473" t="s">
        <v>194</v>
      </c>
      <c r="I1473" t="s">
        <v>1445</v>
      </c>
      <c r="J1473" t="s">
        <v>4217</v>
      </c>
      <c r="K1473" t="s">
        <v>7500</v>
      </c>
      <c r="R1473">
        <v>91</v>
      </c>
    </row>
    <row r="1474" spans="1:19" x14ac:dyDescent="0.25">
      <c r="A1474" t="s">
        <v>7501</v>
      </c>
      <c r="B1474" s="1">
        <v>44898</v>
      </c>
      <c r="C1474" t="s">
        <v>7502</v>
      </c>
      <c r="D1474" t="s">
        <v>341</v>
      </c>
      <c r="E1474" t="s">
        <v>24</v>
      </c>
      <c r="F1474" t="s">
        <v>243</v>
      </c>
      <c r="G1474">
        <v>30</v>
      </c>
      <c r="H1474" t="s">
        <v>188</v>
      </c>
      <c r="I1474" t="s">
        <v>189</v>
      </c>
      <c r="J1474" t="s">
        <v>201</v>
      </c>
      <c r="K1474" t="s">
        <v>7503</v>
      </c>
      <c r="R1474">
        <v>89</v>
      </c>
    </row>
    <row r="1475" spans="1:19" x14ac:dyDescent="0.25">
      <c r="A1475" t="s">
        <v>7504</v>
      </c>
      <c r="B1475" s="1">
        <v>44898</v>
      </c>
      <c r="C1475" t="s">
        <v>7505</v>
      </c>
      <c r="D1475" t="s">
        <v>341</v>
      </c>
      <c r="E1475" t="s">
        <v>24</v>
      </c>
      <c r="F1475" t="s">
        <v>215</v>
      </c>
      <c r="G1475">
        <v>10</v>
      </c>
      <c r="H1475" t="s">
        <v>464</v>
      </c>
      <c r="I1475" t="s">
        <v>103</v>
      </c>
      <c r="J1475" t="s">
        <v>3441</v>
      </c>
      <c r="K1475" t="s">
        <v>7506</v>
      </c>
    </row>
    <row r="1476" spans="1:19" x14ac:dyDescent="0.25">
      <c r="A1476" t="s">
        <v>7584</v>
      </c>
      <c r="B1476" s="1">
        <v>44905</v>
      </c>
      <c r="C1476" t="s">
        <v>1835</v>
      </c>
      <c r="D1476" t="s">
        <v>341</v>
      </c>
      <c r="E1476" t="s">
        <v>24</v>
      </c>
      <c r="F1476" t="s">
        <v>215</v>
      </c>
      <c r="G1476">
        <v>5</v>
      </c>
      <c r="H1476" t="s">
        <v>464</v>
      </c>
      <c r="I1476" t="s">
        <v>579</v>
      </c>
      <c r="J1476" t="s">
        <v>7570</v>
      </c>
      <c r="K1476" t="s">
        <v>7571</v>
      </c>
    </row>
    <row r="1477" spans="1:19" x14ac:dyDescent="0.25">
      <c r="A1477" t="s">
        <v>7585</v>
      </c>
      <c r="B1477" s="1">
        <v>44905</v>
      </c>
      <c r="C1477" t="s">
        <v>5603</v>
      </c>
      <c r="D1477" t="s">
        <v>341</v>
      </c>
      <c r="E1477" t="s">
        <v>24</v>
      </c>
      <c r="F1477" t="s">
        <v>237</v>
      </c>
      <c r="G1477">
        <v>10</v>
      </c>
      <c r="H1477" t="s">
        <v>464</v>
      </c>
      <c r="I1477" t="s">
        <v>579</v>
      </c>
      <c r="J1477" t="s">
        <v>1000</v>
      </c>
      <c r="K1477" t="s">
        <v>7559</v>
      </c>
    </row>
    <row r="1478" spans="1:19" x14ac:dyDescent="0.25">
      <c r="A1478" t="s">
        <v>7586</v>
      </c>
      <c r="B1478" s="1">
        <v>44905</v>
      </c>
      <c r="C1478" t="s">
        <v>7587</v>
      </c>
      <c r="D1478" t="s">
        <v>341</v>
      </c>
      <c r="E1478" t="s">
        <v>24</v>
      </c>
      <c r="F1478" t="s">
        <v>459</v>
      </c>
      <c r="G1478">
        <v>10</v>
      </c>
      <c r="H1478" t="s">
        <v>464</v>
      </c>
      <c r="I1478" t="s">
        <v>763</v>
      </c>
      <c r="J1478" t="s">
        <v>764</v>
      </c>
      <c r="K1478" t="s">
        <v>7588</v>
      </c>
    </row>
    <row r="1479" spans="1:19" x14ac:dyDescent="0.25">
      <c r="A1479" t="s">
        <v>7665</v>
      </c>
      <c r="B1479" s="1">
        <v>44912</v>
      </c>
      <c r="C1479" t="s">
        <v>7666</v>
      </c>
      <c r="D1479" t="s">
        <v>341</v>
      </c>
      <c r="E1479" t="s">
        <v>24</v>
      </c>
      <c r="F1479" t="s">
        <v>2708</v>
      </c>
      <c r="G1479">
        <v>10</v>
      </c>
      <c r="H1479" t="s">
        <v>464</v>
      </c>
      <c r="I1479" t="s">
        <v>579</v>
      </c>
      <c r="J1479" t="s">
        <v>808</v>
      </c>
      <c r="K1479" t="s">
        <v>7667</v>
      </c>
    </row>
    <row r="1480" spans="1:19" x14ac:dyDescent="0.25">
      <c r="A1480" t="s">
        <v>7668</v>
      </c>
      <c r="B1480" s="1">
        <v>44912</v>
      </c>
      <c r="C1480" t="s">
        <v>7669</v>
      </c>
      <c r="D1480" t="s">
        <v>341</v>
      </c>
      <c r="G1480">
        <v>80</v>
      </c>
      <c r="H1480" t="s">
        <v>26</v>
      </c>
      <c r="J1480" t="s">
        <v>7670</v>
      </c>
      <c r="L1480">
        <v>0</v>
      </c>
      <c r="M1480">
        <v>0</v>
      </c>
      <c r="N1480" s="2">
        <v>0</v>
      </c>
      <c r="O1480">
        <v>0</v>
      </c>
      <c r="P1480">
        <v>14.8</v>
      </c>
      <c r="Q1480">
        <v>18.78</v>
      </c>
      <c r="R1480">
        <v>453</v>
      </c>
    </row>
    <row r="1481" spans="1:19" x14ac:dyDescent="0.25">
      <c r="A1481" t="s">
        <v>7671</v>
      </c>
      <c r="B1481" s="1">
        <v>44912</v>
      </c>
      <c r="C1481" t="s">
        <v>7672</v>
      </c>
      <c r="D1481" t="s">
        <v>341</v>
      </c>
      <c r="G1481">
        <v>33</v>
      </c>
      <c r="H1481" t="s">
        <v>26</v>
      </c>
      <c r="J1481" t="s">
        <v>7673</v>
      </c>
      <c r="L1481">
        <v>0</v>
      </c>
      <c r="M1481">
        <v>0</v>
      </c>
      <c r="N1481" s="2">
        <v>0</v>
      </c>
      <c r="O1481">
        <v>0</v>
      </c>
      <c r="P1481">
        <v>12.43</v>
      </c>
      <c r="Q1481">
        <v>6.52</v>
      </c>
      <c r="R1481">
        <v>192</v>
      </c>
    </row>
    <row r="1482" spans="1:19" x14ac:dyDescent="0.25">
      <c r="A1482" t="s">
        <v>7674</v>
      </c>
      <c r="B1482" s="1">
        <v>44912</v>
      </c>
      <c r="C1482" t="s">
        <v>7675</v>
      </c>
      <c r="D1482" t="s">
        <v>341</v>
      </c>
      <c r="E1482" t="s">
        <v>24</v>
      </c>
      <c r="F1482" t="s">
        <v>6030</v>
      </c>
      <c r="G1482">
        <v>5</v>
      </c>
      <c r="H1482" t="s">
        <v>194</v>
      </c>
      <c r="I1482" t="s">
        <v>195</v>
      </c>
      <c r="J1482" t="s">
        <v>196</v>
      </c>
      <c r="K1482" t="s">
        <v>7676</v>
      </c>
      <c r="R1482">
        <v>26</v>
      </c>
      <c r="S1482">
        <v>112.81</v>
      </c>
    </row>
    <row r="1483" spans="1:19" x14ac:dyDescent="0.25">
      <c r="A1483" t="s">
        <v>7677</v>
      </c>
      <c r="B1483" s="1">
        <v>44912</v>
      </c>
      <c r="C1483" t="s">
        <v>7678</v>
      </c>
      <c r="D1483" t="s">
        <v>341</v>
      </c>
      <c r="E1483" t="s">
        <v>24</v>
      </c>
      <c r="F1483" t="s">
        <v>1987</v>
      </c>
      <c r="G1483">
        <v>10</v>
      </c>
      <c r="H1483" t="s">
        <v>188</v>
      </c>
      <c r="I1483" t="s">
        <v>238</v>
      </c>
      <c r="J1483" t="s">
        <v>7679</v>
      </c>
      <c r="K1483" t="s">
        <v>7362</v>
      </c>
      <c r="R1483">
        <v>47</v>
      </c>
      <c r="S1483">
        <v>108</v>
      </c>
    </row>
    <row r="1484" spans="1:19" x14ac:dyDescent="0.25">
      <c r="A1484" t="s">
        <v>7680</v>
      </c>
      <c r="B1484" s="1">
        <v>44912</v>
      </c>
      <c r="C1484" t="s">
        <v>7681</v>
      </c>
      <c r="D1484" t="s">
        <v>341</v>
      </c>
      <c r="E1484" t="s">
        <v>24</v>
      </c>
      <c r="F1484" t="s">
        <v>459</v>
      </c>
      <c r="G1484">
        <v>10</v>
      </c>
      <c r="H1484" t="s">
        <v>464</v>
      </c>
      <c r="I1484" t="s">
        <v>579</v>
      </c>
      <c r="J1484" t="s">
        <v>602</v>
      </c>
      <c r="K1484" t="s">
        <v>7682</v>
      </c>
    </row>
    <row r="1485" spans="1:19" x14ac:dyDescent="0.25">
      <c r="A1485" t="s">
        <v>7748</v>
      </c>
      <c r="B1485" s="1">
        <v>44919</v>
      </c>
      <c r="C1485" t="s">
        <v>7749</v>
      </c>
      <c r="D1485" t="s">
        <v>341</v>
      </c>
      <c r="E1485" t="s">
        <v>24</v>
      </c>
      <c r="F1485" t="s">
        <v>297</v>
      </c>
      <c r="G1485">
        <v>45</v>
      </c>
      <c r="H1485" t="s">
        <v>7750</v>
      </c>
      <c r="I1485" t="s">
        <v>663</v>
      </c>
      <c r="J1485" t="s">
        <v>7751</v>
      </c>
      <c r="K1485" t="s">
        <v>7564</v>
      </c>
      <c r="L1485">
        <v>133</v>
      </c>
      <c r="P1485">
        <v>2.9</v>
      </c>
      <c r="Q1485">
        <v>3.03</v>
      </c>
      <c r="R1485">
        <v>434</v>
      </c>
      <c r="S1485">
        <v>154.41999999999999</v>
      </c>
    </row>
    <row r="1486" spans="1:19" x14ac:dyDescent="0.25">
      <c r="A1486" t="s">
        <v>7752</v>
      </c>
      <c r="B1486" s="1">
        <v>44919</v>
      </c>
      <c r="C1486" t="s">
        <v>7753</v>
      </c>
      <c r="D1486" t="s">
        <v>341</v>
      </c>
      <c r="E1486" t="s">
        <v>24</v>
      </c>
      <c r="F1486" t="s">
        <v>7754</v>
      </c>
      <c r="G1486">
        <v>10</v>
      </c>
      <c r="H1486" t="s">
        <v>7562</v>
      </c>
      <c r="I1486" t="s">
        <v>7755</v>
      </c>
      <c r="J1486" t="s">
        <v>7756</v>
      </c>
      <c r="K1486" t="s">
        <v>7564</v>
      </c>
      <c r="L1486">
        <v>21</v>
      </c>
      <c r="P1486">
        <v>2.65</v>
      </c>
      <c r="Q1486">
        <v>0.67</v>
      </c>
      <c r="R1486">
        <v>68</v>
      </c>
      <c r="S1486">
        <v>128.87</v>
      </c>
    </row>
    <row r="1487" spans="1:19" x14ac:dyDescent="0.25">
      <c r="A1487" t="s">
        <v>7757</v>
      </c>
      <c r="B1487" s="1">
        <v>44919</v>
      </c>
      <c r="C1487" t="s">
        <v>5606</v>
      </c>
      <c r="D1487" t="s">
        <v>341</v>
      </c>
      <c r="E1487" t="s">
        <v>24</v>
      </c>
      <c r="F1487" t="s">
        <v>215</v>
      </c>
      <c r="G1487">
        <v>45</v>
      </c>
      <c r="H1487" t="s">
        <v>188</v>
      </c>
      <c r="I1487" t="s">
        <v>189</v>
      </c>
      <c r="J1487" t="s">
        <v>244</v>
      </c>
      <c r="K1487" t="s">
        <v>7758</v>
      </c>
      <c r="R1487">
        <v>134</v>
      </c>
    </row>
    <row r="1488" spans="1:19" x14ac:dyDescent="0.25">
      <c r="A1488" t="s">
        <v>7759</v>
      </c>
      <c r="B1488" s="1">
        <v>44919</v>
      </c>
      <c r="C1488" t="s">
        <v>1639</v>
      </c>
      <c r="D1488" t="s">
        <v>341</v>
      </c>
      <c r="E1488" t="s">
        <v>24</v>
      </c>
      <c r="F1488" t="s">
        <v>215</v>
      </c>
      <c r="G1488">
        <v>10</v>
      </c>
      <c r="H1488" t="s">
        <v>464</v>
      </c>
      <c r="I1488" t="s">
        <v>103</v>
      </c>
      <c r="J1488" t="s">
        <v>7760</v>
      </c>
      <c r="K1488" t="s">
        <v>7761</v>
      </c>
    </row>
    <row r="1489" spans="1:19" x14ac:dyDescent="0.25">
      <c r="A1489" t="s">
        <v>7898</v>
      </c>
      <c r="B1489" s="1">
        <v>44933</v>
      </c>
      <c r="C1489" t="s">
        <v>1454</v>
      </c>
      <c r="D1489" t="s">
        <v>341</v>
      </c>
      <c r="E1489" t="s">
        <v>24</v>
      </c>
      <c r="F1489" t="s">
        <v>215</v>
      </c>
      <c r="G1489">
        <v>20</v>
      </c>
      <c r="H1489" t="s">
        <v>188</v>
      </c>
      <c r="I1489" t="s">
        <v>238</v>
      </c>
      <c r="J1489" t="s">
        <v>796</v>
      </c>
      <c r="K1489" t="s">
        <v>7899</v>
      </c>
      <c r="R1489">
        <v>64</v>
      </c>
    </row>
    <row r="1490" spans="1:19" x14ac:dyDescent="0.25">
      <c r="A1490" t="s">
        <v>7900</v>
      </c>
      <c r="B1490" s="1">
        <v>44933</v>
      </c>
      <c r="C1490" t="s">
        <v>2483</v>
      </c>
      <c r="D1490" t="s">
        <v>341</v>
      </c>
      <c r="E1490" t="s">
        <v>24</v>
      </c>
      <c r="F1490" t="s">
        <v>459</v>
      </c>
      <c r="G1490">
        <v>10</v>
      </c>
      <c r="H1490" t="s">
        <v>464</v>
      </c>
      <c r="I1490" t="s">
        <v>763</v>
      </c>
      <c r="J1490" t="s">
        <v>764</v>
      </c>
      <c r="K1490" t="s">
        <v>7901</v>
      </c>
    </row>
    <row r="1491" spans="1:19" x14ac:dyDescent="0.25">
      <c r="A1491" t="s">
        <v>7956</v>
      </c>
      <c r="B1491" s="1">
        <v>44940</v>
      </c>
      <c r="C1491" t="s">
        <v>7957</v>
      </c>
      <c r="D1491" t="s">
        <v>341</v>
      </c>
      <c r="E1491" t="s">
        <v>24</v>
      </c>
      <c r="F1491" t="s">
        <v>335</v>
      </c>
      <c r="G1491">
        <v>30</v>
      </c>
      <c r="H1491" t="s">
        <v>26</v>
      </c>
      <c r="I1491" t="s">
        <v>370</v>
      </c>
      <c r="J1491" t="s">
        <v>1260</v>
      </c>
      <c r="K1491" t="s">
        <v>7958</v>
      </c>
      <c r="L1491">
        <v>177</v>
      </c>
      <c r="M1491">
        <v>98</v>
      </c>
      <c r="N1491" s="2">
        <v>0.36</v>
      </c>
      <c r="O1491">
        <v>85</v>
      </c>
      <c r="P1491">
        <v>15.97</v>
      </c>
      <c r="Q1491">
        <v>7.98</v>
      </c>
      <c r="R1491">
        <v>292</v>
      </c>
      <c r="S1491">
        <v>150.18</v>
      </c>
    </row>
    <row r="1492" spans="1:19" x14ac:dyDescent="0.25">
      <c r="A1492" t="s">
        <v>7959</v>
      </c>
      <c r="B1492" s="1">
        <v>44940</v>
      </c>
      <c r="C1492" t="s">
        <v>7960</v>
      </c>
      <c r="D1492" t="s">
        <v>341</v>
      </c>
      <c r="E1492" t="s">
        <v>24</v>
      </c>
      <c r="F1492" t="s">
        <v>323</v>
      </c>
      <c r="G1492">
        <v>10</v>
      </c>
      <c r="H1492" t="s">
        <v>26</v>
      </c>
      <c r="I1492" t="s">
        <v>39</v>
      </c>
      <c r="J1492" t="s">
        <v>7372</v>
      </c>
      <c r="K1492" t="s">
        <v>7961</v>
      </c>
      <c r="L1492">
        <v>44</v>
      </c>
      <c r="M1492">
        <v>74</v>
      </c>
      <c r="N1492" s="2">
        <v>0.3</v>
      </c>
      <c r="O1492">
        <v>93</v>
      </c>
      <c r="P1492">
        <v>14.21</v>
      </c>
      <c r="Q1492">
        <v>2.37</v>
      </c>
      <c r="R1492">
        <v>85</v>
      </c>
      <c r="S1492">
        <v>139.5</v>
      </c>
    </row>
    <row r="1493" spans="1:19" x14ac:dyDescent="0.25">
      <c r="A1493" t="s">
        <v>7962</v>
      </c>
      <c r="B1493" s="1">
        <v>44940</v>
      </c>
      <c r="C1493" t="s">
        <v>7963</v>
      </c>
      <c r="D1493" t="s">
        <v>341</v>
      </c>
      <c r="E1493" t="s">
        <v>24</v>
      </c>
      <c r="F1493" t="s">
        <v>3250</v>
      </c>
      <c r="G1493">
        <v>10</v>
      </c>
      <c r="H1493" t="s">
        <v>194</v>
      </c>
      <c r="I1493" t="s">
        <v>700</v>
      </c>
      <c r="J1493" t="s">
        <v>1282</v>
      </c>
      <c r="K1493" t="s">
        <v>7964</v>
      </c>
      <c r="R1493">
        <v>52</v>
      </c>
      <c r="S1493">
        <v>111.55</v>
      </c>
    </row>
    <row r="1494" spans="1:19" x14ac:dyDescent="0.25">
      <c r="A1494" t="s">
        <v>7965</v>
      </c>
      <c r="B1494" s="1">
        <v>44940</v>
      </c>
      <c r="C1494" t="s">
        <v>2765</v>
      </c>
      <c r="D1494" t="s">
        <v>341</v>
      </c>
      <c r="E1494" t="s">
        <v>24</v>
      </c>
      <c r="F1494" t="s">
        <v>200</v>
      </c>
      <c r="G1494">
        <v>30</v>
      </c>
      <c r="H1494" t="s">
        <v>188</v>
      </c>
      <c r="I1494" t="s">
        <v>238</v>
      </c>
      <c r="J1494" t="s">
        <v>3405</v>
      </c>
      <c r="K1494" t="s">
        <v>7966</v>
      </c>
      <c r="R1494">
        <v>92</v>
      </c>
    </row>
    <row r="1495" spans="1:19" x14ac:dyDescent="0.25">
      <c r="A1495" t="s">
        <v>8006</v>
      </c>
      <c r="B1495" s="1">
        <v>44947</v>
      </c>
      <c r="C1495" t="s">
        <v>5399</v>
      </c>
      <c r="D1495" t="s">
        <v>341</v>
      </c>
      <c r="E1495" t="s">
        <v>24</v>
      </c>
      <c r="F1495" t="s">
        <v>208</v>
      </c>
      <c r="G1495">
        <v>10</v>
      </c>
      <c r="H1495" t="s">
        <v>464</v>
      </c>
      <c r="I1495" t="s">
        <v>579</v>
      </c>
      <c r="J1495" t="s">
        <v>602</v>
      </c>
      <c r="K1495" t="s">
        <v>8007</v>
      </c>
    </row>
    <row r="1496" spans="1:19" x14ac:dyDescent="0.25">
      <c r="A1496" t="s">
        <v>8008</v>
      </c>
      <c r="B1496" s="1">
        <v>44947</v>
      </c>
      <c r="C1496" t="s">
        <v>8009</v>
      </c>
      <c r="D1496" t="s">
        <v>341</v>
      </c>
      <c r="E1496" t="s">
        <v>24</v>
      </c>
      <c r="F1496" t="s">
        <v>243</v>
      </c>
      <c r="G1496">
        <v>60</v>
      </c>
      <c r="H1496" t="s">
        <v>26</v>
      </c>
      <c r="I1496" t="s">
        <v>370</v>
      </c>
      <c r="J1496" t="s">
        <v>498</v>
      </c>
      <c r="K1496" t="s">
        <v>8010</v>
      </c>
      <c r="L1496">
        <v>358</v>
      </c>
      <c r="M1496">
        <v>99</v>
      </c>
      <c r="N1496" s="2">
        <v>0.36</v>
      </c>
      <c r="O1496">
        <v>87</v>
      </c>
      <c r="P1496">
        <v>16.09</v>
      </c>
      <c r="Q1496">
        <v>16.09</v>
      </c>
      <c r="R1496">
        <v>634</v>
      </c>
      <c r="S1496">
        <v>157.38999999999999</v>
      </c>
    </row>
    <row r="1497" spans="1:19" x14ac:dyDescent="0.25">
      <c r="A1497" t="s">
        <v>8011</v>
      </c>
      <c r="B1497" s="1">
        <v>44947</v>
      </c>
      <c r="C1497" t="s">
        <v>3919</v>
      </c>
      <c r="D1497" t="s">
        <v>341</v>
      </c>
      <c r="E1497" t="s">
        <v>24</v>
      </c>
      <c r="F1497" t="s">
        <v>243</v>
      </c>
      <c r="G1497">
        <v>10</v>
      </c>
      <c r="H1497" t="s">
        <v>26</v>
      </c>
      <c r="I1497" t="s">
        <v>39</v>
      </c>
      <c r="J1497" t="s">
        <v>7372</v>
      </c>
      <c r="K1497" t="s">
        <v>8012</v>
      </c>
      <c r="L1497">
        <v>34</v>
      </c>
      <c r="M1497">
        <v>57</v>
      </c>
      <c r="N1497" s="2">
        <v>0.27</v>
      </c>
      <c r="O1497">
        <v>87</v>
      </c>
      <c r="P1497">
        <v>12.48</v>
      </c>
      <c r="Q1497">
        <v>2.08</v>
      </c>
      <c r="R1497">
        <v>78</v>
      </c>
      <c r="S1497">
        <v>133.41</v>
      </c>
    </row>
    <row r="1498" spans="1:19" x14ac:dyDescent="0.25">
      <c r="A1498" t="s">
        <v>8013</v>
      </c>
      <c r="B1498" s="1">
        <v>44947</v>
      </c>
      <c r="C1498" t="s">
        <v>2049</v>
      </c>
      <c r="D1498" t="s">
        <v>341</v>
      </c>
      <c r="E1498" t="s">
        <v>24</v>
      </c>
      <c r="F1498" t="s">
        <v>215</v>
      </c>
      <c r="G1498">
        <v>10</v>
      </c>
      <c r="H1498" t="s">
        <v>464</v>
      </c>
      <c r="I1498" t="s">
        <v>1571</v>
      </c>
      <c r="J1498" t="s">
        <v>2704</v>
      </c>
      <c r="K1498" t="s">
        <v>8014</v>
      </c>
    </row>
    <row r="1499" spans="1:19" x14ac:dyDescent="0.25">
      <c r="A1499" t="s">
        <v>8069</v>
      </c>
      <c r="B1499" s="1">
        <v>44954</v>
      </c>
      <c r="C1499" t="s">
        <v>8070</v>
      </c>
      <c r="D1499" t="s">
        <v>341</v>
      </c>
      <c r="E1499" t="s">
        <v>24</v>
      </c>
      <c r="F1499" t="s">
        <v>2708</v>
      </c>
      <c r="G1499">
        <v>10</v>
      </c>
      <c r="H1499" t="s">
        <v>464</v>
      </c>
      <c r="I1499" t="s">
        <v>579</v>
      </c>
      <c r="J1499" t="s">
        <v>602</v>
      </c>
      <c r="K1499" t="s">
        <v>8071</v>
      </c>
    </row>
    <row r="1500" spans="1:19" x14ac:dyDescent="0.25">
      <c r="A1500" t="s">
        <v>8140</v>
      </c>
      <c r="B1500" s="1">
        <v>44961</v>
      </c>
      <c r="C1500" t="s">
        <v>8141</v>
      </c>
      <c r="D1500" t="s">
        <v>341</v>
      </c>
      <c r="E1500" t="s">
        <v>24</v>
      </c>
      <c r="F1500" t="s">
        <v>215</v>
      </c>
      <c r="G1500">
        <v>10</v>
      </c>
      <c r="H1500" t="s">
        <v>464</v>
      </c>
      <c r="I1500" t="s">
        <v>579</v>
      </c>
      <c r="J1500" t="s">
        <v>6921</v>
      </c>
      <c r="K1500" t="s">
        <v>8142</v>
      </c>
    </row>
    <row r="1501" spans="1:19" x14ac:dyDescent="0.25">
      <c r="A1501" t="s">
        <v>8203</v>
      </c>
      <c r="B1501" s="1">
        <v>44968</v>
      </c>
      <c r="C1501" t="s">
        <v>8204</v>
      </c>
      <c r="D1501" t="s">
        <v>341</v>
      </c>
      <c r="E1501" t="s">
        <v>24</v>
      </c>
      <c r="F1501" t="s">
        <v>215</v>
      </c>
      <c r="G1501">
        <v>20</v>
      </c>
      <c r="H1501" t="s">
        <v>464</v>
      </c>
      <c r="I1501" t="s">
        <v>943</v>
      </c>
      <c r="J1501" t="s">
        <v>1347</v>
      </c>
      <c r="K1501" t="s">
        <v>8205</v>
      </c>
    </row>
    <row r="1502" spans="1:19" x14ac:dyDescent="0.25">
      <c r="A1502" t="s">
        <v>8206</v>
      </c>
      <c r="B1502" s="1">
        <v>44968</v>
      </c>
      <c r="C1502" t="s">
        <v>2483</v>
      </c>
      <c r="D1502" t="s">
        <v>341</v>
      </c>
      <c r="E1502" t="s">
        <v>24</v>
      </c>
      <c r="F1502" t="s">
        <v>200</v>
      </c>
      <c r="G1502">
        <v>10</v>
      </c>
      <c r="H1502" t="s">
        <v>464</v>
      </c>
      <c r="I1502" t="s">
        <v>943</v>
      </c>
      <c r="J1502" t="s">
        <v>944</v>
      </c>
      <c r="K1502" t="s">
        <v>8189</v>
      </c>
    </row>
    <row r="1503" spans="1:19" x14ac:dyDescent="0.25">
      <c r="A1503" t="s">
        <v>8253</v>
      </c>
      <c r="B1503" s="1">
        <v>44975</v>
      </c>
      <c r="C1503" t="s">
        <v>8254</v>
      </c>
      <c r="D1503" t="s">
        <v>341</v>
      </c>
      <c r="E1503" t="s">
        <v>24</v>
      </c>
      <c r="F1503" t="s">
        <v>208</v>
      </c>
      <c r="G1503">
        <v>10</v>
      </c>
      <c r="H1503" t="s">
        <v>464</v>
      </c>
      <c r="I1503" t="s">
        <v>1571</v>
      </c>
      <c r="J1503" t="s">
        <v>2704</v>
      </c>
      <c r="K1503" t="s">
        <v>8255</v>
      </c>
    </row>
    <row r="1504" spans="1:19" x14ac:dyDescent="0.25">
      <c r="A1504" t="s">
        <v>8303</v>
      </c>
      <c r="B1504" s="1">
        <v>44982</v>
      </c>
      <c r="C1504" t="s">
        <v>8304</v>
      </c>
      <c r="D1504" t="s">
        <v>341</v>
      </c>
      <c r="E1504" t="s">
        <v>1403</v>
      </c>
      <c r="F1504" t="s">
        <v>490</v>
      </c>
      <c r="G1504">
        <v>30</v>
      </c>
      <c r="H1504" t="s">
        <v>26</v>
      </c>
      <c r="I1504" t="s">
        <v>39</v>
      </c>
      <c r="J1504" t="s">
        <v>407</v>
      </c>
      <c r="K1504" t="s">
        <v>8305</v>
      </c>
      <c r="L1504">
        <v>161</v>
      </c>
      <c r="M1504">
        <v>90</v>
      </c>
      <c r="N1504" s="2">
        <v>0.37</v>
      </c>
      <c r="O1504">
        <v>81</v>
      </c>
      <c r="P1504">
        <v>15.37</v>
      </c>
      <c r="Q1504">
        <v>7.69</v>
      </c>
      <c r="R1504">
        <v>302</v>
      </c>
      <c r="S1504">
        <v>154.29</v>
      </c>
    </row>
    <row r="1505" spans="1:19" x14ac:dyDescent="0.25">
      <c r="A1505" t="s">
        <v>8306</v>
      </c>
      <c r="B1505" s="1">
        <v>44982</v>
      </c>
      <c r="C1505" t="s">
        <v>8307</v>
      </c>
      <c r="D1505" t="s">
        <v>341</v>
      </c>
      <c r="E1505" t="s">
        <v>24</v>
      </c>
      <c r="F1505" t="s">
        <v>243</v>
      </c>
      <c r="G1505">
        <v>45</v>
      </c>
      <c r="H1505" t="s">
        <v>26</v>
      </c>
      <c r="I1505" t="s">
        <v>370</v>
      </c>
      <c r="J1505" t="s">
        <v>439</v>
      </c>
      <c r="K1505" t="s">
        <v>8308</v>
      </c>
      <c r="L1505">
        <v>267</v>
      </c>
      <c r="M1505">
        <v>99</v>
      </c>
      <c r="N1505" s="2">
        <v>0.36</v>
      </c>
      <c r="O1505">
        <v>84</v>
      </c>
      <c r="P1505">
        <v>16.03</v>
      </c>
      <c r="Q1505">
        <v>12.02</v>
      </c>
      <c r="R1505">
        <v>474</v>
      </c>
      <c r="S1505">
        <v>157.19999999999999</v>
      </c>
    </row>
    <row r="1506" spans="1:19" x14ac:dyDescent="0.25">
      <c r="A1506" t="s">
        <v>8309</v>
      </c>
      <c r="B1506" s="1">
        <v>44982</v>
      </c>
      <c r="C1506" t="s">
        <v>3766</v>
      </c>
      <c r="D1506" t="s">
        <v>341</v>
      </c>
      <c r="E1506" t="s">
        <v>24</v>
      </c>
      <c r="F1506" t="s">
        <v>335</v>
      </c>
      <c r="G1506">
        <v>5</v>
      </c>
      <c r="H1506" t="s">
        <v>26</v>
      </c>
      <c r="I1506" t="s">
        <v>358</v>
      </c>
      <c r="J1506" t="s">
        <v>359</v>
      </c>
      <c r="K1506" t="s">
        <v>8310</v>
      </c>
      <c r="L1506">
        <v>15</v>
      </c>
      <c r="M1506">
        <v>49</v>
      </c>
      <c r="N1506" s="2">
        <v>0.28000000000000003</v>
      </c>
      <c r="O1506">
        <v>77</v>
      </c>
      <c r="P1506">
        <v>11.85</v>
      </c>
      <c r="Q1506">
        <v>0.99</v>
      </c>
      <c r="R1506">
        <v>35</v>
      </c>
      <c r="S1506">
        <v>128.38999999999999</v>
      </c>
    </row>
    <row r="1507" spans="1:19" x14ac:dyDescent="0.25">
      <c r="A1507" t="s">
        <v>8311</v>
      </c>
      <c r="B1507" s="1">
        <v>44982</v>
      </c>
      <c r="C1507" t="s">
        <v>4254</v>
      </c>
      <c r="D1507" t="s">
        <v>341</v>
      </c>
      <c r="E1507" t="s">
        <v>24</v>
      </c>
      <c r="F1507" t="s">
        <v>2256</v>
      </c>
      <c r="G1507">
        <v>10</v>
      </c>
      <c r="H1507" t="s">
        <v>194</v>
      </c>
      <c r="I1507" t="s">
        <v>195</v>
      </c>
      <c r="J1507" t="s">
        <v>211</v>
      </c>
      <c r="K1507" t="s">
        <v>8312</v>
      </c>
      <c r="R1507">
        <v>44</v>
      </c>
    </row>
    <row r="1508" spans="1:19" x14ac:dyDescent="0.25">
      <c r="A1508" t="s">
        <v>8313</v>
      </c>
      <c r="B1508" s="1">
        <v>44982</v>
      </c>
      <c r="C1508" t="s">
        <v>8314</v>
      </c>
      <c r="D1508" t="s">
        <v>341</v>
      </c>
      <c r="E1508" t="s">
        <v>24</v>
      </c>
      <c r="F1508" t="s">
        <v>200</v>
      </c>
      <c r="G1508">
        <v>10</v>
      </c>
      <c r="H1508" t="s">
        <v>188</v>
      </c>
      <c r="I1508" t="s">
        <v>238</v>
      </c>
      <c r="J1508" t="s">
        <v>731</v>
      </c>
      <c r="K1508" t="s">
        <v>8315</v>
      </c>
      <c r="R1508">
        <v>33</v>
      </c>
    </row>
    <row r="1509" spans="1:19" x14ac:dyDescent="0.25">
      <c r="A1509" t="s">
        <v>8386</v>
      </c>
      <c r="B1509" s="1">
        <v>44989</v>
      </c>
      <c r="C1509" t="s">
        <v>4759</v>
      </c>
      <c r="D1509" t="s">
        <v>341</v>
      </c>
      <c r="E1509" t="s">
        <v>24</v>
      </c>
      <c r="F1509" t="s">
        <v>231</v>
      </c>
      <c r="G1509">
        <v>10</v>
      </c>
      <c r="H1509" t="s">
        <v>194</v>
      </c>
      <c r="I1509" t="s">
        <v>195</v>
      </c>
      <c r="J1509" t="s">
        <v>8387</v>
      </c>
      <c r="K1509" t="s">
        <v>7961</v>
      </c>
      <c r="R1509">
        <v>41</v>
      </c>
      <c r="S1509">
        <v>98.53</v>
      </c>
    </row>
    <row r="1510" spans="1:19" x14ac:dyDescent="0.25">
      <c r="A1510" t="s">
        <v>8388</v>
      </c>
      <c r="B1510" s="1">
        <v>44989</v>
      </c>
      <c r="C1510" t="s">
        <v>8389</v>
      </c>
      <c r="D1510" t="s">
        <v>341</v>
      </c>
      <c r="E1510" t="s">
        <v>24</v>
      </c>
      <c r="F1510" t="s">
        <v>323</v>
      </c>
      <c r="G1510">
        <v>30</v>
      </c>
      <c r="H1510" t="s">
        <v>7562</v>
      </c>
      <c r="I1510" t="s">
        <v>7989</v>
      </c>
      <c r="J1510" t="s">
        <v>7990</v>
      </c>
      <c r="K1510" t="s">
        <v>8390</v>
      </c>
      <c r="L1510">
        <v>115</v>
      </c>
      <c r="P1510">
        <v>2.72</v>
      </c>
      <c r="Q1510">
        <v>3.04</v>
      </c>
      <c r="R1510">
        <v>272</v>
      </c>
      <c r="S1510">
        <v>145.5</v>
      </c>
    </row>
    <row r="1511" spans="1:19" x14ac:dyDescent="0.25">
      <c r="A1511" t="s">
        <v>8391</v>
      </c>
      <c r="B1511" s="1">
        <v>44989</v>
      </c>
      <c r="C1511" t="s">
        <v>2768</v>
      </c>
      <c r="D1511" t="s">
        <v>341</v>
      </c>
      <c r="E1511" t="s">
        <v>24</v>
      </c>
      <c r="F1511" t="s">
        <v>243</v>
      </c>
      <c r="G1511">
        <v>45</v>
      </c>
      <c r="H1511" t="s">
        <v>188</v>
      </c>
      <c r="I1511" t="s">
        <v>189</v>
      </c>
      <c r="J1511" t="s">
        <v>244</v>
      </c>
      <c r="K1511" t="s">
        <v>8392</v>
      </c>
      <c r="R1511">
        <v>142</v>
      </c>
    </row>
    <row r="1512" spans="1:19" x14ac:dyDescent="0.25">
      <c r="A1512" t="s">
        <v>8393</v>
      </c>
      <c r="B1512" s="1">
        <v>44989</v>
      </c>
      <c r="C1512" t="s">
        <v>1562</v>
      </c>
      <c r="D1512" t="s">
        <v>341</v>
      </c>
      <c r="E1512" t="s">
        <v>24</v>
      </c>
      <c r="F1512" t="s">
        <v>208</v>
      </c>
      <c r="G1512">
        <v>15</v>
      </c>
      <c r="H1512" t="s">
        <v>464</v>
      </c>
      <c r="I1512" t="s">
        <v>579</v>
      </c>
      <c r="J1512" t="s">
        <v>6831</v>
      </c>
      <c r="K1512" t="s">
        <v>8394</v>
      </c>
    </row>
    <row r="1513" spans="1:19" x14ac:dyDescent="0.25">
      <c r="A1513" t="s">
        <v>8556</v>
      </c>
      <c r="B1513" s="1">
        <v>45010</v>
      </c>
      <c r="C1513" t="s">
        <v>8557</v>
      </c>
      <c r="D1513" t="s">
        <v>341</v>
      </c>
      <c r="E1513" t="s">
        <v>24</v>
      </c>
      <c r="F1513" t="s">
        <v>328</v>
      </c>
      <c r="G1513">
        <v>30</v>
      </c>
      <c r="H1513" t="s">
        <v>26</v>
      </c>
      <c r="I1513" t="s">
        <v>884</v>
      </c>
      <c r="J1513" t="s">
        <v>8558</v>
      </c>
      <c r="K1513" t="s">
        <v>8559</v>
      </c>
      <c r="L1513">
        <v>137</v>
      </c>
      <c r="M1513">
        <v>76</v>
      </c>
      <c r="N1513" s="2">
        <v>0.34</v>
      </c>
      <c r="O1513">
        <v>79</v>
      </c>
      <c r="P1513">
        <v>14.22</v>
      </c>
      <c r="Q1513">
        <v>7.11</v>
      </c>
      <c r="R1513">
        <v>296</v>
      </c>
      <c r="S1513">
        <v>148.94999999999999</v>
      </c>
    </row>
    <row r="1514" spans="1:19" x14ac:dyDescent="0.25">
      <c r="A1514" t="s">
        <v>8560</v>
      </c>
      <c r="B1514" s="1">
        <v>45010</v>
      </c>
      <c r="C1514" t="s">
        <v>8561</v>
      </c>
      <c r="D1514" t="s">
        <v>341</v>
      </c>
      <c r="E1514" t="s">
        <v>24</v>
      </c>
      <c r="F1514" t="s">
        <v>243</v>
      </c>
      <c r="G1514">
        <v>15</v>
      </c>
      <c r="H1514" t="s">
        <v>26</v>
      </c>
      <c r="I1514" t="s">
        <v>39</v>
      </c>
      <c r="J1514" t="s">
        <v>366</v>
      </c>
      <c r="K1514" t="s">
        <v>8562</v>
      </c>
      <c r="L1514">
        <v>56</v>
      </c>
      <c r="M1514">
        <v>63</v>
      </c>
      <c r="N1514" s="2">
        <v>0.31</v>
      </c>
      <c r="O1514">
        <v>82</v>
      </c>
      <c r="P1514">
        <v>13.21</v>
      </c>
      <c r="Q1514">
        <v>3.3</v>
      </c>
      <c r="R1514">
        <v>71</v>
      </c>
    </row>
    <row r="1515" spans="1:19" x14ac:dyDescent="0.25">
      <c r="A1515" t="s">
        <v>8563</v>
      </c>
      <c r="B1515" s="1">
        <v>45010</v>
      </c>
      <c r="C1515" t="s">
        <v>8564</v>
      </c>
      <c r="D1515" t="s">
        <v>341</v>
      </c>
      <c r="E1515" t="s">
        <v>24</v>
      </c>
      <c r="F1515" t="s">
        <v>243</v>
      </c>
      <c r="G1515">
        <v>30</v>
      </c>
      <c r="H1515" t="s">
        <v>188</v>
      </c>
      <c r="I1515" t="s">
        <v>189</v>
      </c>
      <c r="J1515" t="s">
        <v>8565</v>
      </c>
      <c r="K1515" t="s">
        <v>8566</v>
      </c>
      <c r="R1515">
        <v>78</v>
      </c>
    </row>
    <row r="1516" spans="1:19" x14ac:dyDescent="0.25">
      <c r="A1516" t="s">
        <v>8567</v>
      </c>
      <c r="B1516" s="1">
        <v>45010</v>
      </c>
      <c r="C1516" t="s">
        <v>8568</v>
      </c>
      <c r="D1516" t="s">
        <v>341</v>
      </c>
      <c r="E1516" t="s">
        <v>24</v>
      </c>
      <c r="F1516" t="s">
        <v>215</v>
      </c>
      <c r="G1516">
        <v>5</v>
      </c>
      <c r="H1516" t="s">
        <v>464</v>
      </c>
      <c r="I1516" t="s">
        <v>579</v>
      </c>
      <c r="J1516" t="s">
        <v>6638</v>
      </c>
      <c r="K1516" t="s">
        <v>8569</v>
      </c>
      <c r="S1516">
        <v>72.430000000000007</v>
      </c>
    </row>
    <row r="1517" spans="1:19" x14ac:dyDescent="0.25">
      <c r="A1517" t="s">
        <v>8611</v>
      </c>
      <c r="B1517" s="1">
        <v>45017</v>
      </c>
      <c r="C1517" t="s">
        <v>8612</v>
      </c>
      <c r="D1517" t="s">
        <v>341</v>
      </c>
      <c r="E1517" t="s">
        <v>24</v>
      </c>
      <c r="F1517" t="s">
        <v>354</v>
      </c>
      <c r="G1517">
        <v>10</v>
      </c>
      <c r="H1517" t="s">
        <v>194</v>
      </c>
      <c r="I1517" t="s">
        <v>195</v>
      </c>
      <c r="J1517" t="s">
        <v>211</v>
      </c>
      <c r="K1517" t="s">
        <v>8613</v>
      </c>
      <c r="R1517">
        <v>52</v>
      </c>
      <c r="S1517">
        <v>113.21</v>
      </c>
    </row>
    <row r="1518" spans="1:19" x14ac:dyDescent="0.25">
      <c r="A1518" t="s">
        <v>8614</v>
      </c>
      <c r="B1518" s="1">
        <v>45017</v>
      </c>
      <c r="C1518" t="s">
        <v>6825</v>
      </c>
      <c r="D1518" t="s">
        <v>341</v>
      </c>
      <c r="E1518" t="s">
        <v>24</v>
      </c>
      <c r="F1518" t="s">
        <v>323</v>
      </c>
      <c r="G1518">
        <v>60</v>
      </c>
      <c r="H1518" t="s">
        <v>26</v>
      </c>
      <c r="I1518" t="s">
        <v>370</v>
      </c>
      <c r="J1518" t="s">
        <v>498</v>
      </c>
      <c r="K1518" t="s">
        <v>1713</v>
      </c>
      <c r="L1518">
        <v>396</v>
      </c>
      <c r="M1518">
        <v>110</v>
      </c>
      <c r="N1518" s="2">
        <v>0.38</v>
      </c>
      <c r="O1518">
        <v>85</v>
      </c>
      <c r="P1518">
        <v>16.75</v>
      </c>
      <c r="Q1518">
        <v>16.739999999999998</v>
      </c>
      <c r="R1518">
        <v>530</v>
      </c>
      <c r="S1518">
        <v>96.18</v>
      </c>
    </row>
    <row r="1519" spans="1:19" x14ac:dyDescent="0.25">
      <c r="A1519" t="s">
        <v>8615</v>
      </c>
      <c r="B1519" s="1">
        <v>45017</v>
      </c>
      <c r="C1519" t="s">
        <v>8616</v>
      </c>
      <c r="D1519" t="s">
        <v>341</v>
      </c>
      <c r="E1519" t="s">
        <v>24</v>
      </c>
      <c r="F1519" t="s">
        <v>554</v>
      </c>
      <c r="G1519">
        <v>5</v>
      </c>
      <c r="H1519" t="s">
        <v>26</v>
      </c>
      <c r="I1519" t="s">
        <v>358</v>
      </c>
      <c r="J1519" t="s">
        <v>359</v>
      </c>
      <c r="K1519" t="s">
        <v>8617</v>
      </c>
      <c r="L1519">
        <v>22</v>
      </c>
      <c r="M1519">
        <v>74</v>
      </c>
      <c r="N1519" s="2">
        <v>0.34</v>
      </c>
      <c r="O1519">
        <v>77</v>
      </c>
      <c r="P1519">
        <v>14.17</v>
      </c>
      <c r="Q1519">
        <v>1.18</v>
      </c>
      <c r="R1519">
        <v>32</v>
      </c>
      <c r="S1519">
        <v>122.22</v>
      </c>
    </row>
    <row r="1520" spans="1:19" x14ac:dyDescent="0.25">
      <c r="A1520" t="s">
        <v>8618</v>
      </c>
      <c r="B1520" s="1">
        <v>45017</v>
      </c>
      <c r="C1520" t="s">
        <v>8619</v>
      </c>
      <c r="D1520" t="s">
        <v>341</v>
      </c>
      <c r="E1520" t="s">
        <v>24</v>
      </c>
      <c r="F1520" t="s">
        <v>590</v>
      </c>
      <c r="G1520">
        <v>5</v>
      </c>
      <c r="H1520" t="s">
        <v>49</v>
      </c>
      <c r="I1520" t="s">
        <v>50</v>
      </c>
      <c r="J1520" t="s">
        <v>51</v>
      </c>
      <c r="K1520" t="s">
        <v>8620</v>
      </c>
      <c r="R1520">
        <v>19</v>
      </c>
      <c r="S1520">
        <v>102.67</v>
      </c>
    </row>
    <row r="1521" spans="1:19" x14ac:dyDescent="0.25">
      <c r="A1521" t="s">
        <v>8667</v>
      </c>
      <c r="B1521" s="1">
        <v>45024</v>
      </c>
      <c r="C1521" t="s">
        <v>8220</v>
      </c>
      <c r="D1521" t="s">
        <v>341</v>
      </c>
      <c r="E1521" t="s">
        <v>24</v>
      </c>
      <c r="F1521" t="s">
        <v>200</v>
      </c>
      <c r="G1521">
        <v>30</v>
      </c>
      <c r="H1521" t="s">
        <v>188</v>
      </c>
      <c r="I1521" t="s">
        <v>189</v>
      </c>
      <c r="J1521" t="s">
        <v>201</v>
      </c>
      <c r="K1521" t="s">
        <v>8668</v>
      </c>
      <c r="R1521">
        <v>95</v>
      </c>
    </row>
    <row r="1522" spans="1:19" x14ac:dyDescent="0.25">
      <c r="A1522" t="s">
        <v>8716</v>
      </c>
      <c r="B1522" s="1">
        <v>45031</v>
      </c>
      <c r="C1522" t="s">
        <v>3396</v>
      </c>
      <c r="D1522" t="s">
        <v>341</v>
      </c>
      <c r="E1522" t="s">
        <v>24</v>
      </c>
      <c r="F1522" t="s">
        <v>243</v>
      </c>
      <c r="G1522">
        <v>45</v>
      </c>
      <c r="H1522" t="s">
        <v>26</v>
      </c>
      <c r="I1522" t="s">
        <v>370</v>
      </c>
      <c r="J1522" t="s">
        <v>5119</v>
      </c>
      <c r="K1522" t="s">
        <v>8717</v>
      </c>
      <c r="L1522">
        <v>294</v>
      </c>
      <c r="M1522">
        <v>109</v>
      </c>
      <c r="N1522" s="2">
        <v>0.38</v>
      </c>
      <c r="O1522">
        <v>85</v>
      </c>
      <c r="P1522">
        <v>16.690000000000001</v>
      </c>
      <c r="Q1522">
        <v>12.52</v>
      </c>
      <c r="R1522">
        <v>483</v>
      </c>
      <c r="S1522">
        <v>158.9</v>
      </c>
    </row>
    <row r="1523" spans="1:19" x14ac:dyDescent="0.25">
      <c r="A1523" t="s">
        <v>8718</v>
      </c>
      <c r="B1523" s="1">
        <v>45031</v>
      </c>
      <c r="C1523" t="s">
        <v>5765</v>
      </c>
      <c r="D1523" t="s">
        <v>341</v>
      </c>
      <c r="E1523" t="s">
        <v>24</v>
      </c>
      <c r="F1523" t="s">
        <v>323</v>
      </c>
      <c r="G1523">
        <v>5</v>
      </c>
      <c r="H1523" t="s">
        <v>26</v>
      </c>
      <c r="I1523" t="s">
        <v>358</v>
      </c>
      <c r="J1523" t="s">
        <v>359</v>
      </c>
      <c r="K1523" t="s">
        <v>8719</v>
      </c>
      <c r="L1523">
        <v>17</v>
      </c>
      <c r="M1523">
        <v>57</v>
      </c>
      <c r="N1523" s="2">
        <v>0.27</v>
      </c>
      <c r="O1523">
        <v>90</v>
      </c>
      <c r="P1523">
        <v>12.66</v>
      </c>
      <c r="Q1523">
        <v>1.05</v>
      </c>
      <c r="R1523">
        <v>38</v>
      </c>
      <c r="S1523">
        <v>123.9</v>
      </c>
    </row>
    <row r="1524" spans="1:19" x14ac:dyDescent="0.25">
      <c r="A1524" t="s">
        <v>8720</v>
      </c>
      <c r="B1524" s="1">
        <v>45031</v>
      </c>
      <c r="C1524" t="s">
        <v>8721</v>
      </c>
      <c r="D1524" t="s">
        <v>341</v>
      </c>
      <c r="E1524" t="s">
        <v>24</v>
      </c>
      <c r="F1524" t="s">
        <v>354</v>
      </c>
      <c r="G1524">
        <v>10</v>
      </c>
      <c r="H1524" t="s">
        <v>194</v>
      </c>
      <c r="I1524" t="s">
        <v>700</v>
      </c>
      <c r="J1524" t="s">
        <v>1282</v>
      </c>
      <c r="K1524" t="s">
        <v>8722</v>
      </c>
      <c r="R1524">
        <v>62</v>
      </c>
      <c r="S1524">
        <v>119.48</v>
      </c>
    </row>
    <row r="1525" spans="1:19" x14ac:dyDescent="0.25">
      <c r="A1525" t="s">
        <v>8723</v>
      </c>
      <c r="B1525" s="1">
        <v>45031</v>
      </c>
      <c r="C1525" t="s">
        <v>8724</v>
      </c>
      <c r="D1525" t="s">
        <v>341</v>
      </c>
      <c r="E1525" t="s">
        <v>24</v>
      </c>
      <c r="F1525" t="s">
        <v>297</v>
      </c>
      <c r="G1525">
        <v>10</v>
      </c>
      <c r="H1525" t="s">
        <v>194</v>
      </c>
      <c r="I1525" t="s">
        <v>195</v>
      </c>
      <c r="J1525" t="s">
        <v>211</v>
      </c>
      <c r="K1525" t="s">
        <v>8725</v>
      </c>
      <c r="R1525">
        <v>51</v>
      </c>
      <c r="S1525">
        <v>109.66</v>
      </c>
    </row>
    <row r="1526" spans="1:19" x14ac:dyDescent="0.25">
      <c r="A1526" t="s">
        <v>8786</v>
      </c>
      <c r="B1526" s="1">
        <v>45038</v>
      </c>
      <c r="C1526" t="s">
        <v>3390</v>
      </c>
      <c r="D1526" t="s">
        <v>341</v>
      </c>
      <c r="E1526" t="s">
        <v>24</v>
      </c>
      <c r="F1526" t="s">
        <v>2708</v>
      </c>
      <c r="G1526">
        <v>15</v>
      </c>
      <c r="H1526" t="s">
        <v>464</v>
      </c>
      <c r="I1526" t="s">
        <v>103</v>
      </c>
      <c r="J1526" t="s">
        <v>8787</v>
      </c>
      <c r="K1526" t="s">
        <v>8788</v>
      </c>
    </row>
    <row r="1527" spans="1:19" x14ac:dyDescent="0.25">
      <c r="A1527" t="s">
        <v>8830</v>
      </c>
      <c r="B1527" s="1">
        <v>45045</v>
      </c>
      <c r="C1527" t="s">
        <v>8831</v>
      </c>
      <c r="D1527" t="s">
        <v>341</v>
      </c>
      <c r="E1527" t="s">
        <v>24</v>
      </c>
      <c r="F1527" t="s">
        <v>200</v>
      </c>
      <c r="G1527">
        <v>30</v>
      </c>
      <c r="H1527" t="s">
        <v>188</v>
      </c>
      <c r="I1527" t="s">
        <v>254</v>
      </c>
      <c r="J1527" t="s">
        <v>255</v>
      </c>
      <c r="K1527" t="s">
        <v>8832</v>
      </c>
      <c r="R1527">
        <v>95</v>
      </c>
    </row>
    <row r="1528" spans="1:19" x14ac:dyDescent="0.25">
      <c r="A1528" t="s">
        <v>8833</v>
      </c>
      <c r="B1528" s="1">
        <v>45045</v>
      </c>
      <c r="C1528" t="s">
        <v>8834</v>
      </c>
      <c r="D1528" t="s">
        <v>341</v>
      </c>
      <c r="E1528" t="s">
        <v>24</v>
      </c>
      <c r="F1528" t="s">
        <v>2708</v>
      </c>
      <c r="G1528">
        <v>15</v>
      </c>
      <c r="H1528" t="s">
        <v>464</v>
      </c>
      <c r="I1528" t="s">
        <v>943</v>
      </c>
      <c r="J1528" t="s">
        <v>1709</v>
      </c>
      <c r="K1528" t="s">
        <v>8835</v>
      </c>
    </row>
    <row r="1529" spans="1:19" x14ac:dyDescent="0.25">
      <c r="A1529" t="s">
        <v>8872</v>
      </c>
      <c r="B1529" s="1">
        <v>45052</v>
      </c>
      <c r="C1529" t="s">
        <v>5124</v>
      </c>
      <c r="D1529" t="s">
        <v>341</v>
      </c>
      <c r="E1529" t="s">
        <v>24</v>
      </c>
      <c r="F1529" t="s">
        <v>335</v>
      </c>
      <c r="G1529">
        <v>45</v>
      </c>
      <c r="H1529" t="s">
        <v>26</v>
      </c>
      <c r="I1529" t="s">
        <v>370</v>
      </c>
      <c r="J1529" t="s">
        <v>4001</v>
      </c>
      <c r="K1529" t="s">
        <v>8873</v>
      </c>
      <c r="L1529">
        <v>306</v>
      </c>
      <c r="M1529">
        <v>113</v>
      </c>
      <c r="N1529" s="2">
        <v>0.38</v>
      </c>
      <c r="O1529">
        <v>86</v>
      </c>
      <c r="P1529">
        <v>16.95</v>
      </c>
      <c r="Q1529">
        <v>12.71</v>
      </c>
      <c r="R1529">
        <v>484</v>
      </c>
      <c r="S1529">
        <v>159.02000000000001</v>
      </c>
    </row>
    <row r="1530" spans="1:19" x14ac:dyDescent="0.25">
      <c r="A1530" t="s">
        <v>8874</v>
      </c>
      <c r="B1530" s="1">
        <v>45052</v>
      </c>
      <c r="C1530" t="s">
        <v>2881</v>
      </c>
      <c r="D1530" t="s">
        <v>341</v>
      </c>
      <c r="E1530" t="s">
        <v>24</v>
      </c>
      <c r="F1530" t="s">
        <v>323</v>
      </c>
      <c r="G1530">
        <v>30</v>
      </c>
      <c r="H1530" t="s">
        <v>26</v>
      </c>
      <c r="I1530" t="s">
        <v>370</v>
      </c>
      <c r="J1530" t="s">
        <v>396</v>
      </c>
      <c r="K1530" t="s">
        <v>1853</v>
      </c>
      <c r="L1530">
        <v>201</v>
      </c>
      <c r="M1530">
        <v>112</v>
      </c>
      <c r="N1530" s="2">
        <v>0.39</v>
      </c>
      <c r="O1530">
        <v>82</v>
      </c>
      <c r="P1530">
        <v>16.93</v>
      </c>
      <c r="Q1530">
        <v>8.4600000000000009</v>
      </c>
      <c r="R1530">
        <v>286</v>
      </c>
      <c r="S1530">
        <v>148.54</v>
      </c>
    </row>
    <row r="1531" spans="1:19" x14ac:dyDescent="0.25">
      <c r="A1531" t="s">
        <v>8875</v>
      </c>
      <c r="B1531" s="1">
        <v>45052</v>
      </c>
      <c r="C1531" t="s">
        <v>2059</v>
      </c>
      <c r="D1531" t="s">
        <v>341</v>
      </c>
      <c r="E1531" t="s">
        <v>24</v>
      </c>
      <c r="F1531" t="s">
        <v>208</v>
      </c>
      <c r="G1531">
        <v>15</v>
      </c>
      <c r="H1531" t="s">
        <v>464</v>
      </c>
      <c r="I1531" t="s">
        <v>579</v>
      </c>
      <c r="J1531" t="s">
        <v>8876</v>
      </c>
      <c r="K1531" t="s">
        <v>8877</v>
      </c>
    </row>
    <row r="1532" spans="1:19" x14ac:dyDescent="0.25">
      <c r="A1532" t="s">
        <v>8918</v>
      </c>
      <c r="B1532" s="1">
        <v>45059</v>
      </c>
      <c r="C1532" t="s">
        <v>2150</v>
      </c>
      <c r="D1532" t="s">
        <v>341</v>
      </c>
      <c r="E1532" t="s">
        <v>24</v>
      </c>
      <c r="F1532" t="s">
        <v>328</v>
      </c>
      <c r="G1532">
        <v>10</v>
      </c>
      <c r="H1532" t="s">
        <v>194</v>
      </c>
      <c r="I1532" t="s">
        <v>195</v>
      </c>
      <c r="J1532" t="s">
        <v>8919</v>
      </c>
      <c r="K1532" t="s">
        <v>8920</v>
      </c>
      <c r="R1532">
        <v>47</v>
      </c>
      <c r="S1532">
        <v>106</v>
      </c>
    </row>
    <row r="1533" spans="1:19" x14ac:dyDescent="0.25">
      <c r="A1533" t="s">
        <v>8921</v>
      </c>
      <c r="B1533" s="1">
        <v>45059</v>
      </c>
      <c r="C1533" t="s">
        <v>2914</v>
      </c>
      <c r="D1533" t="s">
        <v>341</v>
      </c>
      <c r="E1533" t="s">
        <v>24</v>
      </c>
      <c r="F1533" t="s">
        <v>323</v>
      </c>
      <c r="G1533">
        <v>45</v>
      </c>
      <c r="H1533" t="s">
        <v>26</v>
      </c>
      <c r="I1533" t="s">
        <v>370</v>
      </c>
      <c r="J1533" t="s">
        <v>479</v>
      </c>
      <c r="K1533" t="s">
        <v>8922</v>
      </c>
      <c r="L1533">
        <v>278</v>
      </c>
      <c r="M1533">
        <v>103</v>
      </c>
      <c r="N1533" s="2">
        <v>0.34</v>
      </c>
      <c r="O1533">
        <v>89</v>
      </c>
      <c r="P1533">
        <v>15.62</v>
      </c>
      <c r="Q1533">
        <v>11.72</v>
      </c>
      <c r="R1533">
        <v>375</v>
      </c>
      <c r="S1533">
        <v>137.91</v>
      </c>
    </row>
    <row r="1534" spans="1:19" x14ac:dyDescent="0.25">
      <c r="A1534" t="s">
        <v>8923</v>
      </c>
      <c r="B1534" s="1">
        <v>45059</v>
      </c>
      <c r="C1534" t="s">
        <v>2159</v>
      </c>
      <c r="D1534" t="s">
        <v>341</v>
      </c>
      <c r="E1534" t="s">
        <v>24</v>
      </c>
      <c r="F1534" t="s">
        <v>490</v>
      </c>
      <c r="G1534">
        <v>5</v>
      </c>
      <c r="H1534" t="s">
        <v>49</v>
      </c>
      <c r="I1534" t="s">
        <v>50</v>
      </c>
      <c r="J1534" t="s">
        <v>51</v>
      </c>
      <c r="K1534" t="s">
        <v>8924</v>
      </c>
      <c r="R1534">
        <v>22</v>
      </c>
      <c r="S1534">
        <v>104.38</v>
      </c>
    </row>
    <row r="1535" spans="1:19" x14ac:dyDescent="0.25">
      <c r="A1535" t="s">
        <v>8925</v>
      </c>
      <c r="B1535" s="1">
        <v>45059</v>
      </c>
      <c r="C1535" t="s">
        <v>1919</v>
      </c>
      <c r="D1535" t="s">
        <v>341</v>
      </c>
      <c r="E1535" t="s">
        <v>24</v>
      </c>
      <c r="F1535" t="s">
        <v>215</v>
      </c>
      <c r="G1535">
        <v>10</v>
      </c>
      <c r="H1535" t="s">
        <v>464</v>
      </c>
      <c r="I1535" t="s">
        <v>1571</v>
      </c>
      <c r="J1535" t="s">
        <v>2704</v>
      </c>
      <c r="K1535" t="s">
        <v>8926</v>
      </c>
    </row>
    <row r="1536" spans="1:19" x14ac:dyDescent="0.25">
      <c r="A1536" t="s">
        <v>8959</v>
      </c>
      <c r="B1536" s="1">
        <v>45066</v>
      </c>
      <c r="C1536" t="s">
        <v>1198</v>
      </c>
      <c r="D1536" t="s">
        <v>341</v>
      </c>
      <c r="E1536" t="s">
        <v>24</v>
      </c>
      <c r="F1536" t="s">
        <v>243</v>
      </c>
      <c r="G1536">
        <v>10</v>
      </c>
      <c r="H1536" t="s">
        <v>188</v>
      </c>
      <c r="I1536" t="s">
        <v>238</v>
      </c>
      <c r="J1536" t="s">
        <v>674</v>
      </c>
      <c r="K1536" t="s">
        <v>8960</v>
      </c>
      <c r="R1536">
        <v>31</v>
      </c>
      <c r="S1536">
        <v>90.77</v>
      </c>
    </row>
    <row r="1537" spans="1:19" x14ac:dyDescent="0.25">
      <c r="A1537" t="s">
        <v>8998</v>
      </c>
      <c r="B1537" s="1">
        <v>45073</v>
      </c>
      <c r="C1537" t="s">
        <v>8999</v>
      </c>
      <c r="D1537" t="s">
        <v>341</v>
      </c>
      <c r="E1537" t="s">
        <v>24</v>
      </c>
      <c r="F1537" t="s">
        <v>2256</v>
      </c>
      <c r="G1537">
        <v>10</v>
      </c>
      <c r="H1537" t="s">
        <v>194</v>
      </c>
      <c r="I1537" t="s">
        <v>195</v>
      </c>
      <c r="J1537" t="s">
        <v>5762</v>
      </c>
      <c r="K1537" t="s">
        <v>9000</v>
      </c>
      <c r="R1537">
        <v>36</v>
      </c>
      <c r="S1537">
        <v>95.09</v>
      </c>
    </row>
    <row r="1538" spans="1:19" x14ac:dyDescent="0.25">
      <c r="A1538" t="s">
        <v>9001</v>
      </c>
      <c r="B1538" s="1">
        <v>45073</v>
      </c>
      <c r="C1538" t="s">
        <v>9002</v>
      </c>
      <c r="D1538" t="s">
        <v>341</v>
      </c>
      <c r="E1538" t="s">
        <v>24</v>
      </c>
      <c r="F1538" t="s">
        <v>2256</v>
      </c>
      <c r="G1538">
        <v>20</v>
      </c>
      <c r="H1538" t="s">
        <v>194</v>
      </c>
      <c r="I1538" t="s">
        <v>1445</v>
      </c>
      <c r="J1538" t="s">
        <v>3313</v>
      </c>
      <c r="K1538" t="s">
        <v>9003</v>
      </c>
      <c r="R1538">
        <v>111</v>
      </c>
      <c r="S1538">
        <v>111.77</v>
      </c>
    </row>
    <row r="1539" spans="1:19" x14ac:dyDescent="0.25">
      <c r="A1539" t="s">
        <v>9004</v>
      </c>
      <c r="B1539" s="1">
        <v>45073</v>
      </c>
      <c r="C1539" t="s">
        <v>9005</v>
      </c>
      <c r="D1539" t="s">
        <v>341</v>
      </c>
      <c r="E1539" t="s">
        <v>24</v>
      </c>
      <c r="F1539" t="s">
        <v>323</v>
      </c>
      <c r="G1539">
        <v>30</v>
      </c>
      <c r="H1539" t="s">
        <v>7562</v>
      </c>
      <c r="I1539" t="s">
        <v>7989</v>
      </c>
      <c r="J1539" t="s">
        <v>7990</v>
      </c>
      <c r="K1539" t="s">
        <v>9006</v>
      </c>
      <c r="L1539">
        <v>94</v>
      </c>
      <c r="P1539">
        <v>2.54</v>
      </c>
      <c r="Q1539">
        <v>2.84</v>
      </c>
      <c r="R1539">
        <v>244</v>
      </c>
      <c r="S1539">
        <v>137.13999999999999</v>
      </c>
    </row>
    <row r="1540" spans="1:19" x14ac:dyDescent="0.25">
      <c r="A1540" t="s">
        <v>9033</v>
      </c>
      <c r="B1540" s="1">
        <v>45080</v>
      </c>
      <c r="C1540" t="s">
        <v>2804</v>
      </c>
      <c r="D1540" t="s">
        <v>341</v>
      </c>
      <c r="E1540" t="s">
        <v>24</v>
      </c>
      <c r="F1540" t="s">
        <v>215</v>
      </c>
      <c r="G1540">
        <v>30</v>
      </c>
      <c r="H1540" t="s">
        <v>464</v>
      </c>
      <c r="I1540" t="s">
        <v>943</v>
      </c>
      <c r="J1540" t="s">
        <v>1621</v>
      </c>
      <c r="K1540" t="s">
        <v>9034</v>
      </c>
    </row>
    <row r="1541" spans="1:19" x14ac:dyDescent="0.25">
      <c r="A1541" t="s">
        <v>9075</v>
      </c>
      <c r="B1541" s="1">
        <v>45087</v>
      </c>
      <c r="C1541" t="s">
        <v>9076</v>
      </c>
      <c r="D1541" t="s">
        <v>341</v>
      </c>
      <c r="G1541">
        <v>33</v>
      </c>
      <c r="H1541" t="s">
        <v>1856</v>
      </c>
      <c r="J1541" t="s">
        <v>9077</v>
      </c>
      <c r="L1541">
        <v>0</v>
      </c>
      <c r="P1541">
        <v>3.13</v>
      </c>
      <c r="Q1541">
        <v>1.71</v>
      </c>
      <c r="R1541">
        <v>126</v>
      </c>
    </row>
    <row r="1542" spans="1:19" x14ac:dyDescent="0.25">
      <c r="A1542" t="s">
        <v>9078</v>
      </c>
      <c r="B1542" s="1">
        <v>45087</v>
      </c>
      <c r="C1542" t="s">
        <v>9079</v>
      </c>
      <c r="D1542" t="s">
        <v>341</v>
      </c>
      <c r="E1542" t="s">
        <v>24</v>
      </c>
      <c r="F1542" t="s">
        <v>237</v>
      </c>
      <c r="G1542">
        <v>10</v>
      </c>
      <c r="H1542" t="s">
        <v>188</v>
      </c>
      <c r="I1542" t="s">
        <v>238</v>
      </c>
      <c r="J1542" t="s">
        <v>874</v>
      </c>
      <c r="K1542" t="s">
        <v>9080</v>
      </c>
      <c r="R1542">
        <v>31</v>
      </c>
      <c r="S1542">
        <v>88.93</v>
      </c>
    </row>
    <row r="1543" spans="1:19" x14ac:dyDescent="0.25">
      <c r="A1543" t="s">
        <v>9136</v>
      </c>
      <c r="B1543" s="1">
        <v>45101</v>
      </c>
      <c r="C1543" t="s">
        <v>9137</v>
      </c>
      <c r="D1543" t="s">
        <v>341</v>
      </c>
      <c r="G1543">
        <v>11</v>
      </c>
      <c r="H1543" t="s">
        <v>1856</v>
      </c>
      <c r="J1543" t="s">
        <v>9138</v>
      </c>
      <c r="L1543">
        <v>0</v>
      </c>
      <c r="P1543">
        <v>2.78</v>
      </c>
      <c r="Q1543">
        <v>0.49</v>
      </c>
      <c r="R1543">
        <v>51</v>
      </c>
      <c r="S1543">
        <v>104.14</v>
      </c>
    </row>
    <row r="1544" spans="1:19" x14ac:dyDescent="0.25">
      <c r="A1544" t="s">
        <v>9174</v>
      </c>
      <c r="B1544" s="1">
        <v>45108</v>
      </c>
      <c r="C1544" t="s">
        <v>3176</v>
      </c>
      <c r="D1544" t="s">
        <v>341</v>
      </c>
      <c r="E1544" t="s">
        <v>24</v>
      </c>
      <c r="F1544" t="s">
        <v>323</v>
      </c>
      <c r="G1544">
        <v>45</v>
      </c>
      <c r="H1544" t="s">
        <v>26</v>
      </c>
      <c r="I1544" t="s">
        <v>370</v>
      </c>
      <c r="J1544" t="s">
        <v>439</v>
      </c>
      <c r="K1544" t="s">
        <v>9175</v>
      </c>
      <c r="L1544">
        <v>306</v>
      </c>
      <c r="M1544">
        <v>113</v>
      </c>
      <c r="N1544" s="2">
        <v>0.39</v>
      </c>
      <c r="O1544">
        <v>83</v>
      </c>
      <c r="P1544">
        <v>16.93</v>
      </c>
      <c r="Q1544">
        <v>12.7</v>
      </c>
      <c r="R1544">
        <v>438</v>
      </c>
      <c r="S1544">
        <v>149.58000000000001</v>
      </c>
    </row>
    <row r="1545" spans="1:19" x14ac:dyDescent="0.25">
      <c r="A1545" t="s">
        <v>9176</v>
      </c>
      <c r="B1545" s="1">
        <v>45108</v>
      </c>
      <c r="C1545" t="s">
        <v>9177</v>
      </c>
      <c r="D1545" t="s">
        <v>341</v>
      </c>
      <c r="E1545" t="s">
        <v>24</v>
      </c>
      <c r="F1545" t="s">
        <v>180</v>
      </c>
      <c r="G1545">
        <v>10</v>
      </c>
      <c r="H1545" t="s">
        <v>194</v>
      </c>
      <c r="I1545" t="s">
        <v>195</v>
      </c>
      <c r="J1545" t="s">
        <v>9178</v>
      </c>
      <c r="K1545" t="s">
        <v>9179</v>
      </c>
      <c r="R1545">
        <v>59</v>
      </c>
      <c r="S1545">
        <v>115.91</v>
      </c>
    </row>
    <row r="1546" spans="1:19" x14ac:dyDescent="0.25">
      <c r="A1546" t="s">
        <v>9180</v>
      </c>
      <c r="B1546" s="1">
        <v>45108</v>
      </c>
      <c r="C1546" t="s">
        <v>1540</v>
      </c>
      <c r="D1546" t="s">
        <v>341</v>
      </c>
      <c r="E1546" t="s">
        <v>24</v>
      </c>
      <c r="F1546" t="s">
        <v>2708</v>
      </c>
      <c r="G1546">
        <v>10</v>
      </c>
      <c r="H1546" t="s">
        <v>464</v>
      </c>
      <c r="I1546" t="s">
        <v>1617</v>
      </c>
      <c r="J1546" t="s">
        <v>3543</v>
      </c>
      <c r="K1546" t="s">
        <v>9181</v>
      </c>
    </row>
    <row r="1547" spans="1:19" x14ac:dyDescent="0.25">
      <c r="A1547" t="s">
        <v>9226</v>
      </c>
      <c r="B1547" s="1">
        <v>45115</v>
      </c>
      <c r="C1547" t="s">
        <v>2772</v>
      </c>
      <c r="D1547" t="s">
        <v>341</v>
      </c>
      <c r="E1547" t="s">
        <v>24</v>
      </c>
      <c r="F1547" t="s">
        <v>237</v>
      </c>
      <c r="G1547">
        <v>30</v>
      </c>
      <c r="H1547" t="s">
        <v>188</v>
      </c>
      <c r="I1547" t="s">
        <v>189</v>
      </c>
      <c r="J1547" t="s">
        <v>201</v>
      </c>
      <c r="K1547" t="s">
        <v>9227</v>
      </c>
      <c r="R1547">
        <v>111</v>
      </c>
      <c r="S1547">
        <v>91.78</v>
      </c>
    </row>
    <row r="1548" spans="1:19" x14ac:dyDescent="0.25">
      <c r="A1548" t="s">
        <v>9228</v>
      </c>
      <c r="B1548" s="1">
        <v>45115</v>
      </c>
      <c r="C1548" t="s">
        <v>2853</v>
      </c>
      <c r="D1548" t="s">
        <v>341</v>
      </c>
      <c r="E1548" t="s">
        <v>24</v>
      </c>
      <c r="F1548" t="s">
        <v>297</v>
      </c>
      <c r="G1548">
        <v>10</v>
      </c>
      <c r="H1548" t="s">
        <v>194</v>
      </c>
      <c r="I1548" t="s">
        <v>195</v>
      </c>
      <c r="J1548" t="s">
        <v>211</v>
      </c>
      <c r="K1548" t="s">
        <v>9229</v>
      </c>
      <c r="R1548">
        <v>54</v>
      </c>
      <c r="S1548">
        <v>111.46</v>
      </c>
    </row>
    <row r="1549" spans="1:19" x14ac:dyDescent="0.25">
      <c r="A1549" t="s">
        <v>9230</v>
      </c>
      <c r="B1549" s="1">
        <v>45115</v>
      </c>
      <c r="C1549" t="s">
        <v>1688</v>
      </c>
      <c r="D1549" t="s">
        <v>341</v>
      </c>
      <c r="E1549" t="s">
        <v>24</v>
      </c>
      <c r="F1549" t="s">
        <v>243</v>
      </c>
      <c r="G1549">
        <v>45</v>
      </c>
      <c r="H1549" t="s">
        <v>26</v>
      </c>
      <c r="I1549" t="s">
        <v>370</v>
      </c>
      <c r="J1549" t="s">
        <v>479</v>
      </c>
      <c r="K1549" t="s">
        <v>9231</v>
      </c>
      <c r="L1549">
        <v>317</v>
      </c>
      <c r="M1549">
        <v>117</v>
      </c>
      <c r="N1549" s="2">
        <v>0.39</v>
      </c>
      <c r="O1549">
        <v>84</v>
      </c>
      <c r="P1549">
        <v>17.13</v>
      </c>
      <c r="Q1549">
        <v>12.85</v>
      </c>
      <c r="R1549">
        <v>463</v>
      </c>
      <c r="S1549">
        <v>154.37</v>
      </c>
    </row>
    <row r="1550" spans="1:19" x14ac:dyDescent="0.25">
      <c r="A1550" t="s">
        <v>9232</v>
      </c>
      <c r="B1550" s="1">
        <v>45115</v>
      </c>
      <c r="C1550" t="s">
        <v>6438</v>
      </c>
      <c r="D1550" t="s">
        <v>341</v>
      </c>
      <c r="E1550" t="s">
        <v>24</v>
      </c>
      <c r="F1550" t="s">
        <v>323</v>
      </c>
      <c r="G1550">
        <v>5</v>
      </c>
      <c r="H1550" t="s">
        <v>26</v>
      </c>
      <c r="I1550" t="s">
        <v>358</v>
      </c>
      <c r="J1550" t="s">
        <v>359</v>
      </c>
      <c r="K1550" t="s">
        <v>9233</v>
      </c>
      <c r="L1550">
        <v>18</v>
      </c>
      <c r="M1550">
        <v>58</v>
      </c>
      <c r="N1550" s="2">
        <v>0.27</v>
      </c>
      <c r="O1550">
        <v>92</v>
      </c>
      <c r="P1550">
        <v>12.83</v>
      </c>
      <c r="Q1550">
        <v>1.07</v>
      </c>
      <c r="R1550">
        <v>36</v>
      </c>
      <c r="S1550">
        <v>129.21</v>
      </c>
    </row>
    <row r="1551" spans="1:19" x14ac:dyDescent="0.25">
      <c r="A1551" t="s">
        <v>9280</v>
      </c>
      <c r="B1551" s="1">
        <v>45122</v>
      </c>
      <c r="C1551" t="s">
        <v>9281</v>
      </c>
      <c r="D1551" t="s">
        <v>341</v>
      </c>
      <c r="E1551" t="s">
        <v>24</v>
      </c>
      <c r="F1551" t="s">
        <v>2708</v>
      </c>
      <c r="G1551">
        <v>10</v>
      </c>
      <c r="H1551" t="s">
        <v>464</v>
      </c>
      <c r="I1551" t="s">
        <v>763</v>
      </c>
      <c r="J1551" t="s">
        <v>914</v>
      </c>
      <c r="K1551" t="s">
        <v>9282</v>
      </c>
      <c r="S1551">
        <v>83.52</v>
      </c>
    </row>
    <row r="1552" spans="1:19" x14ac:dyDescent="0.25">
      <c r="A1552" t="s">
        <v>9283</v>
      </c>
      <c r="B1552" s="1">
        <v>45122</v>
      </c>
      <c r="C1552" t="s">
        <v>9284</v>
      </c>
      <c r="D1552" t="s">
        <v>341</v>
      </c>
      <c r="E1552" t="s">
        <v>24</v>
      </c>
      <c r="F1552" t="s">
        <v>200</v>
      </c>
      <c r="G1552">
        <v>10</v>
      </c>
      <c r="H1552" t="s">
        <v>464</v>
      </c>
      <c r="I1552" t="s">
        <v>763</v>
      </c>
      <c r="J1552" t="s">
        <v>764</v>
      </c>
      <c r="K1552" t="s">
        <v>9285</v>
      </c>
    </row>
    <row r="1553" spans="1:19" x14ac:dyDescent="0.25">
      <c r="A1553" t="s">
        <v>9286</v>
      </c>
      <c r="B1553" s="1">
        <v>45122</v>
      </c>
      <c r="C1553" t="s">
        <v>9287</v>
      </c>
      <c r="D1553" t="s">
        <v>341</v>
      </c>
      <c r="E1553" t="s">
        <v>24</v>
      </c>
      <c r="F1553" t="s">
        <v>459</v>
      </c>
      <c r="G1553">
        <v>10</v>
      </c>
      <c r="H1553" t="s">
        <v>464</v>
      </c>
      <c r="I1553" t="s">
        <v>763</v>
      </c>
      <c r="J1553" t="s">
        <v>914</v>
      </c>
      <c r="K1553" t="s">
        <v>9288</v>
      </c>
    </row>
    <row r="1554" spans="1:19" x14ac:dyDescent="0.25">
      <c r="A1554" t="s">
        <v>9370</v>
      </c>
      <c r="B1554" s="1">
        <v>45136</v>
      </c>
      <c r="C1554" t="s">
        <v>9371</v>
      </c>
      <c r="D1554" t="s">
        <v>341</v>
      </c>
      <c r="E1554" t="s">
        <v>24</v>
      </c>
      <c r="F1554" t="s">
        <v>208</v>
      </c>
      <c r="G1554">
        <v>30</v>
      </c>
      <c r="H1554" t="s">
        <v>464</v>
      </c>
      <c r="I1554" t="s">
        <v>943</v>
      </c>
      <c r="J1554" t="s">
        <v>1621</v>
      </c>
      <c r="K1554" t="s">
        <v>9372</v>
      </c>
    </row>
    <row r="1555" spans="1:19" x14ac:dyDescent="0.25">
      <c r="A1555" t="s">
        <v>9373</v>
      </c>
      <c r="B1555" s="1">
        <v>45136</v>
      </c>
      <c r="C1555" t="s">
        <v>574</v>
      </c>
      <c r="D1555" t="s">
        <v>341</v>
      </c>
      <c r="E1555" t="s">
        <v>24</v>
      </c>
      <c r="F1555" t="s">
        <v>208</v>
      </c>
      <c r="G1555">
        <v>10</v>
      </c>
      <c r="H1555" t="s">
        <v>464</v>
      </c>
      <c r="I1555" t="s">
        <v>579</v>
      </c>
      <c r="J1555" t="s">
        <v>808</v>
      </c>
      <c r="K1555" t="s">
        <v>9374</v>
      </c>
    </row>
    <row r="1556" spans="1:19" x14ac:dyDescent="0.25">
      <c r="A1556" t="s">
        <v>9375</v>
      </c>
      <c r="B1556" s="1">
        <v>45136</v>
      </c>
      <c r="C1556" t="s">
        <v>3506</v>
      </c>
      <c r="D1556" t="s">
        <v>341</v>
      </c>
      <c r="E1556" t="s">
        <v>24</v>
      </c>
      <c r="F1556" t="s">
        <v>459</v>
      </c>
      <c r="G1556">
        <v>10</v>
      </c>
      <c r="H1556" t="s">
        <v>464</v>
      </c>
      <c r="I1556" t="s">
        <v>763</v>
      </c>
      <c r="J1556" t="s">
        <v>764</v>
      </c>
      <c r="K1556" t="s">
        <v>9376</v>
      </c>
    </row>
    <row r="1557" spans="1:19" x14ac:dyDescent="0.25">
      <c r="A1557" t="s">
        <v>9416</v>
      </c>
      <c r="B1557" s="1">
        <v>45143</v>
      </c>
      <c r="C1557" t="s">
        <v>4550</v>
      </c>
      <c r="D1557" t="s">
        <v>341</v>
      </c>
      <c r="E1557" t="s">
        <v>24</v>
      </c>
      <c r="F1557" t="s">
        <v>208</v>
      </c>
      <c r="G1557">
        <v>30</v>
      </c>
      <c r="H1557" t="s">
        <v>464</v>
      </c>
      <c r="I1557" t="s">
        <v>943</v>
      </c>
      <c r="J1557" t="s">
        <v>1621</v>
      </c>
      <c r="K1557" t="s">
        <v>9372</v>
      </c>
    </row>
    <row r="1558" spans="1:19" x14ac:dyDescent="0.25">
      <c r="A1558" t="s">
        <v>9453</v>
      </c>
      <c r="B1558" s="1">
        <v>45150</v>
      </c>
      <c r="C1558" t="s">
        <v>9454</v>
      </c>
      <c r="D1558" t="s">
        <v>341</v>
      </c>
      <c r="E1558" t="s">
        <v>24</v>
      </c>
      <c r="F1558" t="s">
        <v>200</v>
      </c>
      <c r="G1558">
        <v>10</v>
      </c>
      <c r="H1558" t="s">
        <v>464</v>
      </c>
      <c r="I1558" t="s">
        <v>1571</v>
      </c>
      <c r="J1558" t="s">
        <v>2704</v>
      </c>
      <c r="K1558" t="s">
        <v>9455</v>
      </c>
    </row>
    <row r="1559" spans="1:19" x14ac:dyDescent="0.25">
      <c r="A1559" t="s">
        <v>9456</v>
      </c>
      <c r="B1559" s="1">
        <v>45150</v>
      </c>
      <c r="C1559" t="s">
        <v>9457</v>
      </c>
      <c r="D1559" t="s">
        <v>341</v>
      </c>
      <c r="E1559" t="s">
        <v>24</v>
      </c>
      <c r="F1559" t="s">
        <v>292</v>
      </c>
      <c r="G1559">
        <v>30</v>
      </c>
      <c r="H1559" t="s">
        <v>1856</v>
      </c>
      <c r="I1559" t="s">
        <v>4912</v>
      </c>
      <c r="J1559" t="s">
        <v>4913</v>
      </c>
      <c r="K1559" t="s">
        <v>9458</v>
      </c>
      <c r="L1559">
        <v>0</v>
      </c>
      <c r="P1559">
        <v>3.12</v>
      </c>
      <c r="Q1559">
        <v>1.43</v>
      </c>
      <c r="R1559">
        <v>239</v>
      </c>
      <c r="S1559">
        <v>133.24</v>
      </c>
    </row>
    <row r="1560" spans="1:19" x14ac:dyDescent="0.25">
      <c r="A1560" t="s">
        <v>9459</v>
      </c>
      <c r="B1560" s="1">
        <v>45150</v>
      </c>
      <c r="C1560" t="s">
        <v>9460</v>
      </c>
      <c r="D1560" t="s">
        <v>341</v>
      </c>
      <c r="E1560" t="s">
        <v>24</v>
      </c>
      <c r="F1560" t="s">
        <v>1203</v>
      </c>
      <c r="G1560">
        <v>10</v>
      </c>
      <c r="H1560" t="s">
        <v>1856</v>
      </c>
      <c r="I1560" t="s">
        <v>2096</v>
      </c>
      <c r="J1560" t="s">
        <v>9461</v>
      </c>
      <c r="K1560" t="s">
        <v>9363</v>
      </c>
      <c r="L1560">
        <v>0</v>
      </c>
      <c r="P1560">
        <v>3.31</v>
      </c>
      <c r="Q1560">
        <v>0.51</v>
      </c>
      <c r="R1560">
        <v>81</v>
      </c>
      <c r="S1560">
        <v>134.44</v>
      </c>
    </row>
    <row r="1561" spans="1:19" x14ac:dyDescent="0.25">
      <c r="A1561" t="s">
        <v>9462</v>
      </c>
      <c r="B1561" s="1">
        <v>45150</v>
      </c>
      <c r="C1561" t="s">
        <v>9463</v>
      </c>
      <c r="D1561" t="s">
        <v>341</v>
      </c>
      <c r="E1561" t="s">
        <v>24</v>
      </c>
      <c r="F1561" t="s">
        <v>490</v>
      </c>
      <c r="G1561">
        <v>5</v>
      </c>
      <c r="H1561" t="s">
        <v>1856</v>
      </c>
      <c r="I1561" t="s">
        <v>358</v>
      </c>
      <c r="J1561" t="s">
        <v>8757</v>
      </c>
      <c r="K1561" t="s">
        <v>9366</v>
      </c>
      <c r="L1561">
        <v>0</v>
      </c>
      <c r="P1561">
        <v>3.29</v>
      </c>
      <c r="Q1561">
        <v>0.26</v>
      </c>
      <c r="R1561">
        <v>37</v>
      </c>
      <c r="S1561">
        <v>128.56</v>
      </c>
    </row>
    <row r="1562" spans="1:19" x14ac:dyDescent="0.25">
      <c r="A1562" t="s">
        <v>9464</v>
      </c>
      <c r="B1562" s="1">
        <v>45150</v>
      </c>
      <c r="C1562" t="s">
        <v>9465</v>
      </c>
      <c r="D1562" t="s">
        <v>341</v>
      </c>
      <c r="E1562" t="s">
        <v>24</v>
      </c>
      <c r="F1562" t="s">
        <v>180</v>
      </c>
      <c r="G1562">
        <v>5</v>
      </c>
      <c r="H1562" t="s">
        <v>194</v>
      </c>
      <c r="I1562" t="s">
        <v>195</v>
      </c>
      <c r="J1562" t="s">
        <v>196</v>
      </c>
      <c r="K1562" t="s">
        <v>9466</v>
      </c>
      <c r="R1562">
        <v>23</v>
      </c>
      <c r="S1562">
        <v>102.13</v>
      </c>
    </row>
    <row r="1563" spans="1:19" x14ac:dyDescent="0.25">
      <c r="A1563" t="s">
        <v>9513</v>
      </c>
      <c r="B1563" s="1">
        <v>45157</v>
      </c>
      <c r="C1563" t="s">
        <v>1658</v>
      </c>
      <c r="D1563" t="s">
        <v>341</v>
      </c>
      <c r="E1563" t="s">
        <v>24</v>
      </c>
      <c r="F1563" t="s">
        <v>2708</v>
      </c>
      <c r="G1563">
        <v>15</v>
      </c>
      <c r="H1563" t="s">
        <v>464</v>
      </c>
      <c r="I1563" t="s">
        <v>579</v>
      </c>
      <c r="J1563" t="s">
        <v>9514</v>
      </c>
      <c r="K1563" t="s">
        <v>9515</v>
      </c>
    </row>
    <row r="1564" spans="1:19" x14ac:dyDescent="0.25">
      <c r="A1564" t="s">
        <v>9575</v>
      </c>
      <c r="B1564" s="1">
        <v>45164</v>
      </c>
      <c r="C1564" t="s">
        <v>5437</v>
      </c>
      <c r="D1564" t="s">
        <v>341</v>
      </c>
      <c r="E1564" t="s">
        <v>24</v>
      </c>
      <c r="F1564" t="s">
        <v>200</v>
      </c>
      <c r="G1564">
        <v>30</v>
      </c>
      <c r="H1564" t="s">
        <v>464</v>
      </c>
      <c r="I1564" t="s">
        <v>943</v>
      </c>
      <c r="J1564" t="s">
        <v>1621</v>
      </c>
      <c r="K1564" t="s">
        <v>7103</v>
      </c>
    </row>
    <row r="1565" spans="1:19" x14ac:dyDescent="0.25">
      <c r="A1565" t="s">
        <v>9627</v>
      </c>
      <c r="B1565" s="1">
        <v>45171</v>
      </c>
      <c r="C1565" t="s">
        <v>9628</v>
      </c>
      <c r="D1565" t="s">
        <v>341</v>
      </c>
      <c r="E1565" t="s">
        <v>24</v>
      </c>
      <c r="F1565" t="s">
        <v>305</v>
      </c>
      <c r="G1565">
        <v>20</v>
      </c>
      <c r="H1565" t="s">
        <v>194</v>
      </c>
      <c r="I1565" t="s">
        <v>232</v>
      </c>
      <c r="J1565" t="s">
        <v>9629</v>
      </c>
      <c r="K1565" t="s">
        <v>9603</v>
      </c>
      <c r="R1565">
        <v>125</v>
      </c>
      <c r="S1565">
        <v>119.16</v>
      </c>
    </row>
    <row r="1566" spans="1:19" x14ac:dyDescent="0.25">
      <c r="A1566" t="s">
        <v>9630</v>
      </c>
      <c r="B1566" s="1">
        <v>45171</v>
      </c>
      <c r="C1566" t="s">
        <v>2956</v>
      </c>
      <c r="D1566" t="s">
        <v>341</v>
      </c>
      <c r="E1566" t="s">
        <v>24</v>
      </c>
      <c r="F1566" t="s">
        <v>180</v>
      </c>
      <c r="G1566">
        <v>10</v>
      </c>
      <c r="H1566" t="s">
        <v>194</v>
      </c>
      <c r="I1566" t="s">
        <v>195</v>
      </c>
      <c r="J1566" t="s">
        <v>211</v>
      </c>
      <c r="K1566" t="s">
        <v>9631</v>
      </c>
      <c r="R1566">
        <v>42</v>
      </c>
      <c r="S1566">
        <v>101.58</v>
      </c>
    </row>
    <row r="1567" spans="1:19" x14ac:dyDescent="0.25">
      <c r="A1567" t="s">
        <v>9632</v>
      </c>
      <c r="B1567" s="1">
        <v>45171</v>
      </c>
      <c r="C1567" t="s">
        <v>9633</v>
      </c>
      <c r="D1567" t="s">
        <v>341</v>
      </c>
      <c r="E1567" t="s">
        <v>24</v>
      </c>
      <c r="F1567" t="s">
        <v>7754</v>
      </c>
      <c r="G1567">
        <v>30</v>
      </c>
      <c r="H1567" t="s">
        <v>7562</v>
      </c>
      <c r="I1567" t="s">
        <v>7989</v>
      </c>
      <c r="J1567" t="s">
        <v>7990</v>
      </c>
      <c r="K1567" t="s">
        <v>9634</v>
      </c>
      <c r="L1567">
        <v>110</v>
      </c>
      <c r="P1567">
        <v>2.69</v>
      </c>
      <c r="Q1567">
        <v>3.01</v>
      </c>
      <c r="R1567">
        <v>236</v>
      </c>
      <c r="S1567">
        <v>133.55000000000001</v>
      </c>
    </row>
    <row r="1568" spans="1:19" x14ac:dyDescent="0.25">
      <c r="A1568" t="s">
        <v>9635</v>
      </c>
      <c r="B1568" s="1">
        <v>45171</v>
      </c>
      <c r="C1568" t="s">
        <v>9418</v>
      </c>
      <c r="D1568" t="s">
        <v>341</v>
      </c>
      <c r="E1568" t="s">
        <v>24</v>
      </c>
      <c r="F1568" t="s">
        <v>323</v>
      </c>
      <c r="G1568">
        <v>10</v>
      </c>
      <c r="H1568" t="s">
        <v>7562</v>
      </c>
      <c r="I1568" t="s">
        <v>7755</v>
      </c>
      <c r="J1568" t="s">
        <v>9636</v>
      </c>
      <c r="K1568" t="s">
        <v>9637</v>
      </c>
      <c r="L1568">
        <v>4</v>
      </c>
      <c r="P1568">
        <v>2.12</v>
      </c>
      <c r="Q1568">
        <v>0.15</v>
      </c>
      <c r="R1568">
        <v>46</v>
      </c>
      <c r="S1568">
        <v>105.44</v>
      </c>
    </row>
    <row r="1569" spans="1:19" x14ac:dyDescent="0.25">
      <c r="A1569" t="s">
        <v>9638</v>
      </c>
      <c r="B1569" s="1">
        <v>45171</v>
      </c>
      <c r="C1569" t="s">
        <v>222</v>
      </c>
      <c r="D1569" t="s">
        <v>341</v>
      </c>
      <c r="E1569" t="s">
        <v>24</v>
      </c>
      <c r="F1569" t="s">
        <v>200</v>
      </c>
      <c r="G1569">
        <v>30</v>
      </c>
      <c r="H1569" t="s">
        <v>188</v>
      </c>
      <c r="I1569" t="s">
        <v>254</v>
      </c>
      <c r="J1569" t="s">
        <v>255</v>
      </c>
      <c r="K1569" t="s">
        <v>9639</v>
      </c>
      <c r="R1569">
        <v>86</v>
      </c>
    </row>
    <row r="1570" spans="1:19" x14ac:dyDescent="0.25">
      <c r="A1570" t="s">
        <v>9640</v>
      </c>
      <c r="B1570" s="1">
        <v>45171</v>
      </c>
      <c r="C1570" t="s">
        <v>2483</v>
      </c>
      <c r="D1570" t="s">
        <v>341</v>
      </c>
      <c r="E1570" t="s">
        <v>24</v>
      </c>
      <c r="F1570" t="s">
        <v>200</v>
      </c>
      <c r="G1570">
        <v>10</v>
      </c>
      <c r="H1570" t="s">
        <v>464</v>
      </c>
      <c r="I1570" t="s">
        <v>943</v>
      </c>
      <c r="J1570" t="s">
        <v>944</v>
      </c>
      <c r="K1570" t="s">
        <v>3178</v>
      </c>
    </row>
    <row r="1571" spans="1:19" x14ac:dyDescent="0.25">
      <c r="A1571" t="s">
        <v>9669</v>
      </c>
      <c r="B1571" s="1">
        <v>45178</v>
      </c>
      <c r="C1571" t="s">
        <v>4774</v>
      </c>
      <c r="D1571" t="s">
        <v>341</v>
      </c>
      <c r="E1571" t="s">
        <v>24</v>
      </c>
      <c r="F1571" t="s">
        <v>5394</v>
      </c>
      <c r="G1571">
        <v>30</v>
      </c>
      <c r="H1571" t="s">
        <v>1856</v>
      </c>
      <c r="I1571" t="s">
        <v>1857</v>
      </c>
      <c r="J1571" t="s">
        <v>9670</v>
      </c>
      <c r="K1571" t="s">
        <v>9671</v>
      </c>
      <c r="L1571">
        <v>0</v>
      </c>
      <c r="P1571">
        <v>3.02</v>
      </c>
      <c r="Q1571">
        <v>1.44</v>
      </c>
      <c r="R1571">
        <v>196</v>
      </c>
      <c r="S1571">
        <v>123.47</v>
      </c>
    </row>
    <row r="1572" spans="1:19" x14ac:dyDescent="0.25">
      <c r="A1572" t="s">
        <v>9672</v>
      </c>
      <c r="B1572" s="1">
        <v>45178</v>
      </c>
      <c r="C1572" t="s">
        <v>743</v>
      </c>
      <c r="D1572" t="s">
        <v>341</v>
      </c>
      <c r="G1572">
        <v>12</v>
      </c>
      <c r="H1572" t="s">
        <v>1856</v>
      </c>
      <c r="J1572" t="s">
        <v>9673</v>
      </c>
      <c r="L1572">
        <v>0</v>
      </c>
      <c r="P1572">
        <v>3.12</v>
      </c>
      <c r="Q1572">
        <v>0.6</v>
      </c>
      <c r="R1572">
        <v>47</v>
      </c>
    </row>
    <row r="1573" spans="1:19" x14ac:dyDescent="0.25">
      <c r="A1573" t="s">
        <v>9674</v>
      </c>
      <c r="B1573" s="1">
        <v>45178</v>
      </c>
      <c r="C1573" t="s">
        <v>401</v>
      </c>
      <c r="D1573" t="s">
        <v>341</v>
      </c>
      <c r="E1573" t="s">
        <v>24</v>
      </c>
      <c r="F1573" t="s">
        <v>2708</v>
      </c>
      <c r="G1573">
        <v>30</v>
      </c>
      <c r="H1573" t="s">
        <v>188</v>
      </c>
      <c r="I1573" t="s">
        <v>238</v>
      </c>
      <c r="J1573" t="s">
        <v>1956</v>
      </c>
      <c r="K1573" t="s">
        <v>9675</v>
      </c>
      <c r="R1573">
        <v>92</v>
      </c>
    </row>
    <row r="1574" spans="1:19" x14ac:dyDescent="0.25">
      <c r="A1574" t="s">
        <v>9676</v>
      </c>
      <c r="B1574" s="1">
        <v>45178</v>
      </c>
      <c r="C1574" t="s">
        <v>9677</v>
      </c>
      <c r="D1574" t="s">
        <v>341</v>
      </c>
      <c r="E1574" t="s">
        <v>24</v>
      </c>
      <c r="F1574" t="s">
        <v>208</v>
      </c>
      <c r="G1574">
        <v>15</v>
      </c>
      <c r="H1574" t="s">
        <v>464</v>
      </c>
      <c r="I1574" t="s">
        <v>579</v>
      </c>
      <c r="J1574" t="s">
        <v>3160</v>
      </c>
      <c r="K1574" t="s">
        <v>9678</v>
      </c>
    </row>
    <row r="1575" spans="1:19" x14ac:dyDescent="0.25">
      <c r="A1575" t="s">
        <v>9742</v>
      </c>
      <c r="B1575" s="1">
        <v>45185</v>
      </c>
      <c r="C1575" t="s">
        <v>9743</v>
      </c>
      <c r="D1575" t="s">
        <v>341</v>
      </c>
      <c r="E1575" t="s">
        <v>24</v>
      </c>
      <c r="F1575" t="s">
        <v>459</v>
      </c>
      <c r="G1575">
        <v>10</v>
      </c>
      <c r="H1575" t="s">
        <v>464</v>
      </c>
      <c r="I1575" t="s">
        <v>1249</v>
      </c>
      <c r="J1575" t="s">
        <v>3629</v>
      </c>
      <c r="K1575" t="s">
        <v>9744</v>
      </c>
    </row>
    <row r="1576" spans="1:19" x14ac:dyDescent="0.25">
      <c r="A1576" t="s">
        <v>9745</v>
      </c>
      <c r="B1576" s="1">
        <v>45185</v>
      </c>
      <c r="C1576" t="s">
        <v>9746</v>
      </c>
      <c r="D1576" t="s">
        <v>341</v>
      </c>
      <c r="E1576" t="s">
        <v>24</v>
      </c>
      <c r="F1576" t="s">
        <v>200</v>
      </c>
      <c r="G1576">
        <v>15</v>
      </c>
      <c r="H1576" t="s">
        <v>464</v>
      </c>
      <c r="I1576" t="s">
        <v>763</v>
      </c>
      <c r="J1576" t="s">
        <v>2508</v>
      </c>
      <c r="K1576" t="s">
        <v>9747</v>
      </c>
    </row>
    <row r="1577" spans="1:19" x14ac:dyDescent="0.25">
      <c r="A1577" t="s">
        <v>9775</v>
      </c>
      <c r="B1577" s="1">
        <v>45192</v>
      </c>
      <c r="C1577" t="s">
        <v>9776</v>
      </c>
      <c r="D1577" t="s">
        <v>341</v>
      </c>
      <c r="E1577" t="s">
        <v>24</v>
      </c>
      <c r="F1577" t="s">
        <v>208</v>
      </c>
      <c r="G1577">
        <v>10</v>
      </c>
      <c r="H1577" t="s">
        <v>464</v>
      </c>
      <c r="I1577" t="s">
        <v>763</v>
      </c>
      <c r="J1577" t="s">
        <v>764</v>
      </c>
      <c r="K1577" t="s">
        <v>9777</v>
      </c>
    </row>
    <row r="1578" spans="1:19" x14ac:dyDescent="0.25">
      <c r="A1578" t="s">
        <v>9822</v>
      </c>
      <c r="B1578" s="1">
        <v>45199</v>
      </c>
      <c r="C1578" t="s">
        <v>6391</v>
      </c>
      <c r="D1578" t="s">
        <v>341</v>
      </c>
      <c r="E1578" t="s">
        <v>24</v>
      </c>
      <c r="F1578" t="s">
        <v>208</v>
      </c>
      <c r="G1578">
        <v>10</v>
      </c>
      <c r="H1578" t="s">
        <v>464</v>
      </c>
      <c r="I1578" t="s">
        <v>579</v>
      </c>
      <c r="J1578" t="s">
        <v>1820</v>
      </c>
      <c r="K1578" t="s">
        <v>9823</v>
      </c>
    </row>
    <row r="1579" spans="1:19" x14ac:dyDescent="0.25">
      <c r="A1579" t="s">
        <v>9899</v>
      </c>
      <c r="B1579" s="1">
        <v>45213</v>
      </c>
      <c r="C1579" t="s">
        <v>247</v>
      </c>
      <c r="D1579" t="s">
        <v>341</v>
      </c>
      <c r="E1579" t="s">
        <v>24</v>
      </c>
      <c r="F1579" t="s">
        <v>2708</v>
      </c>
      <c r="G1579">
        <v>20</v>
      </c>
      <c r="H1579" t="s">
        <v>464</v>
      </c>
      <c r="I1579" t="s">
        <v>943</v>
      </c>
      <c r="J1579" t="s">
        <v>1347</v>
      </c>
      <c r="K1579" t="s">
        <v>9860</v>
      </c>
    </row>
    <row r="1580" spans="1:19" x14ac:dyDescent="0.25">
      <c r="A1580" t="s">
        <v>9946</v>
      </c>
      <c r="B1580" s="1">
        <v>45220</v>
      </c>
      <c r="C1580" t="s">
        <v>3272</v>
      </c>
      <c r="D1580" t="s">
        <v>341</v>
      </c>
      <c r="E1580" t="s">
        <v>24</v>
      </c>
      <c r="F1580" t="s">
        <v>243</v>
      </c>
      <c r="G1580">
        <v>45</v>
      </c>
      <c r="H1580" t="s">
        <v>26</v>
      </c>
      <c r="I1580" t="s">
        <v>370</v>
      </c>
      <c r="J1580" t="s">
        <v>439</v>
      </c>
      <c r="K1580" t="s">
        <v>9947</v>
      </c>
      <c r="L1580">
        <v>284</v>
      </c>
      <c r="M1580">
        <v>105</v>
      </c>
      <c r="N1580" s="2">
        <v>0.37</v>
      </c>
      <c r="O1580">
        <v>84</v>
      </c>
      <c r="P1580">
        <v>16.420000000000002</v>
      </c>
      <c r="Q1580">
        <v>12.32</v>
      </c>
      <c r="R1580">
        <v>480</v>
      </c>
      <c r="S1580">
        <v>157.81</v>
      </c>
    </row>
    <row r="1581" spans="1:19" x14ac:dyDescent="0.25">
      <c r="A1581" t="s">
        <v>9948</v>
      </c>
      <c r="B1581" s="1">
        <v>45220</v>
      </c>
      <c r="C1581" t="s">
        <v>9949</v>
      </c>
      <c r="D1581" t="s">
        <v>341</v>
      </c>
      <c r="E1581" t="s">
        <v>24</v>
      </c>
      <c r="F1581" t="s">
        <v>660</v>
      </c>
      <c r="G1581">
        <v>5</v>
      </c>
      <c r="H1581" t="s">
        <v>26</v>
      </c>
      <c r="I1581" t="s">
        <v>358</v>
      </c>
      <c r="J1581" t="s">
        <v>359</v>
      </c>
      <c r="K1581" t="s">
        <v>9950</v>
      </c>
      <c r="L1581">
        <v>16</v>
      </c>
      <c r="M1581">
        <v>53</v>
      </c>
      <c r="N1581" s="2">
        <v>0.28999999999999998</v>
      </c>
      <c r="O1581">
        <v>77</v>
      </c>
      <c r="P1581">
        <v>12.27</v>
      </c>
      <c r="Q1581">
        <v>1.02</v>
      </c>
      <c r="R1581">
        <v>39</v>
      </c>
      <c r="S1581">
        <v>129.52000000000001</v>
      </c>
    </row>
    <row r="1582" spans="1:19" x14ac:dyDescent="0.25">
      <c r="A1582" t="s">
        <v>9951</v>
      </c>
      <c r="B1582" s="1">
        <v>45220</v>
      </c>
      <c r="C1582" t="s">
        <v>9418</v>
      </c>
      <c r="D1582" t="s">
        <v>341</v>
      </c>
      <c r="E1582" t="s">
        <v>24</v>
      </c>
      <c r="F1582" t="s">
        <v>180</v>
      </c>
      <c r="G1582">
        <v>10</v>
      </c>
      <c r="H1582" t="s">
        <v>194</v>
      </c>
      <c r="I1582" t="s">
        <v>700</v>
      </c>
      <c r="J1582" t="s">
        <v>1282</v>
      </c>
      <c r="K1582" t="s">
        <v>9952</v>
      </c>
      <c r="R1582">
        <v>67</v>
      </c>
      <c r="S1582">
        <v>122.47</v>
      </c>
    </row>
    <row r="1583" spans="1:19" x14ac:dyDescent="0.25">
      <c r="A1583" t="s">
        <v>9953</v>
      </c>
      <c r="B1583" s="1">
        <v>45220</v>
      </c>
      <c r="C1583" t="s">
        <v>3277</v>
      </c>
      <c r="D1583" t="s">
        <v>341</v>
      </c>
      <c r="E1583" t="s">
        <v>24</v>
      </c>
      <c r="F1583" t="s">
        <v>2256</v>
      </c>
      <c r="G1583">
        <v>10</v>
      </c>
      <c r="H1583" t="s">
        <v>194</v>
      </c>
      <c r="I1583" t="s">
        <v>195</v>
      </c>
      <c r="J1583" t="s">
        <v>5762</v>
      </c>
      <c r="K1583" t="s">
        <v>9954</v>
      </c>
      <c r="R1583">
        <v>53</v>
      </c>
      <c r="S1583">
        <v>110.78</v>
      </c>
    </row>
    <row r="1584" spans="1:19" x14ac:dyDescent="0.25">
      <c r="A1584" t="s">
        <v>9955</v>
      </c>
      <c r="B1584" s="1">
        <v>45220</v>
      </c>
      <c r="C1584" t="s">
        <v>6828</v>
      </c>
      <c r="D1584" t="s">
        <v>341</v>
      </c>
      <c r="E1584" t="s">
        <v>24</v>
      </c>
      <c r="F1584" t="s">
        <v>768</v>
      </c>
      <c r="G1584">
        <v>5</v>
      </c>
      <c r="H1584" t="s">
        <v>49</v>
      </c>
      <c r="I1584" t="s">
        <v>50</v>
      </c>
      <c r="J1584" t="s">
        <v>51</v>
      </c>
      <c r="K1584" t="s">
        <v>9956</v>
      </c>
      <c r="R1584">
        <v>20</v>
      </c>
      <c r="S1584">
        <v>100.78</v>
      </c>
    </row>
    <row r="1585" spans="1:19" x14ac:dyDescent="0.25">
      <c r="A1585" t="s">
        <v>9997</v>
      </c>
      <c r="B1585" s="1">
        <v>45227</v>
      </c>
      <c r="C1585" t="s">
        <v>8427</v>
      </c>
      <c r="D1585" t="s">
        <v>341</v>
      </c>
      <c r="E1585" t="s">
        <v>24</v>
      </c>
      <c r="F1585" t="s">
        <v>208</v>
      </c>
      <c r="G1585">
        <v>15</v>
      </c>
      <c r="H1585" t="s">
        <v>464</v>
      </c>
      <c r="I1585" t="s">
        <v>579</v>
      </c>
      <c r="J1585" t="s">
        <v>9514</v>
      </c>
      <c r="K1585" t="s">
        <v>9998</v>
      </c>
    </row>
    <row r="1586" spans="1:19" x14ac:dyDescent="0.25">
      <c r="A1586" t="s">
        <v>10036</v>
      </c>
      <c r="B1586" s="1">
        <v>45234</v>
      </c>
      <c r="C1586" t="s">
        <v>2398</v>
      </c>
      <c r="D1586" t="s">
        <v>341</v>
      </c>
      <c r="E1586" t="s">
        <v>24</v>
      </c>
      <c r="F1586" t="s">
        <v>231</v>
      </c>
      <c r="G1586">
        <v>10</v>
      </c>
      <c r="H1586" t="s">
        <v>194</v>
      </c>
      <c r="I1586" t="s">
        <v>195</v>
      </c>
      <c r="J1586" t="s">
        <v>211</v>
      </c>
      <c r="K1586" t="s">
        <v>10037</v>
      </c>
      <c r="R1586">
        <v>44</v>
      </c>
      <c r="S1586">
        <v>101.92</v>
      </c>
    </row>
    <row r="1587" spans="1:19" x14ac:dyDescent="0.25">
      <c r="A1587" t="s">
        <v>10038</v>
      </c>
      <c r="B1587" s="1">
        <v>45234</v>
      </c>
      <c r="C1587" t="s">
        <v>2872</v>
      </c>
      <c r="D1587" t="s">
        <v>341</v>
      </c>
      <c r="E1587" t="s">
        <v>24</v>
      </c>
      <c r="F1587" t="s">
        <v>323</v>
      </c>
      <c r="G1587">
        <v>45</v>
      </c>
      <c r="H1587" t="s">
        <v>26</v>
      </c>
      <c r="I1587" t="s">
        <v>370</v>
      </c>
      <c r="J1587" t="s">
        <v>439</v>
      </c>
      <c r="K1587" t="s">
        <v>10039</v>
      </c>
      <c r="L1587">
        <v>302</v>
      </c>
      <c r="M1587">
        <v>112</v>
      </c>
      <c r="N1587" s="2">
        <v>0.39</v>
      </c>
      <c r="O1587">
        <v>83</v>
      </c>
      <c r="P1587">
        <v>16.850000000000001</v>
      </c>
      <c r="Q1587">
        <v>12.64</v>
      </c>
      <c r="R1587">
        <v>495</v>
      </c>
      <c r="S1587">
        <v>160.63</v>
      </c>
    </row>
    <row r="1588" spans="1:19" x14ac:dyDescent="0.25">
      <c r="A1588" t="s">
        <v>10040</v>
      </c>
      <c r="B1588" s="1">
        <v>45234</v>
      </c>
      <c r="C1588" t="s">
        <v>8619</v>
      </c>
      <c r="D1588" t="s">
        <v>341</v>
      </c>
      <c r="E1588" t="s">
        <v>24</v>
      </c>
      <c r="F1588" t="s">
        <v>768</v>
      </c>
      <c r="G1588">
        <v>10</v>
      </c>
      <c r="H1588" t="s">
        <v>26</v>
      </c>
      <c r="I1588" t="s">
        <v>39</v>
      </c>
      <c r="J1588" t="s">
        <v>7372</v>
      </c>
      <c r="K1588" t="s">
        <v>10041</v>
      </c>
      <c r="L1588">
        <v>34</v>
      </c>
      <c r="M1588">
        <v>56</v>
      </c>
      <c r="N1588" s="2">
        <v>0.3</v>
      </c>
      <c r="O1588">
        <v>79</v>
      </c>
      <c r="P1588">
        <v>12.62</v>
      </c>
      <c r="Q1588">
        <v>2.11</v>
      </c>
      <c r="R1588">
        <v>82</v>
      </c>
      <c r="S1588">
        <v>136.07</v>
      </c>
    </row>
    <row r="1589" spans="1:19" x14ac:dyDescent="0.25">
      <c r="A1589" t="s">
        <v>10042</v>
      </c>
      <c r="B1589" s="1">
        <v>45234</v>
      </c>
      <c r="C1589" t="s">
        <v>9527</v>
      </c>
      <c r="D1589" t="s">
        <v>341</v>
      </c>
      <c r="E1589" t="s">
        <v>24</v>
      </c>
      <c r="F1589" t="s">
        <v>768</v>
      </c>
      <c r="G1589">
        <v>10</v>
      </c>
      <c r="H1589" t="s">
        <v>194</v>
      </c>
      <c r="I1589" t="s">
        <v>700</v>
      </c>
      <c r="J1589" t="s">
        <v>1282</v>
      </c>
      <c r="K1589" t="s">
        <v>10043</v>
      </c>
      <c r="R1589">
        <v>55</v>
      </c>
      <c r="S1589">
        <v>113.87</v>
      </c>
    </row>
    <row r="1590" spans="1:19" x14ac:dyDescent="0.25">
      <c r="A1590" t="s">
        <v>10044</v>
      </c>
      <c r="B1590" s="1">
        <v>45234</v>
      </c>
      <c r="C1590" t="s">
        <v>10045</v>
      </c>
      <c r="D1590" t="s">
        <v>341</v>
      </c>
      <c r="E1590" t="s">
        <v>24</v>
      </c>
      <c r="F1590" t="s">
        <v>660</v>
      </c>
      <c r="G1590">
        <v>5</v>
      </c>
      <c r="H1590" t="s">
        <v>49</v>
      </c>
      <c r="I1590" t="s">
        <v>50</v>
      </c>
      <c r="J1590" t="s">
        <v>51</v>
      </c>
      <c r="K1590" t="s">
        <v>10046</v>
      </c>
      <c r="R1590">
        <v>23</v>
      </c>
      <c r="S1590">
        <v>105.98</v>
      </c>
    </row>
    <row r="1591" spans="1:19" x14ac:dyDescent="0.25">
      <c r="A1591" t="s">
        <v>10089</v>
      </c>
      <c r="B1591" s="1">
        <v>45241</v>
      </c>
      <c r="C1591" t="s">
        <v>10090</v>
      </c>
      <c r="D1591" t="s">
        <v>341</v>
      </c>
      <c r="E1591" t="s">
        <v>24</v>
      </c>
      <c r="F1591" t="s">
        <v>328</v>
      </c>
      <c r="G1591">
        <v>10</v>
      </c>
      <c r="H1591" t="s">
        <v>194</v>
      </c>
      <c r="I1591" t="s">
        <v>195</v>
      </c>
      <c r="J1591" t="s">
        <v>211</v>
      </c>
      <c r="K1591" t="s">
        <v>10091</v>
      </c>
      <c r="R1591">
        <v>37</v>
      </c>
      <c r="S1591">
        <v>94.63</v>
      </c>
    </row>
    <row r="1592" spans="1:19" x14ac:dyDescent="0.25">
      <c r="A1592" t="s">
        <v>10092</v>
      </c>
      <c r="B1592" s="1">
        <v>45241</v>
      </c>
      <c r="C1592" t="s">
        <v>3989</v>
      </c>
      <c r="D1592" t="s">
        <v>341</v>
      </c>
      <c r="E1592" t="s">
        <v>24</v>
      </c>
      <c r="F1592" t="s">
        <v>335</v>
      </c>
      <c r="G1592">
        <v>45</v>
      </c>
      <c r="H1592" t="s">
        <v>26</v>
      </c>
      <c r="I1592" t="s">
        <v>370</v>
      </c>
      <c r="J1592" t="s">
        <v>4416</v>
      </c>
      <c r="K1592" t="s">
        <v>4417</v>
      </c>
      <c r="L1592">
        <v>284</v>
      </c>
      <c r="M1592">
        <v>105</v>
      </c>
      <c r="N1592" s="2">
        <v>0.37</v>
      </c>
      <c r="O1592">
        <v>84</v>
      </c>
      <c r="P1592">
        <v>16.399999999999999</v>
      </c>
      <c r="Q1592">
        <v>12.3</v>
      </c>
      <c r="R1592">
        <v>468</v>
      </c>
      <c r="S1592">
        <v>155.53</v>
      </c>
    </row>
    <row r="1593" spans="1:19" x14ac:dyDescent="0.25">
      <c r="A1593" t="s">
        <v>10093</v>
      </c>
      <c r="B1593" s="1">
        <v>45241</v>
      </c>
      <c r="C1593" t="s">
        <v>4079</v>
      </c>
      <c r="D1593" t="s">
        <v>341</v>
      </c>
      <c r="E1593" t="s">
        <v>24</v>
      </c>
      <c r="F1593" t="s">
        <v>335</v>
      </c>
      <c r="G1593">
        <v>5</v>
      </c>
      <c r="H1593" t="s">
        <v>26</v>
      </c>
      <c r="I1593" t="s">
        <v>358</v>
      </c>
      <c r="J1593" t="s">
        <v>359</v>
      </c>
      <c r="K1593" t="s">
        <v>10094</v>
      </c>
      <c r="L1593">
        <v>16</v>
      </c>
      <c r="M1593">
        <v>53</v>
      </c>
      <c r="N1593" s="2">
        <v>0.28000000000000003</v>
      </c>
      <c r="O1593">
        <v>80</v>
      </c>
      <c r="P1593">
        <v>12.18</v>
      </c>
      <c r="Q1593">
        <v>1.01</v>
      </c>
      <c r="R1593">
        <v>40</v>
      </c>
      <c r="S1593">
        <v>134.94999999999999</v>
      </c>
    </row>
    <row r="1594" spans="1:19" x14ac:dyDescent="0.25">
      <c r="A1594" t="s">
        <v>10095</v>
      </c>
      <c r="B1594" s="1">
        <v>45241</v>
      </c>
      <c r="C1594" t="s">
        <v>10096</v>
      </c>
      <c r="D1594" t="s">
        <v>341</v>
      </c>
      <c r="E1594" t="s">
        <v>24</v>
      </c>
      <c r="F1594" t="s">
        <v>2833</v>
      </c>
      <c r="G1594">
        <v>10</v>
      </c>
      <c r="H1594" t="s">
        <v>194</v>
      </c>
      <c r="I1594" t="s">
        <v>700</v>
      </c>
      <c r="J1594" t="s">
        <v>1282</v>
      </c>
      <c r="K1594" t="s">
        <v>10097</v>
      </c>
      <c r="R1594">
        <v>72</v>
      </c>
      <c r="S1594">
        <v>125.61</v>
      </c>
    </row>
    <row r="1595" spans="1:19" x14ac:dyDescent="0.25">
      <c r="A1595" t="s">
        <v>10098</v>
      </c>
      <c r="B1595" s="1">
        <v>45241</v>
      </c>
      <c r="C1595" t="s">
        <v>10099</v>
      </c>
      <c r="D1595" t="s">
        <v>341</v>
      </c>
      <c r="E1595" t="s">
        <v>24</v>
      </c>
      <c r="F1595" t="s">
        <v>243</v>
      </c>
      <c r="G1595">
        <v>5</v>
      </c>
      <c r="H1595" t="s">
        <v>49</v>
      </c>
      <c r="I1595" t="s">
        <v>50</v>
      </c>
      <c r="J1595" t="s">
        <v>51</v>
      </c>
      <c r="K1595" t="s">
        <v>10100</v>
      </c>
      <c r="R1595">
        <v>27</v>
      </c>
      <c r="S1595">
        <v>111.73</v>
      </c>
    </row>
    <row r="1596" spans="1:19" x14ac:dyDescent="0.25">
      <c r="A1596" t="s">
        <v>10135</v>
      </c>
      <c r="B1596" s="1">
        <v>45248</v>
      </c>
      <c r="C1596" t="s">
        <v>10136</v>
      </c>
      <c r="D1596" t="s">
        <v>341</v>
      </c>
      <c r="E1596" t="s">
        <v>24</v>
      </c>
      <c r="F1596" t="s">
        <v>215</v>
      </c>
      <c r="G1596">
        <v>10</v>
      </c>
      <c r="H1596" t="s">
        <v>464</v>
      </c>
      <c r="I1596" t="s">
        <v>103</v>
      </c>
      <c r="J1596" t="s">
        <v>3441</v>
      </c>
      <c r="K1596" t="s">
        <v>10137</v>
      </c>
    </row>
    <row r="1597" spans="1:19" x14ac:dyDescent="0.25">
      <c r="A1597" t="s">
        <v>10138</v>
      </c>
      <c r="B1597" s="1">
        <v>45248</v>
      </c>
      <c r="C1597" t="s">
        <v>10139</v>
      </c>
      <c r="D1597" t="s">
        <v>341</v>
      </c>
      <c r="E1597" t="s">
        <v>24</v>
      </c>
      <c r="F1597" t="s">
        <v>323</v>
      </c>
      <c r="G1597">
        <v>45</v>
      </c>
      <c r="H1597" t="s">
        <v>26</v>
      </c>
      <c r="I1597" t="s">
        <v>370</v>
      </c>
      <c r="J1597" t="s">
        <v>479</v>
      </c>
      <c r="K1597" t="s">
        <v>10140</v>
      </c>
      <c r="L1597">
        <v>253</v>
      </c>
      <c r="M1597">
        <v>94</v>
      </c>
      <c r="N1597" s="2">
        <v>0.34</v>
      </c>
      <c r="O1597">
        <v>86</v>
      </c>
      <c r="P1597">
        <v>15.18</v>
      </c>
      <c r="Q1597">
        <v>11.39</v>
      </c>
      <c r="R1597">
        <v>496</v>
      </c>
      <c r="S1597">
        <v>159.97</v>
      </c>
    </row>
    <row r="1598" spans="1:19" x14ac:dyDescent="0.25">
      <c r="A1598" t="s">
        <v>10141</v>
      </c>
      <c r="B1598" s="1">
        <v>45248</v>
      </c>
      <c r="C1598" t="s">
        <v>4931</v>
      </c>
      <c r="D1598" t="s">
        <v>341</v>
      </c>
      <c r="E1598" t="s">
        <v>24</v>
      </c>
      <c r="F1598" t="s">
        <v>554</v>
      </c>
      <c r="G1598">
        <v>5</v>
      </c>
      <c r="H1598" t="s">
        <v>26</v>
      </c>
      <c r="I1598" t="s">
        <v>358</v>
      </c>
      <c r="J1598" t="s">
        <v>359</v>
      </c>
      <c r="K1598" t="s">
        <v>10142</v>
      </c>
      <c r="L1598">
        <v>23</v>
      </c>
      <c r="M1598">
        <v>76</v>
      </c>
      <c r="N1598" s="2">
        <v>0.34</v>
      </c>
      <c r="O1598">
        <v>81</v>
      </c>
      <c r="P1598">
        <v>14.29</v>
      </c>
      <c r="Q1598">
        <v>1.19</v>
      </c>
      <c r="R1598">
        <v>29</v>
      </c>
    </row>
    <row r="1599" spans="1:19" x14ac:dyDescent="0.25">
      <c r="A1599" t="s">
        <v>10143</v>
      </c>
      <c r="B1599" s="1">
        <v>45248</v>
      </c>
      <c r="C1599" t="s">
        <v>10144</v>
      </c>
      <c r="D1599" t="s">
        <v>341</v>
      </c>
      <c r="E1599" t="s">
        <v>24</v>
      </c>
      <c r="F1599" t="s">
        <v>905</v>
      </c>
      <c r="G1599">
        <v>5</v>
      </c>
      <c r="H1599" t="s">
        <v>49</v>
      </c>
      <c r="I1599" t="s">
        <v>50</v>
      </c>
      <c r="J1599" t="s">
        <v>51</v>
      </c>
      <c r="K1599" t="s">
        <v>10145</v>
      </c>
      <c r="R1599">
        <v>32</v>
      </c>
      <c r="S1599">
        <v>121.71</v>
      </c>
    </row>
    <row r="1600" spans="1:19" x14ac:dyDescent="0.25">
      <c r="A1600" t="s">
        <v>10146</v>
      </c>
      <c r="B1600" s="1">
        <v>45248</v>
      </c>
      <c r="C1600" t="s">
        <v>4687</v>
      </c>
      <c r="D1600" t="s">
        <v>341</v>
      </c>
      <c r="E1600" t="s">
        <v>24</v>
      </c>
      <c r="F1600" t="s">
        <v>208</v>
      </c>
      <c r="G1600">
        <v>10</v>
      </c>
      <c r="H1600" t="s">
        <v>464</v>
      </c>
      <c r="I1600" t="s">
        <v>1571</v>
      </c>
      <c r="J1600" t="s">
        <v>5082</v>
      </c>
      <c r="K1600" t="s">
        <v>10147</v>
      </c>
    </row>
    <row r="1601" spans="1:19" x14ac:dyDescent="0.25">
      <c r="A1601" t="s">
        <v>10221</v>
      </c>
      <c r="B1601" s="1">
        <v>45262</v>
      </c>
      <c r="C1601" t="s">
        <v>2888</v>
      </c>
      <c r="D1601" t="s">
        <v>341</v>
      </c>
      <c r="E1601" t="s">
        <v>24</v>
      </c>
      <c r="F1601" t="s">
        <v>2708</v>
      </c>
      <c r="G1601">
        <v>10</v>
      </c>
      <c r="H1601" t="s">
        <v>464</v>
      </c>
      <c r="I1601" t="s">
        <v>579</v>
      </c>
      <c r="J1601" t="s">
        <v>986</v>
      </c>
      <c r="K1601" t="s">
        <v>10222</v>
      </c>
    </row>
    <row r="1602" spans="1:19" x14ac:dyDescent="0.25">
      <c r="A1602" t="s">
        <v>10274</v>
      </c>
      <c r="B1602" s="1">
        <v>45269</v>
      </c>
      <c r="C1602" t="s">
        <v>4076</v>
      </c>
      <c r="D1602" t="s">
        <v>341</v>
      </c>
      <c r="E1602" t="s">
        <v>24</v>
      </c>
      <c r="F1602" t="s">
        <v>180</v>
      </c>
      <c r="G1602">
        <v>10</v>
      </c>
      <c r="H1602" t="s">
        <v>194</v>
      </c>
      <c r="I1602" t="s">
        <v>195</v>
      </c>
      <c r="J1602" t="s">
        <v>211</v>
      </c>
      <c r="K1602" t="s">
        <v>10275</v>
      </c>
      <c r="R1602">
        <v>56</v>
      </c>
      <c r="S1602">
        <v>115.53</v>
      </c>
    </row>
    <row r="1603" spans="1:19" x14ac:dyDescent="0.25">
      <c r="A1603" t="s">
        <v>10276</v>
      </c>
      <c r="B1603" s="1">
        <v>45269</v>
      </c>
      <c r="C1603" t="s">
        <v>10277</v>
      </c>
      <c r="D1603" t="s">
        <v>341</v>
      </c>
      <c r="E1603" t="s">
        <v>24</v>
      </c>
      <c r="F1603" t="s">
        <v>768</v>
      </c>
      <c r="G1603">
        <v>5</v>
      </c>
      <c r="H1603" t="s">
        <v>26</v>
      </c>
      <c r="I1603" t="s">
        <v>423</v>
      </c>
      <c r="J1603" t="s">
        <v>505</v>
      </c>
      <c r="K1603" t="s">
        <v>10278</v>
      </c>
      <c r="L1603">
        <v>20</v>
      </c>
      <c r="M1603">
        <v>66</v>
      </c>
      <c r="N1603" s="2">
        <v>0.31</v>
      </c>
      <c r="O1603">
        <v>83</v>
      </c>
      <c r="P1603">
        <v>13.53</v>
      </c>
      <c r="Q1603">
        <v>1.1299999999999999</v>
      </c>
      <c r="R1603">
        <v>39</v>
      </c>
      <c r="S1603">
        <v>136.63999999999999</v>
      </c>
    </row>
    <row r="1604" spans="1:19" x14ac:dyDescent="0.25">
      <c r="A1604" t="s">
        <v>10279</v>
      </c>
      <c r="B1604" s="1">
        <v>45269</v>
      </c>
      <c r="C1604" t="s">
        <v>3992</v>
      </c>
      <c r="D1604" t="s">
        <v>341</v>
      </c>
      <c r="E1604" t="s">
        <v>24</v>
      </c>
      <c r="F1604" t="s">
        <v>354</v>
      </c>
      <c r="G1604">
        <v>30</v>
      </c>
      <c r="H1604" t="s">
        <v>26</v>
      </c>
      <c r="I1604" t="s">
        <v>370</v>
      </c>
      <c r="J1604" t="s">
        <v>396</v>
      </c>
      <c r="K1604" t="s">
        <v>10280</v>
      </c>
      <c r="L1604">
        <v>173</v>
      </c>
      <c r="M1604">
        <v>96</v>
      </c>
      <c r="N1604" s="2">
        <v>0.36</v>
      </c>
      <c r="O1604">
        <v>84</v>
      </c>
      <c r="P1604">
        <v>15.81</v>
      </c>
      <c r="Q1604">
        <v>7.9</v>
      </c>
      <c r="R1604">
        <v>352</v>
      </c>
      <c r="S1604">
        <v>166.17</v>
      </c>
    </row>
    <row r="1605" spans="1:19" x14ac:dyDescent="0.25">
      <c r="A1605" t="s">
        <v>10281</v>
      </c>
      <c r="B1605" s="1">
        <v>45269</v>
      </c>
      <c r="C1605" t="s">
        <v>10282</v>
      </c>
      <c r="D1605" t="s">
        <v>341</v>
      </c>
      <c r="E1605" t="s">
        <v>24</v>
      </c>
      <c r="F1605" t="s">
        <v>768</v>
      </c>
      <c r="G1605">
        <v>10</v>
      </c>
      <c r="H1605" t="s">
        <v>194</v>
      </c>
      <c r="I1605" t="s">
        <v>700</v>
      </c>
      <c r="J1605" t="s">
        <v>1282</v>
      </c>
      <c r="K1605" t="s">
        <v>10283</v>
      </c>
      <c r="R1605">
        <v>48</v>
      </c>
    </row>
    <row r="1606" spans="1:19" x14ac:dyDescent="0.25">
      <c r="A1606" t="s">
        <v>10284</v>
      </c>
      <c r="B1606" s="1">
        <v>45269</v>
      </c>
      <c r="C1606" t="s">
        <v>10285</v>
      </c>
      <c r="D1606" t="s">
        <v>341</v>
      </c>
      <c r="E1606" t="s">
        <v>24</v>
      </c>
      <c r="F1606" t="s">
        <v>33</v>
      </c>
      <c r="G1606">
        <v>5</v>
      </c>
      <c r="H1606" t="s">
        <v>49</v>
      </c>
      <c r="I1606" t="s">
        <v>50</v>
      </c>
      <c r="J1606" t="s">
        <v>51</v>
      </c>
      <c r="K1606" t="s">
        <v>10286</v>
      </c>
      <c r="R1606">
        <v>24</v>
      </c>
      <c r="S1606">
        <v>113.69</v>
      </c>
    </row>
    <row r="1607" spans="1:19" x14ac:dyDescent="0.25">
      <c r="A1607" t="s">
        <v>10336</v>
      </c>
      <c r="B1607" s="1">
        <v>45276</v>
      </c>
      <c r="C1607" t="s">
        <v>1616</v>
      </c>
      <c r="D1607" t="s">
        <v>341</v>
      </c>
      <c r="E1607" t="s">
        <v>24</v>
      </c>
      <c r="F1607" t="s">
        <v>200</v>
      </c>
      <c r="G1607">
        <v>10</v>
      </c>
      <c r="H1607" t="s">
        <v>464</v>
      </c>
      <c r="I1607" t="s">
        <v>943</v>
      </c>
      <c r="J1607" t="s">
        <v>944</v>
      </c>
      <c r="K1607" t="s">
        <v>10337</v>
      </c>
    </row>
    <row r="1608" spans="1:19" x14ac:dyDescent="0.25">
      <c r="A1608" t="s">
        <v>10420</v>
      </c>
      <c r="B1608" s="1">
        <v>45290</v>
      </c>
      <c r="C1608" t="s">
        <v>10421</v>
      </c>
      <c r="D1608" t="s">
        <v>341</v>
      </c>
      <c r="E1608" t="s">
        <v>24</v>
      </c>
      <c r="F1608" t="s">
        <v>297</v>
      </c>
      <c r="G1608">
        <v>30</v>
      </c>
      <c r="H1608" t="s">
        <v>194</v>
      </c>
      <c r="I1608" t="s">
        <v>691</v>
      </c>
      <c r="J1608" t="s">
        <v>10386</v>
      </c>
      <c r="K1608" t="s">
        <v>10422</v>
      </c>
      <c r="R1608">
        <v>239</v>
      </c>
      <c r="S1608">
        <v>133.46</v>
      </c>
    </row>
    <row r="1609" spans="1:19" x14ac:dyDescent="0.25">
      <c r="A1609" t="s">
        <v>10423</v>
      </c>
      <c r="B1609" s="1">
        <v>45290</v>
      </c>
      <c r="C1609" t="s">
        <v>3974</v>
      </c>
      <c r="D1609" t="s">
        <v>341</v>
      </c>
      <c r="E1609" t="s">
        <v>24</v>
      </c>
      <c r="F1609" t="s">
        <v>2501</v>
      </c>
      <c r="G1609">
        <v>10</v>
      </c>
      <c r="H1609" t="s">
        <v>194</v>
      </c>
      <c r="I1609" t="s">
        <v>195</v>
      </c>
      <c r="J1609" t="s">
        <v>211</v>
      </c>
      <c r="K1609" t="s">
        <v>10424</v>
      </c>
      <c r="R1609">
        <v>50</v>
      </c>
      <c r="S1609">
        <v>106.97</v>
      </c>
    </row>
    <row r="1610" spans="1:19" x14ac:dyDescent="0.25">
      <c r="A1610" t="s">
        <v>10425</v>
      </c>
      <c r="B1610" s="1">
        <v>45290</v>
      </c>
      <c r="C1610" t="s">
        <v>4801</v>
      </c>
      <c r="D1610" t="s">
        <v>341</v>
      </c>
      <c r="E1610" t="s">
        <v>24</v>
      </c>
      <c r="F1610" t="s">
        <v>323</v>
      </c>
      <c r="G1610">
        <v>45</v>
      </c>
      <c r="H1610" t="s">
        <v>26</v>
      </c>
      <c r="I1610" t="s">
        <v>370</v>
      </c>
      <c r="J1610" t="s">
        <v>439</v>
      </c>
      <c r="K1610" t="s">
        <v>10426</v>
      </c>
      <c r="L1610">
        <v>285</v>
      </c>
      <c r="M1610">
        <v>106</v>
      </c>
      <c r="N1610" s="2">
        <v>0.38</v>
      </c>
      <c r="O1610">
        <v>82</v>
      </c>
      <c r="P1610">
        <v>16.489999999999998</v>
      </c>
      <c r="Q1610">
        <v>12.37</v>
      </c>
      <c r="R1610">
        <v>478</v>
      </c>
      <c r="S1610">
        <v>156.49</v>
      </c>
    </row>
    <row r="1611" spans="1:19" x14ac:dyDescent="0.25">
      <c r="A1611" t="s">
        <v>10427</v>
      </c>
      <c r="B1611" s="1">
        <v>45290</v>
      </c>
      <c r="C1611" t="s">
        <v>4304</v>
      </c>
      <c r="D1611" t="s">
        <v>341</v>
      </c>
      <c r="E1611" t="s">
        <v>24</v>
      </c>
      <c r="F1611" t="s">
        <v>2876</v>
      </c>
      <c r="G1611">
        <v>5</v>
      </c>
      <c r="H1611" t="s">
        <v>49</v>
      </c>
      <c r="I1611" t="s">
        <v>50</v>
      </c>
      <c r="J1611" t="s">
        <v>51</v>
      </c>
      <c r="K1611" t="s">
        <v>10428</v>
      </c>
      <c r="R1611">
        <v>28</v>
      </c>
      <c r="S1611">
        <v>113.03</v>
      </c>
    </row>
    <row r="1612" spans="1:19" x14ac:dyDescent="0.25">
      <c r="A1612" t="s">
        <v>10429</v>
      </c>
      <c r="B1612" s="1">
        <v>45290</v>
      </c>
      <c r="C1612" t="s">
        <v>3390</v>
      </c>
      <c r="D1612" t="s">
        <v>341</v>
      </c>
      <c r="E1612" t="s">
        <v>24</v>
      </c>
      <c r="F1612" t="s">
        <v>459</v>
      </c>
      <c r="G1612">
        <v>20</v>
      </c>
      <c r="H1612" t="s">
        <v>464</v>
      </c>
      <c r="I1612" t="s">
        <v>103</v>
      </c>
      <c r="J1612" t="s">
        <v>10430</v>
      </c>
      <c r="K1612" t="s">
        <v>9911</v>
      </c>
    </row>
    <row r="1613" spans="1:19" x14ac:dyDescent="0.25">
      <c r="A1613" t="s">
        <v>10483</v>
      </c>
      <c r="B1613" s="1">
        <v>45297</v>
      </c>
      <c r="C1613" t="s">
        <v>3858</v>
      </c>
      <c r="D1613" t="s">
        <v>341</v>
      </c>
      <c r="E1613" t="s">
        <v>24</v>
      </c>
      <c r="F1613" t="s">
        <v>2708</v>
      </c>
      <c r="G1613">
        <v>20</v>
      </c>
      <c r="H1613" t="s">
        <v>464</v>
      </c>
      <c r="I1613" t="s">
        <v>103</v>
      </c>
      <c r="J1613" t="s">
        <v>10484</v>
      </c>
      <c r="K1613" t="s">
        <v>9911</v>
      </c>
    </row>
    <row r="1614" spans="1:19" x14ac:dyDescent="0.25">
      <c r="A1614" t="s">
        <v>10535</v>
      </c>
      <c r="B1614" s="1">
        <v>45304</v>
      </c>
      <c r="C1614" t="s">
        <v>10536</v>
      </c>
      <c r="D1614" t="s">
        <v>341</v>
      </c>
      <c r="E1614" t="s">
        <v>24</v>
      </c>
      <c r="F1614" t="s">
        <v>33</v>
      </c>
      <c r="G1614">
        <v>60</v>
      </c>
      <c r="H1614" t="s">
        <v>26</v>
      </c>
      <c r="I1614" t="s">
        <v>370</v>
      </c>
      <c r="J1614" t="s">
        <v>498</v>
      </c>
      <c r="K1614" t="s">
        <v>10537</v>
      </c>
      <c r="L1614">
        <v>364</v>
      </c>
      <c r="M1614">
        <v>101</v>
      </c>
      <c r="N1614" s="2">
        <v>0.37</v>
      </c>
      <c r="O1614">
        <v>83</v>
      </c>
      <c r="P1614">
        <v>16.22</v>
      </c>
      <c r="Q1614">
        <v>16.21</v>
      </c>
      <c r="R1614">
        <v>581</v>
      </c>
      <c r="S1614">
        <v>148.62</v>
      </c>
    </row>
    <row r="1615" spans="1:19" x14ac:dyDescent="0.25">
      <c r="A1615" t="s">
        <v>10538</v>
      </c>
      <c r="B1615" s="1">
        <v>45304</v>
      </c>
      <c r="C1615" t="s">
        <v>8039</v>
      </c>
      <c r="D1615" t="s">
        <v>341</v>
      </c>
      <c r="E1615" t="s">
        <v>24</v>
      </c>
      <c r="F1615" t="s">
        <v>215</v>
      </c>
      <c r="G1615">
        <v>15</v>
      </c>
      <c r="H1615" t="s">
        <v>464</v>
      </c>
      <c r="I1615" t="s">
        <v>1571</v>
      </c>
      <c r="J1615" t="s">
        <v>9172</v>
      </c>
      <c r="K1615" t="s">
        <v>10539</v>
      </c>
    </row>
    <row r="1616" spans="1:19" x14ac:dyDescent="0.25">
      <c r="A1616" t="s">
        <v>257</v>
      </c>
      <c r="B1616" s="1">
        <v>43870</v>
      </c>
      <c r="C1616" t="s">
        <v>258</v>
      </c>
      <c r="D1616" t="s">
        <v>259</v>
      </c>
      <c r="E1616" t="s">
        <v>24</v>
      </c>
      <c r="F1616" t="s">
        <v>180</v>
      </c>
      <c r="G1616">
        <v>5</v>
      </c>
      <c r="H1616" t="s">
        <v>194</v>
      </c>
      <c r="I1616" t="s">
        <v>195</v>
      </c>
      <c r="J1616" t="s">
        <v>196</v>
      </c>
      <c r="K1616" t="s">
        <v>205</v>
      </c>
      <c r="R1616">
        <v>28</v>
      </c>
    </row>
    <row r="1617" spans="1:18" x14ac:dyDescent="0.25">
      <c r="A1617" t="s">
        <v>260</v>
      </c>
      <c r="B1617" s="1">
        <v>43870</v>
      </c>
      <c r="C1617" t="s">
        <v>261</v>
      </c>
      <c r="D1617" t="s">
        <v>259</v>
      </c>
      <c r="E1617" t="s">
        <v>24</v>
      </c>
      <c r="F1617" t="s">
        <v>243</v>
      </c>
      <c r="G1617">
        <v>45</v>
      </c>
      <c r="H1617" t="s">
        <v>188</v>
      </c>
      <c r="I1617" t="s">
        <v>189</v>
      </c>
      <c r="J1617" t="s">
        <v>244</v>
      </c>
      <c r="K1617" t="s">
        <v>262</v>
      </c>
      <c r="R1617">
        <v>58</v>
      </c>
    </row>
    <row r="1618" spans="1:18" x14ac:dyDescent="0.25">
      <c r="A1618" t="s">
        <v>271</v>
      </c>
      <c r="B1618" s="1">
        <v>43905</v>
      </c>
      <c r="C1618" t="s">
        <v>272</v>
      </c>
      <c r="D1618" t="s">
        <v>259</v>
      </c>
      <c r="E1618" t="s">
        <v>24</v>
      </c>
      <c r="F1618" t="s">
        <v>243</v>
      </c>
      <c r="G1618">
        <v>45</v>
      </c>
      <c r="H1618" t="s">
        <v>188</v>
      </c>
      <c r="I1618" t="s">
        <v>189</v>
      </c>
      <c r="J1618" t="s">
        <v>244</v>
      </c>
      <c r="K1618" t="s">
        <v>273</v>
      </c>
      <c r="R1618">
        <v>171</v>
      </c>
    </row>
    <row r="1619" spans="1:18" x14ac:dyDescent="0.25">
      <c r="A1619" t="s">
        <v>277</v>
      </c>
      <c r="B1619" s="1">
        <v>43926</v>
      </c>
      <c r="C1619" t="s">
        <v>278</v>
      </c>
      <c r="D1619" t="s">
        <v>259</v>
      </c>
      <c r="E1619" t="s">
        <v>24</v>
      </c>
      <c r="F1619" t="s">
        <v>243</v>
      </c>
      <c r="G1619">
        <v>60</v>
      </c>
      <c r="H1619" t="s">
        <v>188</v>
      </c>
      <c r="I1619" t="s">
        <v>189</v>
      </c>
      <c r="J1619" t="s">
        <v>216</v>
      </c>
      <c r="K1619" t="s">
        <v>279</v>
      </c>
      <c r="R1619">
        <v>238</v>
      </c>
    </row>
    <row r="1620" spans="1:18" x14ac:dyDescent="0.25">
      <c r="A1620" t="s">
        <v>280</v>
      </c>
      <c r="B1620" s="1">
        <v>43954</v>
      </c>
      <c r="C1620" t="s">
        <v>281</v>
      </c>
      <c r="D1620" t="s">
        <v>259</v>
      </c>
      <c r="E1620" t="s">
        <v>24</v>
      </c>
      <c r="F1620" t="s">
        <v>243</v>
      </c>
      <c r="G1620">
        <v>30</v>
      </c>
      <c r="H1620" t="s">
        <v>188</v>
      </c>
      <c r="I1620" t="s">
        <v>103</v>
      </c>
      <c r="J1620" t="s">
        <v>282</v>
      </c>
      <c r="K1620" t="s">
        <v>283</v>
      </c>
      <c r="R1620">
        <v>2</v>
      </c>
    </row>
    <row r="1621" spans="1:18" x14ac:dyDescent="0.25">
      <c r="A1621" t="s">
        <v>284</v>
      </c>
      <c r="B1621" s="1">
        <v>43954</v>
      </c>
      <c r="C1621" t="s">
        <v>285</v>
      </c>
      <c r="D1621" t="s">
        <v>259</v>
      </c>
      <c r="E1621" t="s">
        <v>24</v>
      </c>
      <c r="F1621" t="s">
        <v>243</v>
      </c>
      <c r="G1621">
        <v>30</v>
      </c>
      <c r="H1621" t="s">
        <v>188</v>
      </c>
      <c r="I1621" t="s">
        <v>103</v>
      </c>
      <c r="J1621" t="s">
        <v>282</v>
      </c>
      <c r="K1621" t="s">
        <v>283</v>
      </c>
    </row>
    <row r="1622" spans="1:18" x14ac:dyDescent="0.25">
      <c r="A1622" t="s">
        <v>286</v>
      </c>
      <c r="B1622" s="1">
        <v>43954</v>
      </c>
      <c r="C1622" t="s">
        <v>287</v>
      </c>
      <c r="D1622" t="s">
        <v>259</v>
      </c>
      <c r="E1622" t="s">
        <v>24</v>
      </c>
      <c r="F1622" t="s">
        <v>215</v>
      </c>
      <c r="G1622">
        <v>30</v>
      </c>
      <c r="H1622" t="s">
        <v>188</v>
      </c>
      <c r="I1622" t="s">
        <v>189</v>
      </c>
      <c r="J1622" t="s">
        <v>288</v>
      </c>
      <c r="K1622" t="s">
        <v>289</v>
      </c>
      <c r="R1622">
        <v>125</v>
      </c>
    </row>
    <row r="1623" spans="1:18" x14ac:dyDescent="0.25">
      <c r="A1623" t="s">
        <v>352</v>
      </c>
      <c r="B1623" s="1">
        <v>44136</v>
      </c>
      <c r="C1623" t="s">
        <v>353</v>
      </c>
      <c r="D1623" t="s">
        <v>259</v>
      </c>
      <c r="E1623" t="s">
        <v>24</v>
      </c>
      <c r="F1623" t="s">
        <v>354</v>
      </c>
      <c r="G1623">
        <v>45</v>
      </c>
      <c r="H1623" t="s">
        <v>26</v>
      </c>
      <c r="I1623" t="s">
        <v>126</v>
      </c>
      <c r="J1623" t="s">
        <v>146</v>
      </c>
      <c r="K1623" t="s">
        <v>355</v>
      </c>
      <c r="L1623">
        <v>189</v>
      </c>
      <c r="M1623">
        <v>70</v>
      </c>
      <c r="N1623" s="2">
        <v>0.34</v>
      </c>
      <c r="O1623">
        <v>79</v>
      </c>
      <c r="P1623">
        <v>13.55</v>
      </c>
      <c r="Q1623">
        <v>10.16</v>
      </c>
      <c r="R1623">
        <v>259</v>
      </c>
    </row>
    <row r="1624" spans="1:18" x14ac:dyDescent="0.25">
      <c r="A1624" t="s">
        <v>356</v>
      </c>
      <c r="B1624" s="1">
        <v>44136</v>
      </c>
      <c r="C1624" t="s">
        <v>357</v>
      </c>
      <c r="D1624" t="s">
        <v>259</v>
      </c>
      <c r="E1624" t="s">
        <v>24</v>
      </c>
      <c r="F1624" t="s">
        <v>354</v>
      </c>
      <c r="G1624">
        <v>5</v>
      </c>
      <c r="H1624" t="s">
        <v>26</v>
      </c>
      <c r="I1624" t="s">
        <v>358</v>
      </c>
      <c r="J1624" t="s">
        <v>359</v>
      </c>
      <c r="K1624" t="s">
        <v>360</v>
      </c>
      <c r="L1624">
        <v>12</v>
      </c>
      <c r="M1624">
        <v>42</v>
      </c>
      <c r="N1624" s="2">
        <v>0.24</v>
      </c>
      <c r="O1624">
        <v>87</v>
      </c>
      <c r="P1624">
        <v>10.91</v>
      </c>
      <c r="Q1624">
        <v>0.91</v>
      </c>
      <c r="R1624">
        <v>17</v>
      </c>
    </row>
    <row r="1625" spans="1:18" x14ac:dyDescent="0.25">
      <c r="A1625" t="s">
        <v>361</v>
      </c>
      <c r="B1625" s="1">
        <v>44136</v>
      </c>
      <c r="C1625" t="s">
        <v>362</v>
      </c>
      <c r="D1625" t="s">
        <v>259</v>
      </c>
      <c r="E1625" t="s">
        <v>24</v>
      </c>
      <c r="F1625" t="s">
        <v>297</v>
      </c>
      <c r="G1625">
        <v>10</v>
      </c>
      <c r="H1625" t="s">
        <v>49</v>
      </c>
      <c r="I1625" t="s">
        <v>226</v>
      </c>
      <c r="J1625" t="s">
        <v>293</v>
      </c>
      <c r="K1625" t="s">
        <v>363</v>
      </c>
      <c r="R1625">
        <v>26</v>
      </c>
    </row>
    <row r="1626" spans="1:18" x14ac:dyDescent="0.25">
      <c r="A1626" t="s">
        <v>413</v>
      </c>
      <c r="B1626" s="1">
        <v>44143</v>
      </c>
      <c r="C1626" t="s">
        <v>414</v>
      </c>
      <c r="D1626" t="s">
        <v>259</v>
      </c>
      <c r="E1626" t="s">
        <v>24</v>
      </c>
      <c r="F1626" t="s">
        <v>215</v>
      </c>
      <c r="G1626">
        <v>30</v>
      </c>
      <c r="H1626" t="s">
        <v>188</v>
      </c>
      <c r="I1626" t="s">
        <v>103</v>
      </c>
      <c r="J1626" t="s">
        <v>415</v>
      </c>
      <c r="K1626" t="s">
        <v>416</v>
      </c>
      <c r="R1626">
        <v>90</v>
      </c>
    </row>
    <row r="1627" spans="1:18" x14ac:dyDescent="0.25">
      <c r="A1627" t="s">
        <v>451</v>
      </c>
      <c r="B1627" s="1">
        <v>44150</v>
      </c>
      <c r="C1627" t="s">
        <v>452</v>
      </c>
      <c r="D1627" t="s">
        <v>259</v>
      </c>
      <c r="E1627" t="s">
        <v>24</v>
      </c>
      <c r="F1627" t="s">
        <v>323</v>
      </c>
      <c r="G1627">
        <v>30</v>
      </c>
      <c r="H1627" t="s">
        <v>26</v>
      </c>
      <c r="I1627" t="s">
        <v>370</v>
      </c>
      <c r="J1627" t="s">
        <v>396</v>
      </c>
      <c r="K1627" t="s">
        <v>453</v>
      </c>
      <c r="L1627">
        <v>138</v>
      </c>
      <c r="M1627">
        <v>77</v>
      </c>
      <c r="N1627" s="2">
        <v>0.33</v>
      </c>
      <c r="O1627">
        <v>87</v>
      </c>
      <c r="P1627">
        <v>14.44</v>
      </c>
      <c r="Q1627">
        <v>7.21</v>
      </c>
      <c r="R1627">
        <v>189</v>
      </c>
    </row>
    <row r="1628" spans="1:18" x14ac:dyDescent="0.25">
      <c r="A1628" t="s">
        <v>454</v>
      </c>
      <c r="B1628" s="1">
        <v>44150</v>
      </c>
      <c r="C1628" t="s">
        <v>455</v>
      </c>
      <c r="D1628" t="s">
        <v>259</v>
      </c>
      <c r="E1628" t="s">
        <v>24</v>
      </c>
      <c r="F1628" t="s">
        <v>323</v>
      </c>
      <c r="G1628">
        <v>5</v>
      </c>
      <c r="H1628" t="s">
        <v>26</v>
      </c>
      <c r="I1628" t="s">
        <v>358</v>
      </c>
      <c r="J1628" t="s">
        <v>359</v>
      </c>
      <c r="K1628" t="s">
        <v>456</v>
      </c>
      <c r="L1628">
        <v>17</v>
      </c>
      <c r="M1628">
        <v>58</v>
      </c>
      <c r="N1628" s="2">
        <v>0.27</v>
      </c>
      <c r="O1628">
        <v>94</v>
      </c>
      <c r="P1628">
        <v>12.79</v>
      </c>
      <c r="Q1628">
        <v>1.06</v>
      </c>
      <c r="R1628">
        <v>24</v>
      </c>
    </row>
    <row r="1629" spans="1:18" x14ac:dyDescent="0.25">
      <c r="A1629" t="s">
        <v>457</v>
      </c>
      <c r="B1629" s="1">
        <v>44150</v>
      </c>
      <c r="C1629" t="s">
        <v>458</v>
      </c>
      <c r="D1629" t="s">
        <v>259</v>
      </c>
      <c r="E1629" t="s">
        <v>24</v>
      </c>
      <c r="F1629" t="s">
        <v>459</v>
      </c>
      <c r="G1629">
        <v>30</v>
      </c>
      <c r="H1629" t="s">
        <v>188</v>
      </c>
      <c r="I1629" t="s">
        <v>189</v>
      </c>
      <c r="J1629" t="s">
        <v>460</v>
      </c>
      <c r="K1629" t="s">
        <v>461</v>
      </c>
      <c r="R1629">
        <v>104</v>
      </c>
    </row>
    <row r="1630" spans="1:18" x14ac:dyDescent="0.25">
      <c r="A1630" t="s">
        <v>462</v>
      </c>
      <c r="B1630" s="1">
        <v>44150</v>
      </c>
      <c r="C1630" t="s">
        <v>463</v>
      </c>
      <c r="D1630" t="s">
        <v>259</v>
      </c>
      <c r="E1630" t="s">
        <v>24</v>
      </c>
      <c r="F1630" t="s">
        <v>459</v>
      </c>
      <c r="G1630">
        <v>10</v>
      </c>
      <c r="H1630" t="s">
        <v>464</v>
      </c>
      <c r="I1630" t="s">
        <v>103</v>
      </c>
      <c r="J1630" t="s">
        <v>465</v>
      </c>
      <c r="K1630" t="s">
        <v>466</v>
      </c>
    </row>
    <row r="1631" spans="1:18" x14ac:dyDescent="0.25">
      <c r="A1631" t="s">
        <v>518</v>
      </c>
      <c r="B1631" s="1">
        <v>44157</v>
      </c>
      <c r="C1631" t="s">
        <v>519</v>
      </c>
      <c r="D1631" t="s">
        <v>259</v>
      </c>
      <c r="E1631" t="s">
        <v>24</v>
      </c>
      <c r="F1631" t="s">
        <v>354</v>
      </c>
      <c r="G1631">
        <v>45</v>
      </c>
      <c r="H1631" t="s">
        <v>26</v>
      </c>
      <c r="I1631" t="s">
        <v>126</v>
      </c>
      <c r="J1631" t="s">
        <v>146</v>
      </c>
      <c r="K1631" t="s">
        <v>520</v>
      </c>
      <c r="L1631">
        <v>191</v>
      </c>
      <c r="M1631">
        <v>71</v>
      </c>
      <c r="N1631" s="2">
        <v>0.39</v>
      </c>
      <c r="O1631">
        <v>62</v>
      </c>
      <c r="P1631">
        <v>12.23</v>
      </c>
      <c r="Q1631">
        <v>9.17</v>
      </c>
      <c r="R1631">
        <v>261</v>
      </c>
    </row>
    <row r="1632" spans="1:18" x14ac:dyDescent="0.25">
      <c r="A1632" t="s">
        <v>521</v>
      </c>
      <c r="B1632" s="1">
        <v>44157</v>
      </c>
      <c r="C1632" t="s">
        <v>438</v>
      </c>
      <c r="D1632" t="s">
        <v>259</v>
      </c>
      <c r="E1632" t="s">
        <v>24</v>
      </c>
      <c r="F1632" t="s">
        <v>354</v>
      </c>
      <c r="G1632">
        <v>5</v>
      </c>
      <c r="H1632" t="s">
        <v>26</v>
      </c>
      <c r="I1632" t="s">
        <v>358</v>
      </c>
      <c r="J1632" t="s">
        <v>359</v>
      </c>
      <c r="K1632" t="s">
        <v>360</v>
      </c>
      <c r="L1632">
        <v>15</v>
      </c>
      <c r="M1632">
        <v>50</v>
      </c>
      <c r="N1632" s="2">
        <v>0.25</v>
      </c>
      <c r="O1632">
        <v>92</v>
      </c>
      <c r="P1632">
        <v>11.9</v>
      </c>
      <c r="Q1632">
        <v>0.99</v>
      </c>
      <c r="R1632">
        <v>20</v>
      </c>
    </row>
    <row r="1633" spans="1:18" x14ac:dyDescent="0.25">
      <c r="A1633" t="s">
        <v>604</v>
      </c>
      <c r="B1633" s="1">
        <v>44171</v>
      </c>
      <c r="C1633" t="s">
        <v>87</v>
      </c>
      <c r="D1633" t="s">
        <v>259</v>
      </c>
      <c r="E1633" t="s">
        <v>24</v>
      </c>
      <c r="F1633" t="s">
        <v>354</v>
      </c>
      <c r="G1633">
        <v>30</v>
      </c>
      <c r="H1633" t="s">
        <v>605</v>
      </c>
      <c r="I1633" t="s">
        <v>44</v>
      </c>
      <c r="J1633" t="s">
        <v>606</v>
      </c>
      <c r="K1633" t="s">
        <v>607</v>
      </c>
      <c r="L1633">
        <v>72</v>
      </c>
      <c r="P1633">
        <v>14.92</v>
      </c>
      <c r="Q1633">
        <v>3.27</v>
      </c>
      <c r="R1633">
        <v>175</v>
      </c>
    </row>
    <row r="1634" spans="1:18" x14ac:dyDescent="0.25">
      <c r="A1634" t="s">
        <v>608</v>
      </c>
      <c r="B1634" s="1">
        <v>44171</v>
      </c>
      <c r="C1634" t="s">
        <v>609</v>
      </c>
      <c r="D1634" t="s">
        <v>259</v>
      </c>
      <c r="E1634" t="s">
        <v>24</v>
      </c>
      <c r="F1634" t="s">
        <v>180</v>
      </c>
      <c r="G1634">
        <v>15</v>
      </c>
      <c r="H1634" t="s">
        <v>26</v>
      </c>
      <c r="I1634" t="s">
        <v>39</v>
      </c>
      <c r="J1634" t="s">
        <v>366</v>
      </c>
      <c r="K1634" t="s">
        <v>610</v>
      </c>
      <c r="L1634">
        <v>76</v>
      </c>
      <c r="M1634">
        <v>85</v>
      </c>
      <c r="N1634" s="2">
        <v>0.37</v>
      </c>
      <c r="O1634">
        <v>80</v>
      </c>
      <c r="P1634">
        <v>15.05</v>
      </c>
      <c r="Q1634">
        <v>3.76</v>
      </c>
      <c r="R1634">
        <v>104</v>
      </c>
    </row>
    <row r="1635" spans="1:18" x14ac:dyDescent="0.25">
      <c r="A1635" t="s">
        <v>644</v>
      </c>
      <c r="B1635" s="1">
        <v>44178</v>
      </c>
      <c r="C1635" t="s">
        <v>645</v>
      </c>
      <c r="D1635" t="s">
        <v>259</v>
      </c>
      <c r="E1635" t="s">
        <v>24</v>
      </c>
      <c r="F1635" t="s">
        <v>323</v>
      </c>
      <c r="G1635">
        <v>60</v>
      </c>
      <c r="H1635" t="s">
        <v>26</v>
      </c>
      <c r="I1635" t="s">
        <v>370</v>
      </c>
      <c r="J1635" t="s">
        <v>646</v>
      </c>
      <c r="K1635" t="s">
        <v>647</v>
      </c>
      <c r="L1635">
        <v>316</v>
      </c>
      <c r="M1635">
        <v>88</v>
      </c>
      <c r="N1635" s="2">
        <v>0.35</v>
      </c>
      <c r="O1635">
        <v>83</v>
      </c>
      <c r="P1635">
        <v>15.2</v>
      </c>
      <c r="Q1635">
        <v>15.19</v>
      </c>
      <c r="R1635">
        <v>390</v>
      </c>
    </row>
    <row r="1636" spans="1:18" x14ac:dyDescent="0.25">
      <c r="A1636" t="s">
        <v>648</v>
      </c>
      <c r="B1636" s="1">
        <v>44178</v>
      </c>
      <c r="C1636" t="s">
        <v>649</v>
      </c>
      <c r="D1636" t="s">
        <v>259</v>
      </c>
      <c r="E1636" t="s">
        <v>24</v>
      </c>
      <c r="F1636" t="s">
        <v>243</v>
      </c>
      <c r="G1636">
        <v>30</v>
      </c>
      <c r="H1636" t="s">
        <v>188</v>
      </c>
      <c r="I1636" t="s">
        <v>254</v>
      </c>
      <c r="J1636" t="s">
        <v>255</v>
      </c>
      <c r="K1636" t="s">
        <v>650</v>
      </c>
      <c r="R1636">
        <v>99</v>
      </c>
    </row>
    <row r="1637" spans="1:18" x14ac:dyDescent="0.25">
      <c r="A1637" t="s">
        <v>694</v>
      </c>
      <c r="B1637" s="1">
        <v>44185</v>
      </c>
      <c r="C1637" t="s">
        <v>695</v>
      </c>
      <c r="D1637" t="s">
        <v>259</v>
      </c>
      <c r="E1637" t="s">
        <v>24</v>
      </c>
      <c r="F1637" t="s">
        <v>243</v>
      </c>
      <c r="G1637">
        <v>30</v>
      </c>
      <c r="H1637" t="s">
        <v>26</v>
      </c>
      <c r="I1637" t="s">
        <v>370</v>
      </c>
      <c r="J1637" t="s">
        <v>696</v>
      </c>
      <c r="K1637" t="s">
        <v>697</v>
      </c>
      <c r="L1637">
        <v>153</v>
      </c>
      <c r="M1637">
        <v>85</v>
      </c>
      <c r="N1637" s="2">
        <v>0.35</v>
      </c>
      <c r="O1637">
        <v>83</v>
      </c>
      <c r="P1637">
        <v>14.94</v>
      </c>
      <c r="Q1637">
        <v>7.47</v>
      </c>
      <c r="R1637">
        <v>189</v>
      </c>
    </row>
    <row r="1638" spans="1:18" x14ac:dyDescent="0.25">
      <c r="A1638" t="s">
        <v>698</v>
      </c>
      <c r="B1638" s="1">
        <v>44185</v>
      </c>
      <c r="C1638" t="s">
        <v>699</v>
      </c>
      <c r="D1638" t="s">
        <v>259</v>
      </c>
      <c r="E1638" t="s">
        <v>24</v>
      </c>
      <c r="F1638" t="s">
        <v>243</v>
      </c>
      <c r="G1638">
        <v>10</v>
      </c>
      <c r="H1638" t="s">
        <v>194</v>
      </c>
      <c r="I1638" t="s">
        <v>700</v>
      </c>
      <c r="J1638" t="s">
        <v>701</v>
      </c>
      <c r="K1638" t="s">
        <v>702</v>
      </c>
      <c r="R1638">
        <v>46</v>
      </c>
    </row>
    <row r="1639" spans="1:18" x14ac:dyDescent="0.25">
      <c r="A1639" t="s">
        <v>703</v>
      </c>
      <c r="B1639" s="1">
        <v>44185</v>
      </c>
      <c r="C1639" t="s">
        <v>704</v>
      </c>
      <c r="D1639" t="s">
        <v>259</v>
      </c>
      <c r="E1639" t="s">
        <v>24</v>
      </c>
      <c r="F1639" t="s">
        <v>180</v>
      </c>
      <c r="G1639">
        <v>10</v>
      </c>
      <c r="H1639" t="s">
        <v>194</v>
      </c>
      <c r="I1639" t="s">
        <v>705</v>
      </c>
      <c r="J1639" t="s">
        <v>706</v>
      </c>
      <c r="K1639" t="s">
        <v>707</v>
      </c>
      <c r="R1639">
        <v>46</v>
      </c>
    </row>
    <row r="1640" spans="1:18" x14ac:dyDescent="0.25">
      <c r="A1640" t="s">
        <v>752</v>
      </c>
      <c r="B1640" s="1">
        <v>44192</v>
      </c>
      <c r="C1640" t="s">
        <v>753</v>
      </c>
      <c r="D1640" t="s">
        <v>259</v>
      </c>
      <c r="E1640" t="s">
        <v>24</v>
      </c>
      <c r="F1640" t="s">
        <v>323</v>
      </c>
      <c r="G1640">
        <v>45</v>
      </c>
      <c r="H1640" t="s">
        <v>26</v>
      </c>
      <c r="I1640" t="s">
        <v>370</v>
      </c>
      <c r="J1640" t="s">
        <v>479</v>
      </c>
      <c r="K1640" t="s">
        <v>754</v>
      </c>
      <c r="L1640">
        <v>253</v>
      </c>
      <c r="M1640">
        <v>94</v>
      </c>
      <c r="N1640" s="2">
        <v>0.33</v>
      </c>
      <c r="O1640">
        <v>91</v>
      </c>
      <c r="P1640">
        <v>15.41</v>
      </c>
      <c r="Q1640">
        <v>11.55</v>
      </c>
      <c r="R1640">
        <v>313</v>
      </c>
    </row>
    <row r="1641" spans="1:18" x14ac:dyDescent="0.25">
      <c r="A1641" t="s">
        <v>755</v>
      </c>
      <c r="B1641" s="1">
        <v>44192</v>
      </c>
      <c r="C1641" t="s">
        <v>204</v>
      </c>
      <c r="D1641" t="s">
        <v>259</v>
      </c>
      <c r="E1641" t="s">
        <v>24</v>
      </c>
      <c r="F1641" t="s">
        <v>323</v>
      </c>
      <c r="G1641">
        <v>5</v>
      </c>
      <c r="H1641" t="s">
        <v>26</v>
      </c>
      <c r="I1641" t="s">
        <v>358</v>
      </c>
      <c r="J1641" t="s">
        <v>359</v>
      </c>
      <c r="K1641" t="s">
        <v>456</v>
      </c>
      <c r="L1641">
        <v>16</v>
      </c>
      <c r="M1641">
        <v>54</v>
      </c>
      <c r="N1641" s="2">
        <v>0.26</v>
      </c>
      <c r="O1641">
        <v>90</v>
      </c>
      <c r="P1641">
        <v>12.21</v>
      </c>
      <c r="Q1641">
        <v>1.01</v>
      </c>
      <c r="R1641">
        <v>20</v>
      </c>
    </row>
    <row r="1642" spans="1:18" x14ac:dyDescent="0.25">
      <c r="A1642" t="s">
        <v>756</v>
      </c>
      <c r="B1642" s="1">
        <v>44192</v>
      </c>
      <c r="C1642" t="s">
        <v>757</v>
      </c>
      <c r="D1642" t="s">
        <v>259</v>
      </c>
      <c r="E1642" t="s">
        <v>24</v>
      </c>
      <c r="F1642" t="s">
        <v>323</v>
      </c>
      <c r="G1642">
        <v>5</v>
      </c>
      <c r="H1642" t="s">
        <v>49</v>
      </c>
      <c r="I1642" t="s">
        <v>50</v>
      </c>
      <c r="J1642" t="s">
        <v>51</v>
      </c>
      <c r="K1642" t="s">
        <v>502</v>
      </c>
      <c r="R1642">
        <v>12</v>
      </c>
    </row>
    <row r="1643" spans="1:18" x14ac:dyDescent="0.25">
      <c r="A1643" t="s">
        <v>758</v>
      </c>
      <c r="B1643" s="1">
        <v>44192</v>
      </c>
      <c r="C1643" t="s">
        <v>759</v>
      </c>
      <c r="D1643" t="s">
        <v>259</v>
      </c>
      <c r="E1643" t="s">
        <v>24</v>
      </c>
      <c r="F1643" t="s">
        <v>243</v>
      </c>
      <c r="G1643">
        <v>10</v>
      </c>
      <c r="H1643" t="s">
        <v>188</v>
      </c>
      <c r="I1643" t="s">
        <v>189</v>
      </c>
      <c r="J1643" t="s">
        <v>564</v>
      </c>
      <c r="K1643" t="s">
        <v>760</v>
      </c>
      <c r="R1643">
        <v>32</v>
      </c>
    </row>
    <row r="1644" spans="1:18" x14ac:dyDescent="0.25">
      <c r="A1644" t="s">
        <v>761</v>
      </c>
      <c r="B1644" s="1">
        <v>44192</v>
      </c>
      <c r="C1644" t="s">
        <v>762</v>
      </c>
      <c r="D1644" t="s">
        <v>259</v>
      </c>
      <c r="E1644" t="s">
        <v>24</v>
      </c>
      <c r="F1644" t="s">
        <v>200</v>
      </c>
      <c r="G1644">
        <v>10</v>
      </c>
      <c r="H1644" t="s">
        <v>464</v>
      </c>
      <c r="I1644" t="s">
        <v>763</v>
      </c>
      <c r="J1644" t="s">
        <v>764</v>
      </c>
      <c r="K1644" t="s">
        <v>765</v>
      </c>
    </row>
    <row r="1645" spans="1:18" x14ac:dyDescent="0.25">
      <c r="A1645" t="s">
        <v>823</v>
      </c>
      <c r="B1645" s="1">
        <v>44199</v>
      </c>
      <c r="C1645" t="s">
        <v>824</v>
      </c>
      <c r="D1645" t="s">
        <v>259</v>
      </c>
      <c r="E1645" t="s">
        <v>24</v>
      </c>
      <c r="F1645" t="s">
        <v>180</v>
      </c>
      <c r="G1645">
        <v>45</v>
      </c>
      <c r="H1645" t="s">
        <v>26</v>
      </c>
      <c r="I1645" t="s">
        <v>126</v>
      </c>
      <c r="J1645" t="s">
        <v>146</v>
      </c>
      <c r="K1645" t="s">
        <v>825</v>
      </c>
      <c r="L1645">
        <v>178</v>
      </c>
      <c r="M1645">
        <v>66</v>
      </c>
      <c r="N1645" s="2">
        <v>0.36</v>
      </c>
      <c r="O1645">
        <v>55</v>
      </c>
      <c r="P1645">
        <v>10.82</v>
      </c>
      <c r="Q1645">
        <v>8.11</v>
      </c>
      <c r="R1645">
        <v>220</v>
      </c>
    </row>
    <row r="1646" spans="1:18" x14ac:dyDescent="0.25">
      <c r="A1646" t="s">
        <v>826</v>
      </c>
      <c r="B1646" s="1">
        <v>44199</v>
      </c>
      <c r="C1646" t="s">
        <v>48</v>
      </c>
      <c r="D1646" t="s">
        <v>259</v>
      </c>
      <c r="E1646" t="s">
        <v>24</v>
      </c>
      <c r="F1646" t="s">
        <v>180</v>
      </c>
      <c r="G1646">
        <v>10</v>
      </c>
      <c r="H1646" t="s">
        <v>194</v>
      </c>
      <c r="I1646" t="s">
        <v>195</v>
      </c>
      <c r="J1646" t="s">
        <v>211</v>
      </c>
      <c r="K1646" t="s">
        <v>212</v>
      </c>
      <c r="R1646">
        <v>46</v>
      </c>
    </row>
    <row r="1647" spans="1:18" x14ac:dyDescent="0.25">
      <c r="A1647" t="s">
        <v>827</v>
      </c>
      <c r="B1647" s="1">
        <v>44199</v>
      </c>
      <c r="C1647" t="s">
        <v>828</v>
      </c>
      <c r="D1647" t="s">
        <v>259</v>
      </c>
      <c r="E1647" t="s">
        <v>24</v>
      </c>
      <c r="F1647" t="s">
        <v>243</v>
      </c>
      <c r="G1647">
        <v>45</v>
      </c>
      <c r="H1647" t="s">
        <v>188</v>
      </c>
      <c r="I1647" t="s">
        <v>189</v>
      </c>
      <c r="J1647" t="s">
        <v>829</v>
      </c>
      <c r="K1647" t="s">
        <v>830</v>
      </c>
      <c r="R1647">
        <v>146</v>
      </c>
    </row>
    <row r="1648" spans="1:18" x14ac:dyDescent="0.25">
      <c r="A1648" t="s">
        <v>831</v>
      </c>
      <c r="B1648" s="1">
        <v>44199</v>
      </c>
      <c r="C1648" t="s">
        <v>832</v>
      </c>
      <c r="D1648" t="s">
        <v>259</v>
      </c>
      <c r="E1648" t="s">
        <v>24</v>
      </c>
      <c r="F1648" t="s">
        <v>237</v>
      </c>
      <c r="G1648">
        <v>5</v>
      </c>
      <c r="H1648" t="s">
        <v>464</v>
      </c>
      <c r="I1648" t="s">
        <v>579</v>
      </c>
      <c r="J1648" t="s">
        <v>833</v>
      </c>
      <c r="K1648" t="s">
        <v>834</v>
      </c>
    </row>
    <row r="1649" spans="1:18" x14ac:dyDescent="0.25">
      <c r="A1649" t="s">
        <v>869</v>
      </c>
      <c r="B1649" s="1">
        <v>44206</v>
      </c>
      <c r="C1649" t="s">
        <v>722</v>
      </c>
      <c r="D1649" t="s">
        <v>259</v>
      </c>
      <c r="E1649" t="s">
        <v>24</v>
      </c>
      <c r="F1649" t="s">
        <v>660</v>
      </c>
      <c r="G1649">
        <v>20</v>
      </c>
      <c r="H1649" t="s">
        <v>26</v>
      </c>
      <c r="I1649" t="s">
        <v>39</v>
      </c>
      <c r="J1649" t="s">
        <v>870</v>
      </c>
      <c r="K1649" t="s">
        <v>871</v>
      </c>
      <c r="L1649">
        <v>109</v>
      </c>
      <c r="M1649">
        <v>91</v>
      </c>
      <c r="N1649" s="2">
        <v>0.36</v>
      </c>
      <c r="O1649">
        <v>83</v>
      </c>
      <c r="P1649">
        <v>15.35</v>
      </c>
      <c r="Q1649">
        <v>5.12</v>
      </c>
      <c r="R1649">
        <v>135</v>
      </c>
    </row>
    <row r="1650" spans="1:18" x14ac:dyDescent="0.25">
      <c r="A1650" t="s">
        <v>872</v>
      </c>
      <c r="B1650" s="1">
        <v>44206</v>
      </c>
      <c r="C1650" t="s">
        <v>873</v>
      </c>
      <c r="D1650" t="s">
        <v>259</v>
      </c>
      <c r="E1650" t="s">
        <v>24</v>
      </c>
      <c r="F1650" t="s">
        <v>215</v>
      </c>
      <c r="G1650">
        <v>10</v>
      </c>
      <c r="H1650" t="s">
        <v>188</v>
      </c>
      <c r="I1650" t="s">
        <v>238</v>
      </c>
      <c r="J1650" t="s">
        <v>874</v>
      </c>
      <c r="K1650" t="s">
        <v>875</v>
      </c>
      <c r="R1650">
        <v>32</v>
      </c>
    </row>
    <row r="1651" spans="1:18" x14ac:dyDescent="0.25">
      <c r="A1651" t="s">
        <v>876</v>
      </c>
      <c r="B1651" s="1">
        <v>44206</v>
      </c>
      <c r="C1651" t="s">
        <v>204</v>
      </c>
      <c r="D1651" t="s">
        <v>259</v>
      </c>
      <c r="E1651" t="s">
        <v>24</v>
      </c>
      <c r="F1651" t="s">
        <v>292</v>
      </c>
      <c r="G1651">
        <v>5</v>
      </c>
      <c r="H1651" t="s">
        <v>194</v>
      </c>
      <c r="I1651" t="s">
        <v>195</v>
      </c>
      <c r="J1651" t="s">
        <v>196</v>
      </c>
      <c r="K1651" t="s">
        <v>877</v>
      </c>
      <c r="R1651">
        <v>23</v>
      </c>
    </row>
    <row r="1652" spans="1:18" x14ac:dyDescent="0.25">
      <c r="A1652" t="s">
        <v>916</v>
      </c>
      <c r="B1652" s="1">
        <v>44213</v>
      </c>
      <c r="C1652" t="s">
        <v>917</v>
      </c>
      <c r="D1652" t="s">
        <v>259</v>
      </c>
      <c r="E1652" t="s">
        <v>24</v>
      </c>
      <c r="F1652" t="s">
        <v>323</v>
      </c>
      <c r="G1652">
        <v>30</v>
      </c>
      <c r="H1652" t="s">
        <v>26</v>
      </c>
      <c r="I1652" t="s">
        <v>370</v>
      </c>
      <c r="J1652" t="s">
        <v>396</v>
      </c>
      <c r="K1652" t="s">
        <v>613</v>
      </c>
      <c r="L1652">
        <v>159</v>
      </c>
      <c r="M1652">
        <v>88</v>
      </c>
      <c r="N1652" s="2">
        <v>0.34</v>
      </c>
      <c r="O1652">
        <v>90</v>
      </c>
      <c r="P1652">
        <v>15.33</v>
      </c>
      <c r="Q1652">
        <v>7.66</v>
      </c>
      <c r="R1652">
        <v>197</v>
      </c>
    </row>
    <row r="1653" spans="1:18" x14ac:dyDescent="0.25">
      <c r="A1653" t="s">
        <v>918</v>
      </c>
      <c r="B1653" s="1">
        <v>44213</v>
      </c>
      <c r="C1653" t="s">
        <v>919</v>
      </c>
      <c r="D1653" t="s">
        <v>259</v>
      </c>
      <c r="E1653" t="s">
        <v>24</v>
      </c>
      <c r="F1653" t="s">
        <v>292</v>
      </c>
      <c r="G1653">
        <v>20</v>
      </c>
      <c r="H1653" t="s">
        <v>194</v>
      </c>
      <c r="I1653" t="s">
        <v>691</v>
      </c>
      <c r="J1653" t="s">
        <v>920</v>
      </c>
      <c r="K1653" t="s">
        <v>921</v>
      </c>
      <c r="R1653">
        <v>92</v>
      </c>
    </row>
    <row r="1654" spans="1:18" x14ac:dyDescent="0.25">
      <c r="A1654" t="s">
        <v>922</v>
      </c>
      <c r="B1654" s="1">
        <v>44213</v>
      </c>
      <c r="C1654" t="s">
        <v>923</v>
      </c>
      <c r="D1654" t="s">
        <v>259</v>
      </c>
      <c r="E1654" t="s">
        <v>24</v>
      </c>
      <c r="F1654" t="s">
        <v>180</v>
      </c>
      <c r="G1654">
        <v>10</v>
      </c>
      <c r="H1654" t="s">
        <v>194</v>
      </c>
      <c r="I1654" t="s">
        <v>195</v>
      </c>
      <c r="J1654" t="s">
        <v>924</v>
      </c>
      <c r="K1654" t="s">
        <v>822</v>
      </c>
      <c r="R1654">
        <v>46</v>
      </c>
    </row>
    <row r="1655" spans="1:18" x14ac:dyDescent="0.25">
      <c r="A1655" t="s">
        <v>966</v>
      </c>
      <c r="B1655" s="1">
        <v>44220</v>
      </c>
      <c r="C1655" t="s">
        <v>967</v>
      </c>
      <c r="D1655" t="s">
        <v>259</v>
      </c>
      <c r="E1655" t="s">
        <v>24</v>
      </c>
      <c r="F1655" t="s">
        <v>215</v>
      </c>
      <c r="G1655">
        <v>45</v>
      </c>
      <c r="H1655" t="s">
        <v>188</v>
      </c>
      <c r="I1655" t="s">
        <v>189</v>
      </c>
      <c r="J1655" t="s">
        <v>244</v>
      </c>
      <c r="K1655" t="s">
        <v>968</v>
      </c>
      <c r="R1655">
        <v>154</v>
      </c>
    </row>
    <row r="1656" spans="1:18" x14ac:dyDescent="0.25">
      <c r="A1656" t="s">
        <v>969</v>
      </c>
      <c r="B1656" s="1">
        <v>44220</v>
      </c>
      <c r="C1656" t="s">
        <v>970</v>
      </c>
      <c r="D1656" t="s">
        <v>259</v>
      </c>
      <c r="E1656" t="s">
        <v>24</v>
      </c>
      <c r="F1656" t="s">
        <v>328</v>
      </c>
      <c r="G1656">
        <v>45</v>
      </c>
      <c r="H1656" t="s">
        <v>26</v>
      </c>
      <c r="I1656" t="s">
        <v>370</v>
      </c>
      <c r="J1656" t="s">
        <v>439</v>
      </c>
      <c r="K1656" t="s">
        <v>971</v>
      </c>
      <c r="L1656">
        <v>232</v>
      </c>
      <c r="M1656">
        <v>86</v>
      </c>
      <c r="N1656" s="2">
        <v>0.34</v>
      </c>
      <c r="O1656">
        <v>87</v>
      </c>
      <c r="P1656">
        <v>15.11</v>
      </c>
      <c r="Q1656">
        <v>11.33</v>
      </c>
      <c r="R1656">
        <v>288</v>
      </c>
    </row>
    <row r="1657" spans="1:18" x14ac:dyDescent="0.25">
      <c r="A1657" t="s">
        <v>972</v>
      </c>
      <c r="B1657" s="1">
        <v>44220</v>
      </c>
      <c r="C1657" t="s">
        <v>973</v>
      </c>
      <c r="D1657" t="s">
        <v>259</v>
      </c>
      <c r="E1657" t="s">
        <v>24</v>
      </c>
      <c r="F1657" t="s">
        <v>328</v>
      </c>
      <c r="G1657">
        <v>10</v>
      </c>
      <c r="H1657" t="s">
        <v>194</v>
      </c>
      <c r="I1657" t="s">
        <v>700</v>
      </c>
      <c r="J1657" t="s">
        <v>701</v>
      </c>
      <c r="K1657" t="s">
        <v>974</v>
      </c>
      <c r="R1657">
        <v>46</v>
      </c>
    </row>
    <row r="1658" spans="1:18" x14ac:dyDescent="0.25">
      <c r="A1658" t="s">
        <v>1028</v>
      </c>
      <c r="B1658" s="1">
        <v>44227</v>
      </c>
      <c r="C1658" t="s">
        <v>1029</v>
      </c>
      <c r="D1658" t="s">
        <v>259</v>
      </c>
      <c r="E1658" t="s">
        <v>24</v>
      </c>
      <c r="F1658" t="s">
        <v>33</v>
      </c>
      <c r="G1658">
        <v>45</v>
      </c>
      <c r="H1658" t="s">
        <v>26</v>
      </c>
      <c r="I1658" t="s">
        <v>370</v>
      </c>
      <c r="J1658" t="s">
        <v>439</v>
      </c>
      <c r="K1658" t="s">
        <v>1030</v>
      </c>
      <c r="L1658">
        <v>232</v>
      </c>
      <c r="M1658">
        <v>86</v>
      </c>
      <c r="N1658" s="2">
        <v>0.33</v>
      </c>
      <c r="O1658">
        <v>89</v>
      </c>
      <c r="P1658">
        <v>15.14</v>
      </c>
      <c r="Q1658">
        <v>11.36</v>
      </c>
      <c r="R1658">
        <v>286</v>
      </c>
    </row>
    <row r="1659" spans="1:18" x14ac:dyDescent="0.25">
      <c r="A1659" t="s">
        <v>1031</v>
      </c>
      <c r="B1659" s="1">
        <v>44227</v>
      </c>
      <c r="C1659" t="s">
        <v>1032</v>
      </c>
      <c r="D1659" t="s">
        <v>259</v>
      </c>
      <c r="E1659" t="s">
        <v>24</v>
      </c>
      <c r="F1659" t="s">
        <v>33</v>
      </c>
      <c r="G1659">
        <v>5</v>
      </c>
      <c r="H1659" t="s">
        <v>26</v>
      </c>
      <c r="I1659" t="s">
        <v>358</v>
      </c>
      <c r="J1659" t="s">
        <v>359</v>
      </c>
      <c r="K1659" t="s">
        <v>1033</v>
      </c>
      <c r="L1659">
        <v>19</v>
      </c>
      <c r="M1659">
        <v>62</v>
      </c>
      <c r="N1659" s="2">
        <v>0.3</v>
      </c>
      <c r="O1659">
        <v>86</v>
      </c>
      <c r="P1659">
        <v>13.17</v>
      </c>
      <c r="Q1659">
        <v>1.1000000000000001</v>
      </c>
      <c r="R1659">
        <v>23</v>
      </c>
    </row>
    <row r="1660" spans="1:18" x14ac:dyDescent="0.25">
      <c r="A1660" t="s">
        <v>1034</v>
      </c>
      <c r="B1660" s="1">
        <v>44227</v>
      </c>
      <c r="C1660" t="s">
        <v>1035</v>
      </c>
      <c r="D1660" t="s">
        <v>259</v>
      </c>
      <c r="E1660" t="s">
        <v>24</v>
      </c>
      <c r="F1660" t="s">
        <v>354</v>
      </c>
      <c r="G1660">
        <v>10</v>
      </c>
      <c r="H1660" t="s">
        <v>194</v>
      </c>
      <c r="I1660" t="s">
        <v>700</v>
      </c>
      <c r="J1660" t="s">
        <v>701</v>
      </c>
      <c r="K1660" t="s">
        <v>1036</v>
      </c>
      <c r="R1660">
        <v>46</v>
      </c>
    </row>
    <row r="1661" spans="1:18" x14ac:dyDescent="0.25">
      <c r="A1661" t="s">
        <v>1037</v>
      </c>
      <c r="B1661" s="1">
        <v>44227</v>
      </c>
      <c r="C1661" t="s">
        <v>939</v>
      </c>
      <c r="D1661" t="s">
        <v>259</v>
      </c>
      <c r="E1661" t="s">
        <v>24</v>
      </c>
      <c r="F1661" t="s">
        <v>215</v>
      </c>
      <c r="G1661">
        <v>10</v>
      </c>
      <c r="H1661" t="s">
        <v>188</v>
      </c>
      <c r="I1661" t="s">
        <v>238</v>
      </c>
      <c r="J1661" t="s">
        <v>1038</v>
      </c>
      <c r="K1661" t="s">
        <v>1039</v>
      </c>
      <c r="R1661">
        <v>37</v>
      </c>
    </row>
    <row r="1662" spans="1:18" x14ac:dyDescent="0.25">
      <c r="A1662" t="s">
        <v>1040</v>
      </c>
      <c r="B1662" s="1">
        <v>44227</v>
      </c>
      <c r="C1662" t="s">
        <v>270</v>
      </c>
      <c r="D1662" t="s">
        <v>259</v>
      </c>
      <c r="E1662" t="s">
        <v>24</v>
      </c>
      <c r="F1662" t="s">
        <v>215</v>
      </c>
      <c r="G1662">
        <v>10</v>
      </c>
      <c r="H1662" t="s">
        <v>188</v>
      </c>
      <c r="I1662" t="s">
        <v>238</v>
      </c>
      <c r="J1662" t="s">
        <v>731</v>
      </c>
      <c r="K1662" t="s">
        <v>1041</v>
      </c>
      <c r="R1662">
        <v>35</v>
      </c>
    </row>
    <row r="1663" spans="1:18" x14ac:dyDescent="0.25">
      <c r="A1663" t="s">
        <v>1091</v>
      </c>
      <c r="B1663" s="1">
        <v>44234</v>
      </c>
      <c r="C1663" t="s">
        <v>1092</v>
      </c>
      <c r="D1663" t="s">
        <v>259</v>
      </c>
      <c r="E1663" t="s">
        <v>24</v>
      </c>
      <c r="F1663" t="s">
        <v>243</v>
      </c>
      <c r="G1663">
        <v>10</v>
      </c>
      <c r="H1663" t="s">
        <v>188</v>
      </c>
      <c r="I1663" t="s">
        <v>1088</v>
      </c>
      <c r="J1663" t="s">
        <v>1093</v>
      </c>
      <c r="K1663" t="s">
        <v>1094</v>
      </c>
      <c r="R1663">
        <v>18</v>
      </c>
    </row>
    <row r="1664" spans="1:18" x14ac:dyDescent="0.25">
      <c r="A1664" t="s">
        <v>1095</v>
      </c>
      <c r="B1664" s="1">
        <v>44234</v>
      </c>
      <c r="C1664" t="s">
        <v>1096</v>
      </c>
      <c r="D1664" t="s">
        <v>259</v>
      </c>
      <c r="E1664" t="s">
        <v>24</v>
      </c>
      <c r="F1664" t="s">
        <v>243</v>
      </c>
      <c r="G1664">
        <v>10</v>
      </c>
      <c r="H1664" t="s">
        <v>188</v>
      </c>
      <c r="I1664" t="s">
        <v>238</v>
      </c>
      <c r="J1664" t="s">
        <v>411</v>
      </c>
      <c r="K1664" t="s">
        <v>1097</v>
      </c>
      <c r="R1664">
        <v>37</v>
      </c>
    </row>
    <row r="1665" spans="1:19" x14ac:dyDescent="0.25">
      <c r="A1665" t="s">
        <v>1197</v>
      </c>
      <c r="B1665" s="1">
        <v>44248</v>
      </c>
      <c r="C1665" t="s">
        <v>1198</v>
      </c>
      <c r="D1665" t="s">
        <v>259</v>
      </c>
      <c r="E1665" t="s">
        <v>24</v>
      </c>
      <c r="F1665" t="s">
        <v>243</v>
      </c>
      <c r="G1665">
        <v>10</v>
      </c>
      <c r="H1665" t="s">
        <v>188</v>
      </c>
      <c r="I1665" t="s">
        <v>238</v>
      </c>
      <c r="J1665" t="s">
        <v>674</v>
      </c>
      <c r="K1665" t="s">
        <v>741</v>
      </c>
      <c r="R1665">
        <v>29</v>
      </c>
      <c r="S1665">
        <v>88.77</v>
      </c>
    </row>
    <row r="1666" spans="1:19" x14ac:dyDescent="0.25">
      <c r="A1666" t="s">
        <v>1199</v>
      </c>
      <c r="B1666" s="1">
        <v>44248</v>
      </c>
      <c r="C1666" t="s">
        <v>1200</v>
      </c>
      <c r="D1666" t="s">
        <v>259</v>
      </c>
      <c r="E1666" t="s">
        <v>24</v>
      </c>
      <c r="F1666" t="s">
        <v>243</v>
      </c>
      <c r="G1666">
        <v>20</v>
      </c>
      <c r="H1666" t="s">
        <v>188</v>
      </c>
      <c r="I1666" t="s">
        <v>238</v>
      </c>
      <c r="J1666" t="s">
        <v>483</v>
      </c>
      <c r="K1666" t="s">
        <v>484</v>
      </c>
      <c r="R1666">
        <v>64</v>
      </c>
      <c r="S1666">
        <v>74.89</v>
      </c>
    </row>
    <row r="1667" spans="1:19" x14ac:dyDescent="0.25">
      <c r="A1667" t="s">
        <v>1201</v>
      </c>
      <c r="B1667" s="1">
        <v>44248</v>
      </c>
      <c r="C1667" t="s">
        <v>1202</v>
      </c>
      <c r="D1667" t="s">
        <v>259</v>
      </c>
      <c r="E1667" t="s">
        <v>24</v>
      </c>
      <c r="F1667" t="s">
        <v>1203</v>
      </c>
      <c r="G1667">
        <v>5</v>
      </c>
      <c r="H1667" t="s">
        <v>49</v>
      </c>
      <c r="I1667" t="s">
        <v>298</v>
      </c>
      <c r="J1667" t="s">
        <v>1154</v>
      </c>
      <c r="K1667" t="s">
        <v>1115</v>
      </c>
      <c r="R1667">
        <v>11</v>
      </c>
      <c r="S1667">
        <v>78.92</v>
      </c>
    </row>
    <row r="1668" spans="1:19" x14ac:dyDescent="0.25">
      <c r="A1668" t="s">
        <v>1247</v>
      </c>
      <c r="B1668" s="1">
        <v>44255</v>
      </c>
      <c r="C1668" t="s">
        <v>1248</v>
      </c>
      <c r="D1668" t="s">
        <v>259</v>
      </c>
      <c r="E1668" t="s">
        <v>24</v>
      </c>
      <c r="F1668" t="s">
        <v>215</v>
      </c>
      <c r="G1668">
        <v>10</v>
      </c>
      <c r="H1668" t="s">
        <v>464</v>
      </c>
      <c r="I1668" t="s">
        <v>1249</v>
      </c>
      <c r="J1668" t="s">
        <v>1250</v>
      </c>
      <c r="K1668" t="s">
        <v>1251</v>
      </c>
    </row>
    <row r="1669" spans="1:19" x14ac:dyDescent="0.25">
      <c r="A1669" t="s">
        <v>1287</v>
      </c>
      <c r="B1669" s="1">
        <v>44262</v>
      </c>
      <c r="C1669" t="s">
        <v>1288</v>
      </c>
      <c r="D1669" t="s">
        <v>259</v>
      </c>
      <c r="E1669" t="s">
        <v>24</v>
      </c>
      <c r="F1669" t="s">
        <v>180</v>
      </c>
      <c r="G1669">
        <v>15</v>
      </c>
      <c r="H1669" t="s">
        <v>194</v>
      </c>
      <c r="I1669" t="s">
        <v>195</v>
      </c>
      <c r="J1669" t="s">
        <v>1289</v>
      </c>
      <c r="K1669" t="s">
        <v>1290</v>
      </c>
      <c r="R1669">
        <v>37</v>
      </c>
      <c r="S1669">
        <v>102.36</v>
      </c>
    </row>
    <row r="1670" spans="1:19" x14ac:dyDescent="0.25">
      <c r="A1670" t="s">
        <v>1291</v>
      </c>
      <c r="B1670" s="1">
        <v>44262</v>
      </c>
      <c r="C1670" t="s">
        <v>1292</v>
      </c>
      <c r="D1670" t="s">
        <v>259</v>
      </c>
      <c r="E1670" t="s">
        <v>24</v>
      </c>
      <c r="F1670" t="s">
        <v>237</v>
      </c>
      <c r="G1670">
        <v>10</v>
      </c>
      <c r="H1670" t="s">
        <v>464</v>
      </c>
      <c r="I1670" t="s">
        <v>763</v>
      </c>
      <c r="J1670" t="s">
        <v>764</v>
      </c>
      <c r="K1670" t="s">
        <v>1293</v>
      </c>
    </row>
    <row r="1671" spans="1:19" x14ac:dyDescent="0.25">
      <c r="A1671" t="s">
        <v>1349</v>
      </c>
      <c r="B1671" s="1">
        <v>44269</v>
      </c>
      <c r="C1671" t="s">
        <v>1350</v>
      </c>
      <c r="D1671" t="s">
        <v>259</v>
      </c>
      <c r="E1671" t="s">
        <v>24</v>
      </c>
      <c r="F1671" t="s">
        <v>328</v>
      </c>
      <c r="G1671">
        <v>5</v>
      </c>
      <c r="H1671" t="s">
        <v>26</v>
      </c>
      <c r="I1671" t="s">
        <v>423</v>
      </c>
      <c r="J1671" t="s">
        <v>505</v>
      </c>
      <c r="K1671" t="s">
        <v>1351</v>
      </c>
      <c r="L1671">
        <v>19</v>
      </c>
      <c r="M1671">
        <v>64</v>
      </c>
      <c r="N1671" s="2">
        <v>0.28000000000000003</v>
      </c>
      <c r="O1671">
        <v>91</v>
      </c>
      <c r="P1671">
        <v>13.13</v>
      </c>
      <c r="Q1671">
        <v>1.0900000000000001</v>
      </c>
      <c r="R1671">
        <v>24</v>
      </c>
    </row>
    <row r="1672" spans="1:19" x14ac:dyDescent="0.25">
      <c r="A1672" t="s">
        <v>1352</v>
      </c>
      <c r="B1672" s="1">
        <v>44269</v>
      </c>
      <c r="C1672" t="s">
        <v>1353</v>
      </c>
      <c r="D1672" t="s">
        <v>259</v>
      </c>
      <c r="E1672" t="s">
        <v>24</v>
      </c>
      <c r="F1672" t="s">
        <v>180</v>
      </c>
      <c r="G1672">
        <v>30</v>
      </c>
      <c r="H1672" t="s">
        <v>26</v>
      </c>
      <c r="I1672" t="s">
        <v>39</v>
      </c>
      <c r="J1672" t="s">
        <v>407</v>
      </c>
      <c r="K1672" t="s">
        <v>1354</v>
      </c>
      <c r="L1672">
        <v>145</v>
      </c>
      <c r="M1672">
        <v>81</v>
      </c>
      <c r="N1672" s="2">
        <v>0.36</v>
      </c>
      <c r="O1672">
        <v>78</v>
      </c>
      <c r="P1672">
        <v>14.78</v>
      </c>
      <c r="Q1672">
        <v>7.39</v>
      </c>
      <c r="R1672">
        <v>180</v>
      </c>
    </row>
    <row r="1673" spans="1:19" x14ac:dyDescent="0.25">
      <c r="A1673" t="s">
        <v>1355</v>
      </c>
      <c r="B1673" s="1">
        <v>44269</v>
      </c>
      <c r="C1673" t="s">
        <v>1356</v>
      </c>
      <c r="D1673" t="s">
        <v>259</v>
      </c>
      <c r="E1673" t="s">
        <v>24</v>
      </c>
      <c r="F1673" t="s">
        <v>328</v>
      </c>
      <c r="G1673">
        <v>5</v>
      </c>
      <c r="H1673" t="s">
        <v>26</v>
      </c>
      <c r="I1673" t="s">
        <v>358</v>
      </c>
      <c r="J1673" t="s">
        <v>359</v>
      </c>
      <c r="K1673" t="s">
        <v>1351</v>
      </c>
      <c r="L1673">
        <v>24</v>
      </c>
      <c r="M1673">
        <v>81</v>
      </c>
      <c r="N1673" s="2">
        <v>0.34</v>
      </c>
      <c r="O1673">
        <v>80</v>
      </c>
      <c r="P1673">
        <v>14.36</v>
      </c>
      <c r="Q1673">
        <v>1.19</v>
      </c>
      <c r="R1673">
        <v>30</v>
      </c>
    </row>
    <row r="1674" spans="1:19" x14ac:dyDescent="0.25">
      <c r="A1674" t="s">
        <v>1357</v>
      </c>
      <c r="B1674" s="1">
        <v>44269</v>
      </c>
      <c r="C1674" t="s">
        <v>1358</v>
      </c>
      <c r="D1674" t="s">
        <v>259</v>
      </c>
      <c r="E1674" t="s">
        <v>24</v>
      </c>
      <c r="F1674" t="s">
        <v>243</v>
      </c>
      <c r="G1674">
        <v>45</v>
      </c>
      <c r="H1674" t="s">
        <v>188</v>
      </c>
      <c r="I1674" t="s">
        <v>189</v>
      </c>
      <c r="J1674" t="s">
        <v>244</v>
      </c>
      <c r="K1674" t="s">
        <v>1359</v>
      </c>
      <c r="R1674">
        <v>145</v>
      </c>
    </row>
    <row r="1675" spans="1:19" x14ac:dyDescent="0.25">
      <c r="A1675" t="s">
        <v>1360</v>
      </c>
      <c r="B1675" s="1">
        <v>44269</v>
      </c>
      <c r="C1675" t="s">
        <v>1361</v>
      </c>
      <c r="D1675" t="s">
        <v>259</v>
      </c>
      <c r="E1675" t="s">
        <v>24</v>
      </c>
      <c r="F1675" t="s">
        <v>200</v>
      </c>
      <c r="G1675">
        <v>10</v>
      </c>
      <c r="H1675" t="s">
        <v>464</v>
      </c>
      <c r="I1675" t="s">
        <v>943</v>
      </c>
      <c r="J1675" t="s">
        <v>944</v>
      </c>
      <c r="K1675" t="s">
        <v>1362</v>
      </c>
    </row>
    <row r="1676" spans="1:19" x14ac:dyDescent="0.25">
      <c r="A1676" t="s">
        <v>1435</v>
      </c>
      <c r="B1676" s="1">
        <v>44276</v>
      </c>
      <c r="C1676" t="s">
        <v>140</v>
      </c>
      <c r="D1676" t="s">
        <v>259</v>
      </c>
      <c r="E1676" t="s">
        <v>24</v>
      </c>
      <c r="F1676" t="s">
        <v>208</v>
      </c>
      <c r="G1676">
        <v>20</v>
      </c>
      <c r="H1676" t="s">
        <v>464</v>
      </c>
      <c r="I1676" t="s">
        <v>763</v>
      </c>
      <c r="J1676" t="s">
        <v>1335</v>
      </c>
      <c r="K1676" t="s">
        <v>1436</v>
      </c>
      <c r="S1676">
        <v>62.03</v>
      </c>
    </row>
    <row r="1677" spans="1:19" x14ac:dyDescent="0.25">
      <c r="A1677" t="s">
        <v>1437</v>
      </c>
      <c r="B1677" s="1">
        <v>44276</v>
      </c>
      <c r="C1677" t="s">
        <v>1438</v>
      </c>
      <c r="D1677" t="s">
        <v>259</v>
      </c>
      <c r="E1677" t="s">
        <v>24</v>
      </c>
      <c r="F1677" t="s">
        <v>328</v>
      </c>
      <c r="G1677">
        <v>45</v>
      </c>
      <c r="H1677" t="s">
        <v>26</v>
      </c>
      <c r="I1677" t="s">
        <v>370</v>
      </c>
      <c r="J1677" t="s">
        <v>479</v>
      </c>
      <c r="K1677" t="s">
        <v>1439</v>
      </c>
      <c r="L1677">
        <v>250</v>
      </c>
      <c r="M1677">
        <v>96</v>
      </c>
      <c r="N1677" s="2">
        <v>0.34</v>
      </c>
      <c r="O1677">
        <v>90</v>
      </c>
      <c r="P1677">
        <v>15.56</v>
      </c>
      <c r="Q1677">
        <v>11.27</v>
      </c>
      <c r="R1677">
        <v>309</v>
      </c>
    </row>
    <row r="1678" spans="1:19" x14ac:dyDescent="0.25">
      <c r="A1678" t="s">
        <v>1440</v>
      </c>
      <c r="B1678" s="1">
        <v>44276</v>
      </c>
      <c r="C1678" t="s">
        <v>1441</v>
      </c>
      <c r="D1678" t="s">
        <v>259</v>
      </c>
      <c r="E1678" t="s">
        <v>24</v>
      </c>
      <c r="F1678" t="s">
        <v>25</v>
      </c>
      <c r="G1678">
        <v>10</v>
      </c>
      <c r="H1678" t="s">
        <v>194</v>
      </c>
      <c r="I1678" t="s">
        <v>700</v>
      </c>
      <c r="J1678" t="s">
        <v>1282</v>
      </c>
      <c r="K1678" t="s">
        <v>1442</v>
      </c>
      <c r="R1678">
        <v>46</v>
      </c>
    </row>
    <row r="1679" spans="1:19" x14ac:dyDescent="0.25">
      <c r="A1679" t="s">
        <v>1443</v>
      </c>
      <c r="B1679" s="1">
        <v>44276</v>
      </c>
      <c r="C1679" t="s">
        <v>1444</v>
      </c>
      <c r="D1679" t="s">
        <v>259</v>
      </c>
      <c r="E1679" t="s">
        <v>24</v>
      </c>
      <c r="F1679" t="s">
        <v>335</v>
      </c>
      <c r="G1679">
        <v>10</v>
      </c>
      <c r="H1679" t="s">
        <v>194</v>
      </c>
      <c r="I1679" t="s">
        <v>1445</v>
      </c>
      <c r="J1679" t="s">
        <v>1446</v>
      </c>
      <c r="K1679" t="s">
        <v>1447</v>
      </c>
      <c r="R1679">
        <v>46</v>
      </c>
    </row>
    <row r="1680" spans="1:19" x14ac:dyDescent="0.25">
      <c r="A1680" t="s">
        <v>1448</v>
      </c>
      <c r="B1680" s="1">
        <v>44276</v>
      </c>
      <c r="C1680" t="s">
        <v>1449</v>
      </c>
      <c r="D1680" t="s">
        <v>259</v>
      </c>
      <c r="E1680" t="s">
        <v>24</v>
      </c>
      <c r="F1680" t="s">
        <v>335</v>
      </c>
      <c r="G1680">
        <v>10</v>
      </c>
      <c r="H1680" t="s">
        <v>194</v>
      </c>
      <c r="I1680" t="s">
        <v>195</v>
      </c>
      <c r="J1680" t="s">
        <v>211</v>
      </c>
      <c r="K1680" t="s">
        <v>1450</v>
      </c>
      <c r="R1680">
        <v>42</v>
      </c>
      <c r="S1680">
        <v>103.44</v>
      </c>
    </row>
    <row r="1681" spans="1:19" x14ac:dyDescent="0.25">
      <c r="A1681" t="s">
        <v>1451</v>
      </c>
      <c r="B1681" s="1">
        <v>44276</v>
      </c>
      <c r="C1681" t="s">
        <v>635</v>
      </c>
      <c r="D1681" t="s">
        <v>259</v>
      </c>
      <c r="E1681" t="s">
        <v>24</v>
      </c>
      <c r="F1681" t="s">
        <v>243</v>
      </c>
      <c r="G1681">
        <v>45</v>
      </c>
      <c r="H1681" t="s">
        <v>188</v>
      </c>
      <c r="I1681" t="s">
        <v>189</v>
      </c>
      <c r="J1681" t="s">
        <v>244</v>
      </c>
      <c r="K1681" t="s">
        <v>1452</v>
      </c>
      <c r="R1681">
        <v>61</v>
      </c>
      <c r="S1681">
        <v>99.31</v>
      </c>
    </row>
    <row r="1682" spans="1:19" x14ac:dyDescent="0.25">
      <c r="A1682" t="s">
        <v>1453</v>
      </c>
      <c r="B1682" s="1">
        <v>44276</v>
      </c>
      <c r="C1682" t="s">
        <v>1454</v>
      </c>
      <c r="D1682" t="s">
        <v>259</v>
      </c>
      <c r="E1682" t="s">
        <v>24</v>
      </c>
      <c r="F1682" t="s">
        <v>208</v>
      </c>
      <c r="G1682">
        <v>10</v>
      </c>
      <c r="H1682" t="s">
        <v>464</v>
      </c>
      <c r="I1682" t="s">
        <v>943</v>
      </c>
      <c r="J1682" t="s">
        <v>944</v>
      </c>
      <c r="K1682" t="s">
        <v>1455</v>
      </c>
    </row>
    <row r="1683" spans="1:19" x14ac:dyDescent="0.25">
      <c r="A1683" t="s">
        <v>1509</v>
      </c>
      <c r="B1683" s="1">
        <v>44283</v>
      </c>
      <c r="C1683" t="s">
        <v>1510</v>
      </c>
      <c r="D1683" t="s">
        <v>259</v>
      </c>
      <c r="E1683" t="s">
        <v>24</v>
      </c>
      <c r="F1683" t="s">
        <v>335</v>
      </c>
      <c r="G1683">
        <v>10</v>
      </c>
      <c r="H1683" t="s">
        <v>26</v>
      </c>
      <c r="I1683" t="s">
        <v>39</v>
      </c>
      <c r="J1683" t="s">
        <v>1511</v>
      </c>
      <c r="K1683" t="s">
        <v>1447</v>
      </c>
      <c r="L1683">
        <v>46</v>
      </c>
      <c r="M1683">
        <v>77</v>
      </c>
      <c r="N1683" s="2">
        <v>0.32</v>
      </c>
      <c r="O1683">
        <v>88</v>
      </c>
      <c r="P1683">
        <v>14.45</v>
      </c>
      <c r="Q1683">
        <v>2.41</v>
      </c>
      <c r="R1683">
        <v>57</v>
      </c>
    </row>
    <row r="1684" spans="1:19" x14ac:dyDescent="0.25">
      <c r="A1684" t="s">
        <v>1512</v>
      </c>
      <c r="B1684" s="1">
        <v>44283</v>
      </c>
      <c r="C1684" t="s">
        <v>1513</v>
      </c>
      <c r="D1684" t="s">
        <v>259</v>
      </c>
      <c r="E1684" t="s">
        <v>24</v>
      </c>
      <c r="F1684" t="s">
        <v>323</v>
      </c>
      <c r="G1684">
        <v>90</v>
      </c>
      <c r="H1684" t="s">
        <v>26</v>
      </c>
      <c r="I1684" t="s">
        <v>370</v>
      </c>
      <c r="J1684" t="s">
        <v>1278</v>
      </c>
      <c r="K1684" t="s">
        <v>1514</v>
      </c>
      <c r="L1684">
        <v>500</v>
      </c>
      <c r="M1684">
        <v>93</v>
      </c>
      <c r="N1684" s="2">
        <v>0.36</v>
      </c>
      <c r="O1684">
        <v>83</v>
      </c>
      <c r="P1684">
        <v>15.66</v>
      </c>
      <c r="Q1684">
        <v>23.5</v>
      </c>
      <c r="R1684">
        <v>619</v>
      </c>
    </row>
    <row r="1685" spans="1:19" x14ac:dyDescent="0.25">
      <c r="A1685" t="s">
        <v>1515</v>
      </c>
      <c r="B1685" s="1">
        <v>44283</v>
      </c>
      <c r="C1685" t="s">
        <v>1516</v>
      </c>
      <c r="D1685" t="s">
        <v>259</v>
      </c>
      <c r="E1685" t="s">
        <v>24</v>
      </c>
      <c r="F1685" t="s">
        <v>768</v>
      </c>
      <c r="G1685">
        <v>10</v>
      </c>
      <c r="H1685" t="s">
        <v>26</v>
      </c>
      <c r="I1685" t="s">
        <v>358</v>
      </c>
      <c r="J1685" t="s">
        <v>389</v>
      </c>
      <c r="K1685" t="s">
        <v>1517</v>
      </c>
      <c r="L1685">
        <v>42</v>
      </c>
      <c r="M1685">
        <v>69</v>
      </c>
      <c r="N1685" s="2">
        <v>0.37</v>
      </c>
      <c r="O1685">
        <v>70</v>
      </c>
      <c r="P1685">
        <v>13.8</v>
      </c>
      <c r="Q1685">
        <v>2.31</v>
      </c>
      <c r="R1685">
        <v>52</v>
      </c>
    </row>
    <row r="1686" spans="1:19" x14ac:dyDescent="0.25">
      <c r="A1686" t="s">
        <v>1518</v>
      </c>
      <c r="B1686" s="1">
        <v>44283</v>
      </c>
      <c r="C1686" t="s">
        <v>1519</v>
      </c>
      <c r="D1686" t="s">
        <v>259</v>
      </c>
      <c r="E1686" t="s">
        <v>24</v>
      </c>
      <c r="F1686" t="s">
        <v>768</v>
      </c>
      <c r="G1686">
        <v>5</v>
      </c>
      <c r="H1686" t="s">
        <v>49</v>
      </c>
      <c r="I1686" t="s">
        <v>50</v>
      </c>
      <c r="J1686" t="s">
        <v>51</v>
      </c>
      <c r="K1686" t="s">
        <v>1520</v>
      </c>
      <c r="R1686">
        <v>12</v>
      </c>
    </row>
    <row r="1687" spans="1:19" x14ac:dyDescent="0.25">
      <c r="A1687" t="s">
        <v>1521</v>
      </c>
      <c r="B1687" s="1">
        <v>44283</v>
      </c>
      <c r="C1687" t="s">
        <v>942</v>
      </c>
      <c r="D1687" t="s">
        <v>259</v>
      </c>
      <c r="E1687" t="s">
        <v>24</v>
      </c>
      <c r="F1687" t="s">
        <v>237</v>
      </c>
      <c r="G1687">
        <v>10</v>
      </c>
      <c r="H1687" t="s">
        <v>464</v>
      </c>
      <c r="I1687" t="s">
        <v>943</v>
      </c>
      <c r="J1687" t="s">
        <v>944</v>
      </c>
      <c r="K1687" t="s">
        <v>1522</v>
      </c>
    </row>
    <row r="1688" spans="1:19" x14ac:dyDescent="0.25">
      <c r="A1688" t="s">
        <v>1578</v>
      </c>
      <c r="B1688" s="1">
        <v>44290</v>
      </c>
      <c r="C1688" t="s">
        <v>1579</v>
      </c>
      <c r="D1688" t="s">
        <v>259</v>
      </c>
      <c r="E1688" t="s">
        <v>24</v>
      </c>
      <c r="F1688" t="s">
        <v>243</v>
      </c>
      <c r="G1688">
        <v>45</v>
      </c>
      <c r="H1688" t="s">
        <v>188</v>
      </c>
      <c r="I1688" t="s">
        <v>189</v>
      </c>
      <c r="J1688" t="s">
        <v>244</v>
      </c>
      <c r="K1688" t="s">
        <v>1580</v>
      </c>
      <c r="R1688">
        <v>145</v>
      </c>
    </row>
    <row r="1689" spans="1:19" x14ac:dyDescent="0.25">
      <c r="A1689" t="s">
        <v>1581</v>
      </c>
      <c r="B1689" s="1">
        <v>44290</v>
      </c>
      <c r="C1689" t="s">
        <v>1367</v>
      </c>
      <c r="D1689" t="s">
        <v>259</v>
      </c>
      <c r="E1689" t="s">
        <v>24</v>
      </c>
      <c r="F1689" t="s">
        <v>208</v>
      </c>
      <c r="G1689">
        <v>20</v>
      </c>
      <c r="H1689" t="s">
        <v>464</v>
      </c>
      <c r="I1689" t="s">
        <v>579</v>
      </c>
      <c r="J1689" t="s">
        <v>1311</v>
      </c>
      <c r="K1689" t="s">
        <v>1582</v>
      </c>
    </row>
    <row r="1690" spans="1:19" x14ac:dyDescent="0.25">
      <c r="A1690" t="s">
        <v>1638</v>
      </c>
      <c r="B1690" s="1">
        <v>44297</v>
      </c>
      <c r="C1690" t="s">
        <v>1639</v>
      </c>
      <c r="D1690" t="s">
        <v>259</v>
      </c>
      <c r="E1690" t="s">
        <v>24</v>
      </c>
      <c r="F1690" t="s">
        <v>215</v>
      </c>
      <c r="G1690">
        <v>30</v>
      </c>
      <c r="H1690" t="s">
        <v>464</v>
      </c>
      <c r="I1690" t="s">
        <v>763</v>
      </c>
      <c r="J1690" t="s">
        <v>1640</v>
      </c>
      <c r="K1690" t="s">
        <v>1641</v>
      </c>
    </row>
    <row r="1691" spans="1:19" x14ac:dyDescent="0.25">
      <c r="A1691" t="s">
        <v>1677</v>
      </c>
      <c r="B1691" s="1">
        <v>44304</v>
      </c>
      <c r="C1691" t="s">
        <v>1678</v>
      </c>
      <c r="D1691" t="s">
        <v>259</v>
      </c>
      <c r="E1691" t="s">
        <v>24</v>
      </c>
      <c r="F1691" t="s">
        <v>243</v>
      </c>
      <c r="G1691">
        <v>60</v>
      </c>
      <c r="H1691" t="s">
        <v>188</v>
      </c>
      <c r="I1691" t="s">
        <v>189</v>
      </c>
      <c r="J1691" t="s">
        <v>216</v>
      </c>
      <c r="K1691" t="s">
        <v>1679</v>
      </c>
      <c r="R1691">
        <v>230</v>
      </c>
      <c r="S1691">
        <v>99.13</v>
      </c>
    </row>
    <row r="1692" spans="1:19" x14ac:dyDescent="0.25">
      <c r="A1692" t="s">
        <v>1680</v>
      </c>
      <c r="B1692" s="1">
        <v>44304</v>
      </c>
      <c r="C1692" t="s">
        <v>1639</v>
      </c>
      <c r="D1692" t="s">
        <v>259</v>
      </c>
      <c r="E1692" t="s">
        <v>24</v>
      </c>
      <c r="F1692" t="s">
        <v>215</v>
      </c>
      <c r="G1692">
        <v>30</v>
      </c>
      <c r="H1692" t="s">
        <v>464</v>
      </c>
      <c r="I1692" t="s">
        <v>943</v>
      </c>
      <c r="J1692" t="s">
        <v>1621</v>
      </c>
      <c r="K1692" t="s">
        <v>1681</v>
      </c>
    </row>
    <row r="1693" spans="1:19" x14ac:dyDescent="0.25">
      <c r="A1693" t="s">
        <v>1757</v>
      </c>
      <c r="B1693" s="1">
        <v>44311</v>
      </c>
      <c r="C1693" t="s">
        <v>1454</v>
      </c>
      <c r="D1693" t="s">
        <v>259</v>
      </c>
      <c r="E1693" t="s">
        <v>24</v>
      </c>
      <c r="F1693" t="s">
        <v>208</v>
      </c>
      <c r="G1693">
        <v>20</v>
      </c>
      <c r="H1693" t="s">
        <v>464</v>
      </c>
      <c r="I1693" t="s">
        <v>579</v>
      </c>
      <c r="J1693" t="s">
        <v>1758</v>
      </c>
      <c r="K1693" t="s">
        <v>1759</v>
      </c>
    </row>
    <row r="1694" spans="1:19" x14ac:dyDescent="0.25">
      <c r="A1694" t="s">
        <v>1822</v>
      </c>
      <c r="B1694" s="1">
        <v>44318</v>
      </c>
      <c r="C1694" t="s">
        <v>334</v>
      </c>
      <c r="D1694" t="s">
        <v>259</v>
      </c>
      <c r="E1694" t="s">
        <v>24</v>
      </c>
      <c r="F1694" t="s">
        <v>215</v>
      </c>
      <c r="G1694">
        <v>30</v>
      </c>
      <c r="H1694" t="s">
        <v>188</v>
      </c>
      <c r="I1694" t="s">
        <v>103</v>
      </c>
      <c r="J1694" t="s">
        <v>415</v>
      </c>
      <c r="K1694" t="s">
        <v>1823</v>
      </c>
      <c r="R1694">
        <v>82</v>
      </c>
    </row>
    <row r="1695" spans="1:19" x14ac:dyDescent="0.25">
      <c r="A1695" t="s">
        <v>1824</v>
      </c>
      <c r="B1695" s="1">
        <v>44318</v>
      </c>
      <c r="C1695" t="s">
        <v>1825</v>
      </c>
      <c r="D1695" t="s">
        <v>259</v>
      </c>
      <c r="E1695" t="s">
        <v>24</v>
      </c>
      <c r="F1695" t="s">
        <v>33</v>
      </c>
      <c r="G1695">
        <v>45</v>
      </c>
      <c r="H1695" t="s">
        <v>26</v>
      </c>
      <c r="I1695" t="s">
        <v>39</v>
      </c>
      <c r="J1695" t="s">
        <v>40</v>
      </c>
      <c r="K1695" t="s">
        <v>1826</v>
      </c>
      <c r="L1695">
        <v>240</v>
      </c>
      <c r="M1695">
        <v>89</v>
      </c>
      <c r="N1695" s="2">
        <v>0.38</v>
      </c>
      <c r="O1695">
        <v>77</v>
      </c>
      <c r="P1695">
        <v>15.31</v>
      </c>
      <c r="Q1695">
        <v>11.49</v>
      </c>
      <c r="R1695">
        <v>297</v>
      </c>
    </row>
    <row r="1696" spans="1:19" x14ac:dyDescent="0.25">
      <c r="A1696" t="s">
        <v>1827</v>
      </c>
      <c r="B1696" s="1">
        <v>44318</v>
      </c>
      <c r="C1696" t="s">
        <v>1828</v>
      </c>
      <c r="D1696" t="s">
        <v>259</v>
      </c>
      <c r="E1696" t="s">
        <v>24</v>
      </c>
      <c r="F1696" t="s">
        <v>490</v>
      </c>
      <c r="G1696">
        <v>5</v>
      </c>
      <c r="H1696" t="s">
        <v>49</v>
      </c>
      <c r="I1696" t="s">
        <v>50</v>
      </c>
      <c r="J1696" t="s">
        <v>51</v>
      </c>
      <c r="K1696" t="s">
        <v>1777</v>
      </c>
      <c r="R1696">
        <v>12</v>
      </c>
    </row>
    <row r="1697" spans="1:19" x14ac:dyDescent="0.25">
      <c r="A1697" t="s">
        <v>1829</v>
      </c>
      <c r="B1697" s="1">
        <v>44318</v>
      </c>
      <c r="C1697" t="s">
        <v>1637</v>
      </c>
      <c r="D1697" t="s">
        <v>259</v>
      </c>
      <c r="E1697" t="s">
        <v>24</v>
      </c>
      <c r="F1697" t="s">
        <v>208</v>
      </c>
      <c r="G1697">
        <v>15</v>
      </c>
      <c r="H1697" t="s">
        <v>464</v>
      </c>
      <c r="I1697" t="s">
        <v>943</v>
      </c>
      <c r="J1697" t="s">
        <v>1709</v>
      </c>
      <c r="K1697" t="s">
        <v>1830</v>
      </c>
    </row>
    <row r="1698" spans="1:19" x14ac:dyDescent="0.25">
      <c r="A1698" t="s">
        <v>1888</v>
      </c>
      <c r="B1698" s="1">
        <v>44325</v>
      </c>
      <c r="C1698" t="s">
        <v>1889</v>
      </c>
      <c r="D1698" t="s">
        <v>259</v>
      </c>
      <c r="E1698" t="s">
        <v>24</v>
      </c>
      <c r="F1698" t="s">
        <v>215</v>
      </c>
      <c r="G1698">
        <v>75</v>
      </c>
      <c r="H1698" t="s">
        <v>188</v>
      </c>
      <c r="I1698" t="s">
        <v>189</v>
      </c>
      <c r="J1698" t="s">
        <v>1890</v>
      </c>
      <c r="K1698" t="s">
        <v>1891</v>
      </c>
      <c r="R1698">
        <v>279</v>
      </c>
      <c r="S1698">
        <v>98.6</v>
      </c>
    </row>
    <row r="1699" spans="1:19" x14ac:dyDescent="0.25">
      <c r="A1699" t="s">
        <v>1892</v>
      </c>
      <c r="B1699" s="1">
        <v>44325</v>
      </c>
      <c r="C1699" t="s">
        <v>1588</v>
      </c>
      <c r="D1699" t="s">
        <v>259</v>
      </c>
      <c r="E1699" t="s">
        <v>24</v>
      </c>
      <c r="F1699" t="s">
        <v>215</v>
      </c>
      <c r="G1699">
        <v>30</v>
      </c>
      <c r="H1699" t="s">
        <v>464</v>
      </c>
      <c r="I1699" t="s">
        <v>943</v>
      </c>
      <c r="J1699" t="s">
        <v>1621</v>
      </c>
      <c r="K1699" t="s">
        <v>1681</v>
      </c>
    </row>
    <row r="1700" spans="1:19" x14ac:dyDescent="0.25">
      <c r="A1700" t="s">
        <v>1945</v>
      </c>
      <c r="B1700" s="1">
        <v>44332</v>
      </c>
      <c r="C1700" t="s">
        <v>1946</v>
      </c>
      <c r="D1700" t="s">
        <v>259</v>
      </c>
      <c r="E1700" t="s">
        <v>24</v>
      </c>
      <c r="F1700" t="s">
        <v>328</v>
      </c>
      <c r="G1700">
        <v>30</v>
      </c>
      <c r="H1700" t="s">
        <v>26</v>
      </c>
      <c r="I1700" t="s">
        <v>370</v>
      </c>
      <c r="J1700" t="s">
        <v>396</v>
      </c>
      <c r="K1700" t="s">
        <v>1947</v>
      </c>
      <c r="L1700">
        <v>138</v>
      </c>
      <c r="M1700">
        <v>77</v>
      </c>
      <c r="N1700" s="2">
        <v>0.31</v>
      </c>
      <c r="O1700">
        <v>91</v>
      </c>
      <c r="P1700">
        <v>14.33</v>
      </c>
      <c r="Q1700">
        <v>7.17</v>
      </c>
      <c r="R1700">
        <v>171</v>
      </c>
    </row>
    <row r="1701" spans="1:19" x14ac:dyDescent="0.25">
      <c r="A1701" t="s">
        <v>1948</v>
      </c>
      <c r="B1701" s="1">
        <v>44332</v>
      </c>
      <c r="C1701" t="s">
        <v>1949</v>
      </c>
      <c r="D1701" t="s">
        <v>259</v>
      </c>
      <c r="E1701" t="s">
        <v>24</v>
      </c>
      <c r="F1701" t="s">
        <v>328</v>
      </c>
      <c r="G1701">
        <v>5</v>
      </c>
      <c r="H1701" t="s">
        <v>49</v>
      </c>
      <c r="I1701" t="s">
        <v>50</v>
      </c>
      <c r="J1701" t="s">
        <v>51</v>
      </c>
      <c r="K1701" t="s">
        <v>1732</v>
      </c>
      <c r="R1701">
        <v>12</v>
      </c>
    </row>
    <row r="1702" spans="1:19" x14ac:dyDescent="0.25">
      <c r="A1702" t="s">
        <v>1950</v>
      </c>
      <c r="B1702" s="1">
        <v>44332</v>
      </c>
      <c r="C1702" t="s">
        <v>1951</v>
      </c>
      <c r="D1702" t="s">
        <v>259</v>
      </c>
      <c r="E1702" t="s">
        <v>24</v>
      </c>
      <c r="F1702" t="s">
        <v>459</v>
      </c>
      <c r="G1702">
        <v>10</v>
      </c>
      <c r="H1702" t="s">
        <v>188</v>
      </c>
      <c r="I1702" t="s">
        <v>238</v>
      </c>
      <c r="J1702" t="s">
        <v>1952</v>
      </c>
      <c r="K1702" t="s">
        <v>1953</v>
      </c>
      <c r="R1702">
        <v>37</v>
      </c>
    </row>
    <row r="1703" spans="1:19" x14ac:dyDescent="0.25">
      <c r="A1703" t="s">
        <v>1954</v>
      </c>
      <c r="B1703" s="1">
        <v>44332</v>
      </c>
      <c r="C1703" t="s">
        <v>1955</v>
      </c>
      <c r="D1703" t="s">
        <v>259</v>
      </c>
      <c r="E1703" t="s">
        <v>24</v>
      </c>
      <c r="F1703" t="s">
        <v>215</v>
      </c>
      <c r="G1703">
        <v>30</v>
      </c>
      <c r="H1703" t="s">
        <v>188</v>
      </c>
      <c r="I1703" t="s">
        <v>238</v>
      </c>
      <c r="J1703" t="s">
        <v>1956</v>
      </c>
      <c r="K1703" t="s">
        <v>1957</v>
      </c>
      <c r="R1703">
        <v>100</v>
      </c>
    </row>
    <row r="1704" spans="1:19" x14ac:dyDescent="0.25">
      <c r="A1704" t="s">
        <v>1958</v>
      </c>
      <c r="B1704" s="1">
        <v>44332</v>
      </c>
      <c r="C1704" t="s">
        <v>1959</v>
      </c>
      <c r="D1704" t="s">
        <v>259</v>
      </c>
      <c r="E1704" t="s">
        <v>24</v>
      </c>
      <c r="F1704" t="s">
        <v>323</v>
      </c>
      <c r="G1704">
        <v>10</v>
      </c>
      <c r="H1704" t="s">
        <v>49</v>
      </c>
      <c r="I1704" t="s">
        <v>1960</v>
      </c>
      <c r="J1704" t="s">
        <v>1961</v>
      </c>
      <c r="K1704" t="s">
        <v>1962</v>
      </c>
      <c r="R1704">
        <v>23</v>
      </c>
    </row>
    <row r="1705" spans="1:19" x14ac:dyDescent="0.25">
      <c r="A1705" t="s">
        <v>1963</v>
      </c>
      <c r="B1705" s="1">
        <v>44332</v>
      </c>
      <c r="C1705" t="s">
        <v>1964</v>
      </c>
      <c r="D1705" t="s">
        <v>259</v>
      </c>
      <c r="E1705" t="s">
        <v>24</v>
      </c>
      <c r="F1705" t="s">
        <v>459</v>
      </c>
      <c r="G1705">
        <v>15</v>
      </c>
      <c r="H1705" t="s">
        <v>464</v>
      </c>
      <c r="I1705" t="s">
        <v>943</v>
      </c>
      <c r="J1705" t="s">
        <v>1709</v>
      </c>
      <c r="K1705" t="s">
        <v>1965</v>
      </c>
    </row>
    <row r="1706" spans="1:19" x14ac:dyDescent="0.25">
      <c r="A1706" t="s">
        <v>2016</v>
      </c>
      <c r="B1706" s="1">
        <v>44339</v>
      </c>
      <c r="C1706" t="s">
        <v>2017</v>
      </c>
      <c r="D1706" t="s">
        <v>259</v>
      </c>
      <c r="E1706" t="s">
        <v>24</v>
      </c>
      <c r="F1706" t="s">
        <v>215</v>
      </c>
      <c r="G1706">
        <v>20</v>
      </c>
      <c r="H1706" t="s">
        <v>464</v>
      </c>
      <c r="I1706" t="s">
        <v>943</v>
      </c>
      <c r="J1706" t="s">
        <v>1347</v>
      </c>
      <c r="K1706" t="s">
        <v>1415</v>
      </c>
    </row>
    <row r="1707" spans="1:19" x14ac:dyDescent="0.25">
      <c r="A1707" t="s">
        <v>2018</v>
      </c>
      <c r="B1707" s="1">
        <v>44339</v>
      </c>
      <c r="C1707" t="s">
        <v>2019</v>
      </c>
      <c r="D1707" t="s">
        <v>259</v>
      </c>
      <c r="E1707" t="s">
        <v>24</v>
      </c>
      <c r="F1707" t="s">
        <v>323</v>
      </c>
      <c r="G1707">
        <v>60</v>
      </c>
      <c r="H1707" t="s">
        <v>26</v>
      </c>
      <c r="I1707" t="s">
        <v>370</v>
      </c>
      <c r="J1707" t="s">
        <v>646</v>
      </c>
      <c r="K1707" t="s">
        <v>2020</v>
      </c>
      <c r="L1707">
        <v>347</v>
      </c>
      <c r="M1707">
        <v>96</v>
      </c>
      <c r="N1707" s="2">
        <v>0.36</v>
      </c>
      <c r="O1707">
        <v>87</v>
      </c>
      <c r="P1707">
        <v>15.87</v>
      </c>
      <c r="Q1707">
        <v>15.87</v>
      </c>
      <c r="R1707">
        <v>427</v>
      </c>
    </row>
    <row r="1708" spans="1:19" x14ac:dyDescent="0.25">
      <c r="A1708" t="s">
        <v>2021</v>
      </c>
      <c r="B1708" s="1">
        <v>44339</v>
      </c>
      <c r="C1708" t="s">
        <v>2022</v>
      </c>
      <c r="D1708" t="s">
        <v>259</v>
      </c>
      <c r="E1708" t="s">
        <v>24</v>
      </c>
      <c r="F1708" t="s">
        <v>243</v>
      </c>
      <c r="G1708">
        <v>30</v>
      </c>
      <c r="H1708" t="s">
        <v>188</v>
      </c>
      <c r="I1708" t="s">
        <v>103</v>
      </c>
      <c r="J1708" t="s">
        <v>282</v>
      </c>
      <c r="K1708" t="s">
        <v>2023</v>
      </c>
      <c r="R1708">
        <v>96</v>
      </c>
    </row>
    <row r="1709" spans="1:19" x14ac:dyDescent="0.25">
      <c r="A1709" t="s">
        <v>2024</v>
      </c>
      <c r="B1709" s="1">
        <v>44339</v>
      </c>
      <c r="C1709" t="s">
        <v>2025</v>
      </c>
      <c r="D1709" t="s">
        <v>259</v>
      </c>
      <c r="E1709" t="s">
        <v>24</v>
      </c>
      <c r="F1709" t="s">
        <v>215</v>
      </c>
      <c r="G1709">
        <v>30</v>
      </c>
      <c r="H1709" t="s">
        <v>188</v>
      </c>
      <c r="I1709" t="s">
        <v>1088</v>
      </c>
      <c r="J1709" t="s">
        <v>2026</v>
      </c>
      <c r="K1709" t="s">
        <v>2027</v>
      </c>
      <c r="R1709">
        <v>54</v>
      </c>
    </row>
    <row r="1710" spans="1:19" x14ac:dyDescent="0.25">
      <c r="A1710" t="s">
        <v>2028</v>
      </c>
      <c r="B1710" s="1">
        <v>44339</v>
      </c>
      <c r="C1710" t="s">
        <v>942</v>
      </c>
      <c r="D1710" t="s">
        <v>259</v>
      </c>
      <c r="E1710" t="s">
        <v>24</v>
      </c>
      <c r="F1710" t="s">
        <v>237</v>
      </c>
      <c r="G1710">
        <v>20</v>
      </c>
      <c r="H1710" t="s">
        <v>464</v>
      </c>
      <c r="I1710" t="s">
        <v>579</v>
      </c>
      <c r="J1710" t="s">
        <v>2029</v>
      </c>
      <c r="K1710" t="s">
        <v>2030</v>
      </c>
    </row>
    <row r="1711" spans="1:19" x14ac:dyDescent="0.25">
      <c r="A1711" t="s">
        <v>2074</v>
      </c>
      <c r="B1711" s="1">
        <v>44346</v>
      </c>
      <c r="C1711" t="s">
        <v>2075</v>
      </c>
      <c r="D1711" t="s">
        <v>259</v>
      </c>
      <c r="E1711" t="s">
        <v>24</v>
      </c>
      <c r="F1711" t="s">
        <v>328</v>
      </c>
      <c r="G1711">
        <v>30</v>
      </c>
      <c r="H1711" t="s">
        <v>26</v>
      </c>
      <c r="I1711" t="s">
        <v>370</v>
      </c>
      <c r="J1711" t="s">
        <v>396</v>
      </c>
      <c r="K1711" t="s">
        <v>2076</v>
      </c>
      <c r="L1711">
        <v>160</v>
      </c>
      <c r="M1711">
        <v>89</v>
      </c>
      <c r="N1711" s="2">
        <v>0.35</v>
      </c>
      <c r="O1711">
        <v>83</v>
      </c>
      <c r="P1711">
        <v>15.28</v>
      </c>
      <c r="Q1711">
        <v>7.64</v>
      </c>
      <c r="R1711">
        <v>198</v>
      </c>
    </row>
    <row r="1712" spans="1:19" x14ac:dyDescent="0.25">
      <c r="A1712" t="s">
        <v>2077</v>
      </c>
      <c r="B1712" s="1">
        <v>44346</v>
      </c>
      <c r="C1712" t="s">
        <v>2078</v>
      </c>
      <c r="D1712" t="s">
        <v>259</v>
      </c>
      <c r="E1712" t="s">
        <v>24</v>
      </c>
      <c r="F1712" t="s">
        <v>305</v>
      </c>
      <c r="G1712">
        <v>10</v>
      </c>
      <c r="H1712" t="s">
        <v>194</v>
      </c>
      <c r="I1712" t="s">
        <v>195</v>
      </c>
      <c r="J1712" t="s">
        <v>211</v>
      </c>
      <c r="K1712" t="s">
        <v>2079</v>
      </c>
      <c r="R1712">
        <v>48</v>
      </c>
    </row>
    <row r="1713" spans="1:18" x14ac:dyDescent="0.25">
      <c r="A1713" t="s">
        <v>2080</v>
      </c>
      <c r="B1713" s="1">
        <v>44346</v>
      </c>
      <c r="C1713" t="s">
        <v>2081</v>
      </c>
      <c r="D1713" t="s">
        <v>259</v>
      </c>
      <c r="E1713" t="s">
        <v>24</v>
      </c>
      <c r="F1713" t="s">
        <v>335</v>
      </c>
      <c r="G1713">
        <v>15</v>
      </c>
      <c r="H1713" t="s">
        <v>194</v>
      </c>
      <c r="I1713" t="s">
        <v>1445</v>
      </c>
      <c r="J1713" t="s">
        <v>2082</v>
      </c>
      <c r="K1713" t="s">
        <v>2083</v>
      </c>
      <c r="R1713">
        <v>69</v>
      </c>
    </row>
    <row r="1714" spans="1:18" x14ac:dyDescent="0.25">
      <c r="A1714" t="s">
        <v>2084</v>
      </c>
      <c r="B1714" s="1">
        <v>44346</v>
      </c>
      <c r="C1714" t="s">
        <v>2059</v>
      </c>
      <c r="D1714" t="s">
        <v>259</v>
      </c>
      <c r="E1714" t="s">
        <v>24</v>
      </c>
      <c r="F1714" t="s">
        <v>215</v>
      </c>
      <c r="G1714">
        <v>10</v>
      </c>
      <c r="H1714" t="s">
        <v>464</v>
      </c>
      <c r="I1714" t="s">
        <v>579</v>
      </c>
      <c r="J1714" t="s">
        <v>1000</v>
      </c>
      <c r="K1714" t="s">
        <v>2085</v>
      </c>
    </row>
    <row r="1715" spans="1:18" x14ac:dyDescent="0.25">
      <c r="A1715" t="s">
        <v>2131</v>
      </c>
      <c r="B1715" s="1">
        <v>44353</v>
      </c>
      <c r="C1715" t="s">
        <v>2132</v>
      </c>
      <c r="D1715" t="s">
        <v>259</v>
      </c>
      <c r="E1715" t="s">
        <v>24</v>
      </c>
      <c r="F1715" t="s">
        <v>323</v>
      </c>
      <c r="G1715">
        <v>90</v>
      </c>
      <c r="H1715" t="s">
        <v>26</v>
      </c>
      <c r="I1715" t="s">
        <v>370</v>
      </c>
      <c r="J1715" t="s">
        <v>1278</v>
      </c>
      <c r="K1715" t="s">
        <v>2133</v>
      </c>
      <c r="L1715">
        <v>496</v>
      </c>
      <c r="M1715">
        <v>92</v>
      </c>
      <c r="N1715" s="2">
        <v>0.37</v>
      </c>
      <c r="O1715">
        <v>83</v>
      </c>
      <c r="P1715">
        <v>15.59</v>
      </c>
      <c r="Q1715">
        <v>23.39</v>
      </c>
      <c r="R1715">
        <v>612</v>
      </c>
    </row>
    <row r="1716" spans="1:18" x14ac:dyDescent="0.25">
      <c r="A1716" t="s">
        <v>2134</v>
      </c>
      <c r="B1716" s="1">
        <v>44353</v>
      </c>
      <c r="C1716" t="s">
        <v>2135</v>
      </c>
      <c r="D1716" t="s">
        <v>259</v>
      </c>
      <c r="E1716" t="s">
        <v>24</v>
      </c>
      <c r="F1716" t="s">
        <v>323</v>
      </c>
      <c r="G1716">
        <v>5</v>
      </c>
      <c r="H1716" t="s">
        <v>49</v>
      </c>
      <c r="I1716" t="s">
        <v>50</v>
      </c>
      <c r="J1716" t="s">
        <v>51</v>
      </c>
      <c r="K1716" t="s">
        <v>1656</v>
      </c>
      <c r="R1716">
        <v>12</v>
      </c>
    </row>
    <row r="1717" spans="1:18" x14ac:dyDescent="0.25">
      <c r="A1717" t="s">
        <v>2136</v>
      </c>
      <c r="B1717" s="1">
        <v>44353</v>
      </c>
      <c r="C1717" t="s">
        <v>2137</v>
      </c>
      <c r="D1717" t="s">
        <v>259</v>
      </c>
      <c r="E1717" t="s">
        <v>24</v>
      </c>
      <c r="F1717" t="s">
        <v>335</v>
      </c>
      <c r="G1717">
        <v>10</v>
      </c>
      <c r="H1717" t="s">
        <v>194</v>
      </c>
      <c r="I1717" t="s">
        <v>195</v>
      </c>
      <c r="J1717" t="s">
        <v>211</v>
      </c>
      <c r="K1717" t="s">
        <v>2138</v>
      </c>
      <c r="R1717">
        <v>46</v>
      </c>
    </row>
    <row r="1718" spans="1:18" x14ac:dyDescent="0.25">
      <c r="A1718" t="s">
        <v>2139</v>
      </c>
      <c r="B1718" s="1">
        <v>44353</v>
      </c>
      <c r="C1718" t="s">
        <v>1454</v>
      </c>
      <c r="D1718" t="s">
        <v>259</v>
      </c>
      <c r="E1718" t="s">
        <v>24</v>
      </c>
      <c r="F1718" t="s">
        <v>208</v>
      </c>
      <c r="G1718">
        <v>5</v>
      </c>
      <c r="H1718" t="s">
        <v>464</v>
      </c>
      <c r="I1718" t="s">
        <v>579</v>
      </c>
      <c r="J1718" t="s">
        <v>2129</v>
      </c>
      <c r="K1718" t="s">
        <v>2140</v>
      </c>
    </row>
    <row r="1719" spans="1:18" x14ac:dyDescent="0.25">
      <c r="A1719" t="s">
        <v>2203</v>
      </c>
      <c r="B1719" s="1">
        <v>44360</v>
      </c>
      <c r="C1719" t="s">
        <v>2204</v>
      </c>
      <c r="D1719" t="s">
        <v>259</v>
      </c>
      <c r="E1719" t="s">
        <v>24</v>
      </c>
      <c r="F1719" t="s">
        <v>768</v>
      </c>
      <c r="G1719">
        <v>5</v>
      </c>
      <c r="H1719" t="s">
        <v>464</v>
      </c>
      <c r="I1719" t="s">
        <v>943</v>
      </c>
      <c r="J1719" t="s">
        <v>2205</v>
      </c>
      <c r="K1719" t="s">
        <v>2206</v>
      </c>
    </row>
    <row r="1720" spans="1:18" x14ac:dyDescent="0.25">
      <c r="A1720" t="s">
        <v>2207</v>
      </c>
      <c r="B1720" s="1">
        <v>44360</v>
      </c>
      <c r="C1720" t="s">
        <v>2208</v>
      </c>
      <c r="D1720" t="s">
        <v>259</v>
      </c>
      <c r="E1720" t="s">
        <v>24</v>
      </c>
      <c r="F1720" t="s">
        <v>323</v>
      </c>
      <c r="G1720">
        <v>30</v>
      </c>
      <c r="H1720" t="s">
        <v>26</v>
      </c>
      <c r="I1720" t="s">
        <v>370</v>
      </c>
      <c r="J1720" t="s">
        <v>2209</v>
      </c>
      <c r="K1720" t="s">
        <v>2210</v>
      </c>
      <c r="L1720">
        <v>161</v>
      </c>
      <c r="M1720">
        <v>90</v>
      </c>
      <c r="N1720" s="2">
        <v>0.35</v>
      </c>
      <c r="O1720">
        <v>84</v>
      </c>
      <c r="P1720">
        <v>15.22</v>
      </c>
      <c r="Q1720">
        <v>7.61</v>
      </c>
      <c r="R1720">
        <v>199</v>
      </c>
    </row>
    <row r="1721" spans="1:18" x14ac:dyDescent="0.25">
      <c r="A1721" t="s">
        <v>2211</v>
      </c>
      <c r="B1721" s="1">
        <v>44360</v>
      </c>
      <c r="C1721" t="s">
        <v>2212</v>
      </c>
      <c r="D1721" t="s">
        <v>259</v>
      </c>
      <c r="E1721" t="s">
        <v>24</v>
      </c>
      <c r="F1721" t="s">
        <v>354</v>
      </c>
      <c r="G1721">
        <v>10</v>
      </c>
      <c r="H1721" t="s">
        <v>194</v>
      </c>
      <c r="I1721" t="s">
        <v>700</v>
      </c>
      <c r="J1721" t="s">
        <v>1282</v>
      </c>
      <c r="K1721" t="s">
        <v>2213</v>
      </c>
      <c r="R1721">
        <v>46</v>
      </c>
    </row>
    <row r="1722" spans="1:18" x14ac:dyDescent="0.25">
      <c r="A1722" t="s">
        <v>2214</v>
      </c>
      <c r="B1722" s="1">
        <v>44360</v>
      </c>
      <c r="C1722" t="s">
        <v>2215</v>
      </c>
      <c r="D1722" t="s">
        <v>259</v>
      </c>
      <c r="E1722" t="s">
        <v>24</v>
      </c>
      <c r="F1722" t="s">
        <v>895</v>
      </c>
      <c r="G1722">
        <v>5</v>
      </c>
      <c r="H1722" t="s">
        <v>194</v>
      </c>
      <c r="I1722" t="s">
        <v>195</v>
      </c>
      <c r="J1722" t="s">
        <v>196</v>
      </c>
      <c r="K1722" t="s">
        <v>2216</v>
      </c>
      <c r="R1722">
        <v>23</v>
      </c>
    </row>
    <row r="1723" spans="1:18" x14ac:dyDescent="0.25">
      <c r="A1723" t="s">
        <v>2217</v>
      </c>
      <c r="B1723" s="1">
        <v>44360</v>
      </c>
      <c r="C1723" t="s">
        <v>2218</v>
      </c>
      <c r="D1723" t="s">
        <v>259</v>
      </c>
      <c r="E1723" t="s">
        <v>24</v>
      </c>
      <c r="F1723" t="s">
        <v>215</v>
      </c>
      <c r="G1723">
        <v>60</v>
      </c>
      <c r="H1723" t="s">
        <v>188</v>
      </c>
      <c r="I1723" t="s">
        <v>189</v>
      </c>
      <c r="J1723" t="s">
        <v>216</v>
      </c>
      <c r="K1723" t="s">
        <v>2219</v>
      </c>
      <c r="R1723">
        <v>194</v>
      </c>
    </row>
    <row r="1724" spans="1:18" x14ac:dyDescent="0.25">
      <c r="A1724" t="s">
        <v>2220</v>
      </c>
      <c r="B1724" s="1">
        <v>44360</v>
      </c>
      <c r="C1724" t="s">
        <v>2221</v>
      </c>
      <c r="D1724" t="s">
        <v>259</v>
      </c>
      <c r="E1724" t="s">
        <v>24</v>
      </c>
      <c r="F1724" t="s">
        <v>208</v>
      </c>
      <c r="G1724">
        <v>10</v>
      </c>
      <c r="H1724" t="s">
        <v>464</v>
      </c>
      <c r="I1724" t="s">
        <v>579</v>
      </c>
      <c r="J1724" t="s">
        <v>1975</v>
      </c>
      <c r="K1724" t="s">
        <v>2222</v>
      </c>
    </row>
    <row r="1725" spans="1:18" x14ac:dyDescent="0.25">
      <c r="A1725" t="s">
        <v>2268</v>
      </c>
      <c r="B1725" s="1">
        <v>44367</v>
      </c>
      <c r="C1725" t="s">
        <v>1292</v>
      </c>
      <c r="D1725" t="s">
        <v>259</v>
      </c>
      <c r="E1725" t="s">
        <v>24</v>
      </c>
      <c r="F1725" t="s">
        <v>459</v>
      </c>
      <c r="G1725">
        <v>20</v>
      </c>
      <c r="H1725" t="s">
        <v>464</v>
      </c>
      <c r="I1725" t="s">
        <v>763</v>
      </c>
      <c r="J1725" t="s">
        <v>1335</v>
      </c>
      <c r="K1725" t="s">
        <v>2269</v>
      </c>
    </row>
    <row r="1726" spans="1:18" x14ac:dyDescent="0.25">
      <c r="A1726" t="s">
        <v>2345</v>
      </c>
      <c r="B1726" s="1">
        <v>44374</v>
      </c>
      <c r="C1726" t="s">
        <v>1536</v>
      </c>
      <c r="D1726" t="s">
        <v>259</v>
      </c>
      <c r="E1726" t="s">
        <v>24</v>
      </c>
      <c r="F1726" t="s">
        <v>323</v>
      </c>
      <c r="G1726">
        <v>45</v>
      </c>
      <c r="H1726" t="s">
        <v>26</v>
      </c>
      <c r="I1726" t="s">
        <v>370</v>
      </c>
      <c r="J1726" t="s">
        <v>479</v>
      </c>
      <c r="K1726" t="s">
        <v>2346</v>
      </c>
      <c r="L1726">
        <v>288</v>
      </c>
      <c r="M1726">
        <v>107</v>
      </c>
      <c r="N1726" s="2">
        <v>0.38</v>
      </c>
      <c r="O1726">
        <v>84</v>
      </c>
      <c r="P1726">
        <v>16.43</v>
      </c>
      <c r="Q1726">
        <v>12.32</v>
      </c>
      <c r="R1726">
        <v>356</v>
      </c>
    </row>
    <row r="1727" spans="1:18" x14ac:dyDescent="0.25">
      <c r="A1727" t="s">
        <v>2347</v>
      </c>
      <c r="B1727" s="1">
        <v>44374</v>
      </c>
      <c r="C1727" t="s">
        <v>2348</v>
      </c>
      <c r="D1727" t="s">
        <v>259</v>
      </c>
      <c r="E1727" t="s">
        <v>24</v>
      </c>
      <c r="F1727" t="s">
        <v>323</v>
      </c>
      <c r="G1727">
        <v>15</v>
      </c>
      <c r="H1727" t="s">
        <v>26</v>
      </c>
      <c r="I1727" t="s">
        <v>39</v>
      </c>
      <c r="J1727" t="s">
        <v>366</v>
      </c>
      <c r="K1727" t="s">
        <v>2349</v>
      </c>
      <c r="L1727">
        <v>61</v>
      </c>
      <c r="M1727">
        <v>67</v>
      </c>
      <c r="N1727" s="2">
        <v>0.33</v>
      </c>
      <c r="O1727">
        <v>77</v>
      </c>
      <c r="P1727">
        <v>13.54</v>
      </c>
      <c r="Q1727">
        <v>3.38</v>
      </c>
      <c r="R1727">
        <v>75</v>
      </c>
    </row>
    <row r="1728" spans="1:18" x14ac:dyDescent="0.25">
      <c r="A1728" t="s">
        <v>2350</v>
      </c>
      <c r="B1728" s="1">
        <v>44374</v>
      </c>
      <c r="C1728" t="s">
        <v>2351</v>
      </c>
      <c r="D1728" t="s">
        <v>259</v>
      </c>
      <c r="E1728" t="s">
        <v>24</v>
      </c>
      <c r="F1728" t="s">
        <v>323</v>
      </c>
      <c r="G1728">
        <v>5</v>
      </c>
      <c r="H1728" t="s">
        <v>49</v>
      </c>
      <c r="I1728" t="s">
        <v>50</v>
      </c>
      <c r="J1728" t="s">
        <v>51</v>
      </c>
      <c r="K1728" t="s">
        <v>1656</v>
      </c>
      <c r="R1728">
        <v>11</v>
      </c>
    </row>
    <row r="1729" spans="1:18" x14ac:dyDescent="0.25">
      <c r="A1729" t="s">
        <v>2352</v>
      </c>
      <c r="B1729" s="1">
        <v>44374</v>
      </c>
      <c r="C1729" t="s">
        <v>2353</v>
      </c>
      <c r="D1729" t="s">
        <v>259</v>
      </c>
      <c r="E1729" t="s">
        <v>24</v>
      </c>
      <c r="F1729" t="s">
        <v>200</v>
      </c>
      <c r="G1729">
        <v>5</v>
      </c>
      <c r="H1729" t="s">
        <v>464</v>
      </c>
      <c r="I1729" t="s">
        <v>763</v>
      </c>
      <c r="J1729" t="s">
        <v>2354</v>
      </c>
      <c r="K1729" t="s">
        <v>2355</v>
      </c>
    </row>
    <row r="1730" spans="1:18" x14ac:dyDescent="0.25">
      <c r="A1730" t="s">
        <v>2452</v>
      </c>
      <c r="B1730" s="1">
        <v>44388</v>
      </c>
      <c r="C1730" t="s">
        <v>2453</v>
      </c>
      <c r="D1730" t="s">
        <v>259</v>
      </c>
      <c r="E1730" t="s">
        <v>24</v>
      </c>
      <c r="F1730" t="s">
        <v>200</v>
      </c>
      <c r="G1730">
        <v>10</v>
      </c>
      <c r="H1730" t="s">
        <v>464</v>
      </c>
      <c r="I1730" t="s">
        <v>763</v>
      </c>
      <c r="J1730" t="s">
        <v>764</v>
      </c>
      <c r="K1730" t="s">
        <v>2454</v>
      </c>
    </row>
    <row r="1731" spans="1:18" x14ac:dyDescent="0.25">
      <c r="A1731" t="s">
        <v>2455</v>
      </c>
      <c r="B1731" s="1">
        <v>44388</v>
      </c>
      <c r="C1731" t="s">
        <v>2456</v>
      </c>
      <c r="D1731" t="s">
        <v>259</v>
      </c>
      <c r="E1731" t="s">
        <v>24</v>
      </c>
      <c r="F1731" t="s">
        <v>215</v>
      </c>
      <c r="G1731">
        <v>5</v>
      </c>
      <c r="H1731" t="s">
        <v>464</v>
      </c>
      <c r="I1731" t="s">
        <v>579</v>
      </c>
      <c r="J1731" t="s">
        <v>2457</v>
      </c>
      <c r="K1731" t="s">
        <v>2458</v>
      </c>
    </row>
    <row r="1732" spans="1:18" x14ac:dyDescent="0.25">
      <c r="A1732" t="s">
        <v>2459</v>
      </c>
      <c r="B1732" s="1">
        <v>44388</v>
      </c>
      <c r="C1732" t="s">
        <v>2113</v>
      </c>
      <c r="D1732" t="s">
        <v>259</v>
      </c>
      <c r="E1732" t="s">
        <v>24</v>
      </c>
      <c r="F1732" t="s">
        <v>243</v>
      </c>
      <c r="G1732">
        <v>30</v>
      </c>
      <c r="H1732" t="s">
        <v>26</v>
      </c>
      <c r="I1732" t="s">
        <v>370</v>
      </c>
      <c r="J1732" t="s">
        <v>433</v>
      </c>
      <c r="K1732" t="s">
        <v>2460</v>
      </c>
      <c r="L1732">
        <v>172</v>
      </c>
      <c r="M1732">
        <v>96</v>
      </c>
      <c r="N1732" s="2">
        <v>0.37</v>
      </c>
      <c r="O1732">
        <v>81</v>
      </c>
      <c r="P1732">
        <v>15.55</v>
      </c>
      <c r="Q1732">
        <v>7.78</v>
      </c>
      <c r="R1732">
        <v>212</v>
      </c>
    </row>
    <row r="1733" spans="1:18" x14ac:dyDescent="0.25">
      <c r="A1733" t="s">
        <v>2461</v>
      </c>
      <c r="B1733" s="1">
        <v>44388</v>
      </c>
      <c r="C1733" t="s">
        <v>2462</v>
      </c>
      <c r="D1733" t="s">
        <v>259</v>
      </c>
      <c r="E1733" t="s">
        <v>24</v>
      </c>
      <c r="F1733" t="s">
        <v>297</v>
      </c>
      <c r="G1733">
        <v>20</v>
      </c>
      <c r="H1733" t="s">
        <v>194</v>
      </c>
      <c r="I1733" t="s">
        <v>691</v>
      </c>
      <c r="J1733" t="s">
        <v>920</v>
      </c>
      <c r="K1733" t="s">
        <v>2463</v>
      </c>
      <c r="R1733">
        <v>92</v>
      </c>
    </row>
    <row r="1734" spans="1:18" x14ac:dyDescent="0.25">
      <c r="A1734" t="s">
        <v>2464</v>
      </c>
      <c r="B1734" s="1">
        <v>44388</v>
      </c>
      <c r="C1734" t="s">
        <v>2465</v>
      </c>
      <c r="D1734" t="s">
        <v>259</v>
      </c>
      <c r="E1734" t="s">
        <v>24</v>
      </c>
      <c r="F1734" t="s">
        <v>297</v>
      </c>
      <c r="G1734">
        <v>10</v>
      </c>
      <c r="H1734" t="s">
        <v>194</v>
      </c>
      <c r="I1734" t="s">
        <v>195</v>
      </c>
      <c r="J1734" t="s">
        <v>211</v>
      </c>
      <c r="K1734" t="s">
        <v>2466</v>
      </c>
      <c r="R1734">
        <v>46</v>
      </c>
    </row>
    <row r="1735" spans="1:18" x14ac:dyDescent="0.25">
      <c r="A1735" t="s">
        <v>2467</v>
      </c>
      <c r="B1735" s="1">
        <v>44388</v>
      </c>
      <c r="C1735" t="s">
        <v>2468</v>
      </c>
      <c r="D1735" t="s">
        <v>259</v>
      </c>
      <c r="E1735" t="s">
        <v>24</v>
      </c>
      <c r="F1735" t="s">
        <v>335</v>
      </c>
      <c r="G1735">
        <v>10</v>
      </c>
      <c r="H1735" t="s">
        <v>49</v>
      </c>
      <c r="I1735" t="s">
        <v>226</v>
      </c>
      <c r="J1735" t="s">
        <v>2469</v>
      </c>
      <c r="K1735" t="s">
        <v>2393</v>
      </c>
      <c r="R1735">
        <v>23</v>
      </c>
    </row>
    <row r="1736" spans="1:18" x14ac:dyDescent="0.25">
      <c r="A1736" t="s">
        <v>2470</v>
      </c>
      <c r="B1736" s="1">
        <v>44388</v>
      </c>
      <c r="C1736" t="s">
        <v>963</v>
      </c>
      <c r="D1736" t="s">
        <v>259</v>
      </c>
      <c r="E1736" t="s">
        <v>24</v>
      </c>
      <c r="F1736" t="s">
        <v>459</v>
      </c>
      <c r="G1736">
        <v>20</v>
      </c>
      <c r="H1736" t="s">
        <v>464</v>
      </c>
      <c r="I1736" t="s">
        <v>763</v>
      </c>
      <c r="J1736" t="s">
        <v>1385</v>
      </c>
      <c r="K1736" t="s">
        <v>2471</v>
      </c>
    </row>
    <row r="1737" spans="1:18" x14ac:dyDescent="0.25">
      <c r="A1737" t="s">
        <v>2583</v>
      </c>
      <c r="B1737" s="1">
        <v>44402</v>
      </c>
      <c r="C1737" t="s">
        <v>2584</v>
      </c>
      <c r="D1737" t="s">
        <v>259</v>
      </c>
      <c r="E1737" t="s">
        <v>24</v>
      </c>
      <c r="F1737" t="s">
        <v>323</v>
      </c>
      <c r="G1737">
        <v>30</v>
      </c>
      <c r="H1737" t="s">
        <v>26</v>
      </c>
      <c r="I1737" t="s">
        <v>370</v>
      </c>
      <c r="J1737" t="s">
        <v>2585</v>
      </c>
      <c r="K1737" t="s">
        <v>2586</v>
      </c>
      <c r="L1737">
        <v>170</v>
      </c>
      <c r="M1737">
        <v>95</v>
      </c>
      <c r="N1737" s="2">
        <v>0.35</v>
      </c>
      <c r="O1737">
        <v>87</v>
      </c>
      <c r="P1737">
        <v>15.7</v>
      </c>
      <c r="Q1737">
        <v>7.85</v>
      </c>
      <c r="R1737">
        <v>210</v>
      </c>
    </row>
    <row r="1738" spans="1:18" x14ac:dyDescent="0.25">
      <c r="A1738" t="s">
        <v>2587</v>
      </c>
      <c r="B1738" s="1">
        <v>44402</v>
      </c>
      <c r="C1738" t="s">
        <v>1692</v>
      </c>
      <c r="D1738" t="s">
        <v>259</v>
      </c>
      <c r="E1738" t="s">
        <v>24</v>
      </c>
      <c r="F1738" t="s">
        <v>243</v>
      </c>
      <c r="G1738">
        <v>30</v>
      </c>
      <c r="H1738" t="s">
        <v>26</v>
      </c>
      <c r="I1738" t="s">
        <v>370</v>
      </c>
      <c r="J1738" t="s">
        <v>2588</v>
      </c>
      <c r="K1738" t="s">
        <v>2589</v>
      </c>
      <c r="L1738">
        <v>169</v>
      </c>
      <c r="M1738">
        <v>94</v>
      </c>
      <c r="N1738" s="2">
        <v>0.36</v>
      </c>
      <c r="O1738">
        <v>85</v>
      </c>
      <c r="P1738">
        <v>15.65</v>
      </c>
      <c r="Q1738">
        <v>7.83</v>
      </c>
      <c r="R1738">
        <v>208</v>
      </c>
    </row>
    <row r="1739" spans="1:18" x14ac:dyDescent="0.25">
      <c r="A1739" t="s">
        <v>2590</v>
      </c>
      <c r="B1739" s="1">
        <v>44402</v>
      </c>
      <c r="C1739" t="s">
        <v>2591</v>
      </c>
      <c r="D1739" t="s">
        <v>259</v>
      </c>
      <c r="E1739" t="s">
        <v>24</v>
      </c>
      <c r="F1739" t="s">
        <v>660</v>
      </c>
      <c r="G1739">
        <v>10</v>
      </c>
      <c r="H1739" t="s">
        <v>194</v>
      </c>
      <c r="I1739" t="s">
        <v>700</v>
      </c>
      <c r="J1739" t="s">
        <v>1282</v>
      </c>
      <c r="K1739" t="s">
        <v>2592</v>
      </c>
      <c r="R1739">
        <v>46</v>
      </c>
    </row>
    <row r="1740" spans="1:18" x14ac:dyDescent="0.25">
      <c r="A1740" t="s">
        <v>2593</v>
      </c>
      <c r="B1740" s="1">
        <v>44402</v>
      </c>
      <c r="C1740" t="s">
        <v>2594</v>
      </c>
      <c r="D1740" t="s">
        <v>259</v>
      </c>
      <c r="E1740" t="s">
        <v>24</v>
      </c>
      <c r="F1740" t="s">
        <v>2595</v>
      </c>
      <c r="G1740">
        <v>5</v>
      </c>
      <c r="H1740" t="s">
        <v>49</v>
      </c>
      <c r="I1740" t="s">
        <v>50</v>
      </c>
      <c r="J1740" t="s">
        <v>51</v>
      </c>
      <c r="K1740" t="s">
        <v>2596</v>
      </c>
      <c r="R1740">
        <v>12</v>
      </c>
    </row>
    <row r="1741" spans="1:18" x14ac:dyDescent="0.25">
      <c r="A1741" t="s">
        <v>2597</v>
      </c>
      <c r="B1741" s="1">
        <v>44402</v>
      </c>
      <c r="C1741" t="s">
        <v>839</v>
      </c>
      <c r="D1741" t="s">
        <v>259</v>
      </c>
      <c r="E1741" t="s">
        <v>24</v>
      </c>
      <c r="F1741" t="s">
        <v>200</v>
      </c>
      <c r="G1741">
        <v>5</v>
      </c>
      <c r="H1741" t="s">
        <v>464</v>
      </c>
      <c r="I1741" t="s">
        <v>943</v>
      </c>
      <c r="J1741" t="s">
        <v>2205</v>
      </c>
      <c r="K1741" t="s">
        <v>2598</v>
      </c>
    </row>
    <row r="1742" spans="1:18" x14ac:dyDescent="0.25">
      <c r="A1742" t="s">
        <v>2655</v>
      </c>
      <c r="B1742" s="1">
        <v>44409</v>
      </c>
      <c r="C1742" t="s">
        <v>2656</v>
      </c>
      <c r="D1742" t="s">
        <v>259</v>
      </c>
      <c r="E1742" t="s">
        <v>24</v>
      </c>
      <c r="F1742" t="s">
        <v>490</v>
      </c>
      <c r="G1742">
        <v>20</v>
      </c>
      <c r="H1742" t="s">
        <v>26</v>
      </c>
      <c r="I1742" t="s">
        <v>39</v>
      </c>
      <c r="J1742" t="s">
        <v>2657</v>
      </c>
      <c r="K1742" t="s">
        <v>2658</v>
      </c>
      <c r="L1742">
        <v>110</v>
      </c>
      <c r="M1742">
        <v>91</v>
      </c>
      <c r="N1742" s="2">
        <v>0.34</v>
      </c>
      <c r="O1742">
        <v>89</v>
      </c>
      <c r="P1742">
        <v>15.5</v>
      </c>
      <c r="Q1742">
        <v>5.17</v>
      </c>
      <c r="R1742">
        <v>135</v>
      </c>
    </row>
    <row r="1743" spans="1:18" x14ac:dyDescent="0.25">
      <c r="A1743" t="s">
        <v>2659</v>
      </c>
      <c r="B1743" s="1">
        <v>44409</v>
      </c>
      <c r="C1743" t="s">
        <v>623</v>
      </c>
      <c r="D1743" t="s">
        <v>259</v>
      </c>
      <c r="E1743" t="s">
        <v>24</v>
      </c>
      <c r="F1743" t="s">
        <v>215</v>
      </c>
      <c r="G1743">
        <v>45</v>
      </c>
      <c r="H1743" t="s">
        <v>188</v>
      </c>
      <c r="I1743" t="s">
        <v>103</v>
      </c>
      <c r="J1743" t="s">
        <v>2660</v>
      </c>
      <c r="K1743" t="s">
        <v>2661</v>
      </c>
      <c r="R1743">
        <v>116</v>
      </c>
    </row>
    <row r="1744" spans="1:18" x14ac:dyDescent="0.25">
      <c r="A1744" t="s">
        <v>2662</v>
      </c>
      <c r="B1744" s="1">
        <v>44409</v>
      </c>
      <c r="C1744" t="s">
        <v>1454</v>
      </c>
      <c r="D1744" t="s">
        <v>259</v>
      </c>
      <c r="E1744" t="s">
        <v>24</v>
      </c>
      <c r="F1744" t="s">
        <v>237</v>
      </c>
      <c r="G1744">
        <v>10</v>
      </c>
      <c r="H1744" t="s">
        <v>464</v>
      </c>
      <c r="I1744" t="s">
        <v>763</v>
      </c>
      <c r="J1744" t="s">
        <v>764</v>
      </c>
      <c r="K1744" t="s">
        <v>2663</v>
      </c>
    </row>
    <row r="1745" spans="1:18" x14ac:dyDescent="0.25">
      <c r="A1745" t="s">
        <v>2664</v>
      </c>
      <c r="B1745" s="1">
        <v>44409</v>
      </c>
      <c r="C1745" t="s">
        <v>913</v>
      </c>
      <c r="D1745" t="s">
        <v>259</v>
      </c>
      <c r="E1745" t="s">
        <v>24</v>
      </c>
      <c r="F1745" t="s">
        <v>237</v>
      </c>
      <c r="G1745">
        <v>15</v>
      </c>
      <c r="H1745" t="s">
        <v>464</v>
      </c>
      <c r="I1745" t="s">
        <v>943</v>
      </c>
      <c r="J1745" t="s">
        <v>1709</v>
      </c>
      <c r="K1745" t="s">
        <v>1934</v>
      </c>
    </row>
    <row r="1746" spans="1:18" x14ac:dyDescent="0.25">
      <c r="A1746" t="s">
        <v>2713</v>
      </c>
      <c r="B1746" s="1">
        <v>44416</v>
      </c>
      <c r="C1746" t="s">
        <v>967</v>
      </c>
      <c r="D1746" t="s">
        <v>259</v>
      </c>
      <c r="E1746" t="s">
        <v>24</v>
      </c>
      <c r="F1746" t="s">
        <v>215</v>
      </c>
      <c r="G1746">
        <v>20</v>
      </c>
      <c r="H1746" t="s">
        <v>188</v>
      </c>
      <c r="I1746" t="s">
        <v>238</v>
      </c>
      <c r="J1746" t="s">
        <v>796</v>
      </c>
      <c r="K1746" t="s">
        <v>2714</v>
      </c>
      <c r="R1746">
        <v>68</v>
      </c>
    </row>
    <row r="1747" spans="1:18" x14ac:dyDescent="0.25">
      <c r="A1747" t="s">
        <v>2715</v>
      </c>
      <c r="B1747" s="1">
        <v>44416</v>
      </c>
      <c r="C1747" t="s">
        <v>963</v>
      </c>
      <c r="D1747" t="s">
        <v>259</v>
      </c>
      <c r="E1747" t="s">
        <v>24</v>
      </c>
      <c r="F1747" t="s">
        <v>459</v>
      </c>
      <c r="G1747">
        <v>10</v>
      </c>
      <c r="H1747" t="s">
        <v>464</v>
      </c>
      <c r="I1747" t="s">
        <v>763</v>
      </c>
      <c r="J1747" t="s">
        <v>914</v>
      </c>
      <c r="K1747" t="s">
        <v>2716</v>
      </c>
    </row>
    <row r="1748" spans="1:18" x14ac:dyDescent="0.25">
      <c r="A1748" t="s">
        <v>2774</v>
      </c>
      <c r="B1748" s="1">
        <v>44423</v>
      </c>
      <c r="C1748" t="s">
        <v>1627</v>
      </c>
      <c r="D1748" t="s">
        <v>259</v>
      </c>
      <c r="E1748" t="s">
        <v>24</v>
      </c>
      <c r="F1748" t="s">
        <v>323</v>
      </c>
      <c r="G1748">
        <v>45</v>
      </c>
      <c r="H1748" t="s">
        <v>26</v>
      </c>
      <c r="I1748" t="s">
        <v>370</v>
      </c>
      <c r="J1748" t="s">
        <v>439</v>
      </c>
      <c r="K1748" t="s">
        <v>2775</v>
      </c>
      <c r="L1748">
        <v>262</v>
      </c>
      <c r="M1748">
        <v>97</v>
      </c>
      <c r="N1748" s="2">
        <v>0.37</v>
      </c>
      <c r="O1748">
        <v>85</v>
      </c>
      <c r="P1748">
        <v>15.91</v>
      </c>
      <c r="Q1748">
        <v>11.94</v>
      </c>
      <c r="R1748">
        <v>324</v>
      </c>
    </row>
    <row r="1749" spans="1:18" x14ac:dyDescent="0.25">
      <c r="A1749" t="s">
        <v>2776</v>
      </c>
      <c r="B1749" s="1">
        <v>44423</v>
      </c>
      <c r="C1749" t="s">
        <v>2777</v>
      </c>
      <c r="D1749" t="s">
        <v>259</v>
      </c>
      <c r="E1749" t="s">
        <v>24</v>
      </c>
      <c r="F1749" t="s">
        <v>323</v>
      </c>
      <c r="G1749">
        <v>15</v>
      </c>
      <c r="H1749" t="s">
        <v>26</v>
      </c>
      <c r="I1749" t="s">
        <v>39</v>
      </c>
      <c r="J1749" t="s">
        <v>366</v>
      </c>
      <c r="K1749" t="s">
        <v>2778</v>
      </c>
      <c r="L1749">
        <v>72</v>
      </c>
      <c r="M1749">
        <v>80</v>
      </c>
      <c r="N1749" s="2">
        <v>0.33</v>
      </c>
      <c r="O1749">
        <v>88</v>
      </c>
      <c r="P1749">
        <v>14.74</v>
      </c>
      <c r="Q1749">
        <v>3.69</v>
      </c>
      <c r="R1749">
        <v>89</v>
      </c>
    </row>
    <row r="1750" spans="1:18" x14ac:dyDescent="0.25">
      <c r="A1750" t="s">
        <v>2779</v>
      </c>
      <c r="B1750" s="1">
        <v>44423</v>
      </c>
      <c r="C1750" t="s">
        <v>2087</v>
      </c>
      <c r="D1750" t="s">
        <v>259</v>
      </c>
      <c r="E1750" t="s">
        <v>24</v>
      </c>
      <c r="F1750" t="s">
        <v>297</v>
      </c>
      <c r="G1750">
        <v>10</v>
      </c>
      <c r="H1750" t="s">
        <v>194</v>
      </c>
      <c r="I1750" t="s">
        <v>195</v>
      </c>
      <c r="J1750" t="s">
        <v>211</v>
      </c>
      <c r="K1750" t="s">
        <v>2780</v>
      </c>
      <c r="R1750">
        <v>46</v>
      </c>
    </row>
    <row r="1751" spans="1:18" x14ac:dyDescent="0.25">
      <c r="A1751" t="s">
        <v>2781</v>
      </c>
      <c r="B1751" s="1">
        <v>44423</v>
      </c>
      <c r="C1751" t="s">
        <v>251</v>
      </c>
      <c r="D1751" t="s">
        <v>259</v>
      </c>
      <c r="E1751" t="s">
        <v>24</v>
      </c>
      <c r="F1751" t="s">
        <v>215</v>
      </c>
      <c r="G1751">
        <v>20</v>
      </c>
      <c r="H1751" t="s">
        <v>464</v>
      </c>
      <c r="I1751" t="s">
        <v>763</v>
      </c>
      <c r="J1751" t="s">
        <v>1385</v>
      </c>
      <c r="K1751" t="s">
        <v>2782</v>
      </c>
    </row>
    <row r="1752" spans="1:18" x14ac:dyDescent="0.25">
      <c r="A1752" t="s">
        <v>2835</v>
      </c>
      <c r="B1752" s="1">
        <v>44430</v>
      </c>
      <c r="C1752" t="s">
        <v>1338</v>
      </c>
      <c r="D1752" t="s">
        <v>259</v>
      </c>
      <c r="E1752" t="s">
        <v>24</v>
      </c>
      <c r="F1752" t="s">
        <v>208</v>
      </c>
      <c r="G1752">
        <v>10</v>
      </c>
      <c r="H1752" t="s">
        <v>464</v>
      </c>
      <c r="I1752" t="s">
        <v>579</v>
      </c>
      <c r="J1752" t="s">
        <v>1820</v>
      </c>
      <c r="K1752" t="s">
        <v>2836</v>
      </c>
    </row>
    <row r="1753" spans="1:18" x14ac:dyDescent="0.25">
      <c r="A1753" t="s">
        <v>2837</v>
      </c>
      <c r="B1753" s="1">
        <v>44430</v>
      </c>
      <c r="C1753" t="s">
        <v>1248</v>
      </c>
      <c r="D1753" t="s">
        <v>259</v>
      </c>
      <c r="E1753" t="s">
        <v>24</v>
      </c>
      <c r="F1753" t="s">
        <v>215</v>
      </c>
      <c r="G1753">
        <v>15</v>
      </c>
      <c r="H1753" t="s">
        <v>464</v>
      </c>
      <c r="I1753" t="s">
        <v>1617</v>
      </c>
      <c r="J1753" t="s">
        <v>2838</v>
      </c>
      <c r="K1753" t="s">
        <v>2839</v>
      </c>
    </row>
    <row r="1754" spans="1:18" x14ac:dyDescent="0.25">
      <c r="A1754" t="s">
        <v>2889</v>
      </c>
      <c r="B1754" s="1">
        <v>44437</v>
      </c>
      <c r="C1754" t="s">
        <v>2890</v>
      </c>
      <c r="D1754" t="s">
        <v>259</v>
      </c>
      <c r="E1754" t="s">
        <v>24</v>
      </c>
      <c r="F1754" t="s">
        <v>200</v>
      </c>
      <c r="G1754">
        <v>20</v>
      </c>
      <c r="H1754" t="s">
        <v>188</v>
      </c>
      <c r="I1754" t="s">
        <v>238</v>
      </c>
      <c r="J1754" t="s">
        <v>796</v>
      </c>
      <c r="K1754" t="s">
        <v>2891</v>
      </c>
      <c r="R1754">
        <v>59</v>
      </c>
    </row>
    <row r="1755" spans="1:18" x14ac:dyDescent="0.25">
      <c r="A1755" t="s">
        <v>2892</v>
      </c>
      <c r="B1755" s="1">
        <v>44437</v>
      </c>
      <c r="C1755" t="s">
        <v>2893</v>
      </c>
      <c r="D1755" t="s">
        <v>259</v>
      </c>
      <c r="E1755" t="s">
        <v>24</v>
      </c>
      <c r="F1755" t="s">
        <v>323</v>
      </c>
      <c r="G1755">
        <v>30</v>
      </c>
      <c r="H1755" t="s">
        <v>26</v>
      </c>
      <c r="I1755" t="s">
        <v>370</v>
      </c>
      <c r="J1755" t="s">
        <v>396</v>
      </c>
      <c r="K1755" t="s">
        <v>2894</v>
      </c>
      <c r="L1755">
        <v>142</v>
      </c>
      <c r="M1755">
        <v>79</v>
      </c>
      <c r="N1755" s="2">
        <v>0.32</v>
      </c>
      <c r="O1755">
        <v>89</v>
      </c>
      <c r="P1755">
        <v>14.54</v>
      </c>
      <c r="Q1755">
        <v>7.27</v>
      </c>
      <c r="R1755">
        <v>175</v>
      </c>
    </row>
    <row r="1756" spans="1:18" x14ac:dyDescent="0.25">
      <c r="A1756" t="s">
        <v>2895</v>
      </c>
      <c r="B1756" s="1">
        <v>44437</v>
      </c>
      <c r="C1756" t="s">
        <v>1145</v>
      </c>
      <c r="D1756" t="s">
        <v>259</v>
      </c>
      <c r="E1756" t="s">
        <v>24</v>
      </c>
      <c r="F1756" t="s">
        <v>237</v>
      </c>
      <c r="G1756">
        <v>10</v>
      </c>
      <c r="H1756" t="s">
        <v>188</v>
      </c>
      <c r="I1756" t="s">
        <v>238</v>
      </c>
      <c r="J1756" t="s">
        <v>674</v>
      </c>
      <c r="K1756" t="s">
        <v>2896</v>
      </c>
      <c r="R1756">
        <v>36</v>
      </c>
    </row>
    <row r="1757" spans="1:18" x14ac:dyDescent="0.25">
      <c r="A1757" t="s">
        <v>2897</v>
      </c>
      <c r="B1757" s="1">
        <v>44437</v>
      </c>
      <c r="C1757" t="s">
        <v>2218</v>
      </c>
      <c r="D1757" t="s">
        <v>259</v>
      </c>
      <c r="E1757" t="s">
        <v>24</v>
      </c>
      <c r="F1757" t="s">
        <v>237</v>
      </c>
      <c r="G1757">
        <v>20</v>
      </c>
      <c r="H1757" t="s">
        <v>188</v>
      </c>
      <c r="I1757" t="s">
        <v>238</v>
      </c>
      <c r="J1757" t="s">
        <v>2898</v>
      </c>
      <c r="K1757" t="s">
        <v>2899</v>
      </c>
      <c r="R1757">
        <v>64</v>
      </c>
    </row>
    <row r="1758" spans="1:18" x14ac:dyDescent="0.25">
      <c r="A1758" t="s">
        <v>2900</v>
      </c>
      <c r="B1758" s="1">
        <v>44437</v>
      </c>
      <c r="C1758" t="s">
        <v>1507</v>
      </c>
      <c r="D1758" t="s">
        <v>259</v>
      </c>
      <c r="E1758" t="s">
        <v>24</v>
      </c>
      <c r="F1758" t="s">
        <v>208</v>
      </c>
      <c r="G1758">
        <v>10</v>
      </c>
      <c r="H1758" t="s">
        <v>464</v>
      </c>
      <c r="I1758" t="s">
        <v>1571</v>
      </c>
      <c r="J1758" t="s">
        <v>2704</v>
      </c>
      <c r="K1758" t="s">
        <v>2901</v>
      </c>
    </row>
    <row r="1759" spans="1:18" x14ac:dyDescent="0.25">
      <c r="A1759" t="s">
        <v>2945</v>
      </c>
      <c r="B1759" s="1">
        <v>44444</v>
      </c>
      <c r="C1759" t="s">
        <v>2946</v>
      </c>
      <c r="D1759" t="s">
        <v>259</v>
      </c>
      <c r="E1759" t="s">
        <v>24</v>
      </c>
      <c r="F1759" t="s">
        <v>335</v>
      </c>
      <c r="G1759">
        <v>45</v>
      </c>
      <c r="H1759" t="s">
        <v>26</v>
      </c>
      <c r="I1759" t="s">
        <v>370</v>
      </c>
      <c r="J1759" t="s">
        <v>439</v>
      </c>
      <c r="K1759" t="s">
        <v>2947</v>
      </c>
      <c r="L1759">
        <v>270</v>
      </c>
      <c r="M1759">
        <v>100</v>
      </c>
      <c r="N1759" s="2">
        <v>0.37</v>
      </c>
      <c r="O1759">
        <v>85</v>
      </c>
      <c r="P1759">
        <v>16.14</v>
      </c>
      <c r="Q1759">
        <v>12.11</v>
      </c>
      <c r="R1759">
        <v>333</v>
      </c>
    </row>
    <row r="1760" spans="1:18" x14ac:dyDescent="0.25">
      <c r="A1760" t="s">
        <v>2948</v>
      </c>
      <c r="B1760" s="1">
        <v>44444</v>
      </c>
      <c r="C1760" t="s">
        <v>2376</v>
      </c>
      <c r="D1760" t="s">
        <v>259</v>
      </c>
      <c r="E1760" t="s">
        <v>24</v>
      </c>
      <c r="F1760" t="s">
        <v>335</v>
      </c>
      <c r="G1760">
        <v>10</v>
      </c>
      <c r="H1760" t="s">
        <v>26</v>
      </c>
      <c r="I1760" t="s">
        <v>358</v>
      </c>
      <c r="J1760" t="s">
        <v>389</v>
      </c>
      <c r="K1760" t="s">
        <v>2526</v>
      </c>
      <c r="L1760">
        <v>50</v>
      </c>
      <c r="M1760">
        <v>83</v>
      </c>
      <c r="N1760" s="2">
        <v>0.36</v>
      </c>
      <c r="O1760">
        <v>79</v>
      </c>
      <c r="P1760">
        <v>14.92</v>
      </c>
      <c r="Q1760">
        <v>2.4900000000000002</v>
      </c>
      <c r="R1760">
        <v>61</v>
      </c>
    </row>
    <row r="1761" spans="1:19" x14ac:dyDescent="0.25">
      <c r="A1761" t="s">
        <v>2949</v>
      </c>
      <c r="B1761" s="1">
        <v>44444</v>
      </c>
      <c r="C1761" t="s">
        <v>2950</v>
      </c>
      <c r="D1761" t="s">
        <v>259</v>
      </c>
      <c r="E1761" t="s">
        <v>24</v>
      </c>
      <c r="F1761" t="s">
        <v>180</v>
      </c>
      <c r="G1761">
        <v>10</v>
      </c>
      <c r="H1761" t="s">
        <v>194</v>
      </c>
      <c r="I1761" t="s">
        <v>700</v>
      </c>
      <c r="J1761" t="s">
        <v>1282</v>
      </c>
      <c r="K1761" t="s">
        <v>2951</v>
      </c>
      <c r="R1761">
        <v>46</v>
      </c>
    </row>
    <row r="1762" spans="1:19" x14ac:dyDescent="0.25">
      <c r="A1762" t="s">
        <v>2952</v>
      </c>
      <c r="B1762" s="1">
        <v>44444</v>
      </c>
      <c r="C1762" t="s">
        <v>2953</v>
      </c>
      <c r="D1762" t="s">
        <v>259</v>
      </c>
      <c r="E1762" t="s">
        <v>24</v>
      </c>
      <c r="F1762" t="s">
        <v>297</v>
      </c>
      <c r="G1762">
        <v>10</v>
      </c>
      <c r="H1762" t="s">
        <v>194</v>
      </c>
      <c r="I1762" t="s">
        <v>195</v>
      </c>
      <c r="J1762" t="s">
        <v>211</v>
      </c>
      <c r="K1762" t="s">
        <v>2954</v>
      </c>
      <c r="R1762">
        <v>46</v>
      </c>
    </row>
    <row r="1763" spans="1:19" x14ac:dyDescent="0.25">
      <c r="A1763" t="s">
        <v>2955</v>
      </c>
      <c r="B1763" s="1">
        <v>44444</v>
      </c>
      <c r="C1763" t="s">
        <v>2956</v>
      </c>
      <c r="D1763" t="s">
        <v>259</v>
      </c>
      <c r="E1763" t="s">
        <v>24</v>
      </c>
      <c r="F1763" t="s">
        <v>243</v>
      </c>
      <c r="G1763">
        <v>10</v>
      </c>
      <c r="H1763" t="s">
        <v>188</v>
      </c>
      <c r="I1763" t="s">
        <v>189</v>
      </c>
      <c r="J1763" t="s">
        <v>564</v>
      </c>
      <c r="K1763" t="s">
        <v>2957</v>
      </c>
      <c r="R1763">
        <v>35</v>
      </c>
    </row>
    <row r="1764" spans="1:19" x14ac:dyDescent="0.25">
      <c r="A1764" t="s">
        <v>2958</v>
      </c>
      <c r="B1764" s="1">
        <v>44444</v>
      </c>
      <c r="C1764" t="s">
        <v>1784</v>
      </c>
      <c r="D1764" t="s">
        <v>259</v>
      </c>
      <c r="E1764" t="s">
        <v>24</v>
      </c>
      <c r="F1764" t="s">
        <v>200</v>
      </c>
      <c r="G1764">
        <v>5</v>
      </c>
      <c r="H1764" t="s">
        <v>464</v>
      </c>
      <c r="I1764" t="s">
        <v>579</v>
      </c>
      <c r="J1764" t="s">
        <v>2959</v>
      </c>
      <c r="K1764" t="s">
        <v>2908</v>
      </c>
    </row>
    <row r="1765" spans="1:19" x14ac:dyDescent="0.25">
      <c r="A1765" t="s">
        <v>3029</v>
      </c>
      <c r="B1765" s="1">
        <v>44451</v>
      </c>
      <c r="C1765" t="s">
        <v>1540</v>
      </c>
      <c r="D1765" t="s">
        <v>259</v>
      </c>
      <c r="E1765" t="s">
        <v>24</v>
      </c>
      <c r="F1765" t="s">
        <v>215</v>
      </c>
      <c r="G1765">
        <v>5</v>
      </c>
      <c r="H1765" t="s">
        <v>464</v>
      </c>
      <c r="I1765" t="s">
        <v>943</v>
      </c>
      <c r="J1765" t="s">
        <v>2205</v>
      </c>
      <c r="K1765" t="s">
        <v>3030</v>
      </c>
      <c r="S1765">
        <v>80</v>
      </c>
    </row>
    <row r="1766" spans="1:19" x14ac:dyDescent="0.25">
      <c r="A1766" t="s">
        <v>3073</v>
      </c>
      <c r="B1766" s="1">
        <v>44458</v>
      </c>
      <c r="C1766" t="s">
        <v>3074</v>
      </c>
      <c r="D1766" t="s">
        <v>259</v>
      </c>
      <c r="E1766" t="s">
        <v>24</v>
      </c>
      <c r="F1766" t="s">
        <v>490</v>
      </c>
      <c r="G1766">
        <v>15</v>
      </c>
      <c r="H1766" t="s">
        <v>26</v>
      </c>
      <c r="I1766" t="s">
        <v>39</v>
      </c>
      <c r="J1766" t="s">
        <v>366</v>
      </c>
      <c r="K1766" t="s">
        <v>3075</v>
      </c>
      <c r="L1766">
        <v>66</v>
      </c>
      <c r="M1766">
        <v>73</v>
      </c>
      <c r="N1766" s="2">
        <v>0.33</v>
      </c>
      <c r="O1766">
        <v>82</v>
      </c>
      <c r="P1766">
        <v>14.16</v>
      </c>
      <c r="Q1766">
        <v>3.54</v>
      </c>
      <c r="R1766">
        <v>81</v>
      </c>
    </row>
    <row r="1767" spans="1:19" x14ac:dyDescent="0.25">
      <c r="A1767" t="s">
        <v>3076</v>
      </c>
      <c r="B1767" s="1">
        <v>44458</v>
      </c>
      <c r="C1767" t="s">
        <v>22</v>
      </c>
      <c r="D1767" t="s">
        <v>259</v>
      </c>
      <c r="E1767" t="s">
        <v>24</v>
      </c>
      <c r="F1767" t="s">
        <v>243</v>
      </c>
      <c r="G1767">
        <v>45</v>
      </c>
      <c r="H1767" t="s">
        <v>188</v>
      </c>
      <c r="I1767" t="s">
        <v>254</v>
      </c>
      <c r="J1767" t="s">
        <v>1741</v>
      </c>
      <c r="K1767" t="s">
        <v>3077</v>
      </c>
      <c r="R1767">
        <v>148</v>
      </c>
    </row>
    <row r="1768" spans="1:19" x14ac:dyDescent="0.25">
      <c r="A1768" t="s">
        <v>3078</v>
      </c>
      <c r="B1768" s="1">
        <v>44458</v>
      </c>
      <c r="C1768" t="s">
        <v>1639</v>
      </c>
      <c r="D1768" t="s">
        <v>259</v>
      </c>
      <c r="E1768" t="s">
        <v>24</v>
      </c>
      <c r="F1768" t="s">
        <v>208</v>
      </c>
      <c r="G1768">
        <v>10</v>
      </c>
      <c r="H1768" t="s">
        <v>464</v>
      </c>
      <c r="I1768" t="s">
        <v>943</v>
      </c>
      <c r="J1768" t="s">
        <v>944</v>
      </c>
      <c r="K1768" t="s">
        <v>3079</v>
      </c>
    </row>
    <row r="1769" spans="1:19" x14ac:dyDescent="0.25">
      <c r="A1769" t="s">
        <v>3143</v>
      </c>
      <c r="B1769" s="1">
        <v>44465</v>
      </c>
      <c r="C1769" t="s">
        <v>1292</v>
      </c>
      <c r="D1769" t="s">
        <v>259</v>
      </c>
      <c r="E1769" t="s">
        <v>24</v>
      </c>
      <c r="F1769" t="s">
        <v>208</v>
      </c>
      <c r="G1769">
        <v>20</v>
      </c>
      <c r="H1769" t="s">
        <v>464</v>
      </c>
      <c r="I1769" t="s">
        <v>579</v>
      </c>
      <c r="J1769" t="s">
        <v>1399</v>
      </c>
      <c r="K1769" t="s">
        <v>3144</v>
      </c>
    </row>
    <row r="1770" spans="1:19" x14ac:dyDescent="0.25">
      <c r="A1770" t="s">
        <v>3219</v>
      </c>
      <c r="B1770" s="1">
        <v>44472</v>
      </c>
      <c r="C1770" t="s">
        <v>3220</v>
      </c>
      <c r="D1770" t="s">
        <v>259</v>
      </c>
      <c r="E1770" t="s">
        <v>24</v>
      </c>
      <c r="F1770" t="s">
        <v>459</v>
      </c>
      <c r="G1770">
        <v>20</v>
      </c>
      <c r="H1770" t="s">
        <v>464</v>
      </c>
      <c r="I1770" t="s">
        <v>763</v>
      </c>
      <c r="J1770" t="s">
        <v>2732</v>
      </c>
      <c r="K1770" t="s">
        <v>3178</v>
      </c>
    </row>
    <row r="1771" spans="1:19" x14ac:dyDescent="0.25">
      <c r="A1771" t="s">
        <v>3280</v>
      </c>
      <c r="B1771" s="1">
        <v>44479</v>
      </c>
      <c r="C1771" t="s">
        <v>3281</v>
      </c>
      <c r="D1771" t="s">
        <v>259</v>
      </c>
      <c r="E1771" t="s">
        <v>24</v>
      </c>
      <c r="F1771" t="s">
        <v>215</v>
      </c>
      <c r="G1771">
        <v>45</v>
      </c>
      <c r="H1771" t="s">
        <v>188</v>
      </c>
      <c r="I1771" t="s">
        <v>189</v>
      </c>
      <c r="J1771" t="s">
        <v>244</v>
      </c>
      <c r="K1771" t="s">
        <v>3282</v>
      </c>
      <c r="R1771">
        <v>154</v>
      </c>
    </row>
    <row r="1772" spans="1:19" x14ac:dyDescent="0.25">
      <c r="A1772" t="s">
        <v>3283</v>
      </c>
      <c r="B1772" s="1">
        <v>44479</v>
      </c>
      <c r="C1772" t="s">
        <v>154</v>
      </c>
      <c r="D1772" t="s">
        <v>259</v>
      </c>
      <c r="E1772" t="s">
        <v>24</v>
      </c>
      <c r="F1772" t="s">
        <v>554</v>
      </c>
      <c r="G1772">
        <v>10</v>
      </c>
      <c r="H1772" t="s">
        <v>49</v>
      </c>
      <c r="I1772" t="s">
        <v>1960</v>
      </c>
      <c r="J1772" t="s">
        <v>3284</v>
      </c>
      <c r="K1772" t="s">
        <v>3285</v>
      </c>
      <c r="R1772">
        <v>23</v>
      </c>
    </row>
    <row r="1773" spans="1:19" x14ac:dyDescent="0.25">
      <c r="A1773" t="s">
        <v>3286</v>
      </c>
      <c r="B1773" s="1">
        <v>44479</v>
      </c>
      <c r="C1773" t="s">
        <v>917</v>
      </c>
      <c r="D1773" t="s">
        <v>259</v>
      </c>
      <c r="E1773" t="s">
        <v>24</v>
      </c>
      <c r="F1773" t="s">
        <v>554</v>
      </c>
      <c r="G1773">
        <v>10</v>
      </c>
      <c r="H1773" t="s">
        <v>49</v>
      </c>
      <c r="I1773" t="s">
        <v>1960</v>
      </c>
      <c r="J1773" t="s">
        <v>3287</v>
      </c>
      <c r="K1773" t="s">
        <v>2862</v>
      </c>
      <c r="R1773">
        <v>46</v>
      </c>
    </row>
    <row r="1774" spans="1:19" x14ac:dyDescent="0.25">
      <c r="A1774" t="s">
        <v>3288</v>
      </c>
      <c r="B1774" s="1">
        <v>44479</v>
      </c>
      <c r="C1774" t="s">
        <v>612</v>
      </c>
      <c r="D1774" t="s">
        <v>259</v>
      </c>
      <c r="E1774" t="s">
        <v>24</v>
      </c>
      <c r="F1774" t="s">
        <v>554</v>
      </c>
      <c r="G1774">
        <v>10</v>
      </c>
      <c r="H1774" t="s">
        <v>49</v>
      </c>
      <c r="I1774" t="s">
        <v>1960</v>
      </c>
      <c r="J1774" t="s">
        <v>3289</v>
      </c>
      <c r="K1774" t="s">
        <v>2862</v>
      </c>
      <c r="R1774">
        <v>46</v>
      </c>
    </row>
    <row r="1775" spans="1:19" x14ac:dyDescent="0.25">
      <c r="A1775" t="s">
        <v>3290</v>
      </c>
      <c r="B1775" s="1">
        <v>44479</v>
      </c>
      <c r="C1775" t="s">
        <v>1784</v>
      </c>
      <c r="D1775" t="s">
        <v>259</v>
      </c>
      <c r="E1775" t="s">
        <v>24</v>
      </c>
      <c r="F1775" t="s">
        <v>459</v>
      </c>
      <c r="G1775">
        <v>10</v>
      </c>
      <c r="H1775" t="s">
        <v>464</v>
      </c>
      <c r="I1775" t="s">
        <v>103</v>
      </c>
      <c r="J1775" t="s">
        <v>3291</v>
      </c>
      <c r="K1775" t="s">
        <v>3292</v>
      </c>
    </row>
    <row r="1776" spans="1:19" x14ac:dyDescent="0.25">
      <c r="A1776" t="s">
        <v>3352</v>
      </c>
      <c r="B1776" s="1">
        <v>44486</v>
      </c>
      <c r="C1776" t="s">
        <v>3353</v>
      </c>
      <c r="D1776" t="s">
        <v>259</v>
      </c>
      <c r="E1776" t="s">
        <v>24</v>
      </c>
      <c r="F1776" t="s">
        <v>243</v>
      </c>
      <c r="G1776">
        <v>30</v>
      </c>
      <c r="H1776" t="s">
        <v>188</v>
      </c>
      <c r="I1776" t="s">
        <v>238</v>
      </c>
      <c r="J1776" t="s">
        <v>3354</v>
      </c>
      <c r="K1776" t="s">
        <v>3355</v>
      </c>
      <c r="R1776">
        <v>94</v>
      </c>
    </row>
    <row r="1777" spans="1:18" x14ac:dyDescent="0.25">
      <c r="A1777" t="s">
        <v>3356</v>
      </c>
      <c r="B1777" s="1">
        <v>44486</v>
      </c>
      <c r="C1777" t="s">
        <v>3357</v>
      </c>
      <c r="D1777" t="s">
        <v>259</v>
      </c>
      <c r="E1777" t="s">
        <v>24</v>
      </c>
      <c r="F1777" t="s">
        <v>323</v>
      </c>
      <c r="G1777">
        <v>75</v>
      </c>
      <c r="H1777" t="s">
        <v>26</v>
      </c>
      <c r="I1777" t="s">
        <v>370</v>
      </c>
      <c r="J1777" t="s">
        <v>1081</v>
      </c>
      <c r="K1777" t="s">
        <v>2721</v>
      </c>
      <c r="L1777">
        <v>466</v>
      </c>
      <c r="M1777">
        <v>104</v>
      </c>
      <c r="N1777" s="2">
        <v>0.38</v>
      </c>
      <c r="O1777">
        <v>83</v>
      </c>
      <c r="P1777">
        <v>16.39</v>
      </c>
      <c r="Q1777">
        <v>20.49</v>
      </c>
      <c r="R1777">
        <v>575</v>
      </c>
    </row>
    <row r="1778" spans="1:18" x14ac:dyDescent="0.25">
      <c r="A1778" t="s">
        <v>3358</v>
      </c>
      <c r="B1778" s="1">
        <v>44486</v>
      </c>
      <c r="C1778" t="s">
        <v>3359</v>
      </c>
      <c r="D1778" t="s">
        <v>259</v>
      </c>
      <c r="E1778" t="s">
        <v>24</v>
      </c>
      <c r="F1778" t="s">
        <v>323</v>
      </c>
      <c r="G1778">
        <v>5</v>
      </c>
      <c r="H1778" t="s">
        <v>49</v>
      </c>
      <c r="I1778" t="s">
        <v>50</v>
      </c>
      <c r="J1778" t="s">
        <v>51</v>
      </c>
      <c r="K1778" t="s">
        <v>2791</v>
      </c>
      <c r="R1778">
        <v>11</v>
      </c>
    </row>
    <row r="1779" spans="1:18" x14ac:dyDescent="0.25">
      <c r="A1779" t="s">
        <v>3360</v>
      </c>
      <c r="B1779" s="1">
        <v>44486</v>
      </c>
      <c r="C1779" t="s">
        <v>1819</v>
      </c>
      <c r="D1779" t="s">
        <v>259</v>
      </c>
      <c r="E1779" t="s">
        <v>24</v>
      </c>
      <c r="F1779" t="s">
        <v>459</v>
      </c>
      <c r="G1779">
        <v>5</v>
      </c>
      <c r="H1779" t="s">
        <v>464</v>
      </c>
      <c r="I1779" t="s">
        <v>943</v>
      </c>
      <c r="J1779" t="s">
        <v>2205</v>
      </c>
      <c r="K1779" t="s">
        <v>3325</v>
      </c>
    </row>
    <row r="1780" spans="1:18" x14ac:dyDescent="0.25">
      <c r="A1780" t="s">
        <v>3400</v>
      </c>
      <c r="B1780" s="1">
        <v>44493</v>
      </c>
      <c r="C1780" t="s">
        <v>3401</v>
      </c>
      <c r="D1780" t="s">
        <v>259</v>
      </c>
      <c r="E1780" t="s">
        <v>24</v>
      </c>
      <c r="F1780" t="s">
        <v>243</v>
      </c>
      <c r="G1780">
        <v>10</v>
      </c>
      <c r="H1780" t="s">
        <v>464</v>
      </c>
      <c r="I1780" t="s">
        <v>1617</v>
      </c>
      <c r="J1780" t="s">
        <v>1983</v>
      </c>
      <c r="K1780" t="s">
        <v>3402</v>
      </c>
    </row>
    <row r="1781" spans="1:18" x14ac:dyDescent="0.25">
      <c r="A1781" t="s">
        <v>3403</v>
      </c>
      <c r="B1781" s="1">
        <v>44493</v>
      </c>
      <c r="C1781" t="s">
        <v>1674</v>
      </c>
      <c r="D1781" t="s">
        <v>259</v>
      </c>
      <c r="E1781" t="s">
        <v>24</v>
      </c>
      <c r="F1781" t="s">
        <v>200</v>
      </c>
      <c r="G1781">
        <v>20</v>
      </c>
      <c r="H1781" t="s">
        <v>464</v>
      </c>
      <c r="I1781" t="s">
        <v>1617</v>
      </c>
      <c r="J1781" t="s">
        <v>1618</v>
      </c>
      <c r="K1781" t="s">
        <v>3270</v>
      </c>
    </row>
    <row r="1782" spans="1:18" x14ac:dyDescent="0.25">
      <c r="A1782" t="s">
        <v>3458</v>
      </c>
      <c r="B1782" s="1">
        <v>44500</v>
      </c>
      <c r="C1782" t="s">
        <v>1510</v>
      </c>
      <c r="D1782" t="s">
        <v>259</v>
      </c>
      <c r="E1782" t="s">
        <v>24</v>
      </c>
      <c r="F1782" t="s">
        <v>354</v>
      </c>
      <c r="G1782">
        <v>10</v>
      </c>
      <c r="H1782" t="s">
        <v>194</v>
      </c>
      <c r="I1782" t="s">
        <v>700</v>
      </c>
      <c r="J1782" t="s">
        <v>1282</v>
      </c>
      <c r="K1782" t="s">
        <v>3459</v>
      </c>
      <c r="R1782">
        <v>46</v>
      </c>
    </row>
    <row r="1783" spans="1:18" x14ac:dyDescent="0.25">
      <c r="A1783" t="s">
        <v>3460</v>
      </c>
      <c r="B1783" s="1">
        <v>44500</v>
      </c>
      <c r="C1783" t="s">
        <v>3461</v>
      </c>
      <c r="D1783" t="s">
        <v>259</v>
      </c>
      <c r="E1783" t="s">
        <v>24</v>
      </c>
      <c r="F1783" t="s">
        <v>2256</v>
      </c>
      <c r="G1783">
        <v>20</v>
      </c>
      <c r="H1783" t="s">
        <v>194</v>
      </c>
      <c r="I1783" t="s">
        <v>195</v>
      </c>
      <c r="J1783" t="s">
        <v>2247</v>
      </c>
      <c r="K1783" t="s">
        <v>3462</v>
      </c>
      <c r="R1783">
        <v>92</v>
      </c>
    </row>
    <row r="1784" spans="1:18" x14ac:dyDescent="0.25">
      <c r="A1784" t="s">
        <v>3463</v>
      </c>
      <c r="B1784" s="1">
        <v>44500</v>
      </c>
      <c r="C1784" t="s">
        <v>3464</v>
      </c>
      <c r="D1784" t="s">
        <v>259</v>
      </c>
      <c r="E1784" t="s">
        <v>24</v>
      </c>
      <c r="F1784" t="s">
        <v>200</v>
      </c>
      <c r="G1784">
        <v>10</v>
      </c>
      <c r="H1784" t="s">
        <v>464</v>
      </c>
      <c r="I1784" t="s">
        <v>103</v>
      </c>
      <c r="J1784" t="s">
        <v>964</v>
      </c>
      <c r="K1784" t="s">
        <v>3465</v>
      </c>
    </row>
    <row r="1785" spans="1:18" x14ac:dyDescent="0.25">
      <c r="A1785" t="s">
        <v>3508</v>
      </c>
      <c r="B1785" s="1">
        <v>44507</v>
      </c>
      <c r="C1785" t="s">
        <v>3509</v>
      </c>
      <c r="D1785" t="s">
        <v>259</v>
      </c>
      <c r="E1785" t="s">
        <v>24</v>
      </c>
      <c r="F1785" t="s">
        <v>243</v>
      </c>
      <c r="G1785">
        <v>30</v>
      </c>
      <c r="H1785" t="s">
        <v>188</v>
      </c>
      <c r="I1785" t="s">
        <v>189</v>
      </c>
      <c r="J1785" t="s">
        <v>3510</v>
      </c>
      <c r="K1785" t="s">
        <v>3511</v>
      </c>
      <c r="R1785">
        <v>95</v>
      </c>
    </row>
    <row r="1786" spans="1:18" x14ac:dyDescent="0.25">
      <c r="A1786" t="s">
        <v>3512</v>
      </c>
      <c r="B1786" s="1">
        <v>44507</v>
      </c>
      <c r="C1786" t="s">
        <v>1193</v>
      </c>
      <c r="D1786" t="s">
        <v>259</v>
      </c>
      <c r="E1786" t="s">
        <v>24</v>
      </c>
      <c r="F1786" t="s">
        <v>2256</v>
      </c>
      <c r="G1786">
        <v>10</v>
      </c>
      <c r="H1786" t="s">
        <v>194</v>
      </c>
      <c r="I1786" t="s">
        <v>195</v>
      </c>
      <c r="J1786" t="s">
        <v>211</v>
      </c>
      <c r="K1786" t="s">
        <v>3513</v>
      </c>
      <c r="R1786">
        <v>46</v>
      </c>
    </row>
    <row r="1787" spans="1:18" x14ac:dyDescent="0.25">
      <c r="A1787" t="s">
        <v>3514</v>
      </c>
      <c r="B1787" s="1">
        <v>44507</v>
      </c>
      <c r="C1787" t="s">
        <v>2888</v>
      </c>
      <c r="D1787" t="s">
        <v>259</v>
      </c>
      <c r="E1787" t="s">
        <v>24</v>
      </c>
      <c r="F1787" t="s">
        <v>215</v>
      </c>
      <c r="G1787">
        <v>10</v>
      </c>
      <c r="H1787" t="s">
        <v>464</v>
      </c>
      <c r="I1787" t="s">
        <v>763</v>
      </c>
      <c r="J1787" t="s">
        <v>914</v>
      </c>
      <c r="K1787" t="s">
        <v>3515</v>
      </c>
    </row>
    <row r="1788" spans="1:18" x14ac:dyDescent="0.25">
      <c r="A1788" t="s">
        <v>3603</v>
      </c>
      <c r="B1788" s="1">
        <v>44514</v>
      </c>
      <c r="C1788" t="s">
        <v>3604</v>
      </c>
      <c r="D1788" t="s">
        <v>259</v>
      </c>
      <c r="E1788" t="s">
        <v>24</v>
      </c>
      <c r="F1788" t="s">
        <v>215</v>
      </c>
      <c r="G1788">
        <v>20</v>
      </c>
      <c r="H1788" t="s">
        <v>188</v>
      </c>
      <c r="I1788" t="s">
        <v>238</v>
      </c>
      <c r="J1788" t="s">
        <v>2898</v>
      </c>
      <c r="K1788" t="s">
        <v>3605</v>
      </c>
      <c r="R1788">
        <v>65</v>
      </c>
    </row>
    <row r="1789" spans="1:18" x14ac:dyDescent="0.25">
      <c r="A1789" t="s">
        <v>3606</v>
      </c>
      <c r="B1789" s="1">
        <v>44514</v>
      </c>
      <c r="C1789" t="s">
        <v>2804</v>
      </c>
      <c r="D1789" t="s">
        <v>259</v>
      </c>
      <c r="E1789" t="s">
        <v>24</v>
      </c>
      <c r="F1789" t="s">
        <v>215</v>
      </c>
      <c r="G1789">
        <v>10</v>
      </c>
      <c r="H1789" t="s">
        <v>464</v>
      </c>
      <c r="I1789" t="s">
        <v>1617</v>
      </c>
      <c r="J1789" t="s">
        <v>3543</v>
      </c>
      <c r="K1789" t="s">
        <v>3607</v>
      </c>
    </row>
    <row r="1790" spans="1:18" x14ac:dyDescent="0.25">
      <c r="A1790" t="s">
        <v>3698</v>
      </c>
      <c r="B1790" s="1">
        <v>44521</v>
      </c>
      <c r="C1790" t="s">
        <v>3699</v>
      </c>
      <c r="D1790" t="s">
        <v>259</v>
      </c>
      <c r="E1790" t="s">
        <v>24</v>
      </c>
      <c r="F1790" t="s">
        <v>215</v>
      </c>
      <c r="G1790">
        <v>10</v>
      </c>
      <c r="H1790" t="s">
        <v>464</v>
      </c>
      <c r="I1790" t="s">
        <v>103</v>
      </c>
      <c r="J1790" t="s">
        <v>3441</v>
      </c>
      <c r="K1790" t="s">
        <v>3700</v>
      </c>
    </row>
    <row r="1791" spans="1:18" x14ac:dyDescent="0.25">
      <c r="A1791" t="s">
        <v>3701</v>
      </c>
      <c r="B1791" s="1">
        <v>44521</v>
      </c>
      <c r="C1791" t="s">
        <v>3702</v>
      </c>
      <c r="D1791" t="s">
        <v>259</v>
      </c>
      <c r="E1791" t="s">
        <v>24</v>
      </c>
      <c r="F1791" t="s">
        <v>323</v>
      </c>
      <c r="G1791">
        <v>30</v>
      </c>
      <c r="H1791" t="s">
        <v>26</v>
      </c>
      <c r="I1791" t="s">
        <v>370</v>
      </c>
      <c r="J1791" t="s">
        <v>3243</v>
      </c>
      <c r="K1791" t="s">
        <v>3703</v>
      </c>
      <c r="L1791">
        <v>170</v>
      </c>
      <c r="M1791">
        <v>94</v>
      </c>
      <c r="N1791" s="2">
        <v>0.35</v>
      </c>
      <c r="O1791">
        <v>88</v>
      </c>
      <c r="P1791">
        <v>15.63</v>
      </c>
      <c r="Q1791">
        <v>7.81</v>
      </c>
      <c r="R1791">
        <v>210</v>
      </c>
    </row>
    <row r="1792" spans="1:18" x14ac:dyDescent="0.25">
      <c r="A1792" t="s">
        <v>3704</v>
      </c>
      <c r="B1792" s="1">
        <v>44521</v>
      </c>
      <c r="C1792" t="s">
        <v>3705</v>
      </c>
      <c r="D1792" t="s">
        <v>259</v>
      </c>
      <c r="E1792" t="s">
        <v>24</v>
      </c>
      <c r="F1792" t="s">
        <v>323</v>
      </c>
      <c r="G1792">
        <v>5</v>
      </c>
      <c r="H1792" t="s">
        <v>49</v>
      </c>
      <c r="I1792" t="s">
        <v>50</v>
      </c>
      <c r="J1792" t="s">
        <v>51</v>
      </c>
      <c r="K1792" t="s">
        <v>3597</v>
      </c>
      <c r="R1792">
        <v>11</v>
      </c>
    </row>
    <row r="1793" spans="1:18" x14ac:dyDescent="0.25">
      <c r="A1793" t="s">
        <v>3706</v>
      </c>
      <c r="B1793" s="1">
        <v>44521</v>
      </c>
      <c r="C1793" t="s">
        <v>1043</v>
      </c>
      <c r="D1793" t="s">
        <v>259</v>
      </c>
      <c r="E1793" t="s">
        <v>24</v>
      </c>
      <c r="F1793" t="s">
        <v>180</v>
      </c>
      <c r="G1793">
        <v>10</v>
      </c>
      <c r="H1793" t="s">
        <v>194</v>
      </c>
      <c r="I1793" t="s">
        <v>195</v>
      </c>
      <c r="J1793" t="s">
        <v>211</v>
      </c>
      <c r="K1793" t="s">
        <v>3707</v>
      </c>
      <c r="R1793">
        <v>46</v>
      </c>
    </row>
    <row r="1794" spans="1:18" x14ac:dyDescent="0.25">
      <c r="A1794" t="s">
        <v>3708</v>
      </c>
      <c r="B1794" s="1">
        <v>44521</v>
      </c>
      <c r="C1794" t="s">
        <v>999</v>
      </c>
      <c r="D1794" t="s">
        <v>259</v>
      </c>
      <c r="E1794" t="s">
        <v>24</v>
      </c>
      <c r="F1794" t="s">
        <v>237</v>
      </c>
      <c r="G1794">
        <v>15</v>
      </c>
      <c r="H1794" t="s">
        <v>188</v>
      </c>
      <c r="I1794" t="s">
        <v>238</v>
      </c>
      <c r="J1794" t="s">
        <v>3709</v>
      </c>
      <c r="K1794" t="s">
        <v>3710</v>
      </c>
      <c r="R1794">
        <v>49</v>
      </c>
    </row>
    <row r="1795" spans="1:18" x14ac:dyDescent="0.25">
      <c r="A1795" t="s">
        <v>3711</v>
      </c>
      <c r="B1795" s="1">
        <v>44521</v>
      </c>
      <c r="C1795" t="s">
        <v>3712</v>
      </c>
      <c r="D1795" t="s">
        <v>259</v>
      </c>
      <c r="E1795" t="s">
        <v>24</v>
      </c>
      <c r="F1795" t="s">
        <v>2708</v>
      </c>
      <c r="G1795">
        <v>10</v>
      </c>
      <c r="H1795" t="s">
        <v>464</v>
      </c>
      <c r="I1795" t="s">
        <v>579</v>
      </c>
      <c r="J1795" t="s">
        <v>1975</v>
      </c>
      <c r="K1795" t="s">
        <v>3630</v>
      </c>
    </row>
    <row r="1796" spans="1:18" x14ac:dyDescent="0.25">
      <c r="A1796" t="s">
        <v>3867</v>
      </c>
      <c r="B1796" s="1">
        <v>44535</v>
      </c>
      <c r="C1796" t="s">
        <v>3580</v>
      </c>
      <c r="D1796" t="s">
        <v>259</v>
      </c>
      <c r="E1796" t="s">
        <v>24</v>
      </c>
      <c r="F1796" t="s">
        <v>895</v>
      </c>
      <c r="G1796">
        <v>5</v>
      </c>
      <c r="H1796" t="s">
        <v>194</v>
      </c>
      <c r="I1796" t="s">
        <v>423</v>
      </c>
      <c r="J1796" t="s">
        <v>424</v>
      </c>
      <c r="K1796" t="s">
        <v>3868</v>
      </c>
      <c r="R1796">
        <v>23</v>
      </c>
    </row>
    <row r="1797" spans="1:18" x14ac:dyDescent="0.25">
      <c r="A1797" t="s">
        <v>3869</v>
      </c>
      <c r="B1797" s="1">
        <v>44535</v>
      </c>
      <c r="C1797" t="s">
        <v>3870</v>
      </c>
      <c r="D1797" t="s">
        <v>259</v>
      </c>
      <c r="E1797" t="s">
        <v>24</v>
      </c>
      <c r="F1797" t="s">
        <v>660</v>
      </c>
      <c r="G1797">
        <v>10</v>
      </c>
      <c r="H1797" t="s">
        <v>26</v>
      </c>
      <c r="I1797" t="s">
        <v>423</v>
      </c>
      <c r="J1797" t="s">
        <v>3665</v>
      </c>
      <c r="K1797" t="s">
        <v>3871</v>
      </c>
      <c r="L1797">
        <v>45</v>
      </c>
      <c r="M1797">
        <v>75</v>
      </c>
      <c r="N1797" s="2">
        <v>0.32</v>
      </c>
      <c r="O1797">
        <v>87</v>
      </c>
      <c r="P1797">
        <v>14.28</v>
      </c>
      <c r="Q1797">
        <v>2.38</v>
      </c>
      <c r="R1797">
        <v>56</v>
      </c>
    </row>
    <row r="1798" spans="1:18" x14ac:dyDescent="0.25">
      <c r="A1798" t="s">
        <v>3872</v>
      </c>
      <c r="B1798" s="1">
        <v>44535</v>
      </c>
      <c r="C1798" t="s">
        <v>3873</v>
      </c>
      <c r="D1798" t="s">
        <v>259</v>
      </c>
      <c r="E1798" t="s">
        <v>24</v>
      </c>
      <c r="F1798" t="s">
        <v>33</v>
      </c>
      <c r="G1798">
        <v>60</v>
      </c>
      <c r="H1798" t="s">
        <v>26</v>
      </c>
      <c r="I1798" t="s">
        <v>884</v>
      </c>
      <c r="J1798" t="s">
        <v>1137</v>
      </c>
      <c r="K1798" t="s">
        <v>3874</v>
      </c>
      <c r="L1798">
        <v>361</v>
      </c>
      <c r="M1798">
        <v>100</v>
      </c>
      <c r="N1798" s="2">
        <v>0.41</v>
      </c>
      <c r="O1798">
        <v>74</v>
      </c>
      <c r="P1798">
        <v>16.04</v>
      </c>
      <c r="Q1798">
        <v>16.05</v>
      </c>
      <c r="R1798">
        <v>445</v>
      </c>
    </row>
    <row r="1799" spans="1:18" x14ac:dyDescent="0.25">
      <c r="A1799" t="s">
        <v>3875</v>
      </c>
      <c r="B1799" s="1">
        <v>44535</v>
      </c>
      <c r="C1799" t="s">
        <v>3876</v>
      </c>
      <c r="D1799" t="s">
        <v>259</v>
      </c>
      <c r="E1799" t="s">
        <v>24</v>
      </c>
      <c r="F1799" t="s">
        <v>33</v>
      </c>
      <c r="G1799">
        <v>10</v>
      </c>
      <c r="H1799" t="s">
        <v>26</v>
      </c>
      <c r="I1799" t="s">
        <v>358</v>
      </c>
      <c r="J1799" t="s">
        <v>3877</v>
      </c>
      <c r="K1799" t="s">
        <v>3878</v>
      </c>
      <c r="L1799">
        <v>33</v>
      </c>
      <c r="M1799">
        <v>55</v>
      </c>
      <c r="N1799" s="2">
        <v>0.3</v>
      </c>
      <c r="O1799">
        <v>79</v>
      </c>
      <c r="P1799">
        <v>12.54</v>
      </c>
      <c r="Q1799">
        <v>2.09</v>
      </c>
      <c r="R1799">
        <v>41</v>
      </c>
    </row>
    <row r="1800" spans="1:18" x14ac:dyDescent="0.25">
      <c r="A1800" t="s">
        <v>3879</v>
      </c>
      <c r="B1800" s="1">
        <v>44535</v>
      </c>
      <c r="C1800" t="s">
        <v>3880</v>
      </c>
      <c r="D1800" t="s">
        <v>259</v>
      </c>
      <c r="E1800" t="s">
        <v>24</v>
      </c>
      <c r="F1800" t="s">
        <v>180</v>
      </c>
      <c r="G1800">
        <v>10</v>
      </c>
      <c r="H1800" t="s">
        <v>194</v>
      </c>
      <c r="I1800" t="s">
        <v>195</v>
      </c>
      <c r="J1800" t="s">
        <v>211</v>
      </c>
      <c r="K1800" t="s">
        <v>3881</v>
      </c>
      <c r="R1800">
        <v>46</v>
      </c>
    </row>
    <row r="1801" spans="1:18" x14ac:dyDescent="0.25">
      <c r="A1801" t="s">
        <v>3882</v>
      </c>
      <c r="B1801" s="1">
        <v>44535</v>
      </c>
      <c r="C1801" t="s">
        <v>3883</v>
      </c>
      <c r="D1801" t="s">
        <v>259</v>
      </c>
      <c r="E1801" t="s">
        <v>24</v>
      </c>
      <c r="F1801" t="s">
        <v>459</v>
      </c>
      <c r="G1801">
        <v>10</v>
      </c>
      <c r="H1801" t="s">
        <v>188</v>
      </c>
      <c r="I1801" t="s">
        <v>238</v>
      </c>
      <c r="J1801" t="s">
        <v>674</v>
      </c>
      <c r="K1801" t="s">
        <v>3884</v>
      </c>
      <c r="R1801">
        <v>27</v>
      </c>
    </row>
    <row r="1802" spans="1:18" x14ac:dyDescent="0.25">
      <c r="A1802" t="s">
        <v>3885</v>
      </c>
      <c r="B1802" s="1">
        <v>44535</v>
      </c>
      <c r="C1802" t="s">
        <v>3886</v>
      </c>
      <c r="D1802" t="s">
        <v>259</v>
      </c>
      <c r="E1802" t="s">
        <v>24</v>
      </c>
      <c r="F1802" t="s">
        <v>200</v>
      </c>
      <c r="G1802">
        <v>20</v>
      </c>
      <c r="H1802" t="s">
        <v>464</v>
      </c>
      <c r="I1802" t="s">
        <v>763</v>
      </c>
      <c r="J1802" t="s">
        <v>1335</v>
      </c>
      <c r="K1802" t="s">
        <v>3887</v>
      </c>
    </row>
    <row r="1803" spans="1:18" x14ac:dyDescent="0.25">
      <c r="A1803" t="s">
        <v>3981</v>
      </c>
      <c r="B1803" s="1">
        <v>44542</v>
      </c>
      <c r="C1803" t="s">
        <v>3982</v>
      </c>
      <c r="D1803" t="s">
        <v>259</v>
      </c>
      <c r="E1803" t="s">
        <v>24</v>
      </c>
      <c r="F1803" t="s">
        <v>237</v>
      </c>
      <c r="G1803">
        <v>20</v>
      </c>
      <c r="H1803" t="s">
        <v>188</v>
      </c>
      <c r="I1803" t="s">
        <v>189</v>
      </c>
      <c r="J1803" t="s">
        <v>3983</v>
      </c>
      <c r="K1803" t="s">
        <v>3984</v>
      </c>
      <c r="R1803">
        <v>67</v>
      </c>
    </row>
    <row r="1804" spans="1:18" x14ac:dyDescent="0.25">
      <c r="A1804" t="s">
        <v>3985</v>
      </c>
      <c r="B1804" s="1">
        <v>44542</v>
      </c>
      <c r="C1804" t="s">
        <v>3353</v>
      </c>
      <c r="D1804" t="s">
        <v>259</v>
      </c>
      <c r="E1804" t="s">
        <v>24</v>
      </c>
      <c r="F1804" t="s">
        <v>180</v>
      </c>
      <c r="G1804">
        <v>10</v>
      </c>
      <c r="H1804" t="s">
        <v>194</v>
      </c>
      <c r="I1804" t="s">
        <v>195</v>
      </c>
      <c r="J1804" t="s">
        <v>211</v>
      </c>
      <c r="K1804" t="s">
        <v>265</v>
      </c>
      <c r="R1804">
        <v>46</v>
      </c>
    </row>
    <row r="1805" spans="1:18" x14ac:dyDescent="0.25">
      <c r="A1805" t="s">
        <v>3986</v>
      </c>
      <c r="B1805" s="1">
        <v>44542</v>
      </c>
      <c r="C1805" t="s">
        <v>3987</v>
      </c>
      <c r="D1805" t="s">
        <v>259</v>
      </c>
      <c r="E1805" t="s">
        <v>24</v>
      </c>
      <c r="F1805" t="s">
        <v>25</v>
      </c>
      <c r="G1805">
        <v>5</v>
      </c>
      <c r="H1805" t="s">
        <v>26</v>
      </c>
      <c r="I1805" t="s">
        <v>423</v>
      </c>
      <c r="J1805" t="s">
        <v>505</v>
      </c>
      <c r="K1805" t="s">
        <v>3674</v>
      </c>
      <c r="L1805">
        <v>23</v>
      </c>
      <c r="M1805">
        <v>77</v>
      </c>
      <c r="N1805" s="2">
        <v>0.34</v>
      </c>
      <c r="O1805">
        <v>80</v>
      </c>
      <c r="P1805">
        <v>13.96</v>
      </c>
      <c r="Q1805">
        <v>1.1599999999999999</v>
      </c>
      <c r="R1805">
        <v>29</v>
      </c>
    </row>
    <row r="1806" spans="1:18" x14ac:dyDescent="0.25">
      <c r="A1806" t="s">
        <v>3988</v>
      </c>
      <c r="B1806" s="1">
        <v>44542</v>
      </c>
      <c r="C1806" t="s">
        <v>3989</v>
      </c>
      <c r="D1806" t="s">
        <v>259</v>
      </c>
      <c r="E1806" t="s">
        <v>24</v>
      </c>
      <c r="F1806" t="s">
        <v>323</v>
      </c>
      <c r="G1806">
        <v>60</v>
      </c>
      <c r="H1806" t="s">
        <v>26</v>
      </c>
      <c r="I1806" t="s">
        <v>370</v>
      </c>
      <c r="J1806" t="s">
        <v>646</v>
      </c>
      <c r="K1806" t="s">
        <v>3990</v>
      </c>
      <c r="L1806">
        <v>403</v>
      </c>
      <c r="M1806">
        <v>112</v>
      </c>
      <c r="N1806" s="2">
        <v>0.39</v>
      </c>
      <c r="O1806">
        <v>85</v>
      </c>
      <c r="P1806">
        <v>16.829999999999998</v>
      </c>
      <c r="Q1806">
        <v>16.84</v>
      </c>
      <c r="R1806">
        <v>496</v>
      </c>
    </row>
    <row r="1807" spans="1:18" x14ac:dyDescent="0.25">
      <c r="A1807" t="s">
        <v>3991</v>
      </c>
      <c r="B1807" s="1">
        <v>44542</v>
      </c>
      <c r="C1807" t="s">
        <v>3992</v>
      </c>
      <c r="D1807" t="s">
        <v>259</v>
      </c>
      <c r="E1807" t="s">
        <v>24</v>
      </c>
      <c r="F1807" t="s">
        <v>323</v>
      </c>
      <c r="G1807">
        <v>5</v>
      </c>
      <c r="H1807" t="s">
        <v>26</v>
      </c>
      <c r="I1807" t="s">
        <v>358</v>
      </c>
      <c r="J1807" t="s">
        <v>359</v>
      </c>
      <c r="K1807" t="s">
        <v>3597</v>
      </c>
      <c r="L1807">
        <v>16</v>
      </c>
      <c r="M1807">
        <v>55</v>
      </c>
      <c r="N1807" s="2">
        <v>0.28999999999999998</v>
      </c>
      <c r="O1807">
        <v>81</v>
      </c>
      <c r="P1807">
        <v>12.52</v>
      </c>
      <c r="Q1807">
        <v>1.04</v>
      </c>
      <c r="R1807">
        <v>20</v>
      </c>
    </row>
    <row r="1808" spans="1:18" x14ac:dyDescent="0.25">
      <c r="A1808" t="s">
        <v>3993</v>
      </c>
      <c r="B1808" s="1">
        <v>44542</v>
      </c>
      <c r="C1808" t="s">
        <v>3994</v>
      </c>
      <c r="D1808" t="s">
        <v>259</v>
      </c>
      <c r="E1808" t="s">
        <v>24</v>
      </c>
      <c r="F1808" t="s">
        <v>323</v>
      </c>
      <c r="G1808">
        <v>5</v>
      </c>
      <c r="H1808" t="s">
        <v>49</v>
      </c>
      <c r="I1808" t="s">
        <v>50</v>
      </c>
      <c r="J1808" t="s">
        <v>51</v>
      </c>
      <c r="K1808" t="s">
        <v>3597</v>
      </c>
      <c r="R1808">
        <v>12</v>
      </c>
    </row>
    <row r="1809" spans="1:18" x14ac:dyDescent="0.25">
      <c r="A1809" t="s">
        <v>3995</v>
      </c>
      <c r="B1809" s="1">
        <v>44542</v>
      </c>
      <c r="C1809" t="s">
        <v>1784</v>
      </c>
      <c r="D1809" t="s">
        <v>259</v>
      </c>
      <c r="E1809" t="s">
        <v>24</v>
      </c>
      <c r="F1809" t="s">
        <v>208</v>
      </c>
      <c r="G1809">
        <v>15</v>
      </c>
      <c r="H1809" t="s">
        <v>464</v>
      </c>
      <c r="I1809" t="s">
        <v>763</v>
      </c>
      <c r="J1809" t="s">
        <v>2926</v>
      </c>
      <c r="K1809" t="s">
        <v>3996</v>
      </c>
    </row>
    <row r="1810" spans="1:18" x14ac:dyDescent="0.25">
      <c r="A1810" t="s">
        <v>4070</v>
      </c>
      <c r="B1810" s="1">
        <v>44549</v>
      </c>
      <c r="C1810" t="s">
        <v>4071</v>
      </c>
      <c r="D1810" t="s">
        <v>259</v>
      </c>
      <c r="E1810" t="s">
        <v>24</v>
      </c>
      <c r="F1810" t="s">
        <v>323</v>
      </c>
      <c r="G1810">
        <v>60</v>
      </c>
      <c r="H1810" t="s">
        <v>26</v>
      </c>
      <c r="I1810" t="s">
        <v>370</v>
      </c>
      <c r="J1810" t="s">
        <v>646</v>
      </c>
      <c r="K1810" t="s">
        <v>4072</v>
      </c>
      <c r="L1810">
        <v>363</v>
      </c>
      <c r="M1810">
        <v>101</v>
      </c>
      <c r="N1810" s="2">
        <v>0.36</v>
      </c>
      <c r="O1810">
        <v>86</v>
      </c>
      <c r="P1810">
        <v>15.8</v>
      </c>
      <c r="Q1810">
        <v>15.79</v>
      </c>
      <c r="R1810">
        <v>447</v>
      </c>
    </row>
    <row r="1811" spans="1:18" x14ac:dyDescent="0.25">
      <c r="A1811" t="s">
        <v>4073</v>
      </c>
      <c r="B1811" s="1">
        <v>44549</v>
      </c>
      <c r="C1811" t="s">
        <v>4074</v>
      </c>
      <c r="D1811" t="s">
        <v>259</v>
      </c>
      <c r="E1811" t="s">
        <v>24</v>
      </c>
      <c r="F1811" t="s">
        <v>323</v>
      </c>
      <c r="G1811">
        <v>5</v>
      </c>
      <c r="H1811" t="s">
        <v>26</v>
      </c>
      <c r="I1811" t="s">
        <v>358</v>
      </c>
      <c r="J1811" t="s">
        <v>359</v>
      </c>
      <c r="K1811" t="s">
        <v>3597</v>
      </c>
      <c r="L1811">
        <v>14</v>
      </c>
      <c r="M1811">
        <v>46</v>
      </c>
      <c r="N1811" s="2">
        <v>0.26</v>
      </c>
      <c r="O1811">
        <v>84</v>
      </c>
      <c r="P1811">
        <v>11.44</v>
      </c>
      <c r="Q1811">
        <v>0.95</v>
      </c>
      <c r="R1811">
        <v>17</v>
      </c>
    </row>
    <row r="1812" spans="1:18" x14ac:dyDescent="0.25">
      <c r="A1812" t="s">
        <v>4075</v>
      </c>
      <c r="B1812" s="1">
        <v>44549</v>
      </c>
      <c r="C1812" t="s">
        <v>4076</v>
      </c>
      <c r="D1812" t="s">
        <v>259</v>
      </c>
      <c r="E1812" t="s">
        <v>24</v>
      </c>
      <c r="F1812" t="s">
        <v>297</v>
      </c>
      <c r="G1812">
        <v>5</v>
      </c>
      <c r="H1812" t="s">
        <v>194</v>
      </c>
      <c r="I1812" t="s">
        <v>195</v>
      </c>
      <c r="J1812" t="s">
        <v>196</v>
      </c>
      <c r="K1812" t="s">
        <v>4077</v>
      </c>
      <c r="R1812">
        <v>23</v>
      </c>
    </row>
    <row r="1813" spans="1:18" x14ac:dyDescent="0.25">
      <c r="A1813" t="s">
        <v>4078</v>
      </c>
      <c r="B1813" s="1">
        <v>44549</v>
      </c>
      <c r="C1813" t="s">
        <v>4079</v>
      </c>
      <c r="D1813" t="s">
        <v>259</v>
      </c>
      <c r="E1813" t="s">
        <v>24</v>
      </c>
      <c r="F1813" t="s">
        <v>590</v>
      </c>
      <c r="G1813">
        <v>5</v>
      </c>
      <c r="H1813" t="s">
        <v>49</v>
      </c>
      <c r="I1813" t="s">
        <v>50</v>
      </c>
      <c r="J1813" t="s">
        <v>51</v>
      </c>
      <c r="K1813" t="s">
        <v>4080</v>
      </c>
      <c r="R1813">
        <v>11</v>
      </c>
    </row>
    <row r="1814" spans="1:18" x14ac:dyDescent="0.25">
      <c r="A1814" t="s">
        <v>4081</v>
      </c>
      <c r="B1814" s="1">
        <v>44549</v>
      </c>
      <c r="C1814" t="s">
        <v>1292</v>
      </c>
      <c r="D1814" t="s">
        <v>259</v>
      </c>
      <c r="E1814" t="s">
        <v>24</v>
      </c>
      <c r="F1814" t="s">
        <v>459</v>
      </c>
      <c r="G1814">
        <v>10</v>
      </c>
      <c r="H1814" t="s">
        <v>464</v>
      </c>
      <c r="I1814" t="s">
        <v>943</v>
      </c>
      <c r="J1814" t="s">
        <v>944</v>
      </c>
      <c r="K1814" t="s">
        <v>2514</v>
      </c>
    </row>
    <row r="1815" spans="1:18" x14ac:dyDescent="0.25">
      <c r="A1815" t="s">
        <v>4159</v>
      </c>
      <c r="B1815" s="1">
        <v>44556</v>
      </c>
      <c r="C1815" t="s">
        <v>4160</v>
      </c>
      <c r="D1815" t="s">
        <v>259</v>
      </c>
      <c r="E1815" t="s">
        <v>24</v>
      </c>
      <c r="F1815" t="s">
        <v>243</v>
      </c>
      <c r="G1815">
        <v>45</v>
      </c>
      <c r="H1815" t="s">
        <v>26</v>
      </c>
      <c r="I1815" t="s">
        <v>370</v>
      </c>
      <c r="J1815" t="s">
        <v>479</v>
      </c>
      <c r="K1815" t="s">
        <v>1059</v>
      </c>
      <c r="L1815">
        <v>282</v>
      </c>
      <c r="M1815">
        <v>104</v>
      </c>
      <c r="N1815" s="2">
        <v>0.38</v>
      </c>
      <c r="O1815">
        <v>84</v>
      </c>
      <c r="P1815">
        <v>16.3</v>
      </c>
      <c r="Q1815">
        <v>12.23</v>
      </c>
      <c r="R1815">
        <v>348</v>
      </c>
    </row>
    <row r="1816" spans="1:18" x14ac:dyDescent="0.25">
      <c r="A1816" t="s">
        <v>4161</v>
      </c>
      <c r="B1816" s="1">
        <v>44556</v>
      </c>
      <c r="C1816" t="s">
        <v>4162</v>
      </c>
      <c r="D1816" t="s">
        <v>259</v>
      </c>
      <c r="E1816" t="s">
        <v>24</v>
      </c>
      <c r="F1816" t="s">
        <v>323</v>
      </c>
      <c r="G1816">
        <v>20</v>
      </c>
      <c r="H1816" t="s">
        <v>26</v>
      </c>
      <c r="I1816" t="s">
        <v>39</v>
      </c>
      <c r="J1816" t="s">
        <v>2657</v>
      </c>
      <c r="K1816" t="s">
        <v>4163</v>
      </c>
      <c r="L1816">
        <v>78</v>
      </c>
      <c r="M1816">
        <v>65</v>
      </c>
      <c r="N1816" s="2">
        <v>0.28999999999999998</v>
      </c>
      <c r="O1816">
        <v>91</v>
      </c>
      <c r="P1816">
        <v>13.42</v>
      </c>
      <c r="Q1816">
        <v>4.47</v>
      </c>
      <c r="R1816">
        <v>97</v>
      </c>
    </row>
    <row r="1817" spans="1:18" x14ac:dyDescent="0.25">
      <c r="A1817" t="s">
        <v>4164</v>
      </c>
      <c r="B1817" s="1">
        <v>44556</v>
      </c>
      <c r="C1817" t="s">
        <v>3769</v>
      </c>
      <c r="D1817" t="s">
        <v>259</v>
      </c>
      <c r="E1817" t="s">
        <v>24</v>
      </c>
      <c r="F1817" t="s">
        <v>323</v>
      </c>
      <c r="G1817">
        <v>5</v>
      </c>
      <c r="H1817" t="s">
        <v>49</v>
      </c>
      <c r="I1817" t="s">
        <v>50</v>
      </c>
      <c r="J1817" t="s">
        <v>51</v>
      </c>
      <c r="K1817" t="s">
        <v>3597</v>
      </c>
      <c r="R1817">
        <v>12</v>
      </c>
    </row>
    <row r="1818" spans="1:18" x14ac:dyDescent="0.25">
      <c r="A1818" t="s">
        <v>4165</v>
      </c>
      <c r="B1818" s="1">
        <v>44556</v>
      </c>
      <c r="C1818" t="s">
        <v>1298</v>
      </c>
      <c r="D1818" t="s">
        <v>259</v>
      </c>
      <c r="E1818" t="s">
        <v>24</v>
      </c>
      <c r="F1818" t="s">
        <v>215</v>
      </c>
      <c r="G1818">
        <v>5</v>
      </c>
      <c r="H1818" t="s">
        <v>464</v>
      </c>
      <c r="I1818" t="s">
        <v>943</v>
      </c>
      <c r="J1818" t="s">
        <v>2205</v>
      </c>
      <c r="K1818" t="s">
        <v>4166</v>
      </c>
    </row>
    <row r="1819" spans="1:18" x14ac:dyDescent="0.25">
      <c r="A1819" t="s">
        <v>4253</v>
      </c>
      <c r="B1819" s="1">
        <v>44563</v>
      </c>
      <c r="C1819" t="s">
        <v>4254</v>
      </c>
      <c r="D1819" t="s">
        <v>259</v>
      </c>
      <c r="E1819" t="s">
        <v>24</v>
      </c>
      <c r="F1819" t="s">
        <v>237</v>
      </c>
      <c r="G1819">
        <v>10</v>
      </c>
      <c r="H1819" t="s">
        <v>188</v>
      </c>
      <c r="I1819" t="s">
        <v>238</v>
      </c>
      <c r="J1819" t="s">
        <v>731</v>
      </c>
      <c r="K1819" t="s">
        <v>4255</v>
      </c>
      <c r="R1819">
        <v>31</v>
      </c>
    </row>
    <row r="1820" spans="1:18" x14ac:dyDescent="0.25">
      <c r="A1820" t="s">
        <v>4256</v>
      </c>
      <c r="B1820" s="1">
        <v>44563</v>
      </c>
      <c r="C1820" t="s">
        <v>4257</v>
      </c>
      <c r="D1820" t="s">
        <v>259</v>
      </c>
      <c r="E1820" t="s">
        <v>24</v>
      </c>
      <c r="F1820" t="s">
        <v>323</v>
      </c>
      <c r="G1820">
        <v>15</v>
      </c>
      <c r="H1820" t="s">
        <v>26</v>
      </c>
      <c r="I1820" t="s">
        <v>370</v>
      </c>
      <c r="J1820" t="s">
        <v>531</v>
      </c>
      <c r="K1820" t="s">
        <v>4258</v>
      </c>
      <c r="L1820">
        <v>81</v>
      </c>
      <c r="M1820">
        <v>90</v>
      </c>
      <c r="N1820" s="2">
        <v>0.33</v>
      </c>
      <c r="O1820">
        <v>92</v>
      </c>
      <c r="P1820">
        <v>15.21</v>
      </c>
      <c r="Q1820">
        <v>3.8</v>
      </c>
      <c r="R1820">
        <v>100</v>
      </c>
    </row>
    <row r="1821" spans="1:18" x14ac:dyDescent="0.25">
      <c r="A1821" t="s">
        <v>4259</v>
      </c>
      <c r="B1821" s="1">
        <v>44563</v>
      </c>
      <c r="C1821" t="s">
        <v>4162</v>
      </c>
      <c r="D1821" t="s">
        <v>259</v>
      </c>
      <c r="E1821" t="s">
        <v>24</v>
      </c>
      <c r="F1821" t="s">
        <v>323</v>
      </c>
      <c r="G1821">
        <v>20</v>
      </c>
      <c r="H1821" t="s">
        <v>26</v>
      </c>
      <c r="I1821" t="s">
        <v>370</v>
      </c>
      <c r="J1821" t="s">
        <v>385</v>
      </c>
      <c r="K1821" t="s">
        <v>4260</v>
      </c>
      <c r="L1821">
        <v>173</v>
      </c>
      <c r="M1821">
        <v>143</v>
      </c>
      <c r="N1821" s="2">
        <v>0.43</v>
      </c>
      <c r="O1821">
        <v>85</v>
      </c>
      <c r="P1821">
        <v>18.690000000000001</v>
      </c>
      <c r="Q1821">
        <v>6.21</v>
      </c>
      <c r="R1821">
        <v>213</v>
      </c>
    </row>
    <row r="1822" spans="1:18" x14ac:dyDescent="0.25">
      <c r="A1822" t="s">
        <v>4261</v>
      </c>
      <c r="B1822" s="1">
        <v>44563</v>
      </c>
      <c r="C1822" t="s">
        <v>4262</v>
      </c>
      <c r="D1822" t="s">
        <v>259</v>
      </c>
      <c r="E1822" t="s">
        <v>24</v>
      </c>
      <c r="F1822" t="s">
        <v>335</v>
      </c>
      <c r="G1822">
        <v>15</v>
      </c>
      <c r="H1822" t="s">
        <v>26</v>
      </c>
      <c r="I1822" t="s">
        <v>358</v>
      </c>
      <c r="J1822" t="s">
        <v>4263</v>
      </c>
      <c r="K1822" t="s">
        <v>4264</v>
      </c>
      <c r="L1822">
        <v>54</v>
      </c>
      <c r="M1822">
        <v>60</v>
      </c>
      <c r="N1822" s="2">
        <v>0.3</v>
      </c>
      <c r="O1822">
        <v>82</v>
      </c>
      <c r="P1822">
        <v>12.85</v>
      </c>
      <c r="Q1822">
        <v>3.22</v>
      </c>
      <c r="R1822">
        <v>66</v>
      </c>
    </row>
    <row r="1823" spans="1:18" x14ac:dyDescent="0.25">
      <c r="A1823" t="s">
        <v>4265</v>
      </c>
      <c r="B1823" s="1">
        <v>44563</v>
      </c>
      <c r="C1823" t="s">
        <v>4266</v>
      </c>
      <c r="D1823" t="s">
        <v>259</v>
      </c>
      <c r="E1823" t="s">
        <v>24</v>
      </c>
      <c r="F1823" t="s">
        <v>200</v>
      </c>
      <c r="G1823">
        <v>10</v>
      </c>
      <c r="H1823" t="s">
        <v>188</v>
      </c>
      <c r="I1823" t="s">
        <v>238</v>
      </c>
      <c r="J1823" t="s">
        <v>4189</v>
      </c>
      <c r="K1823" t="s">
        <v>4267</v>
      </c>
      <c r="R1823">
        <v>33</v>
      </c>
    </row>
    <row r="1824" spans="1:18" x14ac:dyDescent="0.25">
      <c r="A1824" t="s">
        <v>4268</v>
      </c>
      <c r="B1824" s="1">
        <v>44563</v>
      </c>
      <c r="C1824" t="s">
        <v>553</v>
      </c>
      <c r="D1824" t="s">
        <v>259</v>
      </c>
      <c r="E1824" t="s">
        <v>24</v>
      </c>
      <c r="F1824" t="s">
        <v>208</v>
      </c>
      <c r="G1824">
        <v>20</v>
      </c>
      <c r="H1824" t="s">
        <v>188</v>
      </c>
      <c r="I1824" t="s">
        <v>238</v>
      </c>
      <c r="J1824" t="s">
        <v>796</v>
      </c>
      <c r="K1824" t="s">
        <v>4269</v>
      </c>
      <c r="R1824">
        <v>59</v>
      </c>
    </row>
    <row r="1825" spans="1:19" x14ac:dyDescent="0.25">
      <c r="A1825" t="s">
        <v>4270</v>
      </c>
      <c r="B1825" s="1">
        <v>44563</v>
      </c>
      <c r="C1825" t="s">
        <v>1588</v>
      </c>
      <c r="D1825" t="s">
        <v>259</v>
      </c>
      <c r="E1825" t="s">
        <v>24</v>
      </c>
      <c r="F1825" t="s">
        <v>459</v>
      </c>
      <c r="G1825">
        <v>15</v>
      </c>
      <c r="H1825" t="s">
        <v>464</v>
      </c>
      <c r="I1825" t="s">
        <v>579</v>
      </c>
      <c r="J1825" t="s">
        <v>4098</v>
      </c>
      <c r="K1825" t="s">
        <v>4139</v>
      </c>
    </row>
    <row r="1826" spans="1:19" x14ac:dyDescent="0.25">
      <c r="A1826" t="s">
        <v>4354</v>
      </c>
      <c r="B1826" s="1">
        <v>44570</v>
      </c>
      <c r="C1826" t="s">
        <v>4355</v>
      </c>
      <c r="D1826" t="s">
        <v>259</v>
      </c>
      <c r="E1826" t="s">
        <v>24</v>
      </c>
      <c r="F1826" t="s">
        <v>237</v>
      </c>
      <c r="G1826">
        <v>20</v>
      </c>
      <c r="H1826" t="s">
        <v>188</v>
      </c>
      <c r="I1826" t="s">
        <v>238</v>
      </c>
      <c r="J1826" t="s">
        <v>2898</v>
      </c>
      <c r="K1826" t="s">
        <v>4356</v>
      </c>
      <c r="R1826">
        <v>64</v>
      </c>
    </row>
    <row r="1827" spans="1:19" x14ac:dyDescent="0.25">
      <c r="A1827" t="s">
        <v>4357</v>
      </c>
      <c r="B1827" s="1">
        <v>44570</v>
      </c>
      <c r="C1827" t="s">
        <v>302</v>
      </c>
      <c r="D1827" t="s">
        <v>259</v>
      </c>
      <c r="E1827" t="s">
        <v>24</v>
      </c>
      <c r="F1827" t="s">
        <v>2708</v>
      </c>
      <c r="G1827">
        <v>15</v>
      </c>
      <c r="H1827" t="s">
        <v>188</v>
      </c>
      <c r="I1827" t="s">
        <v>238</v>
      </c>
      <c r="J1827" t="s">
        <v>4358</v>
      </c>
      <c r="K1827" t="s">
        <v>4359</v>
      </c>
      <c r="R1827">
        <v>51</v>
      </c>
    </row>
    <row r="1828" spans="1:19" x14ac:dyDescent="0.25">
      <c r="A1828" t="s">
        <v>4360</v>
      </c>
      <c r="B1828" s="1">
        <v>44570</v>
      </c>
      <c r="C1828" t="s">
        <v>740</v>
      </c>
      <c r="D1828" t="s">
        <v>259</v>
      </c>
      <c r="E1828" t="s">
        <v>24</v>
      </c>
      <c r="F1828" t="s">
        <v>237</v>
      </c>
      <c r="G1828">
        <v>10</v>
      </c>
      <c r="H1828" t="s">
        <v>188</v>
      </c>
      <c r="I1828" t="s">
        <v>238</v>
      </c>
      <c r="J1828" t="s">
        <v>674</v>
      </c>
      <c r="K1828" t="s">
        <v>4361</v>
      </c>
      <c r="R1828">
        <v>35</v>
      </c>
    </row>
    <row r="1829" spans="1:19" x14ac:dyDescent="0.25">
      <c r="A1829" t="s">
        <v>4362</v>
      </c>
      <c r="B1829" s="1">
        <v>44570</v>
      </c>
      <c r="C1829" t="s">
        <v>4363</v>
      </c>
      <c r="D1829" t="s">
        <v>259</v>
      </c>
      <c r="E1829" t="s">
        <v>24</v>
      </c>
      <c r="F1829" t="s">
        <v>215</v>
      </c>
      <c r="G1829">
        <v>10</v>
      </c>
      <c r="H1829" t="s">
        <v>188</v>
      </c>
      <c r="I1829" t="s">
        <v>238</v>
      </c>
      <c r="J1829" t="s">
        <v>674</v>
      </c>
      <c r="K1829" t="s">
        <v>4364</v>
      </c>
      <c r="R1829">
        <v>34</v>
      </c>
    </row>
    <row r="1830" spans="1:19" x14ac:dyDescent="0.25">
      <c r="A1830" t="s">
        <v>4365</v>
      </c>
      <c r="B1830" s="1">
        <v>44570</v>
      </c>
      <c r="C1830" t="s">
        <v>4366</v>
      </c>
      <c r="D1830" t="s">
        <v>259</v>
      </c>
      <c r="E1830" t="s">
        <v>24</v>
      </c>
      <c r="F1830" t="s">
        <v>243</v>
      </c>
      <c r="G1830">
        <v>10</v>
      </c>
      <c r="H1830" t="s">
        <v>188</v>
      </c>
      <c r="I1830" t="s">
        <v>1088</v>
      </c>
      <c r="J1830" t="s">
        <v>1093</v>
      </c>
      <c r="K1830" t="s">
        <v>4367</v>
      </c>
      <c r="R1830">
        <v>18</v>
      </c>
    </row>
    <row r="1831" spans="1:19" x14ac:dyDescent="0.25">
      <c r="A1831" t="s">
        <v>4368</v>
      </c>
      <c r="B1831" s="1">
        <v>44570</v>
      </c>
      <c r="C1831" t="s">
        <v>4369</v>
      </c>
      <c r="D1831" t="s">
        <v>259</v>
      </c>
      <c r="E1831" t="s">
        <v>24</v>
      </c>
      <c r="F1831" t="s">
        <v>459</v>
      </c>
      <c r="G1831">
        <v>10</v>
      </c>
      <c r="H1831" t="s">
        <v>464</v>
      </c>
      <c r="I1831" t="s">
        <v>763</v>
      </c>
      <c r="J1831" t="s">
        <v>764</v>
      </c>
      <c r="K1831" t="s">
        <v>4370</v>
      </c>
    </row>
    <row r="1832" spans="1:19" x14ac:dyDescent="0.25">
      <c r="A1832" t="s">
        <v>4442</v>
      </c>
      <c r="B1832" s="1">
        <v>44577</v>
      </c>
      <c r="C1832" t="s">
        <v>438</v>
      </c>
      <c r="D1832" t="s">
        <v>259</v>
      </c>
      <c r="E1832" t="s">
        <v>24</v>
      </c>
      <c r="F1832" t="s">
        <v>215</v>
      </c>
      <c r="G1832">
        <v>60</v>
      </c>
      <c r="H1832" t="s">
        <v>188</v>
      </c>
      <c r="I1832" t="s">
        <v>189</v>
      </c>
      <c r="J1832" t="s">
        <v>216</v>
      </c>
      <c r="K1832" t="s">
        <v>4443</v>
      </c>
      <c r="R1832">
        <v>200</v>
      </c>
    </row>
    <row r="1833" spans="1:19" x14ac:dyDescent="0.25">
      <c r="A1833" t="s">
        <v>4444</v>
      </c>
      <c r="B1833" s="1">
        <v>44577</v>
      </c>
      <c r="C1833" t="s">
        <v>199</v>
      </c>
      <c r="D1833" t="s">
        <v>259</v>
      </c>
      <c r="E1833" t="s">
        <v>24</v>
      </c>
      <c r="F1833" t="s">
        <v>200</v>
      </c>
      <c r="G1833">
        <v>20</v>
      </c>
      <c r="H1833" t="s">
        <v>188</v>
      </c>
      <c r="I1833" t="s">
        <v>238</v>
      </c>
      <c r="J1833" t="s">
        <v>796</v>
      </c>
      <c r="K1833" t="s">
        <v>4445</v>
      </c>
      <c r="R1833">
        <v>58</v>
      </c>
    </row>
    <row r="1834" spans="1:19" x14ac:dyDescent="0.25">
      <c r="A1834" t="s">
        <v>4446</v>
      </c>
      <c r="B1834" s="1">
        <v>44577</v>
      </c>
      <c r="C1834" t="s">
        <v>4447</v>
      </c>
      <c r="D1834" t="s">
        <v>259</v>
      </c>
      <c r="E1834" t="s">
        <v>24</v>
      </c>
      <c r="F1834" t="s">
        <v>554</v>
      </c>
      <c r="G1834">
        <v>10</v>
      </c>
      <c r="H1834" t="s">
        <v>49</v>
      </c>
      <c r="I1834" t="s">
        <v>1960</v>
      </c>
      <c r="J1834" t="s">
        <v>4448</v>
      </c>
      <c r="K1834" t="s">
        <v>4449</v>
      </c>
      <c r="R1834">
        <v>23</v>
      </c>
    </row>
    <row r="1835" spans="1:19" x14ac:dyDescent="0.25">
      <c r="A1835" t="s">
        <v>4450</v>
      </c>
      <c r="B1835" s="1">
        <v>44577</v>
      </c>
      <c r="C1835" t="s">
        <v>574</v>
      </c>
      <c r="D1835" t="s">
        <v>259</v>
      </c>
      <c r="E1835" t="s">
        <v>24</v>
      </c>
      <c r="F1835" t="s">
        <v>554</v>
      </c>
      <c r="G1835">
        <v>10</v>
      </c>
      <c r="H1835" t="s">
        <v>49</v>
      </c>
      <c r="I1835" t="s">
        <v>1960</v>
      </c>
      <c r="J1835" t="s">
        <v>4451</v>
      </c>
      <c r="K1835" t="s">
        <v>4452</v>
      </c>
      <c r="R1835">
        <v>23</v>
      </c>
    </row>
    <row r="1836" spans="1:19" x14ac:dyDescent="0.25">
      <c r="A1836" t="s">
        <v>4453</v>
      </c>
      <c r="B1836" s="1">
        <v>44577</v>
      </c>
      <c r="C1836" t="s">
        <v>1658</v>
      </c>
      <c r="D1836" t="s">
        <v>259</v>
      </c>
      <c r="E1836" t="s">
        <v>24</v>
      </c>
      <c r="F1836" t="s">
        <v>215</v>
      </c>
      <c r="G1836">
        <v>20</v>
      </c>
      <c r="H1836" t="s">
        <v>464</v>
      </c>
      <c r="I1836" t="s">
        <v>943</v>
      </c>
      <c r="J1836" t="s">
        <v>1347</v>
      </c>
      <c r="K1836" t="s">
        <v>4454</v>
      </c>
    </row>
    <row r="1837" spans="1:19" x14ac:dyDescent="0.25">
      <c r="A1837" t="s">
        <v>4530</v>
      </c>
      <c r="B1837" s="1">
        <v>44584</v>
      </c>
      <c r="C1837" t="s">
        <v>645</v>
      </c>
      <c r="D1837" t="s">
        <v>259</v>
      </c>
      <c r="E1837" t="s">
        <v>24</v>
      </c>
      <c r="F1837" t="s">
        <v>215</v>
      </c>
      <c r="G1837">
        <v>10</v>
      </c>
      <c r="H1837" t="s">
        <v>464</v>
      </c>
      <c r="I1837" t="s">
        <v>579</v>
      </c>
      <c r="J1837" t="s">
        <v>602</v>
      </c>
      <c r="K1837" t="s">
        <v>4531</v>
      </c>
      <c r="S1837">
        <v>67.209999999999994</v>
      </c>
    </row>
    <row r="1838" spans="1:19" x14ac:dyDescent="0.25">
      <c r="A1838" t="s">
        <v>4532</v>
      </c>
      <c r="B1838" s="1">
        <v>44584</v>
      </c>
      <c r="C1838" t="s">
        <v>1288</v>
      </c>
      <c r="D1838" t="s">
        <v>259</v>
      </c>
      <c r="E1838" t="s">
        <v>24</v>
      </c>
      <c r="F1838" t="s">
        <v>243</v>
      </c>
      <c r="G1838">
        <v>45</v>
      </c>
      <c r="H1838" t="s">
        <v>188</v>
      </c>
      <c r="I1838" t="s">
        <v>254</v>
      </c>
      <c r="J1838" t="s">
        <v>1741</v>
      </c>
      <c r="K1838" t="s">
        <v>4533</v>
      </c>
      <c r="R1838">
        <v>142</v>
      </c>
    </row>
    <row r="1839" spans="1:19" x14ac:dyDescent="0.25">
      <c r="A1839" t="s">
        <v>4534</v>
      </c>
      <c r="B1839" s="1">
        <v>44584</v>
      </c>
      <c r="C1839" t="s">
        <v>4535</v>
      </c>
      <c r="D1839" t="s">
        <v>259</v>
      </c>
      <c r="E1839" t="s">
        <v>24</v>
      </c>
      <c r="F1839" t="s">
        <v>200</v>
      </c>
      <c r="G1839">
        <v>20</v>
      </c>
      <c r="H1839" t="s">
        <v>464</v>
      </c>
      <c r="I1839" t="s">
        <v>579</v>
      </c>
      <c r="J1839" t="s">
        <v>1553</v>
      </c>
      <c r="K1839" t="s">
        <v>4536</v>
      </c>
    </row>
    <row r="1840" spans="1:19" x14ac:dyDescent="0.25">
      <c r="A1840" t="s">
        <v>4611</v>
      </c>
      <c r="B1840" s="1">
        <v>44591</v>
      </c>
      <c r="C1840" t="s">
        <v>3971</v>
      </c>
      <c r="D1840" t="s">
        <v>259</v>
      </c>
      <c r="E1840" t="s">
        <v>24</v>
      </c>
      <c r="F1840" t="s">
        <v>180</v>
      </c>
      <c r="G1840">
        <v>5</v>
      </c>
      <c r="H1840" t="s">
        <v>194</v>
      </c>
      <c r="I1840" t="s">
        <v>195</v>
      </c>
      <c r="J1840" t="s">
        <v>196</v>
      </c>
      <c r="K1840" t="s">
        <v>4524</v>
      </c>
      <c r="R1840">
        <v>23</v>
      </c>
    </row>
    <row r="1841" spans="1:18" x14ac:dyDescent="0.25">
      <c r="A1841" t="s">
        <v>4612</v>
      </c>
      <c r="B1841" s="1">
        <v>44591</v>
      </c>
      <c r="C1841" t="s">
        <v>4613</v>
      </c>
      <c r="D1841" t="s">
        <v>259</v>
      </c>
      <c r="E1841" t="s">
        <v>24</v>
      </c>
      <c r="F1841" t="s">
        <v>170</v>
      </c>
      <c r="G1841">
        <v>30</v>
      </c>
      <c r="H1841" t="s">
        <v>605</v>
      </c>
      <c r="I1841" t="s">
        <v>663</v>
      </c>
      <c r="J1841" t="s">
        <v>4614</v>
      </c>
      <c r="K1841" t="s">
        <v>4615</v>
      </c>
      <c r="L1841">
        <v>104</v>
      </c>
      <c r="P1841">
        <v>15.39</v>
      </c>
      <c r="Q1841">
        <v>4.54</v>
      </c>
      <c r="R1841">
        <v>160</v>
      </c>
    </row>
    <row r="1842" spans="1:18" x14ac:dyDescent="0.25">
      <c r="A1842" t="s">
        <v>4616</v>
      </c>
      <c r="B1842" s="1">
        <v>44591</v>
      </c>
      <c r="C1842" t="s">
        <v>3668</v>
      </c>
      <c r="D1842" t="s">
        <v>259</v>
      </c>
      <c r="E1842" t="s">
        <v>24</v>
      </c>
      <c r="F1842" t="s">
        <v>2833</v>
      </c>
      <c r="G1842">
        <v>10</v>
      </c>
      <c r="H1842" t="s">
        <v>26</v>
      </c>
      <c r="I1842" t="s">
        <v>39</v>
      </c>
      <c r="J1842" t="s">
        <v>431</v>
      </c>
      <c r="K1842" t="s">
        <v>4617</v>
      </c>
      <c r="L1842">
        <v>50</v>
      </c>
      <c r="M1842">
        <v>83</v>
      </c>
      <c r="N1842" s="2">
        <v>0.33</v>
      </c>
      <c r="O1842">
        <v>87</v>
      </c>
      <c r="P1842">
        <v>14.94</v>
      </c>
      <c r="Q1842">
        <v>2.4900000000000002</v>
      </c>
      <c r="R1842">
        <v>62</v>
      </c>
    </row>
    <row r="1843" spans="1:18" x14ac:dyDescent="0.25">
      <c r="A1843" t="s">
        <v>4618</v>
      </c>
      <c r="B1843" s="1">
        <v>44591</v>
      </c>
      <c r="C1843" t="s">
        <v>4619</v>
      </c>
      <c r="D1843" t="s">
        <v>259</v>
      </c>
      <c r="E1843" t="s">
        <v>24</v>
      </c>
      <c r="F1843" t="s">
        <v>215</v>
      </c>
      <c r="G1843">
        <v>30</v>
      </c>
      <c r="H1843" t="s">
        <v>188</v>
      </c>
      <c r="I1843" t="s">
        <v>238</v>
      </c>
      <c r="J1843" t="s">
        <v>1956</v>
      </c>
      <c r="K1843" t="s">
        <v>4620</v>
      </c>
      <c r="R1843">
        <v>97</v>
      </c>
    </row>
    <row r="1844" spans="1:18" x14ac:dyDescent="0.25">
      <c r="A1844" t="s">
        <v>4621</v>
      </c>
      <c r="B1844" s="1">
        <v>44591</v>
      </c>
      <c r="C1844" t="s">
        <v>4622</v>
      </c>
      <c r="D1844" t="s">
        <v>259</v>
      </c>
      <c r="E1844" t="s">
        <v>24</v>
      </c>
      <c r="F1844" t="s">
        <v>554</v>
      </c>
      <c r="G1844">
        <v>10</v>
      </c>
      <c r="H1844" t="s">
        <v>49</v>
      </c>
      <c r="I1844" t="s">
        <v>1960</v>
      </c>
      <c r="J1844" t="s">
        <v>3289</v>
      </c>
      <c r="K1844" t="s">
        <v>4623</v>
      </c>
      <c r="R1844">
        <v>23</v>
      </c>
    </row>
    <row r="1845" spans="1:18" x14ac:dyDescent="0.25">
      <c r="A1845" t="s">
        <v>4624</v>
      </c>
      <c r="B1845" s="1">
        <v>44591</v>
      </c>
      <c r="C1845" t="s">
        <v>2240</v>
      </c>
      <c r="D1845" t="s">
        <v>259</v>
      </c>
      <c r="E1845" t="s">
        <v>24</v>
      </c>
      <c r="F1845" t="s">
        <v>237</v>
      </c>
      <c r="G1845">
        <v>20</v>
      </c>
      <c r="H1845" t="s">
        <v>464</v>
      </c>
      <c r="I1845" t="s">
        <v>943</v>
      </c>
      <c r="J1845" t="s">
        <v>1347</v>
      </c>
      <c r="K1845" t="s">
        <v>4625</v>
      </c>
    </row>
    <row r="1846" spans="1:18" x14ac:dyDescent="0.25">
      <c r="A1846" t="s">
        <v>4702</v>
      </c>
      <c r="B1846" s="1">
        <v>44598</v>
      </c>
      <c r="C1846" t="s">
        <v>4703</v>
      </c>
      <c r="D1846" t="s">
        <v>259</v>
      </c>
      <c r="E1846" t="s">
        <v>24</v>
      </c>
      <c r="F1846" t="s">
        <v>459</v>
      </c>
      <c r="G1846">
        <v>5</v>
      </c>
      <c r="H1846" t="s">
        <v>464</v>
      </c>
      <c r="I1846" t="s">
        <v>943</v>
      </c>
      <c r="J1846" t="s">
        <v>2205</v>
      </c>
      <c r="K1846" t="s">
        <v>4704</v>
      </c>
    </row>
    <row r="1847" spans="1:18" x14ac:dyDescent="0.25">
      <c r="A1847" t="s">
        <v>4705</v>
      </c>
      <c r="B1847" s="1">
        <v>44598</v>
      </c>
      <c r="C1847" t="s">
        <v>1142</v>
      </c>
      <c r="D1847" t="s">
        <v>259</v>
      </c>
      <c r="E1847" t="s">
        <v>24</v>
      </c>
      <c r="F1847" t="s">
        <v>215</v>
      </c>
      <c r="G1847">
        <v>60</v>
      </c>
      <c r="H1847" t="s">
        <v>188</v>
      </c>
      <c r="I1847" t="s">
        <v>189</v>
      </c>
      <c r="J1847" t="s">
        <v>216</v>
      </c>
      <c r="K1847" t="s">
        <v>4706</v>
      </c>
      <c r="R1847">
        <v>200</v>
      </c>
    </row>
    <row r="1848" spans="1:18" x14ac:dyDescent="0.25">
      <c r="A1848" t="s">
        <v>4707</v>
      </c>
      <c r="B1848" s="1">
        <v>44598</v>
      </c>
      <c r="C1848" t="s">
        <v>1639</v>
      </c>
      <c r="D1848" t="s">
        <v>259</v>
      </c>
      <c r="E1848" t="s">
        <v>24</v>
      </c>
      <c r="F1848" t="s">
        <v>200</v>
      </c>
      <c r="G1848">
        <v>20</v>
      </c>
      <c r="H1848" t="s">
        <v>464</v>
      </c>
      <c r="I1848" t="s">
        <v>579</v>
      </c>
      <c r="J1848" t="s">
        <v>1311</v>
      </c>
      <c r="K1848" t="s">
        <v>4651</v>
      </c>
    </row>
    <row r="1849" spans="1:18" x14ac:dyDescent="0.25">
      <c r="A1849" t="s">
        <v>4772</v>
      </c>
      <c r="B1849" s="1">
        <v>44605</v>
      </c>
      <c r="C1849" t="s">
        <v>345</v>
      </c>
      <c r="D1849" t="s">
        <v>259</v>
      </c>
      <c r="E1849" t="s">
        <v>24</v>
      </c>
      <c r="F1849" t="s">
        <v>180</v>
      </c>
      <c r="G1849">
        <v>10</v>
      </c>
      <c r="H1849" t="s">
        <v>194</v>
      </c>
      <c r="I1849" t="s">
        <v>195</v>
      </c>
      <c r="J1849" t="s">
        <v>211</v>
      </c>
      <c r="K1849" t="s">
        <v>4540</v>
      </c>
      <c r="R1849">
        <v>45</v>
      </c>
    </row>
    <row r="1850" spans="1:18" x14ac:dyDescent="0.25">
      <c r="A1850" t="s">
        <v>4773</v>
      </c>
      <c r="B1850" s="1">
        <v>44605</v>
      </c>
      <c r="C1850" t="s">
        <v>4774</v>
      </c>
      <c r="D1850" t="s">
        <v>259</v>
      </c>
      <c r="E1850" t="s">
        <v>24</v>
      </c>
      <c r="F1850" t="s">
        <v>200</v>
      </c>
      <c r="G1850">
        <v>10</v>
      </c>
      <c r="H1850" t="s">
        <v>188</v>
      </c>
      <c r="I1850" t="s">
        <v>238</v>
      </c>
      <c r="J1850" t="s">
        <v>674</v>
      </c>
      <c r="K1850" t="s">
        <v>4775</v>
      </c>
      <c r="R1850">
        <v>33</v>
      </c>
    </row>
    <row r="1851" spans="1:18" x14ac:dyDescent="0.25">
      <c r="A1851" t="s">
        <v>4776</v>
      </c>
      <c r="B1851" s="1">
        <v>44605</v>
      </c>
      <c r="C1851" t="s">
        <v>1193</v>
      </c>
      <c r="D1851" t="s">
        <v>259</v>
      </c>
      <c r="E1851" t="s">
        <v>24</v>
      </c>
      <c r="F1851" t="s">
        <v>215</v>
      </c>
      <c r="G1851">
        <v>10</v>
      </c>
      <c r="H1851" t="s">
        <v>188</v>
      </c>
      <c r="I1851" t="s">
        <v>238</v>
      </c>
      <c r="J1851" t="s">
        <v>731</v>
      </c>
      <c r="K1851" t="s">
        <v>4777</v>
      </c>
      <c r="R1851">
        <v>30</v>
      </c>
    </row>
    <row r="1852" spans="1:18" x14ac:dyDescent="0.25">
      <c r="A1852" t="s">
        <v>4778</v>
      </c>
      <c r="B1852" s="1">
        <v>44605</v>
      </c>
      <c r="C1852" t="s">
        <v>225</v>
      </c>
      <c r="D1852" t="s">
        <v>259</v>
      </c>
      <c r="E1852" t="s">
        <v>24</v>
      </c>
      <c r="F1852" t="s">
        <v>335</v>
      </c>
      <c r="G1852">
        <v>5</v>
      </c>
      <c r="H1852" t="s">
        <v>49</v>
      </c>
      <c r="I1852" t="s">
        <v>298</v>
      </c>
      <c r="J1852" t="s">
        <v>299</v>
      </c>
      <c r="K1852" t="s">
        <v>4779</v>
      </c>
      <c r="R1852">
        <v>11</v>
      </c>
    </row>
    <row r="1853" spans="1:18" x14ac:dyDescent="0.25">
      <c r="A1853" t="s">
        <v>4780</v>
      </c>
      <c r="B1853" s="1">
        <v>44605</v>
      </c>
      <c r="C1853" t="s">
        <v>714</v>
      </c>
      <c r="D1853" t="s">
        <v>259</v>
      </c>
      <c r="E1853" t="s">
        <v>24</v>
      </c>
      <c r="F1853" t="s">
        <v>554</v>
      </c>
      <c r="G1853">
        <v>10</v>
      </c>
      <c r="H1853" t="s">
        <v>49</v>
      </c>
      <c r="I1853" t="s">
        <v>1960</v>
      </c>
      <c r="J1853" t="s">
        <v>3905</v>
      </c>
      <c r="K1853" t="s">
        <v>3906</v>
      </c>
      <c r="R1853">
        <v>23</v>
      </c>
    </row>
    <row r="1854" spans="1:18" x14ac:dyDescent="0.25">
      <c r="A1854" t="s">
        <v>4781</v>
      </c>
      <c r="B1854" s="1">
        <v>44605</v>
      </c>
      <c r="C1854" t="s">
        <v>4782</v>
      </c>
      <c r="D1854" t="s">
        <v>259</v>
      </c>
      <c r="E1854" t="s">
        <v>24</v>
      </c>
      <c r="F1854" t="s">
        <v>554</v>
      </c>
      <c r="G1854">
        <v>10</v>
      </c>
      <c r="H1854" t="s">
        <v>49</v>
      </c>
      <c r="I1854" t="s">
        <v>1960</v>
      </c>
      <c r="J1854" t="s">
        <v>4451</v>
      </c>
      <c r="K1854" t="s">
        <v>4452</v>
      </c>
      <c r="R1854">
        <v>23</v>
      </c>
    </row>
    <row r="1855" spans="1:18" x14ac:dyDescent="0.25">
      <c r="A1855" t="s">
        <v>4783</v>
      </c>
      <c r="B1855" s="1">
        <v>44605</v>
      </c>
      <c r="C1855" t="s">
        <v>4622</v>
      </c>
      <c r="D1855" t="s">
        <v>259</v>
      </c>
      <c r="E1855" t="s">
        <v>24</v>
      </c>
      <c r="F1855" t="s">
        <v>554</v>
      </c>
      <c r="G1855">
        <v>10</v>
      </c>
      <c r="H1855" t="s">
        <v>49</v>
      </c>
      <c r="I1855" t="s">
        <v>1960</v>
      </c>
      <c r="J1855" t="s">
        <v>4784</v>
      </c>
      <c r="K1855" t="s">
        <v>4785</v>
      </c>
      <c r="R1855">
        <v>23</v>
      </c>
    </row>
    <row r="1856" spans="1:18" x14ac:dyDescent="0.25">
      <c r="A1856" t="s">
        <v>4786</v>
      </c>
      <c r="B1856" s="1">
        <v>44605</v>
      </c>
      <c r="C1856" t="s">
        <v>4787</v>
      </c>
      <c r="D1856" t="s">
        <v>259</v>
      </c>
      <c r="E1856" t="s">
        <v>24</v>
      </c>
      <c r="F1856" t="s">
        <v>554</v>
      </c>
      <c r="G1856">
        <v>10</v>
      </c>
      <c r="H1856" t="s">
        <v>49</v>
      </c>
      <c r="I1856" t="s">
        <v>1960</v>
      </c>
      <c r="J1856" t="s">
        <v>4448</v>
      </c>
      <c r="K1856" t="s">
        <v>4449</v>
      </c>
      <c r="R1856">
        <v>23</v>
      </c>
    </row>
    <row r="1857" spans="1:18" x14ac:dyDescent="0.25">
      <c r="A1857" t="s">
        <v>4788</v>
      </c>
      <c r="B1857" s="1">
        <v>44605</v>
      </c>
      <c r="C1857" t="s">
        <v>1540</v>
      </c>
      <c r="D1857" t="s">
        <v>259</v>
      </c>
      <c r="E1857" t="s">
        <v>24</v>
      </c>
      <c r="F1857" t="s">
        <v>237</v>
      </c>
      <c r="G1857">
        <v>15</v>
      </c>
      <c r="H1857" t="s">
        <v>464</v>
      </c>
      <c r="I1857" t="s">
        <v>943</v>
      </c>
      <c r="J1857" t="s">
        <v>1709</v>
      </c>
      <c r="K1857" t="s">
        <v>4789</v>
      </c>
    </row>
    <row r="1858" spans="1:18" x14ac:dyDescent="0.25">
      <c r="A1858" t="s">
        <v>4790</v>
      </c>
      <c r="B1858" s="1">
        <v>44605</v>
      </c>
      <c r="C1858" t="s">
        <v>1909</v>
      </c>
      <c r="D1858" t="s">
        <v>259</v>
      </c>
      <c r="E1858" t="s">
        <v>24</v>
      </c>
      <c r="F1858" t="s">
        <v>237</v>
      </c>
      <c r="G1858">
        <v>15</v>
      </c>
      <c r="H1858" t="s">
        <v>464</v>
      </c>
      <c r="I1858" t="s">
        <v>943</v>
      </c>
      <c r="J1858" t="s">
        <v>1709</v>
      </c>
      <c r="K1858" t="s">
        <v>4791</v>
      </c>
    </row>
    <row r="1859" spans="1:18" x14ac:dyDescent="0.25">
      <c r="A1859" t="s">
        <v>4792</v>
      </c>
      <c r="B1859" s="1">
        <v>44605</v>
      </c>
      <c r="C1859" t="s">
        <v>4793</v>
      </c>
      <c r="D1859" t="s">
        <v>259</v>
      </c>
      <c r="E1859" t="s">
        <v>24</v>
      </c>
      <c r="F1859" t="s">
        <v>200</v>
      </c>
      <c r="G1859">
        <v>15</v>
      </c>
      <c r="H1859" t="s">
        <v>464</v>
      </c>
      <c r="I1859" t="s">
        <v>943</v>
      </c>
      <c r="J1859" t="s">
        <v>1709</v>
      </c>
      <c r="K1859" t="s">
        <v>4794</v>
      </c>
    </row>
    <row r="1860" spans="1:18" x14ac:dyDescent="0.25">
      <c r="A1860" t="s">
        <v>4845</v>
      </c>
      <c r="B1860" s="1">
        <v>44612</v>
      </c>
      <c r="C1860" t="s">
        <v>4846</v>
      </c>
      <c r="D1860" t="s">
        <v>259</v>
      </c>
      <c r="E1860" t="s">
        <v>24</v>
      </c>
      <c r="F1860" t="s">
        <v>200</v>
      </c>
      <c r="G1860">
        <v>30</v>
      </c>
      <c r="H1860" t="s">
        <v>188</v>
      </c>
      <c r="I1860" t="s">
        <v>189</v>
      </c>
      <c r="J1860" t="s">
        <v>201</v>
      </c>
      <c r="K1860" t="s">
        <v>4847</v>
      </c>
      <c r="R1860">
        <v>91</v>
      </c>
    </row>
    <row r="1861" spans="1:18" x14ac:dyDescent="0.25">
      <c r="A1861" t="s">
        <v>4848</v>
      </c>
      <c r="B1861" s="1">
        <v>44612</v>
      </c>
      <c r="C1861" t="s">
        <v>4849</v>
      </c>
      <c r="D1861" t="s">
        <v>259</v>
      </c>
      <c r="E1861" t="s">
        <v>24</v>
      </c>
      <c r="F1861" t="s">
        <v>335</v>
      </c>
      <c r="G1861">
        <v>10</v>
      </c>
      <c r="H1861" t="s">
        <v>194</v>
      </c>
      <c r="I1861" t="s">
        <v>195</v>
      </c>
      <c r="J1861" t="s">
        <v>211</v>
      </c>
      <c r="K1861" t="s">
        <v>4850</v>
      </c>
      <c r="R1861">
        <v>44</v>
      </c>
    </row>
    <row r="1862" spans="1:18" x14ac:dyDescent="0.25">
      <c r="A1862" t="s">
        <v>4851</v>
      </c>
      <c r="B1862" s="1">
        <v>44612</v>
      </c>
      <c r="C1862" t="s">
        <v>4852</v>
      </c>
      <c r="D1862" t="s">
        <v>259</v>
      </c>
      <c r="E1862" t="s">
        <v>24</v>
      </c>
      <c r="F1862" t="s">
        <v>323</v>
      </c>
      <c r="G1862">
        <v>60</v>
      </c>
      <c r="H1862" t="s">
        <v>26</v>
      </c>
      <c r="I1862" t="s">
        <v>370</v>
      </c>
      <c r="J1862" t="s">
        <v>498</v>
      </c>
      <c r="K1862" t="s">
        <v>4853</v>
      </c>
      <c r="L1862">
        <v>374</v>
      </c>
      <c r="M1862">
        <v>104</v>
      </c>
      <c r="N1862" s="2">
        <v>0.37</v>
      </c>
      <c r="O1862">
        <v>87</v>
      </c>
      <c r="P1862">
        <v>16.399999999999999</v>
      </c>
      <c r="Q1862">
        <v>16.399999999999999</v>
      </c>
      <c r="R1862">
        <v>461</v>
      </c>
    </row>
    <row r="1863" spans="1:18" x14ac:dyDescent="0.25">
      <c r="A1863" t="s">
        <v>4854</v>
      </c>
      <c r="B1863" s="1">
        <v>44612</v>
      </c>
      <c r="C1863" t="s">
        <v>4855</v>
      </c>
      <c r="D1863" t="s">
        <v>259</v>
      </c>
      <c r="E1863" t="s">
        <v>24</v>
      </c>
      <c r="F1863" t="s">
        <v>237</v>
      </c>
      <c r="G1863">
        <v>10</v>
      </c>
      <c r="H1863" t="s">
        <v>188</v>
      </c>
      <c r="I1863" t="s">
        <v>238</v>
      </c>
      <c r="J1863" t="s">
        <v>674</v>
      </c>
      <c r="K1863" t="s">
        <v>4856</v>
      </c>
      <c r="R1863">
        <v>35</v>
      </c>
    </row>
    <row r="1864" spans="1:18" x14ac:dyDescent="0.25">
      <c r="A1864" t="s">
        <v>4857</v>
      </c>
      <c r="B1864" s="1">
        <v>44612</v>
      </c>
      <c r="C1864" t="s">
        <v>251</v>
      </c>
      <c r="D1864" t="s">
        <v>259</v>
      </c>
      <c r="E1864" t="s">
        <v>24</v>
      </c>
      <c r="F1864" t="s">
        <v>200</v>
      </c>
      <c r="G1864">
        <v>20</v>
      </c>
      <c r="H1864" t="s">
        <v>464</v>
      </c>
      <c r="I1864" t="s">
        <v>763</v>
      </c>
      <c r="J1864" t="s">
        <v>1335</v>
      </c>
      <c r="K1864" t="s">
        <v>4858</v>
      </c>
    </row>
    <row r="1865" spans="1:18" x14ac:dyDescent="0.25">
      <c r="A1865" t="s">
        <v>4859</v>
      </c>
      <c r="B1865" s="1">
        <v>44612</v>
      </c>
      <c r="C1865" t="s">
        <v>4860</v>
      </c>
      <c r="D1865" t="s">
        <v>259</v>
      </c>
      <c r="E1865" t="s">
        <v>24</v>
      </c>
      <c r="F1865" t="s">
        <v>237</v>
      </c>
      <c r="G1865">
        <v>20</v>
      </c>
      <c r="H1865" t="s">
        <v>464</v>
      </c>
      <c r="I1865" t="s">
        <v>943</v>
      </c>
      <c r="J1865" t="s">
        <v>1347</v>
      </c>
      <c r="K1865" t="s">
        <v>4861</v>
      </c>
    </row>
    <row r="1866" spans="1:18" x14ac:dyDescent="0.25">
      <c r="A1866" t="s">
        <v>4927</v>
      </c>
      <c r="B1866" s="1">
        <v>44619</v>
      </c>
      <c r="C1866" t="s">
        <v>4928</v>
      </c>
      <c r="D1866" t="s">
        <v>259</v>
      </c>
      <c r="E1866" t="s">
        <v>24</v>
      </c>
      <c r="F1866" t="s">
        <v>323</v>
      </c>
      <c r="G1866">
        <v>60</v>
      </c>
      <c r="H1866" t="s">
        <v>26</v>
      </c>
      <c r="I1866" t="s">
        <v>370</v>
      </c>
      <c r="J1866" t="s">
        <v>498</v>
      </c>
      <c r="K1866" t="s">
        <v>4929</v>
      </c>
      <c r="L1866">
        <v>371</v>
      </c>
      <c r="M1866">
        <v>103</v>
      </c>
      <c r="N1866" s="2">
        <v>0.37</v>
      </c>
      <c r="O1866">
        <v>85</v>
      </c>
      <c r="P1866">
        <v>16.32</v>
      </c>
      <c r="Q1866">
        <v>16.32</v>
      </c>
      <c r="R1866">
        <v>458</v>
      </c>
    </row>
    <row r="1867" spans="1:18" x14ac:dyDescent="0.25">
      <c r="A1867" t="s">
        <v>4930</v>
      </c>
      <c r="B1867" s="1">
        <v>44619</v>
      </c>
      <c r="C1867" t="s">
        <v>4931</v>
      </c>
      <c r="D1867" t="s">
        <v>259</v>
      </c>
      <c r="E1867" t="s">
        <v>24</v>
      </c>
      <c r="F1867" t="s">
        <v>747</v>
      </c>
      <c r="G1867">
        <v>5</v>
      </c>
      <c r="H1867" t="s">
        <v>26</v>
      </c>
      <c r="I1867" t="s">
        <v>358</v>
      </c>
      <c r="J1867" t="s">
        <v>359</v>
      </c>
      <c r="K1867" t="s">
        <v>4829</v>
      </c>
      <c r="L1867">
        <v>20</v>
      </c>
      <c r="M1867">
        <v>68</v>
      </c>
      <c r="N1867" s="2">
        <v>0.32</v>
      </c>
      <c r="O1867">
        <v>81</v>
      </c>
      <c r="P1867">
        <v>13.74</v>
      </c>
      <c r="Q1867">
        <v>1.1399999999999999</v>
      </c>
      <c r="R1867">
        <v>25</v>
      </c>
    </row>
    <row r="1868" spans="1:18" x14ac:dyDescent="0.25">
      <c r="A1868" t="s">
        <v>4932</v>
      </c>
      <c r="B1868" s="1">
        <v>44619</v>
      </c>
      <c r="C1868" t="s">
        <v>4933</v>
      </c>
      <c r="D1868" t="s">
        <v>259</v>
      </c>
      <c r="E1868" t="s">
        <v>24</v>
      </c>
      <c r="F1868" t="s">
        <v>170</v>
      </c>
      <c r="G1868">
        <v>5</v>
      </c>
      <c r="H1868" t="s">
        <v>194</v>
      </c>
      <c r="I1868" t="s">
        <v>195</v>
      </c>
      <c r="J1868" t="s">
        <v>196</v>
      </c>
      <c r="K1868" t="s">
        <v>4934</v>
      </c>
      <c r="R1868">
        <v>23</v>
      </c>
    </row>
    <row r="1869" spans="1:18" x14ac:dyDescent="0.25">
      <c r="A1869" t="s">
        <v>4935</v>
      </c>
      <c r="B1869" s="1">
        <v>44619</v>
      </c>
      <c r="C1869" t="s">
        <v>4936</v>
      </c>
      <c r="D1869" t="s">
        <v>259</v>
      </c>
      <c r="E1869" t="s">
        <v>24</v>
      </c>
      <c r="F1869" t="s">
        <v>2833</v>
      </c>
      <c r="G1869">
        <v>5</v>
      </c>
      <c r="H1869" t="s">
        <v>49</v>
      </c>
      <c r="I1869" t="s">
        <v>50</v>
      </c>
      <c r="J1869" t="s">
        <v>51</v>
      </c>
      <c r="K1869" t="s">
        <v>4937</v>
      </c>
      <c r="R1869">
        <v>11</v>
      </c>
    </row>
    <row r="1870" spans="1:18" x14ac:dyDescent="0.25">
      <c r="A1870" t="s">
        <v>4938</v>
      </c>
      <c r="B1870" s="1">
        <v>44619</v>
      </c>
      <c r="C1870" t="s">
        <v>1292</v>
      </c>
      <c r="D1870" t="s">
        <v>259</v>
      </c>
      <c r="E1870" t="s">
        <v>24</v>
      </c>
      <c r="F1870" t="s">
        <v>237</v>
      </c>
      <c r="G1870">
        <v>20</v>
      </c>
      <c r="H1870" t="s">
        <v>464</v>
      </c>
      <c r="I1870" t="s">
        <v>943</v>
      </c>
      <c r="J1870" t="s">
        <v>1347</v>
      </c>
      <c r="K1870" t="s">
        <v>4939</v>
      </c>
    </row>
    <row r="1871" spans="1:18" x14ac:dyDescent="0.25">
      <c r="A1871" t="s">
        <v>5018</v>
      </c>
      <c r="B1871" s="1">
        <v>44626</v>
      </c>
      <c r="C1871" t="s">
        <v>5019</v>
      </c>
      <c r="D1871" t="s">
        <v>259</v>
      </c>
      <c r="E1871" t="s">
        <v>24</v>
      </c>
      <c r="F1871" t="s">
        <v>243</v>
      </c>
      <c r="G1871">
        <v>45</v>
      </c>
      <c r="H1871" t="s">
        <v>188</v>
      </c>
      <c r="I1871" t="s">
        <v>254</v>
      </c>
      <c r="J1871" t="s">
        <v>1741</v>
      </c>
      <c r="K1871" t="s">
        <v>5020</v>
      </c>
      <c r="R1871">
        <v>147</v>
      </c>
    </row>
    <row r="1872" spans="1:18" x14ac:dyDescent="0.25">
      <c r="A1872" t="s">
        <v>5021</v>
      </c>
      <c r="B1872" s="1">
        <v>44626</v>
      </c>
      <c r="C1872" t="s">
        <v>5022</v>
      </c>
      <c r="D1872" t="s">
        <v>259</v>
      </c>
      <c r="E1872" t="s">
        <v>24</v>
      </c>
      <c r="F1872" t="s">
        <v>200</v>
      </c>
      <c r="G1872">
        <v>10</v>
      </c>
      <c r="H1872" t="s">
        <v>464</v>
      </c>
      <c r="I1872" t="s">
        <v>763</v>
      </c>
      <c r="J1872" t="s">
        <v>764</v>
      </c>
      <c r="K1872" t="s">
        <v>4973</v>
      </c>
    </row>
    <row r="1873" spans="1:19" x14ac:dyDescent="0.25">
      <c r="A1873" t="s">
        <v>5023</v>
      </c>
      <c r="B1873" s="1">
        <v>44626</v>
      </c>
      <c r="C1873" t="s">
        <v>5024</v>
      </c>
      <c r="D1873" t="s">
        <v>259</v>
      </c>
      <c r="E1873" t="s">
        <v>24</v>
      </c>
      <c r="F1873" t="s">
        <v>208</v>
      </c>
      <c r="G1873">
        <v>15</v>
      </c>
      <c r="H1873" t="s">
        <v>464</v>
      </c>
      <c r="I1873" t="s">
        <v>579</v>
      </c>
      <c r="J1873" t="s">
        <v>2671</v>
      </c>
      <c r="K1873" t="s">
        <v>5025</v>
      </c>
      <c r="S1873">
        <v>75.95</v>
      </c>
    </row>
    <row r="1874" spans="1:19" x14ac:dyDescent="0.25">
      <c r="A1874" t="s">
        <v>5026</v>
      </c>
      <c r="B1874" s="1">
        <v>44626</v>
      </c>
      <c r="C1874" t="s">
        <v>5027</v>
      </c>
      <c r="D1874" t="s">
        <v>259</v>
      </c>
      <c r="E1874" t="s">
        <v>24</v>
      </c>
      <c r="F1874" t="s">
        <v>323</v>
      </c>
      <c r="G1874">
        <v>90</v>
      </c>
      <c r="H1874" t="s">
        <v>26</v>
      </c>
      <c r="I1874" t="s">
        <v>370</v>
      </c>
      <c r="J1874" t="s">
        <v>1278</v>
      </c>
      <c r="K1874" t="s">
        <v>5028</v>
      </c>
      <c r="L1874">
        <v>571</v>
      </c>
      <c r="M1874">
        <v>106</v>
      </c>
      <c r="N1874" s="2">
        <v>0.38</v>
      </c>
      <c r="O1874">
        <v>84</v>
      </c>
      <c r="P1874">
        <v>16.510000000000002</v>
      </c>
      <c r="Q1874">
        <v>24.77</v>
      </c>
      <c r="R1874">
        <v>703</v>
      </c>
    </row>
    <row r="1875" spans="1:19" x14ac:dyDescent="0.25">
      <c r="A1875" t="s">
        <v>5029</v>
      </c>
      <c r="B1875" s="1">
        <v>44626</v>
      </c>
      <c r="C1875" t="s">
        <v>3853</v>
      </c>
      <c r="D1875" t="s">
        <v>259</v>
      </c>
      <c r="E1875" t="s">
        <v>24</v>
      </c>
      <c r="F1875" t="s">
        <v>335</v>
      </c>
      <c r="G1875">
        <v>5</v>
      </c>
      <c r="H1875" t="s">
        <v>194</v>
      </c>
      <c r="I1875" t="s">
        <v>195</v>
      </c>
      <c r="J1875" t="s">
        <v>196</v>
      </c>
      <c r="K1875" t="s">
        <v>5030</v>
      </c>
      <c r="R1875">
        <v>23</v>
      </c>
    </row>
    <row r="1876" spans="1:19" x14ac:dyDescent="0.25">
      <c r="A1876" t="s">
        <v>5102</v>
      </c>
      <c r="B1876" s="1">
        <v>44633</v>
      </c>
      <c r="C1876" t="s">
        <v>799</v>
      </c>
      <c r="D1876" t="s">
        <v>259</v>
      </c>
      <c r="E1876" t="s">
        <v>24</v>
      </c>
      <c r="F1876" t="s">
        <v>200</v>
      </c>
      <c r="G1876">
        <v>30</v>
      </c>
      <c r="H1876" t="s">
        <v>188</v>
      </c>
      <c r="I1876" t="s">
        <v>189</v>
      </c>
      <c r="J1876" t="s">
        <v>201</v>
      </c>
      <c r="K1876" t="s">
        <v>5103</v>
      </c>
      <c r="R1876">
        <v>91</v>
      </c>
    </row>
    <row r="1877" spans="1:19" x14ac:dyDescent="0.25">
      <c r="A1877" t="s">
        <v>5104</v>
      </c>
      <c r="B1877" s="1">
        <v>44633</v>
      </c>
      <c r="C1877" t="s">
        <v>1686</v>
      </c>
      <c r="D1877" t="s">
        <v>259</v>
      </c>
      <c r="E1877" t="s">
        <v>24</v>
      </c>
      <c r="F1877" t="s">
        <v>2256</v>
      </c>
      <c r="G1877">
        <v>5</v>
      </c>
      <c r="H1877" t="s">
        <v>194</v>
      </c>
      <c r="I1877" t="s">
        <v>195</v>
      </c>
      <c r="J1877" t="s">
        <v>196</v>
      </c>
      <c r="K1877" t="s">
        <v>5105</v>
      </c>
      <c r="R1877">
        <v>23</v>
      </c>
    </row>
    <row r="1878" spans="1:19" x14ac:dyDescent="0.25">
      <c r="A1878" t="s">
        <v>5106</v>
      </c>
      <c r="B1878" s="1">
        <v>44633</v>
      </c>
      <c r="C1878" t="s">
        <v>5107</v>
      </c>
      <c r="D1878" t="s">
        <v>259</v>
      </c>
      <c r="E1878" t="s">
        <v>24</v>
      </c>
      <c r="F1878" t="s">
        <v>323</v>
      </c>
      <c r="G1878">
        <v>60</v>
      </c>
      <c r="H1878" t="s">
        <v>26</v>
      </c>
      <c r="I1878" t="s">
        <v>370</v>
      </c>
      <c r="J1878" t="s">
        <v>498</v>
      </c>
      <c r="K1878" t="s">
        <v>2358</v>
      </c>
      <c r="L1878">
        <v>379</v>
      </c>
      <c r="M1878">
        <v>105</v>
      </c>
      <c r="N1878" s="2">
        <v>0.37</v>
      </c>
      <c r="O1878">
        <v>86</v>
      </c>
      <c r="P1878">
        <v>16.47</v>
      </c>
      <c r="Q1878">
        <v>16.47</v>
      </c>
      <c r="R1878">
        <v>575</v>
      </c>
      <c r="S1878">
        <v>148.88</v>
      </c>
    </row>
    <row r="1879" spans="1:19" x14ac:dyDescent="0.25">
      <c r="A1879" t="s">
        <v>5108</v>
      </c>
      <c r="B1879" s="1">
        <v>44633</v>
      </c>
      <c r="C1879" t="s">
        <v>1971</v>
      </c>
      <c r="D1879" t="s">
        <v>259</v>
      </c>
      <c r="E1879" t="s">
        <v>24</v>
      </c>
      <c r="F1879" t="s">
        <v>335</v>
      </c>
      <c r="G1879">
        <v>10</v>
      </c>
      <c r="H1879" t="s">
        <v>26</v>
      </c>
      <c r="I1879" t="s">
        <v>39</v>
      </c>
      <c r="J1879" t="s">
        <v>431</v>
      </c>
      <c r="K1879" t="s">
        <v>5109</v>
      </c>
      <c r="L1879">
        <v>38</v>
      </c>
      <c r="M1879">
        <v>64</v>
      </c>
      <c r="N1879" s="2">
        <v>0.31</v>
      </c>
      <c r="O1879">
        <v>82</v>
      </c>
      <c r="P1879">
        <v>13.34</v>
      </c>
      <c r="Q1879">
        <v>2.2200000000000002</v>
      </c>
      <c r="R1879">
        <v>65</v>
      </c>
      <c r="S1879">
        <v>123.42</v>
      </c>
    </row>
    <row r="1880" spans="1:19" x14ac:dyDescent="0.25">
      <c r="A1880" t="s">
        <v>5110</v>
      </c>
      <c r="B1880" s="1">
        <v>44633</v>
      </c>
      <c r="C1880" t="s">
        <v>2914</v>
      </c>
      <c r="D1880" t="s">
        <v>259</v>
      </c>
      <c r="E1880" t="s">
        <v>24</v>
      </c>
      <c r="F1880" t="s">
        <v>335</v>
      </c>
      <c r="G1880">
        <v>10</v>
      </c>
      <c r="H1880" t="s">
        <v>194</v>
      </c>
      <c r="I1880" t="s">
        <v>700</v>
      </c>
      <c r="J1880" t="s">
        <v>1282</v>
      </c>
      <c r="K1880" t="s">
        <v>5111</v>
      </c>
      <c r="R1880">
        <v>47</v>
      </c>
      <c r="S1880">
        <v>107.08</v>
      </c>
    </row>
    <row r="1881" spans="1:19" x14ac:dyDescent="0.25">
      <c r="A1881" t="s">
        <v>5112</v>
      </c>
      <c r="B1881" s="1">
        <v>44633</v>
      </c>
      <c r="C1881" t="s">
        <v>4138</v>
      </c>
      <c r="D1881" t="s">
        <v>259</v>
      </c>
      <c r="E1881" t="s">
        <v>24</v>
      </c>
      <c r="F1881" t="s">
        <v>215</v>
      </c>
      <c r="G1881">
        <v>10</v>
      </c>
      <c r="H1881" t="s">
        <v>188</v>
      </c>
      <c r="I1881" t="s">
        <v>238</v>
      </c>
      <c r="J1881" t="s">
        <v>731</v>
      </c>
      <c r="K1881" t="s">
        <v>5113</v>
      </c>
      <c r="R1881">
        <v>35</v>
      </c>
    </row>
    <row r="1882" spans="1:19" x14ac:dyDescent="0.25">
      <c r="A1882" t="s">
        <v>5114</v>
      </c>
      <c r="B1882" s="1">
        <v>44633</v>
      </c>
      <c r="C1882" t="s">
        <v>1375</v>
      </c>
      <c r="D1882" t="s">
        <v>259</v>
      </c>
      <c r="E1882" t="s">
        <v>24</v>
      </c>
      <c r="F1882" t="s">
        <v>200</v>
      </c>
      <c r="G1882">
        <v>10</v>
      </c>
      <c r="H1882" t="s">
        <v>464</v>
      </c>
      <c r="I1882" t="s">
        <v>579</v>
      </c>
      <c r="J1882" t="s">
        <v>602</v>
      </c>
      <c r="K1882" t="s">
        <v>5115</v>
      </c>
    </row>
    <row r="1883" spans="1:19" x14ac:dyDescent="0.25">
      <c r="A1883" t="s">
        <v>5198</v>
      </c>
      <c r="B1883" s="1">
        <v>44640</v>
      </c>
      <c r="C1883" t="s">
        <v>5199</v>
      </c>
      <c r="D1883" t="s">
        <v>259</v>
      </c>
      <c r="E1883" t="s">
        <v>24</v>
      </c>
      <c r="F1883" t="s">
        <v>208</v>
      </c>
      <c r="G1883">
        <v>15</v>
      </c>
      <c r="H1883" t="s">
        <v>464</v>
      </c>
      <c r="I1883" t="s">
        <v>579</v>
      </c>
      <c r="J1883" t="s">
        <v>2861</v>
      </c>
      <c r="K1883" t="s">
        <v>5200</v>
      </c>
    </row>
    <row r="1884" spans="1:19" x14ac:dyDescent="0.25">
      <c r="A1884" t="s">
        <v>5201</v>
      </c>
      <c r="B1884" s="1">
        <v>44640</v>
      </c>
      <c r="C1884" t="s">
        <v>5202</v>
      </c>
      <c r="D1884" t="s">
        <v>259</v>
      </c>
      <c r="E1884" t="s">
        <v>24</v>
      </c>
      <c r="F1884" t="s">
        <v>215</v>
      </c>
      <c r="G1884">
        <v>5</v>
      </c>
      <c r="H1884" t="s">
        <v>464</v>
      </c>
      <c r="I1884" t="s">
        <v>943</v>
      </c>
      <c r="J1884" t="s">
        <v>2205</v>
      </c>
      <c r="K1884" t="s">
        <v>5145</v>
      </c>
    </row>
    <row r="1885" spans="1:19" x14ac:dyDescent="0.25">
      <c r="A1885" t="s">
        <v>5203</v>
      </c>
      <c r="B1885" s="1">
        <v>44640</v>
      </c>
      <c r="C1885" t="s">
        <v>5204</v>
      </c>
      <c r="D1885" t="s">
        <v>259</v>
      </c>
      <c r="E1885" t="s">
        <v>24</v>
      </c>
      <c r="F1885" t="s">
        <v>554</v>
      </c>
      <c r="G1885">
        <v>10</v>
      </c>
      <c r="H1885" t="s">
        <v>49</v>
      </c>
      <c r="I1885" t="s">
        <v>1960</v>
      </c>
      <c r="J1885" t="s">
        <v>3287</v>
      </c>
      <c r="K1885" t="s">
        <v>4966</v>
      </c>
      <c r="R1885">
        <v>23</v>
      </c>
    </row>
    <row r="1886" spans="1:19" x14ac:dyDescent="0.25">
      <c r="A1886" t="s">
        <v>5205</v>
      </c>
      <c r="B1886" s="1">
        <v>44640</v>
      </c>
      <c r="C1886" t="s">
        <v>5206</v>
      </c>
      <c r="D1886" t="s">
        <v>259</v>
      </c>
      <c r="E1886" t="s">
        <v>24</v>
      </c>
      <c r="F1886" t="s">
        <v>243</v>
      </c>
      <c r="G1886">
        <v>45</v>
      </c>
      <c r="H1886" t="s">
        <v>188</v>
      </c>
      <c r="I1886" t="s">
        <v>189</v>
      </c>
      <c r="J1886" t="s">
        <v>829</v>
      </c>
      <c r="K1886" t="s">
        <v>5207</v>
      </c>
      <c r="R1886">
        <v>143</v>
      </c>
    </row>
    <row r="1887" spans="1:19" x14ac:dyDescent="0.25">
      <c r="A1887" t="s">
        <v>5208</v>
      </c>
      <c r="B1887" s="1">
        <v>44640</v>
      </c>
      <c r="C1887" t="s">
        <v>866</v>
      </c>
      <c r="D1887" t="s">
        <v>259</v>
      </c>
      <c r="E1887" t="s">
        <v>24</v>
      </c>
      <c r="F1887" t="s">
        <v>2708</v>
      </c>
      <c r="G1887">
        <v>5</v>
      </c>
      <c r="H1887" t="s">
        <v>188</v>
      </c>
      <c r="I1887" t="s">
        <v>1088</v>
      </c>
      <c r="J1887" t="s">
        <v>5209</v>
      </c>
      <c r="K1887" t="s">
        <v>5210</v>
      </c>
      <c r="R1887">
        <v>5</v>
      </c>
    </row>
    <row r="1888" spans="1:19" x14ac:dyDescent="0.25">
      <c r="A1888" t="s">
        <v>5211</v>
      </c>
      <c r="B1888" s="1">
        <v>44640</v>
      </c>
      <c r="C1888" t="s">
        <v>2059</v>
      </c>
      <c r="D1888" t="s">
        <v>259</v>
      </c>
      <c r="E1888" t="s">
        <v>24</v>
      </c>
      <c r="F1888" t="s">
        <v>208</v>
      </c>
      <c r="G1888">
        <v>10</v>
      </c>
      <c r="H1888" t="s">
        <v>464</v>
      </c>
      <c r="I1888" t="s">
        <v>763</v>
      </c>
      <c r="J1888" t="s">
        <v>764</v>
      </c>
      <c r="K1888" t="s">
        <v>5212</v>
      </c>
    </row>
    <row r="1889" spans="1:19" x14ac:dyDescent="0.25">
      <c r="A1889" t="s">
        <v>5282</v>
      </c>
      <c r="B1889" s="1">
        <v>44647</v>
      </c>
      <c r="C1889" t="s">
        <v>1171</v>
      </c>
      <c r="D1889" t="s">
        <v>259</v>
      </c>
      <c r="E1889" t="s">
        <v>24</v>
      </c>
      <c r="F1889" t="s">
        <v>243</v>
      </c>
      <c r="G1889">
        <v>45</v>
      </c>
      <c r="H1889" t="s">
        <v>188</v>
      </c>
      <c r="I1889" t="s">
        <v>254</v>
      </c>
      <c r="J1889" t="s">
        <v>1741</v>
      </c>
      <c r="K1889" t="s">
        <v>5283</v>
      </c>
      <c r="R1889">
        <v>142</v>
      </c>
    </row>
    <row r="1890" spans="1:19" x14ac:dyDescent="0.25">
      <c r="A1890" t="s">
        <v>5284</v>
      </c>
      <c r="B1890" s="1">
        <v>44647</v>
      </c>
      <c r="C1890" t="s">
        <v>1801</v>
      </c>
      <c r="D1890" t="s">
        <v>259</v>
      </c>
      <c r="E1890" t="s">
        <v>24</v>
      </c>
      <c r="F1890" t="s">
        <v>2708</v>
      </c>
      <c r="G1890">
        <v>10</v>
      </c>
      <c r="H1890" t="s">
        <v>464</v>
      </c>
      <c r="I1890" t="s">
        <v>579</v>
      </c>
      <c r="J1890" t="s">
        <v>808</v>
      </c>
      <c r="K1890" t="s">
        <v>5285</v>
      </c>
    </row>
    <row r="1891" spans="1:19" x14ac:dyDescent="0.25">
      <c r="A1891" t="s">
        <v>5355</v>
      </c>
      <c r="B1891" s="1">
        <v>44654</v>
      </c>
      <c r="C1891" t="s">
        <v>5356</v>
      </c>
      <c r="D1891" t="s">
        <v>259</v>
      </c>
      <c r="E1891" t="s">
        <v>24</v>
      </c>
      <c r="F1891" t="s">
        <v>200</v>
      </c>
      <c r="G1891">
        <v>30</v>
      </c>
      <c r="H1891" t="s">
        <v>188</v>
      </c>
      <c r="I1891" t="s">
        <v>189</v>
      </c>
      <c r="J1891" t="s">
        <v>201</v>
      </c>
      <c r="K1891" t="s">
        <v>5357</v>
      </c>
      <c r="R1891">
        <v>7</v>
      </c>
    </row>
    <row r="1892" spans="1:19" x14ac:dyDescent="0.25">
      <c r="A1892" t="s">
        <v>5439</v>
      </c>
      <c r="B1892" s="1">
        <v>44661</v>
      </c>
      <c r="C1892" t="s">
        <v>5440</v>
      </c>
      <c r="D1892" t="s">
        <v>259</v>
      </c>
      <c r="E1892" t="s">
        <v>24</v>
      </c>
      <c r="F1892" t="s">
        <v>208</v>
      </c>
      <c r="G1892">
        <v>10</v>
      </c>
      <c r="H1892" t="s">
        <v>464</v>
      </c>
      <c r="I1892" t="s">
        <v>579</v>
      </c>
      <c r="J1892" t="s">
        <v>1820</v>
      </c>
      <c r="K1892" t="s">
        <v>5441</v>
      </c>
    </row>
    <row r="1893" spans="1:19" x14ac:dyDescent="0.25">
      <c r="A1893" t="s">
        <v>5442</v>
      </c>
      <c r="B1893" s="1">
        <v>44661</v>
      </c>
      <c r="C1893" t="s">
        <v>5443</v>
      </c>
      <c r="D1893" t="s">
        <v>259</v>
      </c>
      <c r="E1893" t="s">
        <v>24</v>
      </c>
      <c r="F1893" t="s">
        <v>200</v>
      </c>
      <c r="G1893">
        <v>30</v>
      </c>
      <c r="H1893" t="s">
        <v>188</v>
      </c>
      <c r="I1893" t="s">
        <v>189</v>
      </c>
      <c r="J1893" t="s">
        <v>201</v>
      </c>
      <c r="K1893" t="s">
        <v>5444</v>
      </c>
      <c r="R1893">
        <v>95</v>
      </c>
    </row>
    <row r="1894" spans="1:19" x14ac:dyDescent="0.25">
      <c r="A1894" t="s">
        <v>5445</v>
      </c>
      <c r="B1894" s="1">
        <v>44661</v>
      </c>
      <c r="C1894" t="s">
        <v>5446</v>
      </c>
      <c r="D1894" t="s">
        <v>259</v>
      </c>
      <c r="E1894" t="s">
        <v>24</v>
      </c>
      <c r="F1894" t="s">
        <v>323</v>
      </c>
      <c r="G1894">
        <v>60</v>
      </c>
      <c r="H1894" t="s">
        <v>26</v>
      </c>
      <c r="I1894" t="s">
        <v>370</v>
      </c>
      <c r="J1894" t="s">
        <v>498</v>
      </c>
      <c r="K1894" t="s">
        <v>5447</v>
      </c>
      <c r="L1894">
        <v>377</v>
      </c>
      <c r="M1894">
        <v>105</v>
      </c>
      <c r="N1894" s="2">
        <v>0.37</v>
      </c>
      <c r="O1894">
        <v>86</v>
      </c>
      <c r="P1894">
        <v>16.440000000000001</v>
      </c>
      <c r="Q1894">
        <v>16.440000000000001</v>
      </c>
      <c r="R1894">
        <v>632</v>
      </c>
      <c r="S1894">
        <v>158.43</v>
      </c>
    </row>
    <row r="1895" spans="1:19" x14ac:dyDescent="0.25">
      <c r="A1895" t="s">
        <v>5448</v>
      </c>
      <c r="B1895" s="1">
        <v>44661</v>
      </c>
      <c r="C1895" t="s">
        <v>5449</v>
      </c>
      <c r="D1895" t="s">
        <v>259</v>
      </c>
      <c r="E1895" t="s">
        <v>24</v>
      </c>
      <c r="F1895" t="s">
        <v>180</v>
      </c>
      <c r="G1895">
        <v>10</v>
      </c>
      <c r="H1895" t="s">
        <v>26</v>
      </c>
      <c r="I1895" t="s">
        <v>39</v>
      </c>
      <c r="J1895" t="s">
        <v>431</v>
      </c>
      <c r="K1895" t="s">
        <v>5450</v>
      </c>
      <c r="L1895">
        <v>36</v>
      </c>
      <c r="M1895">
        <v>60</v>
      </c>
      <c r="N1895" s="2">
        <v>0.28999999999999998</v>
      </c>
      <c r="O1895">
        <v>84</v>
      </c>
      <c r="P1895">
        <v>12.97</v>
      </c>
      <c r="Q1895">
        <v>2.16</v>
      </c>
      <c r="R1895">
        <v>56</v>
      </c>
      <c r="S1895">
        <v>126.25</v>
      </c>
    </row>
    <row r="1896" spans="1:19" x14ac:dyDescent="0.25">
      <c r="A1896" t="s">
        <v>5451</v>
      </c>
      <c r="B1896" s="1">
        <v>44661</v>
      </c>
      <c r="C1896" t="s">
        <v>5452</v>
      </c>
      <c r="D1896" t="s">
        <v>259</v>
      </c>
      <c r="E1896" t="s">
        <v>24</v>
      </c>
      <c r="F1896" t="s">
        <v>170</v>
      </c>
      <c r="G1896">
        <v>10</v>
      </c>
      <c r="H1896" t="s">
        <v>194</v>
      </c>
      <c r="I1896" t="s">
        <v>700</v>
      </c>
      <c r="J1896" t="s">
        <v>1282</v>
      </c>
      <c r="K1896" t="s">
        <v>5453</v>
      </c>
      <c r="R1896">
        <v>50</v>
      </c>
      <c r="S1896">
        <v>110.34</v>
      </c>
    </row>
    <row r="1897" spans="1:19" x14ac:dyDescent="0.25">
      <c r="A1897" t="s">
        <v>5454</v>
      </c>
      <c r="B1897" s="1">
        <v>44661</v>
      </c>
      <c r="C1897" t="s">
        <v>5455</v>
      </c>
      <c r="D1897" t="s">
        <v>259</v>
      </c>
      <c r="E1897" t="s">
        <v>24</v>
      </c>
      <c r="F1897" t="s">
        <v>297</v>
      </c>
      <c r="G1897">
        <v>5</v>
      </c>
      <c r="H1897" t="s">
        <v>194</v>
      </c>
      <c r="I1897" t="s">
        <v>195</v>
      </c>
      <c r="J1897" t="s">
        <v>196</v>
      </c>
      <c r="K1897" t="s">
        <v>5456</v>
      </c>
      <c r="R1897">
        <v>23</v>
      </c>
      <c r="S1897">
        <v>106.77</v>
      </c>
    </row>
    <row r="1898" spans="1:19" x14ac:dyDescent="0.25">
      <c r="A1898" t="s">
        <v>5457</v>
      </c>
      <c r="B1898" s="1">
        <v>44661</v>
      </c>
      <c r="C1898" t="s">
        <v>2619</v>
      </c>
      <c r="D1898" t="s">
        <v>259</v>
      </c>
      <c r="E1898" t="s">
        <v>24</v>
      </c>
      <c r="F1898" t="s">
        <v>237</v>
      </c>
      <c r="G1898">
        <v>5</v>
      </c>
      <c r="H1898" t="s">
        <v>464</v>
      </c>
      <c r="I1898" t="s">
        <v>763</v>
      </c>
      <c r="J1898" t="s">
        <v>2354</v>
      </c>
      <c r="K1898" t="s">
        <v>5458</v>
      </c>
    </row>
    <row r="1899" spans="1:19" x14ac:dyDescent="0.25">
      <c r="A1899" t="s">
        <v>5528</v>
      </c>
      <c r="B1899" s="1">
        <v>44668</v>
      </c>
      <c r="C1899" t="s">
        <v>5529</v>
      </c>
      <c r="D1899" t="s">
        <v>259</v>
      </c>
      <c r="E1899" t="s">
        <v>24</v>
      </c>
      <c r="F1899" t="s">
        <v>208</v>
      </c>
      <c r="G1899">
        <v>15</v>
      </c>
      <c r="H1899" t="s">
        <v>464</v>
      </c>
      <c r="I1899" t="s">
        <v>763</v>
      </c>
      <c r="J1899" t="s">
        <v>2508</v>
      </c>
      <c r="K1899" t="s">
        <v>5530</v>
      </c>
    </row>
    <row r="1900" spans="1:19" x14ac:dyDescent="0.25">
      <c r="A1900" t="s">
        <v>5531</v>
      </c>
      <c r="B1900" s="1">
        <v>44668</v>
      </c>
      <c r="C1900" t="s">
        <v>5532</v>
      </c>
      <c r="D1900" t="s">
        <v>259</v>
      </c>
      <c r="E1900" t="s">
        <v>24</v>
      </c>
      <c r="F1900" t="s">
        <v>1987</v>
      </c>
      <c r="G1900">
        <v>30</v>
      </c>
      <c r="H1900" t="s">
        <v>188</v>
      </c>
      <c r="I1900" t="s">
        <v>189</v>
      </c>
      <c r="J1900" t="s">
        <v>201</v>
      </c>
      <c r="K1900" t="s">
        <v>5533</v>
      </c>
      <c r="R1900">
        <v>96</v>
      </c>
    </row>
    <row r="1901" spans="1:19" x14ac:dyDescent="0.25">
      <c r="A1901" t="s">
        <v>5534</v>
      </c>
      <c r="B1901" s="1">
        <v>44668</v>
      </c>
      <c r="C1901" t="s">
        <v>5535</v>
      </c>
      <c r="D1901" t="s">
        <v>259</v>
      </c>
      <c r="E1901" t="s">
        <v>24</v>
      </c>
      <c r="F1901" t="s">
        <v>554</v>
      </c>
      <c r="G1901">
        <v>20</v>
      </c>
      <c r="H1901" t="s">
        <v>194</v>
      </c>
      <c r="I1901" t="s">
        <v>5421</v>
      </c>
      <c r="J1901" t="s">
        <v>5536</v>
      </c>
      <c r="K1901" t="s">
        <v>5537</v>
      </c>
      <c r="R1901">
        <v>90</v>
      </c>
    </row>
    <row r="1902" spans="1:19" x14ac:dyDescent="0.25">
      <c r="A1902" t="s">
        <v>5538</v>
      </c>
      <c r="B1902" s="1">
        <v>44668</v>
      </c>
      <c r="C1902" t="s">
        <v>1009</v>
      </c>
      <c r="D1902" t="s">
        <v>259</v>
      </c>
      <c r="E1902" t="s">
        <v>24</v>
      </c>
      <c r="F1902" t="s">
        <v>459</v>
      </c>
      <c r="G1902">
        <v>10</v>
      </c>
      <c r="H1902" t="s">
        <v>464</v>
      </c>
      <c r="I1902" t="s">
        <v>763</v>
      </c>
      <c r="J1902" t="s">
        <v>914</v>
      </c>
      <c r="K1902" t="s">
        <v>5539</v>
      </c>
    </row>
    <row r="1903" spans="1:19" x14ac:dyDescent="0.25">
      <c r="A1903" t="s">
        <v>5624</v>
      </c>
      <c r="B1903" s="1">
        <v>44675</v>
      </c>
      <c r="C1903" t="s">
        <v>1552</v>
      </c>
      <c r="D1903" t="s">
        <v>259</v>
      </c>
      <c r="E1903" t="s">
        <v>24</v>
      </c>
      <c r="F1903" t="s">
        <v>459</v>
      </c>
      <c r="G1903">
        <v>10</v>
      </c>
      <c r="H1903" t="s">
        <v>464</v>
      </c>
      <c r="I1903" t="s">
        <v>763</v>
      </c>
      <c r="J1903" t="s">
        <v>914</v>
      </c>
      <c r="K1903" t="s">
        <v>5625</v>
      </c>
    </row>
    <row r="1904" spans="1:19" x14ac:dyDescent="0.25">
      <c r="A1904" t="s">
        <v>5693</v>
      </c>
      <c r="B1904" s="1">
        <v>44682</v>
      </c>
      <c r="C1904" t="s">
        <v>1658</v>
      </c>
      <c r="D1904" t="s">
        <v>259</v>
      </c>
      <c r="E1904" t="s">
        <v>24</v>
      </c>
      <c r="F1904" t="s">
        <v>237</v>
      </c>
      <c r="G1904">
        <v>10</v>
      </c>
      <c r="H1904" t="s">
        <v>464</v>
      </c>
      <c r="I1904" t="s">
        <v>763</v>
      </c>
      <c r="J1904" t="s">
        <v>764</v>
      </c>
      <c r="K1904" t="s">
        <v>5694</v>
      </c>
    </row>
    <row r="1905" spans="1:19" x14ac:dyDescent="0.25">
      <c r="A1905" t="s">
        <v>5769</v>
      </c>
      <c r="B1905" s="1">
        <v>44689</v>
      </c>
      <c r="C1905" t="s">
        <v>1353</v>
      </c>
      <c r="D1905" t="s">
        <v>259</v>
      </c>
      <c r="E1905" t="s">
        <v>24</v>
      </c>
      <c r="F1905" t="s">
        <v>323</v>
      </c>
      <c r="G1905">
        <v>45</v>
      </c>
      <c r="H1905" t="s">
        <v>26</v>
      </c>
      <c r="I1905" t="s">
        <v>370</v>
      </c>
      <c r="J1905" t="s">
        <v>4001</v>
      </c>
      <c r="K1905" t="s">
        <v>5770</v>
      </c>
      <c r="L1905">
        <v>278</v>
      </c>
      <c r="M1905">
        <v>103</v>
      </c>
      <c r="N1905" s="2">
        <v>0.37</v>
      </c>
      <c r="O1905">
        <v>85</v>
      </c>
      <c r="P1905">
        <v>16.32</v>
      </c>
      <c r="Q1905">
        <v>12.25</v>
      </c>
      <c r="R1905">
        <v>411</v>
      </c>
      <c r="S1905">
        <v>146.72</v>
      </c>
    </row>
    <row r="1906" spans="1:19" x14ac:dyDescent="0.25">
      <c r="A1906" t="s">
        <v>5771</v>
      </c>
      <c r="B1906" s="1">
        <v>44689</v>
      </c>
      <c r="C1906" t="s">
        <v>1715</v>
      </c>
      <c r="D1906" t="s">
        <v>259</v>
      </c>
      <c r="E1906" t="s">
        <v>24</v>
      </c>
      <c r="F1906" t="s">
        <v>2833</v>
      </c>
      <c r="G1906">
        <v>10</v>
      </c>
      <c r="H1906" t="s">
        <v>194</v>
      </c>
      <c r="I1906" t="s">
        <v>700</v>
      </c>
      <c r="J1906" t="s">
        <v>1282</v>
      </c>
      <c r="K1906" t="s">
        <v>5772</v>
      </c>
      <c r="R1906">
        <v>44</v>
      </c>
      <c r="S1906">
        <v>107.47</v>
      </c>
    </row>
    <row r="1907" spans="1:19" x14ac:dyDescent="0.25">
      <c r="A1907" t="s">
        <v>5773</v>
      </c>
      <c r="B1907" s="1">
        <v>44689</v>
      </c>
      <c r="C1907" t="s">
        <v>5774</v>
      </c>
      <c r="D1907" t="s">
        <v>259</v>
      </c>
      <c r="E1907" t="s">
        <v>24</v>
      </c>
      <c r="F1907" t="s">
        <v>237</v>
      </c>
      <c r="G1907">
        <v>20</v>
      </c>
      <c r="H1907" t="s">
        <v>188</v>
      </c>
      <c r="I1907" t="s">
        <v>238</v>
      </c>
      <c r="J1907" t="s">
        <v>5775</v>
      </c>
      <c r="K1907" t="s">
        <v>5776</v>
      </c>
      <c r="R1907">
        <v>68</v>
      </c>
    </row>
    <row r="1908" spans="1:19" x14ac:dyDescent="0.25">
      <c r="A1908" t="s">
        <v>5777</v>
      </c>
      <c r="B1908" s="1">
        <v>44689</v>
      </c>
      <c r="C1908" t="s">
        <v>2010</v>
      </c>
      <c r="D1908" t="s">
        <v>259</v>
      </c>
      <c r="E1908" t="s">
        <v>24</v>
      </c>
      <c r="F1908" t="s">
        <v>208</v>
      </c>
      <c r="G1908">
        <v>30</v>
      </c>
      <c r="H1908" t="s">
        <v>464</v>
      </c>
      <c r="I1908" t="s">
        <v>763</v>
      </c>
      <c r="J1908" t="s">
        <v>1640</v>
      </c>
      <c r="K1908" t="s">
        <v>5778</v>
      </c>
    </row>
    <row r="1909" spans="1:19" x14ac:dyDescent="0.25">
      <c r="A1909" t="s">
        <v>5827</v>
      </c>
      <c r="B1909" s="1">
        <v>44696</v>
      </c>
      <c r="C1909" t="s">
        <v>967</v>
      </c>
      <c r="D1909" t="s">
        <v>259</v>
      </c>
      <c r="E1909" t="s">
        <v>24</v>
      </c>
      <c r="F1909" t="s">
        <v>243</v>
      </c>
      <c r="G1909">
        <v>30</v>
      </c>
      <c r="H1909" t="s">
        <v>188</v>
      </c>
      <c r="I1909" t="s">
        <v>189</v>
      </c>
      <c r="J1909" t="s">
        <v>5828</v>
      </c>
      <c r="K1909" t="s">
        <v>5829</v>
      </c>
      <c r="R1909">
        <v>102</v>
      </c>
      <c r="S1909">
        <v>92.4</v>
      </c>
    </row>
    <row r="1910" spans="1:19" x14ac:dyDescent="0.25">
      <c r="A1910" t="s">
        <v>5830</v>
      </c>
      <c r="B1910" s="1">
        <v>44696</v>
      </c>
      <c r="C1910" t="s">
        <v>515</v>
      </c>
      <c r="D1910" t="s">
        <v>259</v>
      </c>
      <c r="E1910" t="s">
        <v>24</v>
      </c>
      <c r="F1910" t="s">
        <v>215</v>
      </c>
      <c r="G1910">
        <v>10</v>
      </c>
      <c r="H1910" t="s">
        <v>188</v>
      </c>
      <c r="I1910" t="s">
        <v>238</v>
      </c>
      <c r="J1910" t="s">
        <v>731</v>
      </c>
      <c r="K1910" t="s">
        <v>5831</v>
      </c>
      <c r="R1910">
        <v>34</v>
      </c>
    </row>
    <row r="1911" spans="1:19" x14ac:dyDescent="0.25">
      <c r="A1911" t="s">
        <v>5909</v>
      </c>
      <c r="B1911" s="1">
        <v>44703</v>
      </c>
      <c r="C1911" t="s">
        <v>5910</v>
      </c>
      <c r="D1911" t="s">
        <v>259</v>
      </c>
      <c r="E1911" t="s">
        <v>24</v>
      </c>
      <c r="F1911" t="s">
        <v>208</v>
      </c>
      <c r="G1911">
        <v>15</v>
      </c>
      <c r="H1911" t="s">
        <v>464</v>
      </c>
      <c r="I1911" t="s">
        <v>943</v>
      </c>
      <c r="J1911" t="s">
        <v>1709</v>
      </c>
      <c r="K1911" t="s">
        <v>5826</v>
      </c>
    </row>
    <row r="1912" spans="1:19" x14ac:dyDescent="0.25">
      <c r="A1912" t="s">
        <v>5911</v>
      </c>
      <c r="B1912" s="1">
        <v>44703</v>
      </c>
      <c r="C1912" t="s">
        <v>5912</v>
      </c>
      <c r="D1912" t="s">
        <v>259</v>
      </c>
      <c r="E1912" t="s">
        <v>24</v>
      </c>
      <c r="F1912" t="s">
        <v>208</v>
      </c>
      <c r="G1912">
        <v>15</v>
      </c>
      <c r="H1912" t="s">
        <v>464</v>
      </c>
      <c r="I1912" t="s">
        <v>943</v>
      </c>
      <c r="J1912" t="s">
        <v>1709</v>
      </c>
      <c r="K1912" t="s">
        <v>5826</v>
      </c>
    </row>
    <row r="1913" spans="1:19" x14ac:dyDescent="0.25">
      <c r="A1913" t="s">
        <v>5913</v>
      </c>
      <c r="B1913" s="1">
        <v>44703</v>
      </c>
      <c r="C1913" t="s">
        <v>1292</v>
      </c>
      <c r="D1913" t="s">
        <v>259</v>
      </c>
      <c r="E1913" t="s">
        <v>24</v>
      </c>
      <c r="F1913" t="s">
        <v>200</v>
      </c>
      <c r="G1913">
        <v>15</v>
      </c>
      <c r="H1913" t="s">
        <v>464</v>
      </c>
      <c r="I1913" t="s">
        <v>579</v>
      </c>
      <c r="J1913" t="s">
        <v>4321</v>
      </c>
      <c r="K1913" t="s">
        <v>5895</v>
      </c>
    </row>
    <row r="1914" spans="1:19" x14ac:dyDescent="0.25">
      <c r="A1914" t="s">
        <v>5979</v>
      </c>
      <c r="B1914" s="1">
        <v>44710</v>
      </c>
      <c r="C1914" t="s">
        <v>70</v>
      </c>
      <c r="D1914" t="s">
        <v>259</v>
      </c>
      <c r="E1914" t="s">
        <v>24</v>
      </c>
      <c r="F1914" t="s">
        <v>305</v>
      </c>
      <c r="G1914">
        <v>10</v>
      </c>
      <c r="H1914" t="s">
        <v>194</v>
      </c>
      <c r="I1914" t="s">
        <v>195</v>
      </c>
      <c r="J1914" t="s">
        <v>211</v>
      </c>
      <c r="K1914" t="s">
        <v>5980</v>
      </c>
      <c r="R1914">
        <v>44</v>
      </c>
    </row>
    <row r="1915" spans="1:19" x14ac:dyDescent="0.25">
      <c r="A1915" t="s">
        <v>5981</v>
      </c>
      <c r="B1915" s="1">
        <v>44710</v>
      </c>
      <c r="C1915" t="s">
        <v>5982</v>
      </c>
      <c r="D1915" t="s">
        <v>259</v>
      </c>
      <c r="E1915" t="s">
        <v>24</v>
      </c>
      <c r="F1915" t="s">
        <v>237</v>
      </c>
      <c r="G1915">
        <v>10</v>
      </c>
      <c r="H1915" t="s">
        <v>464</v>
      </c>
      <c r="I1915" t="s">
        <v>1617</v>
      </c>
      <c r="J1915" t="s">
        <v>3543</v>
      </c>
      <c r="K1915" t="s">
        <v>5983</v>
      </c>
    </row>
    <row r="1916" spans="1:19" x14ac:dyDescent="0.25">
      <c r="A1916" t="s">
        <v>6045</v>
      </c>
      <c r="B1916" s="1">
        <v>44717</v>
      </c>
      <c r="C1916" t="s">
        <v>251</v>
      </c>
      <c r="D1916" t="s">
        <v>259</v>
      </c>
      <c r="E1916" t="s">
        <v>24</v>
      </c>
      <c r="F1916" t="s">
        <v>200</v>
      </c>
      <c r="G1916">
        <v>10</v>
      </c>
      <c r="H1916" t="s">
        <v>464</v>
      </c>
      <c r="I1916" t="s">
        <v>943</v>
      </c>
      <c r="J1916" t="s">
        <v>944</v>
      </c>
      <c r="K1916" t="s">
        <v>6046</v>
      </c>
    </row>
    <row r="1917" spans="1:19" x14ac:dyDescent="0.25">
      <c r="A1917" t="s">
        <v>6107</v>
      </c>
      <c r="B1917" s="1">
        <v>44724</v>
      </c>
      <c r="C1917" t="s">
        <v>540</v>
      </c>
      <c r="D1917" t="s">
        <v>259</v>
      </c>
      <c r="E1917" t="s">
        <v>24</v>
      </c>
      <c r="F1917" t="s">
        <v>243</v>
      </c>
      <c r="G1917">
        <v>30</v>
      </c>
      <c r="H1917" t="s">
        <v>188</v>
      </c>
      <c r="I1917" t="s">
        <v>238</v>
      </c>
      <c r="J1917" t="s">
        <v>6108</v>
      </c>
      <c r="K1917" t="s">
        <v>6109</v>
      </c>
      <c r="R1917">
        <v>86</v>
      </c>
    </row>
    <row r="1918" spans="1:19" x14ac:dyDescent="0.25">
      <c r="A1918" t="s">
        <v>6110</v>
      </c>
      <c r="B1918" s="1">
        <v>44724</v>
      </c>
      <c r="C1918" t="s">
        <v>743</v>
      </c>
      <c r="D1918" t="s">
        <v>259</v>
      </c>
      <c r="E1918" t="s">
        <v>24</v>
      </c>
      <c r="F1918" t="s">
        <v>200</v>
      </c>
      <c r="G1918">
        <v>10</v>
      </c>
      <c r="H1918" t="s">
        <v>464</v>
      </c>
      <c r="I1918" t="s">
        <v>579</v>
      </c>
      <c r="J1918" t="s">
        <v>808</v>
      </c>
      <c r="K1918" t="s">
        <v>6111</v>
      </c>
    </row>
    <row r="1919" spans="1:19" x14ac:dyDescent="0.25">
      <c r="A1919" t="s">
        <v>6112</v>
      </c>
      <c r="B1919" s="1">
        <v>44724</v>
      </c>
      <c r="C1919" t="s">
        <v>6113</v>
      </c>
      <c r="D1919" t="s">
        <v>259</v>
      </c>
      <c r="E1919" t="s">
        <v>24</v>
      </c>
      <c r="F1919" t="s">
        <v>180</v>
      </c>
      <c r="G1919">
        <v>10</v>
      </c>
      <c r="H1919" t="s">
        <v>194</v>
      </c>
      <c r="I1919" t="s">
        <v>195</v>
      </c>
      <c r="J1919" t="s">
        <v>211</v>
      </c>
      <c r="K1919" t="s">
        <v>6114</v>
      </c>
      <c r="R1919">
        <v>46</v>
      </c>
    </row>
    <row r="1920" spans="1:19" x14ac:dyDescent="0.25">
      <c r="A1920" t="s">
        <v>6115</v>
      </c>
      <c r="B1920" s="1">
        <v>44724</v>
      </c>
      <c r="C1920" t="s">
        <v>5463</v>
      </c>
      <c r="D1920" t="s">
        <v>259</v>
      </c>
      <c r="E1920" t="s">
        <v>24</v>
      </c>
      <c r="F1920" t="s">
        <v>323</v>
      </c>
      <c r="G1920">
        <v>60</v>
      </c>
      <c r="H1920" t="s">
        <v>26</v>
      </c>
      <c r="I1920" t="s">
        <v>370</v>
      </c>
      <c r="J1920" t="s">
        <v>498</v>
      </c>
      <c r="K1920" t="s">
        <v>6116</v>
      </c>
      <c r="L1920">
        <v>371</v>
      </c>
      <c r="M1920">
        <v>103</v>
      </c>
      <c r="N1920" s="2">
        <v>0.38</v>
      </c>
      <c r="O1920">
        <v>84</v>
      </c>
      <c r="P1920">
        <v>16.32</v>
      </c>
      <c r="Q1920">
        <v>16.32</v>
      </c>
      <c r="R1920">
        <v>556</v>
      </c>
      <c r="S1920">
        <v>146.97</v>
      </c>
    </row>
    <row r="1921" spans="1:19" x14ac:dyDescent="0.25">
      <c r="A1921" t="s">
        <v>6117</v>
      </c>
      <c r="B1921" s="1">
        <v>44724</v>
      </c>
      <c r="C1921" t="s">
        <v>2853</v>
      </c>
      <c r="D1921" t="s">
        <v>259</v>
      </c>
      <c r="E1921" t="s">
        <v>24</v>
      </c>
      <c r="F1921" t="s">
        <v>2595</v>
      </c>
      <c r="G1921">
        <v>5</v>
      </c>
      <c r="H1921" t="s">
        <v>49</v>
      </c>
      <c r="I1921" t="s">
        <v>50</v>
      </c>
      <c r="J1921" t="s">
        <v>51</v>
      </c>
      <c r="K1921" t="s">
        <v>6118</v>
      </c>
      <c r="R1921">
        <v>11</v>
      </c>
    </row>
    <row r="1922" spans="1:19" x14ac:dyDescent="0.25">
      <c r="A1922" t="s">
        <v>6119</v>
      </c>
      <c r="B1922" s="1">
        <v>44724</v>
      </c>
      <c r="C1922" t="s">
        <v>2100</v>
      </c>
      <c r="D1922" t="s">
        <v>259</v>
      </c>
      <c r="E1922" t="s">
        <v>24</v>
      </c>
      <c r="F1922" t="s">
        <v>459</v>
      </c>
      <c r="G1922">
        <v>10</v>
      </c>
      <c r="H1922" t="s">
        <v>464</v>
      </c>
      <c r="I1922" t="s">
        <v>579</v>
      </c>
      <c r="J1922" t="s">
        <v>986</v>
      </c>
      <c r="K1922" t="s">
        <v>6120</v>
      </c>
    </row>
    <row r="1923" spans="1:19" x14ac:dyDescent="0.25">
      <c r="A1923" t="s">
        <v>6174</v>
      </c>
      <c r="B1923" s="1">
        <v>44731</v>
      </c>
      <c r="C1923" t="s">
        <v>1504</v>
      </c>
      <c r="D1923" t="s">
        <v>259</v>
      </c>
      <c r="E1923" t="s">
        <v>24</v>
      </c>
      <c r="F1923" t="s">
        <v>237</v>
      </c>
      <c r="G1923">
        <v>10</v>
      </c>
      <c r="H1923" t="s">
        <v>464</v>
      </c>
      <c r="I1923" t="s">
        <v>943</v>
      </c>
      <c r="J1923" t="s">
        <v>944</v>
      </c>
      <c r="K1923" t="s">
        <v>6175</v>
      </c>
    </row>
    <row r="1924" spans="1:19" x14ac:dyDescent="0.25">
      <c r="A1924" t="s">
        <v>6176</v>
      </c>
      <c r="B1924" s="1">
        <v>44731</v>
      </c>
      <c r="C1924" t="s">
        <v>6177</v>
      </c>
      <c r="D1924" t="s">
        <v>259</v>
      </c>
      <c r="E1924" t="s">
        <v>24</v>
      </c>
      <c r="F1924" t="s">
        <v>1203</v>
      </c>
      <c r="G1924">
        <v>10</v>
      </c>
      <c r="H1924" t="s">
        <v>194</v>
      </c>
      <c r="I1924" t="s">
        <v>195</v>
      </c>
      <c r="J1924" t="s">
        <v>211</v>
      </c>
      <c r="K1924" t="s">
        <v>6178</v>
      </c>
      <c r="R1924">
        <v>35</v>
      </c>
      <c r="S1924">
        <v>91.4</v>
      </c>
    </row>
    <row r="1925" spans="1:19" x14ac:dyDescent="0.25">
      <c r="A1925" t="s">
        <v>6179</v>
      </c>
      <c r="B1925" s="1">
        <v>44731</v>
      </c>
      <c r="C1925" t="s">
        <v>6180</v>
      </c>
      <c r="D1925" t="s">
        <v>259</v>
      </c>
      <c r="E1925" t="s">
        <v>24</v>
      </c>
      <c r="F1925" t="s">
        <v>323</v>
      </c>
      <c r="G1925">
        <v>60</v>
      </c>
      <c r="H1925" t="s">
        <v>26</v>
      </c>
      <c r="I1925" t="s">
        <v>370</v>
      </c>
      <c r="J1925" t="s">
        <v>498</v>
      </c>
      <c r="K1925" t="s">
        <v>5923</v>
      </c>
      <c r="L1925">
        <v>367</v>
      </c>
      <c r="M1925">
        <v>101</v>
      </c>
      <c r="N1925" s="2">
        <v>0.37</v>
      </c>
      <c r="O1925">
        <v>84</v>
      </c>
      <c r="P1925">
        <v>16.2</v>
      </c>
      <c r="Q1925">
        <v>16.260000000000002</v>
      </c>
      <c r="R1925">
        <v>579</v>
      </c>
      <c r="S1925">
        <v>149.04</v>
      </c>
    </row>
    <row r="1926" spans="1:19" x14ac:dyDescent="0.25">
      <c r="A1926" t="s">
        <v>6181</v>
      </c>
      <c r="B1926" s="1">
        <v>44731</v>
      </c>
      <c r="C1926" t="s">
        <v>3061</v>
      </c>
      <c r="D1926" t="s">
        <v>259</v>
      </c>
      <c r="E1926" t="s">
        <v>24</v>
      </c>
      <c r="F1926" t="s">
        <v>200</v>
      </c>
      <c r="G1926">
        <v>10</v>
      </c>
      <c r="H1926" t="s">
        <v>188</v>
      </c>
      <c r="I1926" t="s">
        <v>238</v>
      </c>
      <c r="J1926" t="s">
        <v>731</v>
      </c>
      <c r="K1926" t="s">
        <v>6182</v>
      </c>
      <c r="R1926">
        <v>35</v>
      </c>
      <c r="S1926">
        <v>93.03</v>
      </c>
    </row>
    <row r="1927" spans="1:19" x14ac:dyDescent="0.25">
      <c r="A1927" t="s">
        <v>6183</v>
      </c>
      <c r="B1927" s="1">
        <v>44731</v>
      </c>
      <c r="C1927" t="s">
        <v>1398</v>
      </c>
      <c r="D1927" t="s">
        <v>259</v>
      </c>
      <c r="E1927" t="s">
        <v>24</v>
      </c>
      <c r="F1927" t="s">
        <v>200</v>
      </c>
      <c r="G1927">
        <v>10</v>
      </c>
      <c r="H1927" t="s">
        <v>464</v>
      </c>
      <c r="I1927" t="s">
        <v>1571</v>
      </c>
      <c r="J1927" t="s">
        <v>5082</v>
      </c>
      <c r="K1927" t="s">
        <v>5145</v>
      </c>
    </row>
    <row r="1928" spans="1:19" x14ac:dyDescent="0.25">
      <c r="A1928" t="s">
        <v>6228</v>
      </c>
      <c r="B1928" s="1">
        <v>44738</v>
      </c>
      <c r="C1928" t="s">
        <v>6229</v>
      </c>
      <c r="D1928" t="s">
        <v>259</v>
      </c>
      <c r="E1928" t="s">
        <v>24</v>
      </c>
      <c r="F1928" t="s">
        <v>208</v>
      </c>
      <c r="G1928">
        <v>20</v>
      </c>
      <c r="H1928" t="s">
        <v>464</v>
      </c>
      <c r="I1928" t="s">
        <v>943</v>
      </c>
      <c r="J1928" t="s">
        <v>1347</v>
      </c>
      <c r="K1928" t="s">
        <v>6224</v>
      </c>
    </row>
    <row r="1929" spans="1:19" x14ac:dyDescent="0.25">
      <c r="A1929" t="s">
        <v>6298</v>
      </c>
      <c r="B1929" s="1">
        <v>44745</v>
      </c>
      <c r="C1929" t="s">
        <v>6299</v>
      </c>
      <c r="D1929" t="s">
        <v>259</v>
      </c>
      <c r="E1929" t="s">
        <v>24</v>
      </c>
      <c r="F1929" t="s">
        <v>328</v>
      </c>
      <c r="G1929">
        <v>20</v>
      </c>
      <c r="H1929" t="s">
        <v>1856</v>
      </c>
      <c r="I1929" t="s">
        <v>1857</v>
      </c>
      <c r="J1929" t="s">
        <v>6277</v>
      </c>
      <c r="K1929" t="s">
        <v>6300</v>
      </c>
      <c r="L1929">
        <v>0</v>
      </c>
      <c r="P1929">
        <v>3.52</v>
      </c>
      <c r="Q1929">
        <v>1.17</v>
      </c>
      <c r="R1929">
        <v>133</v>
      </c>
      <c r="S1929">
        <v>132.61000000000001</v>
      </c>
    </row>
    <row r="1930" spans="1:19" x14ac:dyDescent="0.25">
      <c r="A1930" t="s">
        <v>6301</v>
      </c>
      <c r="B1930" s="1">
        <v>44745</v>
      </c>
      <c r="C1930" t="s">
        <v>6302</v>
      </c>
      <c r="D1930" t="s">
        <v>259</v>
      </c>
      <c r="E1930" t="s">
        <v>24</v>
      </c>
      <c r="F1930" t="s">
        <v>1203</v>
      </c>
      <c r="G1930">
        <v>20</v>
      </c>
      <c r="H1930" t="s">
        <v>1856</v>
      </c>
      <c r="I1930" t="s">
        <v>1857</v>
      </c>
      <c r="J1930" t="s">
        <v>6303</v>
      </c>
      <c r="K1930" t="s">
        <v>6304</v>
      </c>
      <c r="L1930">
        <v>0</v>
      </c>
      <c r="P1930">
        <v>3.54</v>
      </c>
      <c r="Q1930">
        <v>0.92</v>
      </c>
      <c r="R1930">
        <v>106</v>
      </c>
      <c r="S1930">
        <v>126.38</v>
      </c>
    </row>
    <row r="1931" spans="1:19" x14ac:dyDescent="0.25">
      <c r="A1931" t="s">
        <v>6381</v>
      </c>
      <c r="B1931" s="1">
        <v>44752</v>
      </c>
      <c r="C1931" t="s">
        <v>818</v>
      </c>
      <c r="D1931" t="s">
        <v>259</v>
      </c>
      <c r="E1931" t="s">
        <v>24</v>
      </c>
      <c r="F1931" t="s">
        <v>243</v>
      </c>
      <c r="G1931">
        <v>30</v>
      </c>
      <c r="H1931" t="s">
        <v>188</v>
      </c>
      <c r="I1931" t="s">
        <v>238</v>
      </c>
      <c r="J1931" t="s">
        <v>6108</v>
      </c>
      <c r="K1931" t="s">
        <v>6382</v>
      </c>
      <c r="R1931">
        <v>92</v>
      </c>
    </row>
    <row r="1932" spans="1:19" x14ac:dyDescent="0.25">
      <c r="A1932" t="s">
        <v>6383</v>
      </c>
      <c r="B1932" s="1">
        <v>44752</v>
      </c>
      <c r="C1932" t="s">
        <v>1597</v>
      </c>
      <c r="D1932" t="s">
        <v>259</v>
      </c>
      <c r="E1932" t="s">
        <v>24</v>
      </c>
      <c r="F1932" t="s">
        <v>459</v>
      </c>
      <c r="G1932">
        <v>20</v>
      </c>
      <c r="H1932" t="s">
        <v>464</v>
      </c>
      <c r="I1932" t="s">
        <v>943</v>
      </c>
      <c r="J1932" t="s">
        <v>1347</v>
      </c>
      <c r="K1932" t="s">
        <v>6384</v>
      </c>
    </row>
    <row r="1933" spans="1:19" x14ac:dyDescent="0.25">
      <c r="A1933" t="s">
        <v>6457</v>
      </c>
      <c r="B1933" s="1">
        <v>44759</v>
      </c>
      <c r="C1933" t="s">
        <v>6458</v>
      </c>
      <c r="D1933" t="s">
        <v>259</v>
      </c>
      <c r="E1933" t="s">
        <v>24</v>
      </c>
      <c r="F1933" t="s">
        <v>200</v>
      </c>
      <c r="G1933">
        <v>45</v>
      </c>
      <c r="H1933" t="s">
        <v>188</v>
      </c>
      <c r="I1933" t="s">
        <v>254</v>
      </c>
      <c r="J1933" t="s">
        <v>1741</v>
      </c>
      <c r="K1933" t="s">
        <v>6459</v>
      </c>
      <c r="R1933">
        <v>143</v>
      </c>
    </row>
    <row r="1934" spans="1:19" x14ac:dyDescent="0.25">
      <c r="A1934" t="s">
        <v>6460</v>
      </c>
      <c r="B1934" s="1">
        <v>44759</v>
      </c>
      <c r="C1934" t="s">
        <v>251</v>
      </c>
      <c r="D1934" t="s">
        <v>259</v>
      </c>
      <c r="E1934" t="s">
        <v>24</v>
      </c>
      <c r="F1934" t="s">
        <v>215</v>
      </c>
      <c r="G1934">
        <v>10</v>
      </c>
      <c r="H1934" t="s">
        <v>464</v>
      </c>
      <c r="I1934" t="s">
        <v>579</v>
      </c>
      <c r="J1934" t="s">
        <v>1975</v>
      </c>
      <c r="K1934" t="s">
        <v>6411</v>
      </c>
    </row>
    <row r="1935" spans="1:19" x14ac:dyDescent="0.25">
      <c r="A1935" t="s">
        <v>6525</v>
      </c>
      <c r="B1935" s="1">
        <v>44766</v>
      </c>
      <c r="C1935" t="s">
        <v>589</v>
      </c>
      <c r="D1935" t="s">
        <v>259</v>
      </c>
      <c r="E1935" t="s">
        <v>24</v>
      </c>
      <c r="F1935" t="s">
        <v>200</v>
      </c>
      <c r="G1935">
        <v>30</v>
      </c>
      <c r="H1935" t="s">
        <v>188</v>
      </c>
      <c r="I1935" t="s">
        <v>238</v>
      </c>
      <c r="J1935" t="s">
        <v>1956</v>
      </c>
      <c r="K1935" t="s">
        <v>6526</v>
      </c>
      <c r="R1935">
        <v>96</v>
      </c>
    </row>
    <row r="1936" spans="1:19" x14ac:dyDescent="0.25">
      <c r="A1936" t="s">
        <v>6527</v>
      </c>
      <c r="B1936" s="1">
        <v>44766</v>
      </c>
      <c r="C1936" t="s">
        <v>1476</v>
      </c>
      <c r="D1936" t="s">
        <v>259</v>
      </c>
      <c r="E1936" t="s">
        <v>24</v>
      </c>
      <c r="F1936" t="s">
        <v>2708</v>
      </c>
      <c r="G1936">
        <v>5</v>
      </c>
      <c r="H1936" t="s">
        <v>464</v>
      </c>
      <c r="I1936" t="s">
        <v>763</v>
      </c>
      <c r="J1936" t="s">
        <v>4184</v>
      </c>
      <c r="K1936" t="s">
        <v>6528</v>
      </c>
    </row>
    <row r="1937" spans="1:19" x14ac:dyDescent="0.25">
      <c r="A1937" t="s">
        <v>6588</v>
      </c>
      <c r="B1937" s="1">
        <v>44773</v>
      </c>
      <c r="C1937" t="s">
        <v>1923</v>
      </c>
      <c r="D1937" t="s">
        <v>259</v>
      </c>
      <c r="E1937" t="s">
        <v>24</v>
      </c>
      <c r="F1937" t="s">
        <v>215</v>
      </c>
      <c r="G1937">
        <v>30</v>
      </c>
      <c r="H1937" t="s">
        <v>188</v>
      </c>
      <c r="I1937" t="s">
        <v>254</v>
      </c>
      <c r="J1937" t="s">
        <v>5574</v>
      </c>
      <c r="K1937" t="s">
        <v>6589</v>
      </c>
      <c r="R1937">
        <v>93</v>
      </c>
    </row>
    <row r="1938" spans="1:19" x14ac:dyDescent="0.25">
      <c r="A1938" t="s">
        <v>6590</v>
      </c>
      <c r="B1938" s="1">
        <v>44773</v>
      </c>
      <c r="C1938" t="s">
        <v>2307</v>
      </c>
      <c r="D1938" t="s">
        <v>259</v>
      </c>
      <c r="E1938" t="s">
        <v>24</v>
      </c>
      <c r="F1938" t="s">
        <v>208</v>
      </c>
      <c r="G1938">
        <v>15</v>
      </c>
      <c r="H1938" t="s">
        <v>464</v>
      </c>
      <c r="I1938" t="s">
        <v>943</v>
      </c>
      <c r="J1938" t="s">
        <v>1709</v>
      </c>
      <c r="K1938" t="s">
        <v>6585</v>
      </c>
    </row>
    <row r="1939" spans="1:19" x14ac:dyDescent="0.25">
      <c r="A1939" t="s">
        <v>6640</v>
      </c>
      <c r="B1939" s="1">
        <v>44780</v>
      </c>
      <c r="C1939" t="s">
        <v>236</v>
      </c>
      <c r="D1939" t="s">
        <v>259</v>
      </c>
      <c r="E1939" t="s">
        <v>24</v>
      </c>
      <c r="F1939" t="s">
        <v>243</v>
      </c>
      <c r="G1939">
        <v>45</v>
      </c>
      <c r="H1939" t="s">
        <v>188</v>
      </c>
      <c r="I1939" t="s">
        <v>189</v>
      </c>
      <c r="J1939" t="s">
        <v>244</v>
      </c>
      <c r="K1939" t="s">
        <v>6641</v>
      </c>
      <c r="R1939">
        <v>153</v>
      </c>
      <c r="S1939">
        <v>93.61</v>
      </c>
    </row>
    <row r="1940" spans="1:19" x14ac:dyDescent="0.25">
      <c r="A1940" t="s">
        <v>6642</v>
      </c>
      <c r="B1940" s="1">
        <v>44780</v>
      </c>
      <c r="C1940" t="s">
        <v>1361</v>
      </c>
      <c r="D1940" t="s">
        <v>259</v>
      </c>
      <c r="E1940" t="s">
        <v>24</v>
      </c>
      <c r="F1940" t="s">
        <v>200</v>
      </c>
      <c r="G1940">
        <v>10</v>
      </c>
      <c r="H1940" t="s">
        <v>464</v>
      </c>
      <c r="I1940" t="s">
        <v>763</v>
      </c>
      <c r="J1940" t="s">
        <v>764</v>
      </c>
      <c r="K1940" t="s">
        <v>6643</v>
      </c>
    </row>
    <row r="1941" spans="1:19" x14ac:dyDescent="0.25">
      <c r="A1941" t="s">
        <v>6669</v>
      </c>
      <c r="B1941" s="1">
        <v>44787</v>
      </c>
      <c r="C1941" t="s">
        <v>3225</v>
      </c>
      <c r="D1941" t="s">
        <v>259</v>
      </c>
      <c r="E1941" t="s">
        <v>24</v>
      </c>
      <c r="F1941" t="s">
        <v>323</v>
      </c>
      <c r="G1941">
        <v>60</v>
      </c>
      <c r="H1941" t="s">
        <v>26</v>
      </c>
      <c r="I1941" t="s">
        <v>370</v>
      </c>
      <c r="J1941" t="s">
        <v>498</v>
      </c>
      <c r="K1941" t="s">
        <v>6670</v>
      </c>
      <c r="L1941">
        <v>435</v>
      </c>
      <c r="M1941">
        <v>121</v>
      </c>
      <c r="N1941" s="2">
        <v>0.4</v>
      </c>
      <c r="O1941">
        <v>84</v>
      </c>
      <c r="P1941">
        <v>17.41</v>
      </c>
      <c r="Q1941">
        <v>17.41</v>
      </c>
      <c r="R1941">
        <v>638</v>
      </c>
      <c r="S1941">
        <v>159.44999999999999</v>
      </c>
    </row>
    <row r="1942" spans="1:19" x14ac:dyDescent="0.25">
      <c r="A1942" t="s">
        <v>6671</v>
      </c>
      <c r="B1942" s="1">
        <v>44787</v>
      </c>
      <c r="C1942" t="s">
        <v>1643</v>
      </c>
      <c r="D1942" t="s">
        <v>259</v>
      </c>
      <c r="E1942" t="s">
        <v>24</v>
      </c>
      <c r="F1942" t="s">
        <v>323</v>
      </c>
      <c r="G1942">
        <v>5</v>
      </c>
      <c r="H1942" t="s">
        <v>26</v>
      </c>
      <c r="I1942" t="s">
        <v>358</v>
      </c>
      <c r="J1942" t="s">
        <v>359</v>
      </c>
      <c r="K1942" t="s">
        <v>6620</v>
      </c>
      <c r="L1942">
        <v>17</v>
      </c>
      <c r="M1942">
        <v>58</v>
      </c>
      <c r="N1942" s="2">
        <v>0.27</v>
      </c>
      <c r="O1942">
        <v>93</v>
      </c>
      <c r="P1942">
        <v>12.64</v>
      </c>
      <c r="Q1942">
        <v>1.05</v>
      </c>
      <c r="R1942">
        <v>36</v>
      </c>
      <c r="S1942">
        <v>130.59</v>
      </c>
    </row>
    <row r="1943" spans="1:19" x14ac:dyDescent="0.25">
      <c r="A1943" t="s">
        <v>6672</v>
      </c>
      <c r="B1943" s="1">
        <v>44787</v>
      </c>
      <c r="C1943" t="s">
        <v>6673</v>
      </c>
      <c r="D1943" t="s">
        <v>259</v>
      </c>
      <c r="E1943" t="s">
        <v>24</v>
      </c>
      <c r="F1943" t="s">
        <v>297</v>
      </c>
      <c r="G1943">
        <v>10</v>
      </c>
      <c r="H1943" t="s">
        <v>194</v>
      </c>
      <c r="I1943" t="s">
        <v>195</v>
      </c>
      <c r="J1943" t="s">
        <v>211</v>
      </c>
      <c r="K1943" t="s">
        <v>6674</v>
      </c>
      <c r="R1943">
        <v>72</v>
      </c>
      <c r="S1943">
        <v>123.73</v>
      </c>
    </row>
    <row r="1944" spans="1:19" x14ac:dyDescent="0.25">
      <c r="A1944" t="s">
        <v>6675</v>
      </c>
      <c r="B1944" s="1">
        <v>44787</v>
      </c>
      <c r="C1944" t="s">
        <v>1209</v>
      </c>
      <c r="D1944" t="s">
        <v>259</v>
      </c>
      <c r="E1944" t="s">
        <v>24</v>
      </c>
      <c r="F1944" t="s">
        <v>243</v>
      </c>
      <c r="G1944">
        <v>30</v>
      </c>
      <c r="H1944" t="s">
        <v>188</v>
      </c>
      <c r="I1944" t="s">
        <v>238</v>
      </c>
      <c r="J1944" t="s">
        <v>6108</v>
      </c>
      <c r="K1944" t="s">
        <v>6676</v>
      </c>
      <c r="R1944">
        <v>90</v>
      </c>
    </row>
    <row r="1945" spans="1:19" x14ac:dyDescent="0.25">
      <c r="A1945" t="s">
        <v>6677</v>
      </c>
      <c r="B1945" s="1">
        <v>44787</v>
      </c>
      <c r="C1945" t="s">
        <v>3496</v>
      </c>
      <c r="D1945" t="s">
        <v>259</v>
      </c>
      <c r="E1945" t="s">
        <v>24</v>
      </c>
      <c r="F1945" t="s">
        <v>459</v>
      </c>
      <c r="G1945">
        <v>10</v>
      </c>
      <c r="H1945" t="s">
        <v>464</v>
      </c>
      <c r="I1945" t="s">
        <v>579</v>
      </c>
      <c r="J1945" t="s">
        <v>602</v>
      </c>
      <c r="K1945" t="s">
        <v>6678</v>
      </c>
    </row>
    <row r="1946" spans="1:19" x14ac:dyDescent="0.25">
      <c r="A1946" t="s">
        <v>6721</v>
      </c>
      <c r="B1946" s="1">
        <v>44794</v>
      </c>
      <c r="C1946" t="s">
        <v>2012</v>
      </c>
      <c r="D1946" t="s">
        <v>259</v>
      </c>
      <c r="E1946" t="s">
        <v>24</v>
      </c>
      <c r="F1946" t="s">
        <v>231</v>
      </c>
      <c r="G1946">
        <v>45</v>
      </c>
      <c r="H1946" t="s">
        <v>1856</v>
      </c>
      <c r="I1946" t="s">
        <v>1857</v>
      </c>
      <c r="J1946" t="s">
        <v>6146</v>
      </c>
      <c r="K1946" t="s">
        <v>6722</v>
      </c>
      <c r="L1946">
        <v>0</v>
      </c>
      <c r="P1946">
        <v>3.45</v>
      </c>
      <c r="Q1946">
        <v>2.56</v>
      </c>
      <c r="R1946">
        <v>273</v>
      </c>
      <c r="S1946">
        <v>124.98</v>
      </c>
    </row>
    <row r="1947" spans="1:19" x14ac:dyDescent="0.25">
      <c r="A1947" t="s">
        <v>6723</v>
      </c>
      <c r="B1947" s="1">
        <v>44794</v>
      </c>
      <c r="C1947" t="s">
        <v>799</v>
      </c>
      <c r="D1947" t="s">
        <v>259</v>
      </c>
      <c r="E1947" t="s">
        <v>24</v>
      </c>
      <c r="F1947" t="s">
        <v>215</v>
      </c>
      <c r="G1947">
        <v>30</v>
      </c>
      <c r="H1947" t="s">
        <v>188</v>
      </c>
      <c r="I1947" t="s">
        <v>189</v>
      </c>
      <c r="J1947" t="s">
        <v>6724</v>
      </c>
      <c r="K1947" t="s">
        <v>6725</v>
      </c>
      <c r="R1947">
        <v>93</v>
      </c>
    </row>
    <row r="1948" spans="1:19" x14ac:dyDescent="0.25">
      <c r="A1948" t="s">
        <v>6726</v>
      </c>
      <c r="B1948" s="1">
        <v>44794</v>
      </c>
      <c r="C1948" t="s">
        <v>222</v>
      </c>
      <c r="D1948" t="s">
        <v>259</v>
      </c>
      <c r="E1948" t="s">
        <v>24</v>
      </c>
      <c r="F1948" t="s">
        <v>180</v>
      </c>
      <c r="G1948">
        <v>10</v>
      </c>
      <c r="H1948" t="s">
        <v>194</v>
      </c>
      <c r="I1948" t="s">
        <v>195</v>
      </c>
      <c r="J1948" t="s">
        <v>6727</v>
      </c>
      <c r="K1948" t="s">
        <v>6728</v>
      </c>
      <c r="R1948">
        <v>43</v>
      </c>
    </row>
    <row r="1949" spans="1:19" x14ac:dyDescent="0.25">
      <c r="A1949" t="s">
        <v>6729</v>
      </c>
      <c r="B1949" s="1">
        <v>44794</v>
      </c>
      <c r="C1949" t="s">
        <v>4369</v>
      </c>
      <c r="D1949" t="s">
        <v>259</v>
      </c>
      <c r="E1949" t="s">
        <v>24</v>
      </c>
      <c r="F1949" t="s">
        <v>459</v>
      </c>
      <c r="G1949">
        <v>5</v>
      </c>
      <c r="H1949" t="s">
        <v>464</v>
      </c>
      <c r="I1949" t="s">
        <v>943</v>
      </c>
      <c r="J1949" t="s">
        <v>2205</v>
      </c>
      <c r="K1949" t="s">
        <v>6718</v>
      </c>
    </row>
    <row r="1950" spans="1:19" x14ac:dyDescent="0.25">
      <c r="A1950" t="s">
        <v>6804</v>
      </c>
      <c r="B1950" s="1">
        <v>44801</v>
      </c>
      <c r="C1950" t="s">
        <v>2568</v>
      </c>
      <c r="D1950" t="s">
        <v>259</v>
      </c>
      <c r="E1950" t="s">
        <v>24</v>
      </c>
      <c r="F1950" t="s">
        <v>459</v>
      </c>
      <c r="G1950">
        <v>30</v>
      </c>
      <c r="H1950" t="s">
        <v>464</v>
      </c>
      <c r="I1950" t="s">
        <v>763</v>
      </c>
      <c r="J1950" t="s">
        <v>2972</v>
      </c>
      <c r="K1950" t="s">
        <v>4973</v>
      </c>
    </row>
    <row r="1951" spans="1:19" x14ac:dyDescent="0.25">
      <c r="A1951" t="s">
        <v>6857</v>
      </c>
      <c r="B1951" s="1">
        <v>44808</v>
      </c>
      <c r="C1951" t="s">
        <v>1695</v>
      </c>
      <c r="D1951" t="s">
        <v>259</v>
      </c>
      <c r="E1951" t="s">
        <v>24</v>
      </c>
      <c r="F1951" t="s">
        <v>554</v>
      </c>
      <c r="G1951">
        <v>10</v>
      </c>
      <c r="H1951" t="s">
        <v>49</v>
      </c>
      <c r="I1951" t="s">
        <v>1960</v>
      </c>
      <c r="J1951" t="s">
        <v>1961</v>
      </c>
      <c r="K1951" t="s">
        <v>5839</v>
      </c>
      <c r="R1951">
        <v>32</v>
      </c>
      <c r="S1951">
        <v>97.17</v>
      </c>
    </row>
    <row r="1952" spans="1:19" x14ac:dyDescent="0.25">
      <c r="A1952" t="s">
        <v>6858</v>
      </c>
      <c r="B1952" s="1">
        <v>44808</v>
      </c>
      <c r="C1952" t="s">
        <v>1145</v>
      </c>
      <c r="D1952" t="s">
        <v>259</v>
      </c>
      <c r="E1952" t="s">
        <v>24</v>
      </c>
      <c r="F1952" t="s">
        <v>215</v>
      </c>
      <c r="G1952">
        <v>60</v>
      </c>
      <c r="H1952" t="s">
        <v>188</v>
      </c>
      <c r="I1952" t="s">
        <v>189</v>
      </c>
      <c r="J1952" t="s">
        <v>216</v>
      </c>
      <c r="K1952" t="s">
        <v>6859</v>
      </c>
      <c r="R1952">
        <v>218</v>
      </c>
      <c r="S1952">
        <v>98.15</v>
      </c>
    </row>
    <row r="1953" spans="1:19" x14ac:dyDescent="0.25">
      <c r="A1953" t="s">
        <v>6902</v>
      </c>
      <c r="B1953" s="1">
        <v>44815</v>
      </c>
      <c r="C1953" t="s">
        <v>6903</v>
      </c>
      <c r="D1953" t="s">
        <v>259</v>
      </c>
      <c r="E1953" t="s">
        <v>24</v>
      </c>
      <c r="F1953" t="s">
        <v>323</v>
      </c>
      <c r="G1953">
        <v>30</v>
      </c>
      <c r="H1953" t="s">
        <v>26</v>
      </c>
      <c r="I1953" t="s">
        <v>370</v>
      </c>
      <c r="J1953" t="s">
        <v>2588</v>
      </c>
      <c r="K1953" t="s">
        <v>6904</v>
      </c>
      <c r="L1953">
        <v>194</v>
      </c>
      <c r="M1953">
        <v>108</v>
      </c>
      <c r="N1953" s="2">
        <v>0.38</v>
      </c>
      <c r="O1953">
        <v>85</v>
      </c>
      <c r="P1953">
        <v>16.5</v>
      </c>
      <c r="Q1953">
        <v>8.25</v>
      </c>
      <c r="R1953">
        <v>239</v>
      </c>
    </row>
    <row r="1954" spans="1:19" x14ac:dyDescent="0.25">
      <c r="A1954" t="s">
        <v>6905</v>
      </c>
      <c r="B1954" s="1">
        <v>44815</v>
      </c>
      <c r="C1954" t="s">
        <v>6378</v>
      </c>
      <c r="D1954" t="s">
        <v>259</v>
      </c>
      <c r="E1954" t="s">
        <v>24</v>
      </c>
      <c r="F1954" t="s">
        <v>292</v>
      </c>
      <c r="G1954">
        <v>30</v>
      </c>
      <c r="H1954" t="s">
        <v>194</v>
      </c>
      <c r="I1954" t="s">
        <v>232</v>
      </c>
      <c r="J1954" t="s">
        <v>233</v>
      </c>
      <c r="K1954" t="s">
        <v>6906</v>
      </c>
      <c r="R1954">
        <v>138</v>
      </c>
    </row>
    <row r="1955" spans="1:19" x14ac:dyDescent="0.25">
      <c r="A1955" t="s">
        <v>6907</v>
      </c>
      <c r="B1955" s="1">
        <v>44815</v>
      </c>
      <c r="C1955" t="s">
        <v>6908</v>
      </c>
      <c r="D1955" t="s">
        <v>259</v>
      </c>
      <c r="E1955" t="s">
        <v>24</v>
      </c>
      <c r="F1955" t="s">
        <v>243</v>
      </c>
      <c r="G1955">
        <v>45</v>
      </c>
      <c r="H1955" t="s">
        <v>188</v>
      </c>
      <c r="I1955" t="s">
        <v>254</v>
      </c>
      <c r="J1955" t="s">
        <v>1741</v>
      </c>
      <c r="K1955" t="s">
        <v>6909</v>
      </c>
      <c r="R1955">
        <v>140</v>
      </c>
    </row>
    <row r="1956" spans="1:19" x14ac:dyDescent="0.25">
      <c r="A1956" t="s">
        <v>6910</v>
      </c>
      <c r="B1956" s="1">
        <v>44815</v>
      </c>
      <c r="C1956" t="s">
        <v>1597</v>
      </c>
      <c r="D1956" t="s">
        <v>259</v>
      </c>
      <c r="E1956" t="s">
        <v>24</v>
      </c>
      <c r="F1956" t="s">
        <v>215</v>
      </c>
      <c r="G1956">
        <v>10</v>
      </c>
      <c r="H1956" t="s">
        <v>464</v>
      </c>
      <c r="I1956" t="s">
        <v>1571</v>
      </c>
      <c r="J1956" t="s">
        <v>5082</v>
      </c>
      <c r="K1956" t="s">
        <v>6911</v>
      </c>
    </row>
    <row r="1957" spans="1:19" x14ac:dyDescent="0.25">
      <c r="A1957" t="s">
        <v>6958</v>
      </c>
      <c r="B1957" s="1">
        <v>44822</v>
      </c>
      <c r="C1957" t="s">
        <v>4138</v>
      </c>
      <c r="D1957" t="s">
        <v>259</v>
      </c>
      <c r="E1957" t="s">
        <v>24</v>
      </c>
      <c r="F1957" t="s">
        <v>208</v>
      </c>
      <c r="G1957">
        <v>10</v>
      </c>
      <c r="H1957" t="s">
        <v>464</v>
      </c>
      <c r="I1957" t="s">
        <v>763</v>
      </c>
      <c r="J1957" t="s">
        <v>764</v>
      </c>
      <c r="K1957" t="s">
        <v>6947</v>
      </c>
    </row>
    <row r="1958" spans="1:19" x14ac:dyDescent="0.25">
      <c r="A1958" t="s">
        <v>6994</v>
      </c>
      <c r="B1958" s="1">
        <v>44829</v>
      </c>
      <c r="C1958" t="s">
        <v>1540</v>
      </c>
      <c r="D1958" t="s">
        <v>259</v>
      </c>
      <c r="E1958" t="s">
        <v>24</v>
      </c>
      <c r="F1958" t="s">
        <v>459</v>
      </c>
      <c r="G1958">
        <v>15</v>
      </c>
      <c r="H1958" t="s">
        <v>464</v>
      </c>
      <c r="I1958" t="s">
        <v>1571</v>
      </c>
      <c r="J1958" t="s">
        <v>2322</v>
      </c>
      <c r="K1958" t="s">
        <v>6995</v>
      </c>
    </row>
    <row r="1959" spans="1:19" x14ac:dyDescent="0.25">
      <c r="A1959" t="s">
        <v>7049</v>
      </c>
      <c r="B1959" s="1">
        <v>44836</v>
      </c>
      <c r="C1959" t="s">
        <v>7050</v>
      </c>
      <c r="D1959" t="s">
        <v>259</v>
      </c>
      <c r="E1959" t="s">
        <v>24</v>
      </c>
      <c r="F1959" t="s">
        <v>323</v>
      </c>
      <c r="G1959">
        <v>45</v>
      </c>
      <c r="H1959" t="s">
        <v>26</v>
      </c>
      <c r="I1959" t="s">
        <v>370</v>
      </c>
      <c r="J1959" t="s">
        <v>479</v>
      </c>
      <c r="K1959" t="s">
        <v>7051</v>
      </c>
      <c r="L1959">
        <v>328</v>
      </c>
      <c r="M1959">
        <v>121</v>
      </c>
      <c r="N1959" s="2">
        <v>0.39</v>
      </c>
      <c r="O1959">
        <v>86</v>
      </c>
      <c r="P1959">
        <v>17.12</v>
      </c>
      <c r="Q1959">
        <v>12.84</v>
      </c>
      <c r="R1959">
        <v>510</v>
      </c>
      <c r="S1959">
        <v>165</v>
      </c>
    </row>
    <row r="1960" spans="1:19" x14ac:dyDescent="0.25">
      <c r="A1960" t="s">
        <v>7052</v>
      </c>
      <c r="B1960" s="1">
        <v>44836</v>
      </c>
      <c r="C1960" t="s">
        <v>5523</v>
      </c>
      <c r="D1960" t="s">
        <v>259</v>
      </c>
      <c r="E1960" t="s">
        <v>24</v>
      </c>
      <c r="F1960" t="s">
        <v>660</v>
      </c>
      <c r="G1960">
        <v>10</v>
      </c>
      <c r="H1960" t="s">
        <v>26</v>
      </c>
      <c r="I1960" t="s">
        <v>358</v>
      </c>
      <c r="J1960" t="s">
        <v>5346</v>
      </c>
      <c r="K1960" t="s">
        <v>5347</v>
      </c>
      <c r="L1960">
        <v>46</v>
      </c>
      <c r="M1960">
        <v>78</v>
      </c>
      <c r="N1960" s="2">
        <v>0.36</v>
      </c>
      <c r="O1960">
        <v>77</v>
      </c>
      <c r="P1960">
        <v>14.48</v>
      </c>
      <c r="Q1960">
        <v>2.41</v>
      </c>
      <c r="R1960">
        <v>95</v>
      </c>
      <c r="S1960">
        <v>149.41</v>
      </c>
    </row>
    <row r="1961" spans="1:19" x14ac:dyDescent="0.25">
      <c r="A1961" t="s">
        <v>7053</v>
      </c>
      <c r="B1961" s="1">
        <v>44836</v>
      </c>
      <c r="C1961" t="s">
        <v>7054</v>
      </c>
      <c r="D1961" t="s">
        <v>259</v>
      </c>
      <c r="E1961" t="s">
        <v>24</v>
      </c>
      <c r="F1961" t="s">
        <v>768</v>
      </c>
      <c r="G1961">
        <v>10</v>
      </c>
      <c r="H1961" t="s">
        <v>194</v>
      </c>
      <c r="I1961" t="s">
        <v>700</v>
      </c>
      <c r="J1961" t="s">
        <v>1282</v>
      </c>
      <c r="K1961" t="s">
        <v>6928</v>
      </c>
      <c r="R1961">
        <v>74</v>
      </c>
      <c r="S1961">
        <v>131.94</v>
      </c>
    </row>
    <row r="1962" spans="1:19" x14ac:dyDescent="0.25">
      <c r="A1962" t="s">
        <v>7055</v>
      </c>
      <c r="B1962" s="1">
        <v>44836</v>
      </c>
      <c r="C1962" t="s">
        <v>7056</v>
      </c>
      <c r="D1962" t="s">
        <v>259</v>
      </c>
      <c r="E1962" t="s">
        <v>24</v>
      </c>
      <c r="F1962" t="s">
        <v>180</v>
      </c>
      <c r="G1962">
        <v>20</v>
      </c>
      <c r="H1962" t="s">
        <v>194</v>
      </c>
      <c r="I1962" t="s">
        <v>195</v>
      </c>
      <c r="J1962" t="s">
        <v>2247</v>
      </c>
      <c r="K1962" t="s">
        <v>7057</v>
      </c>
      <c r="R1962">
        <v>108</v>
      </c>
      <c r="S1962">
        <v>113.37</v>
      </c>
    </row>
    <row r="1963" spans="1:19" x14ac:dyDescent="0.25">
      <c r="A1963" t="s">
        <v>7058</v>
      </c>
      <c r="B1963" s="1">
        <v>44836</v>
      </c>
      <c r="C1963" t="s">
        <v>7059</v>
      </c>
      <c r="D1963" t="s">
        <v>259</v>
      </c>
      <c r="E1963" t="s">
        <v>24</v>
      </c>
      <c r="F1963" t="s">
        <v>554</v>
      </c>
      <c r="G1963">
        <v>10</v>
      </c>
      <c r="H1963" t="s">
        <v>49</v>
      </c>
      <c r="I1963" t="s">
        <v>226</v>
      </c>
      <c r="J1963" t="s">
        <v>7060</v>
      </c>
      <c r="K1963" t="s">
        <v>6738</v>
      </c>
      <c r="R1963">
        <v>33</v>
      </c>
      <c r="S1963">
        <v>95.75</v>
      </c>
    </row>
    <row r="1964" spans="1:19" x14ac:dyDescent="0.25">
      <c r="A1964" t="s">
        <v>7061</v>
      </c>
      <c r="B1964" s="1">
        <v>44836</v>
      </c>
      <c r="C1964" t="s">
        <v>1616</v>
      </c>
      <c r="D1964" t="s">
        <v>259</v>
      </c>
      <c r="E1964" t="s">
        <v>24</v>
      </c>
      <c r="F1964" t="s">
        <v>208</v>
      </c>
      <c r="G1964">
        <v>10</v>
      </c>
      <c r="H1964" t="s">
        <v>464</v>
      </c>
      <c r="I1964" t="s">
        <v>579</v>
      </c>
      <c r="J1964" t="s">
        <v>2432</v>
      </c>
      <c r="K1964" t="s">
        <v>7062</v>
      </c>
    </row>
    <row r="1965" spans="1:19" x14ac:dyDescent="0.25">
      <c r="A1965" t="s">
        <v>7102</v>
      </c>
      <c r="B1965" s="1">
        <v>44843</v>
      </c>
      <c r="C1965" t="s">
        <v>5985</v>
      </c>
      <c r="D1965" t="s">
        <v>259</v>
      </c>
      <c r="E1965" t="s">
        <v>24</v>
      </c>
      <c r="F1965" t="s">
        <v>200</v>
      </c>
      <c r="G1965">
        <v>30</v>
      </c>
      <c r="H1965" t="s">
        <v>464</v>
      </c>
      <c r="I1965" t="s">
        <v>943</v>
      </c>
      <c r="J1965" t="s">
        <v>1621</v>
      </c>
      <c r="K1965" t="s">
        <v>7103</v>
      </c>
    </row>
    <row r="1966" spans="1:19" x14ac:dyDescent="0.25">
      <c r="A1966" t="s">
        <v>7104</v>
      </c>
      <c r="B1966" s="1">
        <v>44843</v>
      </c>
      <c r="C1966" t="s">
        <v>2240</v>
      </c>
      <c r="D1966" t="s">
        <v>259</v>
      </c>
      <c r="E1966" t="s">
        <v>24</v>
      </c>
      <c r="F1966" t="s">
        <v>208</v>
      </c>
      <c r="G1966">
        <v>10</v>
      </c>
      <c r="H1966" t="s">
        <v>464</v>
      </c>
      <c r="I1966" t="s">
        <v>579</v>
      </c>
      <c r="J1966" t="s">
        <v>580</v>
      </c>
      <c r="K1966" t="s">
        <v>7105</v>
      </c>
    </row>
    <row r="1967" spans="1:19" x14ac:dyDescent="0.25">
      <c r="A1967" t="s">
        <v>7151</v>
      </c>
      <c r="B1967" s="1">
        <v>44850</v>
      </c>
      <c r="C1967" t="s">
        <v>345</v>
      </c>
      <c r="D1967" t="s">
        <v>259</v>
      </c>
      <c r="E1967" t="s">
        <v>24</v>
      </c>
      <c r="F1967" t="s">
        <v>490</v>
      </c>
      <c r="G1967">
        <v>45</v>
      </c>
      <c r="H1967" t="s">
        <v>1856</v>
      </c>
      <c r="I1967" t="s">
        <v>1857</v>
      </c>
      <c r="J1967" t="s">
        <v>7152</v>
      </c>
      <c r="K1967" t="s">
        <v>7153</v>
      </c>
      <c r="L1967">
        <v>0</v>
      </c>
      <c r="P1967">
        <v>3.42</v>
      </c>
      <c r="Q1967">
        <v>2.58</v>
      </c>
      <c r="R1967">
        <v>257</v>
      </c>
      <c r="S1967">
        <v>117.93</v>
      </c>
    </row>
    <row r="1968" spans="1:19" x14ac:dyDescent="0.25">
      <c r="A1968" t="s">
        <v>7154</v>
      </c>
      <c r="B1968" s="1">
        <v>44850</v>
      </c>
      <c r="C1968" t="s">
        <v>7155</v>
      </c>
      <c r="D1968" t="s">
        <v>259</v>
      </c>
      <c r="G1968">
        <v>3</v>
      </c>
      <c r="H1968" t="s">
        <v>1856</v>
      </c>
      <c r="J1968" t="s">
        <v>7156</v>
      </c>
      <c r="L1968">
        <v>0</v>
      </c>
      <c r="P1968">
        <v>2.86</v>
      </c>
      <c r="Q1968">
        <v>0.16</v>
      </c>
      <c r="R1968">
        <v>16</v>
      </c>
      <c r="S1968">
        <v>145.97999999999999</v>
      </c>
    </row>
    <row r="1969" spans="1:19" x14ac:dyDescent="0.25">
      <c r="A1969" t="s">
        <v>7157</v>
      </c>
      <c r="B1969" s="1">
        <v>44850</v>
      </c>
      <c r="C1969" t="s">
        <v>7158</v>
      </c>
      <c r="D1969" t="s">
        <v>259</v>
      </c>
      <c r="E1969" t="s">
        <v>24</v>
      </c>
      <c r="F1969" t="s">
        <v>200</v>
      </c>
      <c r="G1969">
        <v>45</v>
      </c>
      <c r="H1969" t="s">
        <v>188</v>
      </c>
      <c r="I1969" t="s">
        <v>189</v>
      </c>
      <c r="J1969" t="s">
        <v>244</v>
      </c>
      <c r="K1969" t="s">
        <v>7159</v>
      </c>
      <c r="R1969">
        <v>138</v>
      </c>
    </row>
    <row r="1970" spans="1:19" x14ac:dyDescent="0.25">
      <c r="A1970" t="s">
        <v>7160</v>
      </c>
      <c r="B1970" s="1">
        <v>44850</v>
      </c>
      <c r="C1970" t="s">
        <v>1597</v>
      </c>
      <c r="D1970" t="s">
        <v>259</v>
      </c>
      <c r="E1970" t="s">
        <v>24</v>
      </c>
      <c r="F1970" t="s">
        <v>208</v>
      </c>
      <c r="G1970">
        <v>15</v>
      </c>
      <c r="H1970" t="s">
        <v>464</v>
      </c>
      <c r="I1970" t="s">
        <v>579</v>
      </c>
      <c r="J1970" t="s">
        <v>2861</v>
      </c>
      <c r="K1970" t="s">
        <v>7161</v>
      </c>
    </row>
    <row r="1971" spans="1:19" x14ac:dyDescent="0.25">
      <c r="A1971" t="s">
        <v>7208</v>
      </c>
      <c r="B1971" s="1">
        <v>44857</v>
      </c>
      <c r="C1971" t="s">
        <v>1491</v>
      </c>
      <c r="D1971" t="s">
        <v>259</v>
      </c>
      <c r="E1971" t="s">
        <v>24</v>
      </c>
      <c r="F1971" t="s">
        <v>208</v>
      </c>
      <c r="G1971">
        <v>10</v>
      </c>
      <c r="H1971" t="s">
        <v>464</v>
      </c>
      <c r="I1971" t="s">
        <v>579</v>
      </c>
      <c r="J1971" t="s">
        <v>808</v>
      </c>
      <c r="K1971" t="s">
        <v>7209</v>
      </c>
    </row>
    <row r="1972" spans="1:19" x14ac:dyDescent="0.25">
      <c r="A1972" t="s">
        <v>7268</v>
      </c>
      <c r="B1972" s="1">
        <v>44864</v>
      </c>
      <c r="C1972" t="s">
        <v>7269</v>
      </c>
      <c r="D1972" t="s">
        <v>259</v>
      </c>
      <c r="E1972" t="s">
        <v>24</v>
      </c>
      <c r="F1972" t="s">
        <v>243</v>
      </c>
      <c r="G1972">
        <v>45</v>
      </c>
      <c r="H1972" t="s">
        <v>188</v>
      </c>
      <c r="I1972" t="s">
        <v>189</v>
      </c>
      <c r="J1972" t="s">
        <v>244</v>
      </c>
      <c r="K1972" t="s">
        <v>7270</v>
      </c>
      <c r="R1972">
        <v>183</v>
      </c>
      <c r="S1972">
        <v>100.55</v>
      </c>
    </row>
    <row r="1973" spans="1:19" x14ac:dyDescent="0.25">
      <c r="A1973" t="s">
        <v>7271</v>
      </c>
      <c r="B1973" s="1">
        <v>44864</v>
      </c>
      <c r="C1973" t="s">
        <v>7272</v>
      </c>
      <c r="D1973" t="s">
        <v>259</v>
      </c>
      <c r="E1973" t="s">
        <v>24</v>
      </c>
      <c r="F1973" t="s">
        <v>459</v>
      </c>
      <c r="G1973">
        <v>15</v>
      </c>
      <c r="H1973" t="s">
        <v>464</v>
      </c>
      <c r="I1973" t="s">
        <v>763</v>
      </c>
      <c r="J1973" t="s">
        <v>2229</v>
      </c>
      <c r="K1973" t="s">
        <v>7273</v>
      </c>
    </row>
    <row r="1974" spans="1:19" x14ac:dyDescent="0.25">
      <c r="A1974" t="s">
        <v>7298</v>
      </c>
      <c r="B1974" s="1">
        <v>44871</v>
      </c>
      <c r="C1974" t="s">
        <v>7299</v>
      </c>
      <c r="D1974" t="s">
        <v>259</v>
      </c>
      <c r="E1974" t="s">
        <v>24</v>
      </c>
      <c r="F1974" t="s">
        <v>200</v>
      </c>
      <c r="G1974">
        <v>10</v>
      </c>
      <c r="H1974" t="s">
        <v>464</v>
      </c>
      <c r="I1974" t="s">
        <v>579</v>
      </c>
      <c r="J1974" t="s">
        <v>914</v>
      </c>
      <c r="K1974" t="s">
        <v>7300</v>
      </c>
    </row>
    <row r="1975" spans="1:19" x14ac:dyDescent="0.25">
      <c r="A1975" t="s">
        <v>7301</v>
      </c>
      <c r="B1975" s="1">
        <v>44871</v>
      </c>
      <c r="C1975" t="s">
        <v>7302</v>
      </c>
      <c r="D1975" t="s">
        <v>259</v>
      </c>
      <c r="E1975" t="s">
        <v>24</v>
      </c>
      <c r="F1975" t="s">
        <v>6276</v>
      </c>
      <c r="G1975">
        <v>45</v>
      </c>
      <c r="H1975" t="s">
        <v>1856</v>
      </c>
      <c r="I1975" t="s">
        <v>1857</v>
      </c>
      <c r="J1975" t="s">
        <v>6146</v>
      </c>
      <c r="K1975" t="s">
        <v>7303</v>
      </c>
      <c r="L1975">
        <v>0</v>
      </c>
      <c r="P1975">
        <v>3.04</v>
      </c>
      <c r="Q1975">
        <v>2.2599999999999998</v>
      </c>
      <c r="R1975">
        <v>165</v>
      </c>
    </row>
    <row r="1976" spans="1:19" x14ac:dyDescent="0.25">
      <c r="A1976" t="s">
        <v>7304</v>
      </c>
      <c r="B1976" s="1">
        <v>44871</v>
      </c>
      <c r="C1976" t="s">
        <v>7305</v>
      </c>
      <c r="D1976" t="s">
        <v>259</v>
      </c>
      <c r="E1976" t="s">
        <v>24</v>
      </c>
      <c r="F1976" t="s">
        <v>170</v>
      </c>
      <c r="G1976">
        <v>10</v>
      </c>
      <c r="H1976" t="s">
        <v>194</v>
      </c>
      <c r="I1976" t="s">
        <v>195</v>
      </c>
      <c r="J1976" t="s">
        <v>211</v>
      </c>
      <c r="K1976" t="s">
        <v>7306</v>
      </c>
      <c r="R1976">
        <v>56</v>
      </c>
      <c r="S1976">
        <v>115.63</v>
      </c>
    </row>
    <row r="1977" spans="1:19" x14ac:dyDescent="0.25">
      <c r="A1977" t="s">
        <v>7307</v>
      </c>
      <c r="B1977" s="1">
        <v>44871</v>
      </c>
      <c r="C1977" t="s">
        <v>7308</v>
      </c>
      <c r="D1977" t="s">
        <v>259</v>
      </c>
      <c r="E1977" t="s">
        <v>24</v>
      </c>
      <c r="F1977" t="s">
        <v>243</v>
      </c>
      <c r="G1977">
        <v>45</v>
      </c>
      <c r="H1977" t="s">
        <v>188</v>
      </c>
      <c r="I1977" t="s">
        <v>254</v>
      </c>
      <c r="J1977" t="s">
        <v>1741</v>
      </c>
      <c r="K1977" t="s">
        <v>7309</v>
      </c>
      <c r="R1977">
        <v>209</v>
      </c>
      <c r="S1977">
        <v>105.46</v>
      </c>
    </row>
    <row r="1978" spans="1:19" x14ac:dyDescent="0.25">
      <c r="A1978" t="s">
        <v>7403</v>
      </c>
      <c r="B1978" s="1">
        <v>44885</v>
      </c>
      <c r="C1978" t="s">
        <v>7404</v>
      </c>
      <c r="D1978" t="s">
        <v>259</v>
      </c>
      <c r="E1978" t="s">
        <v>24</v>
      </c>
      <c r="F1978" t="s">
        <v>170</v>
      </c>
      <c r="G1978">
        <v>10</v>
      </c>
      <c r="H1978" t="s">
        <v>194</v>
      </c>
      <c r="I1978" t="s">
        <v>195</v>
      </c>
      <c r="J1978" t="s">
        <v>211</v>
      </c>
      <c r="K1978" t="s">
        <v>7405</v>
      </c>
      <c r="R1978">
        <v>44</v>
      </c>
    </row>
    <row r="1979" spans="1:19" x14ac:dyDescent="0.25">
      <c r="A1979" t="s">
        <v>7406</v>
      </c>
      <c r="B1979" s="1">
        <v>44885</v>
      </c>
      <c r="C1979" t="s">
        <v>1145</v>
      </c>
      <c r="D1979" t="s">
        <v>259</v>
      </c>
      <c r="E1979" t="s">
        <v>24</v>
      </c>
      <c r="F1979" t="s">
        <v>243</v>
      </c>
      <c r="G1979">
        <v>45</v>
      </c>
      <c r="H1979" t="s">
        <v>188</v>
      </c>
      <c r="I1979" t="s">
        <v>189</v>
      </c>
      <c r="J1979" t="s">
        <v>829</v>
      </c>
      <c r="K1979" t="s">
        <v>7407</v>
      </c>
      <c r="R1979">
        <v>136</v>
      </c>
    </row>
    <row r="1980" spans="1:19" x14ac:dyDescent="0.25">
      <c r="A1980" t="s">
        <v>7408</v>
      </c>
      <c r="B1980" s="1">
        <v>44885</v>
      </c>
      <c r="C1980" t="s">
        <v>1285</v>
      </c>
      <c r="D1980" t="s">
        <v>259</v>
      </c>
      <c r="E1980" t="s">
        <v>24</v>
      </c>
      <c r="F1980" t="s">
        <v>459</v>
      </c>
      <c r="G1980">
        <v>10</v>
      </c>
      <c r="H1980" t="s">
        <v>464</v>
      </c>
      <c r="I1980" t="s">
        <v>943</v>
      </c>
      <c r="J1980" t="s">
        <v>944</v>
      </c>
      <c r="K1980" t="s">
        <v>7409</v>
      </c>
    </row>
    <row r="1981" spans="1:19" x14ac:dyDescent="0.25">
      <c r="A1981" t="s">
        <v>7507</v>
      </c>
      <c r="B1981" s="1">
        <v>44899</v>
      </c>
      <c r="C1981" t="s">
        <v>7508</v>
      </c>
      <c r="D1981" t="s">
        <v>259</v>
      </c>
      <c r="E1981" t="s">
        <v>24</v>
      </c>
      <c r="F1981" t="s">
        <v>170</v>
      </c>
      <c r="G1981">
        <v>20</v>
      </c>
      <c r="H1981" t="s">
        <v>1856</v>
      </c>
      <c r="I1981" t="s">
        <v>2096</v>
      </c>
      <c r="J1981" t="s">
        <v>2097</v>
      </c>
      <c r="K1981" t="s">
        <v>7509</v>
      </c>
      <c r="L1981">
        <v>0</v>
      </c>
      <c r="P1981">
        <v>3.36</v>
      </c>
      <c r="Q1981">
        <v>1.05</v>
      </c>
      <c r="R1981">
        <v>149</v>
      </c>
      <c r="S1981">
        <v>132.72999999999999</v>
      </c>
    </row>
    <row r="1982" spans="1:19" x14ac:dyDescent="0.25">
      <c r="A1982" t="s">
        <v>7510</v>
      </c>
      <c r="B1982" s="1">
        <v>44899</v>
      </c>
      <c r="C1982" t="s">
        <v>5932</v>
      </c>
      <c r="D1982" t="s">
        <v>259</v>
      </c>
      <c r="E1982" t="s">
        <v>24</v>
      </c>
      <c r="F1982" t="s">
        <v>490</v>
      </c>
      <c r="G1982">
        <v>20</v>
      </c>
      <c r="H1982" t="s">
        <v>1856</v>
      </c>
      <c r="I1982" t="s">
        <v>1857</v>
      </c>
      <c r="J1982" t="s">
        <v>6277</v>
      </c>
      <c r="K1982" t="s">
        <v>7511</v>
      </c>
      <c r="L1982">
        <v>0</v>
      </c>
      <c r="P1982">
        <v>3.41</v>
      </c>
      <c r="Q1982">
        <v>1.1299999999999999</v>
      </c>
      <c r="R1982">
        <v>73</v>
      </c>
    </row>
    <row r="1983" spans="1:19" x14ac:dyDescent="0.25">
      <c r="A1983" t="s">
        <v>7512</v>
      </c>
      <c r="B1983" s="1">
        <v>44899</v>
      </c>
      <c r="C1983" t="s">
        <v>5437</v>
      </c>
      <c r="D1983" t="s">
        <v>259</v>
      </c>
      <c r="E1983" t="s">
        <v>24</v>
      </c>
      <c r="F1983" t="s">
        <v>208</v>
      </c>
      <c r="G1983">
        <v>15</v>
      </c>
      <c r="H1983" t="s">
        <v>464</v>
      </c>
      <c r="I1983" t="s">
        <v>763</v>
      </c>
      <c r="J1983" t="s">
        <v>2926</v>
      </c>
      <c r="K1983" t="s">
        <v>7466</v>
      </c>
    </row>
    <row r="1984" spans="1:19" x14ac:dyDescent="0.25">
      <c r="A1984" t="s">
        <v>7589</v>
      </c>
      <c r="B1984" s="1">
        <v>44906</v>
      </c>
      <c r="C1984" t="s">
        <v>7590</v>
      </c>
      <c r="D1984" t="s">
        <v>259</v>
      </c>
      <c r="E1984" t="s">
        <v>24</v>
      </c>
      <c r="F1984" t="s">
        <v>323</v>
      </c>
      <c r="G1984">
        <v>30</v>
      </c>
      <c r="H1984" t="s">
        <v>26</v>
      </c>
      <c r="I1984" t="s">
        <v>370</v>
      </c>
      <c r="J1984" t="s">
        <v>396</v>
      </c>
      <c r="K1984" t="s">
        <v>7591</v>
      </c>
      <c r="L1984">
        <v>162</v>
      </c>
      <c r="M1984">
        <v>90</v>
      </c>
      <c r="N1984" s="2">
        <v>0.35</v>
      </c>
      <c r="O1984">
        <v>85</v>
      </c>
      <c r="P1984">
        <v>15.31</v>
      </c>
      <c r="Q1984">
        <v>7.66</v>
      </c>
      <c r="R1984">
        <v>344</v>
      </c>
      <c r="S1984">
        <v>165.01</v>
      </c>
    </row>
    <row r="1985" spans="1:19" x14ac:dyDescent="0.25">
      <c r="A1985" t="s">
        <v>7592</v>
      </c>
      <c r="B1985" s="1">
        <v>44906</v>
      </c>
      <c r="C1985" t="s">
        <v>7593</v>
      </c>
      <c r="D1985" t="s">
        <v>259</v>
      </c>
      <c r="E1985" t="s">
        <v>24</v>
      </c>
      <c r="F1985" t="s">
        <v>243</v>
      </c>
      <c r="G1985">
        <v>15</v>
      </c>
      <c r="H1985" t="s">
        <v>26</v>
      </c>
      <c r="I1985" t="s">
        <v>39</v>
      </c>
      <c r="J1985" t="s">
        <v>366</v>
      </c>
      <c r="K1985" t="s">
        <v>7594</v>
      </c>
      <c r="L1985">
        <v>55</v>
      </c>
      <c r="M1985">
        <v>61</v>
      </c>
      <c r="N1985" s="2">
        <v>0.3</v>
      </c>
      <c r="O1985">
        <v>83</v>
      </c>
      <c r="P1985">
        <v>13.01</v>
      </c>
      <c r="Q1985">
        <v>3.25</v>
      </c>
      <c r="R1985">
        <v>136</v>
      </c>
      <c r="S1985">
        <v>144.99</v>
      </c>
    </row>
    <row r="1986" spans="1:19" x14ac:dyDescent="0.25">
      <c r="A1986" t="s">
        <v>7595</v>
      </c>
      <c r="B1986" s="1">
        <v>44906</v>
      </c>
      <c r="C1986" t="s">
        <v>7596</v>
      </c>
      <c r="D1986" t="s">
        <v>259</v>
      </c>
      <c r="E1986" t="s">
        <v>24</v>
      </c>
      <c r="F1986" t="s">
        <v>2833</v>
      </c>
      <c r="G1986">
        <v>10</v>
      </c>
      <c r="H1986" t="s">
        <v>194</v>
      </c>
      <c r="I1986" t="s">
        <v>700</v>
      </c>
      <c r="J1986" t="s">
        <v>1282</v>
      </c>
      <c r="K1986" t="s">
        <v>7597</v>
      </c>
      <c r="R1986">
        <v>65</v>
      </c>
      <c r="S1986">
        <v>119.2</v>
      </c>
    </row>
    <row r="1987" spans="1:19" x14ac:dyDescent="0.25">
      <c r="A1987" t="s">
        <v>7598</v>
      </c>
      <c r="B1987" s="1">
        <v>44906</v>
      </c>
      <c r="C1987" t="s">
        <v>7599</v>
      </c>
      <c r="D1987" t="s">
        <v>259</v>
      </c>
      <c r="E1987" t="s">
        <v>24</v>
      </c>
      <c r="F1987" t="s">
        <v>180</v>
      </c>
      <c r="G1987">
        <v>10</v>
      </c>
      <c r="H1987" t="s">
        <v>194</v>
      </c>
      <c r="I1987" t="s">
        <v>195</v>
      </c>
      <c r="J1987" t="s">
        <v>211</v>
      </c>
      <c r="K1987" t="s">
        <v>7600</v>
      </c>
      <c r="R1987">
        <v>47</v>
      </c>
      <c r="S1987">
        <v>106.84</v>
      </c>
    </row>
    <row r="1988" spans="1:19" x14ac:dyDescent="0.25">
      <c r="A1988" t="s">
        <v>7601</v>
      </c>
      <c r="B1988" s="1">
        <v>44906</v>
      </c>
      <c r="C1988" t="s">
        <v>7602</v>
      </c>
      <c r="D1988" t="s">
        <v>259</v>
      </c>
      <c r="E1988" t="s">
        <v>24</v>
      </c>
      <c r="F1988" t="s">
        <v>215</v>
      </c>
      <c r="G1988">
        <v>10</v>
      </c>
      <c r="H1988" t="s">
        <v>464</v>
      </c>
      <c r="I1988" t="s">
        <v>763</v>
      </c>
      <c r="J1988" t="s">
        <v>914</v>
      </c>
      <c r="K1988" t="s">
        <v>7603</v>
      </c>
    </row>
    <row r="1989" spans="1:19" x14ac:dyDescent="0.25">
      <c r="A1989" t="s">
        <v>7683</v>
      </c>
      <c r="B1989" s="1">
        <v>44913</v>
      </c>
      <c r="C1989" t="s">
        <v>7684</v>
      </c>
      <c r="D1989" t="s">
        <v>259</v>
      </c>
      <c r="E1989" t="s">
        <v>24</v>
      </c>
      <c r="F1989" t="s">
        <v>215</v>
      </c>
      <c r="G1989">
        <v>10</v>
      </c>
      <c r="H1989" t="s">
        <v>464</v>
      </c>
      <c r="I1989" t="s">
        <v>103</v>
      </c>
      <c r="J1989" t="s">
        <v>3441</v>
      </c>
      <c r="K1989" t="s">
        <v>7685</v>
      </c>
    </row>
    <row r="1990" spans="1:19" x14ac:dyDescent="0.25">
      <c r="A1990" t="s">
        <v>7686</v>
      </c>
      <c r="B1990" s="1">
        <v>44913</v>
      </c>
      <c r="C1990" t="s">
        <v>7687</v>
      </c>
      <c r="D1990" t="s">
        <v>259</v>
      </c>
      <c r="E1990" t="s">
        <v>24</v>
      </c>
      <c r="F1990" t="s">
        <v>237</v>
      </c>
      <c r="G1990">
        <v>5</v>
      </c>
      <c r="H1990" t="s">
        <v>464</v>
      </c>
      <c r="I1990" t="s">
        <v>579</v>
      </c>
      <c r="J1990" t="s">
        <v>2484</v>
      </c>
      <c r="K1990" t="s">
        <v>7688</v>
      </c>
    </row>
    <row r="1991" spans="1:19" x14ac:dyDescent="0.25">
      <c r="A1991" t="s">
        <v>7689</v>
      </c>
      <c r="B1991" s="1">
        <v>44913</v>
      </c>
      <c r="C1991" t="s">
        <v>7690</v>
      </c>
      <c r="D1991" t="s">
        <v>259</v>
      </c>
      <c r="E1991" t="s">
        <v>24</v>
      </c>
      <c r="F1991" t="s">
        <v>215</v>
      </c>
      <c r="G1991">
        <v>45</v>
      </c>
      <c r="H1991" t="s">
        <v>188</v>
      </c>
      <c r="I1991" t="s">
        <v>254</v>
      </c>
      <c r="J1991" t="s">
        <v>1741</v>
      </c>
      <c r="K1991" t="s">
        <v>7691</v>
      </c>
      <c r="R1991">
        <v>134</v>
      </c>
      <c r="S1991">
        <v>84.87</v>
      </c>
    </row>
    <row r="1992" spans="1:19" x14ac:dyDescent="0.25">
      <c r="A1992" t="s">
        <v>7692</v>
      </c>
      <c r="B1992" s="1">
        <v>44913</v>
      </c>
      <c r="C1992" t="s">
        <v>7693</v>
      </c>
      <c r="D1992" t="s">
        <v>259</v>
      </c>
      <c r="E1992" t="s">
        <v>24</v>
      </c>
      <c r="F1992" t="s">
        <v>237</v>
      </c>
      <c r="G1992">
        <v>10</v>
      </c>
      <c r="H1992" t="s">
        <v>464</v>
      </c>
      <c r="I1992" t="s">
        <v>763</v>
      </c>
      <c r="J1992" t="s">
        <v>764</v>
      </c>
      <c r="K1992" t="s">
        <v>7694</v>
      </c>
    </row>
    <row r="1993" spans="1:19" x14ac:dyDescent="0.25">
      <c r="A1993" t="s">
        <v>7762</v>
      </c>
      <c r="B1993" s="1">
        <v>44920</v>
      </c>
      <c r="C1993" t="s">
        <v>913</v>
      </c>
      <c r="D1993" t="s">
        <v>259</v>
      </c>
      <c r="E1993" t="s">
        <v>24</v>
      </c>
      <c r="F1993" t="s">
        <v>215</v>
      </c>
      <c r="G1993">
        <v>10</v>
      </c>
      <c r="H1993" t="s">
        <v>464</v>
      </c>
      <c r="I1993" t="s">
        <v>103</v>
      </c>
      <c r="J1993" t="s">
        <v>3441</v>
      </c>
      <c r="K1993" t="s">
        <v>7763</v>
      </c>
    </row>
    <row r="1994" spans="1:19" x14ac:dyDescent="0.25">
      <c r="A1994" t="s">
        <v>7827</v>
      </c>
      <c r="B1994" s="1">
        <v>44927</v>
      </c>
      <c r="C1994" t="s">
        <v>7828</v>
      </c>
      <c r="D1994" t="s">
        <v>259</v>
      </c>
      <c r="E1994" t="s">
        <v>24</v>
      </c>
      <c r="F1994" t="s">
        <v>208</v>
      </c>
      <c r="G1994">
        <v>10</v>
      </c>
      <c r="H1994" t="s">
        <v>464</v>
      </c>
      <c r="I1994" t="s">
        <v>103</v>
      </c>
      <c r="J1994" t="s">
        <v>7829</v>
      </c>
      <c r="K1994" t="s">
        <v>7830</v>
      </c>
    </row>
    <row r="1995" spans="1:19" x14ac:dyDescent="0.25">
      <c r="A1995" t="s">
        <v>7831</v>
      </c>
      <c r="B1995" s="1">
        <v>44927</v>
      </c>
      <c r="C1995" t="s">
        <v>5724</v>
      </c>
      <c r="D1995" t="s">
        <v>259</v>
      </c>
      <c r="E1995" t="s">
        <v>24</v>
      </c>
      <c r="F1995" t="s">
        <v>208</v>
      </c>
      <c r="G1995">
        <v>10</v>
      </c>
      <c r="H1995" t="s">
        <v>464</v>
      </c>
      <c r="I1995" t="s">
        <v>579</v>
      </c>
      <c r="J1995" t="s">
        <v>1820</v>
      </c>
      <c r="K1995" t="s">
        <v>7832</v>
      </c>
    </row>
    <row r="1996" spans="1:19" x14ac:dyDescent="0.25">
      <c r="A1996" t="s">
        <v>7902</v>
      </c>
      <c r="B1996" s="1">
        <v>44934</v>
      </c>
      <c r="C1996" t="s">
        <v>7903</v>
      </c>
      <c r="D1996" t="s">
        <v>259</v>
      </c>
      <c r="E1996" t="s">
        <v>24</v>
      </c>
      <c r="F1996" t="s">
        <v>323</v>
      </c>
      <c r="G1996">
        <v>15</v>
      </c>
      <c r="H1996" t="s">
        <v>26</v>
      </c>
      <c r="I1996" t="s">
        <v>370</v>
      </c>
      <c r="J1996" t="s">
        <v>531</v>
      </c>
      <c r="K1996" t="s">
        <v>4258</v>
      </c>
      <c r="L1996">
        <v>79</v>
      </c>
      <c r="M1996">
        <v>88</v>
      </c>
      <c r="N1996" s="2">
        <v>0.33</v>
      </c>
      <c r="O1996">
        <v>90</v>
      </c>
      <c r="P1996">
        <v>15.01</v>
      </c>
      <c r="Q1996">
        <v>3.75</v>
      </c>
      <c r="R1996">
        <v>128</v>
      </c>
      <c r="S1996">
        <v>139.9</v>
      </c>
    </row>
    <row r="1997" spans="1:19" x14ac:dyDescent="0.25">
      <c r="A1997" t="s">
        <v>7904</v>
      </c>
      <c r="B1997" s="1">
        <v>44934</v>
      </c>
      <c r="C1997" t="s">
        <v>7905</v>
      </c>
      <c r="D1997" t="s">
        <v>259</v>
      </c>
      <c r="E1997" t="s">
        <v>24</v>
      </c>
      <c r="F1997" t="s">
        <v>180</v>
      </c>
      <c r="G1997">
        <v>15</v>
      </c>
      <c r="H1997" t="s">
        <v>26</v>
      </c>
      <c r="I1997" t="s">
        <v>39</v>
      </c>
      <c r="J1997" t="s">
        <v>366</v>
      </c>
      <c r="K1997" t="s">
        <v>7906</v>
      </c>
      <c r="L1997">
        <v>61</v>
      </c>
      <c r="M1997">
        <v>67</v>
      </c>
      <c r="N1997" s="2">
        <v>0.3</v>
      </c>
      <c r="O1997">
        <v>88</v>
      </c>
      <c r="P1997">
        <v>13.67</v>
      </c>
      <c r="Q1997">
        <v>3.42</v>
      </c>
      <c r="R1997">
        <v>125</v>
      </c>
      <c r="S1997">
        <v>138.01</v>
      </c>
    </row>
    <row r="1998" spans="1:19" x14ac:dyDescent="0.25">
      <c r="A1998" t="s">
        <v>7907</v>
      </c>
      <c r="B1998" s="1">
        <v>44934</v>
      </c>
      <c r="C1998" t="s">
        <v>4230</v>
      </c>
      <c r="D1998" t="s">
        <v>259</v>
      </c>
      <c r="E1998" t="s">
        <v>24</v>
      </c>
      <c r="F1998" t="s">
        <v>170</v>
      </c>
      <c r="G1998">
        <v>5</v>
      </c>
      <c r="H1998" t="s">
        <v>194</v>
      </c>
      <c r="I1998" t="s">
        <v>195</v>
      </c>
      <c r="J1998" t="s">
        <v>196</v>
      </c>
      <c r="K1998" t="s">
        <v>7908</v>
      </c>
      <c r="R1998">
        <v>18</v>
      </c>
      <c r="S1998">
        <v>87.04</v>
      </c>
    </row>
    <row r="1999" spans="1:19" x14ac:dyDescent="0.25">
      <c r="A1999" t="s">
        <v>7909</v>
      </c>
      <c r="B1999" s="1">
        <v>44934</v>
      </c>
      <c r="C1999" t="s">
        <v>1616</v>
      </c>
      <c r="D1999" t="s">
        <v>259</v>
      </c>
      <c r="E1999" t="s">
        <v>24</v>
      </c>
      <c r="F1999" t="s">
        <v>215</v>
      </c>
      <c r="G1999">
        <v>10</v>
      </c>
      <c r="H1999" t="s">
        <v>464</v>
      </c>
      <c r="I1999" t="s">
        <v>1571</v>
      </c>
      <c r="J1999" t="s">
        <v>5082</v>
      </c>
      <c r="K1999" t="s">
        <v>7910</v>
      </c>
    </row>
    <row r="2000" spans="1:19" x14ac:dyDescent="0.25">
      <c r="A2000" t="s">
        <v>7967</v>
      </c>
      <c r="B2000" s="1">
        <v>44941</v>
      </c>
      <c r="C2000" t="s">
        <v>2413</v>
      </c>
      <c r="D2000" t="s">
        <v>259</v>
      </c>
      <c r="E2000" t="s">
        <v>24</v>
      </c>
      <c r="F2000" t="s">
        <v>1987</v>
      </c>
      <c r="G2000">
        <v>10</v>
      </c>
      <c r="H2000" t="s">
        <v>464</v>
      </c>
      <c r="I2000" t="s">
        <v>763</v>
      </c>
      <c r="J2000" t="s">
        <v>914</v>
      </c>
      <c r="K2000" t="s">
        <v>7968</v>
      </c>
    </row>
    <row r="2001" spans="1:19" x14ac:dyDescent="0.25">
      <c r="A2001" t="s">
        <v>7969</v>
      </c>
      <c r="B2001" s="1">
        <v>44941</v>
      </c>
      <c r="C2001" t="s">
        <v>3886</v>
      </c>
      <c r="D2001" t="s">
        <v>259</v>
      </c>
      <c r="E2001" t="s">
        <v>24</v>
      </c>
      <c r="F2001" t="s">
        <v>2708</v>
      </c>
      <c r="G2001">
        <v>15</v>
      </c>
      <c r="H2001" t="s">
        <v>464</v>
      </c>
      <c r="I2001" t="s">
        <v>763</v>
      </c>
      <c r="J2001" t="s">
        <v>2926</v>
      </c>
      <c r="K2001" t="s">
        <v>7942</v>
      </c>
    </row>
    <row r="2002" spans="1:19" x14ac:dyDescent="0.25">
      <c r="A2002" t="s">
        <v>8015</v>
      </c>
      <c r="B2002" s="1">
        <v>44948</v>
      </c>
      <c r="C2002" t="s">
        <v>2794</v>
      </c>
      <c r="D2002" t="s">
        <v>259</v>
      </c>
      <c r="E2002" t="s">
        <v>24</v>
      </c>
      <c r="F2002" t="s">
        <v>200</v>
      </c>
      <c r="G2002">
        <v>10</v>
      </c>
      <c r="H2002" t="s">
        <v>464</v>
      </c>
      <c r="I2002" t="s">
        <v>579</v>
      </c>
      <c r="J2002" t="s">
        <v>1975</v>
      </c>
      <c r="K2002" t="s">
        <v>8016</v>
      </c>
    </row>
    <row r="2003" spans="1:19" x14ac:dyDescent="0.25">
      <c r="A2003" t="s">
        <v>8072</v>
      </c>
      <c r="B2003" s="1">
        <v>44955</v>
      </c>
      <c r="C2003" t="s">
        <v>8073</v>
      </c>
      <c r="D2003" t="s">
        <v>259</v>
      </c>
      <c r="E2003" t="s">
        <v>24</v>
      </c>
      <c r="F2003" t="s">
        <v>208</v>
      </c>
      <c r="G2003">
        <v>10</v>
      </c>
      <c r="H2003" t="s">
        <v>464</v>
      </c>
      <c r="I2003" t="s">
        <v>763</v>
      </c>
      <c r="J2003" t="s">
        <v>914</v>
      </c>
      <c r="K2003" t="s">
        <v>8074</v>
      </c>
    </row>
    <row r="2004" spans="1:19" x14ac:dyDescent="0.25">
      <c r="A2004" t="s">
        <v>8075</v>
      </c>
      <c r="B2004" s="1">
        <v>44955</v>
      </c>
      <c r="C2004" t="s">
        <v>8076</v>
      </c>
      <c r="D2004" t="s">
        <v>259</v>
      </c>
      <c r="E2004" t="s">
        <v>24</v>
      </c>
      <c r="F2004" t="s">
        <v>323</v>
      </c>
      <c r="G2004">
        <v>60</v>
      </c>
      <c r="H2004" t="s">
        <v>26</v>
      </c>
      <c r="I2004" t="s">
        <v>370</v>
      </c>
      <c r="J2004" t="s">
        <v>498</v>
      </c>
      <c r="K2004" t="s">
        <v>8077</v>
      </c>
      <c r="L2004">
        <v>278</v>
      </c>
      <c r="M2004">
        <v>77</v>
      </c>
      <c r="N2004" s="2">
        <v>0.32</v>
      </c>
      <c r="O2004">
        <v>88</v>
      </c>
      <c r="P2004">
        <v>14.45</v>
      </c>
      <c r="Q2004">
        <v>14.45</v>
      </c>
      <c r="R2004">
        <v>628</v>
      </c>
      <c r="S2004">
        <v>156.51</v>
      </c>
    </row>
    <row r="2005" spans="1:19" x14ac:dyDescent="0.25">
      <c r="A2005" t="s">
        <v>8078</v>
      </c>
      <c r="B2005" s="1">
        <v>44955</v>
      </c>
      <c r="C2005" t="s">
        <v>8079</v>
      </c>
      <c r="D2005" t="s">
        <v>259</v>
      </c>
      <c r="E2005" t="s">
        <v>24</v>
      </c>
      <c r="F2005" t="s">
        <v>323</v>
      </c>
      <c r="G2005">
        <v>5</v>
      </c>
      <c r="H2005" t="s">
        <v>49</v>
      </c>
      <c r="I2005" t="s">
        <v>50</v>
      </c>
      <c r="J2005" t="s">
        <v>6740</v>
      </c>
      <c r="K2005" t="s">
        <v>8080</v>
      </c>
      <c r="R2005">
        <v>25</v>
      </c>
      <c r="S2005">
        <v>116.61</v>
      </c>
    </row>
    <row r="2006" spans="1:19" x14ac:dyDescent="0.25">
      <c r="A2006" t="s">
        <v>8143</v>
      </c>
      <c r="B2006" s="1">
        <v>44962</v>
      </c>
      <c r="C2006" t="s">
        <v>8144</v>
      </c>
      <c r="D2006" t="s">
        <v>259</v>
      </c>
      <c r="E2006" t="s">
        <v>24</v>
      </c>
      <c r="F2006" t="s">
        <v>323</v>
      </c>
      <c r="G2006">
        <v>75</v>
      </c>
      <c r="H2006" t="s">
        <v>26</v>
      </c>
      <c r="I2006" t="s">
        <v>370</v>
      </c>
      <c r="J2006" t="s">
        <v>1081</v>
      </c>
      <c r="K2006" t="s">
        <v>8145</v>
      </c>
      <c r="L2006">
        <v>310</v>
      </c>
      <c r="M2006">
        <v>69</v>
      </c>
      <c r="N2006" s="2">
        <v>0.32</v>
      </c>
      <c r="O2006">
        <v>83</v>
      </c>
      <c r="P2006">
        <v>13.71</v>
      </c>
      <c r="Q2006">
        <v>17.14</v>
      </c>
      <c r="R2006">
        <v>771</v>
      </c>
      <c r="S2006">
        <v>160.53</v>
      </c>
    </row>
    <row r="2007" spans="1:19" x14ac:dyDescent="0.25">
      <c r="A2007" t="s">
        <v>8146</v>
      </c>
      <c r="B2007" s="1">
        <v>44962</v>
      </c>
      <c r="C2007" t="s">
        <v>8147</v>
      </c>
      <c r="D2007" t="s">
        <v>259</v>
      </c>
      <c r="E2007" t="s">
        <v>24</v>
      </c>
      <c r="F2007" t="s">
        <v>323</v>
      </c>
      <c r="G2007">
        <v>5</v>
      </c>
      <c r="H2007" t="s">
        <v>49</v>
      </c>
      <c r="I2007" t="s">
        <v>50</v>
      </c>
      <c r="J2007" t="s">
        <v>51</v>
      </c>
      <c r="K2007" t="s">
        <v>7356</v>
      </c>
      <c r="R2007">
        <v>23</v>
      </c>
      <c r="S2007">
        <v>115.84</v>
      </c>
    </row>
    <row r="2008" spans="1:19" x14ac:dyDescent="0.25">
      <c r="A2008" t="s">
        <v>8207</v>
      </c>
      <c r="B2008" s="1">
        <v>44969</v>
      </c>
      <c r="C2008" t="s">
        <v>3353</v>
      </c>
      <c r="D2008" t="s">
        <v>259</v>
      </c>
      <c r="E2008" t="s">
        <v>24</v>
      </c>
      <c r="F2008" t="s">
        <v>200</v>
      </c>
      <c r="G2008">
        <v>45</v>
      </c>
      <c r="H2008" t="s">
        <v>188</v>
      </c>
      <c r="I2008" t="s">
        <v>189</v>
      </c>
      <c r="J2008" t="s">
        <v>8208</v>
      </c>
      <c r="K2008" t="s">
        <v>8209</v>
      </c>
      <c r="R2008">
        <v>134</v>
      </c>
    </row>
    <row r="2009" spans="1:19" x14ac:dyDescent="0.25">
      <c r="A2009" t="s">
        <v>8210</v>
      </c>
      <c r="B2009" s="1">
        <v>44969</v>
      </c>
      <c r="C2009" t="s">
        <v>4523</v>
      </c>
      <c r="D2009" t="s">
        <v>259</v>
      </c>
      <c r="E2009" t="s">
        <v>24</v>
      </c>
      <c r="F2009" t="s">
        <v>323</v>
      </c>
      <c r="G2009">
        <v>60</v>
      </c>
      <c r="H2009" t="s">
        <v>26</v>
      </c>
      <c r="I2009" t="s">
        <v>370</v>
      </c>
      <c r="J2009" t="s">
        <v>498</v>
      </c>
      <c r="K2009" t="s">
        <v>956</v>
      </c>
      <c r="L2009">
        <v>350</v>
      </c>
      <c r="M2009">
        <v>97</v>
      </c>
      <c r="N2009" s="2">
        <v>0.37</v>
      </c>
      <c r="O2009">
        <v>84</v>
      </c>
      <c r="P2009">
        <v>15.94</v>
      </c>
      <c r="Q2009">
        <v>15.94</v>
      </c>
      <c r="R2009">
        <v>597</v>
      </c>
      <c r="S2009">
        <v>157.79</v>
      </c>
    </row>
    <row r="2010" spans="1:19" x14ac:dyDescent="0.25">
      <c r="A2010" t="s">
        <v>8211</v>
      </c>
      <c r="B2010" s="1">
        <v>44969</v>
      </c>
      <c r="C2010" t="s">
        <v>8212</v>
      </c>
      <c r="D2010" t="s">
        <v>259</v>
      </c>
      <c r="E2010" t="s">
        <v>24</v>
      </c>
      <c r="F2010" t="s">
        <v>747</v>
      </c>
      <c r="G2010">
        <v>5</v>
      </c>
      <c r="H2010" t="s">
        <v>49</v>
      </c>
      <c r="I2010" t="s">
        <v>50</v>
      </c>
      <c r="J2010" t="s">
        <v>51</v>
      </c>
      <c r="K2010" t="s">
        <v>8213</v>
      </c>
      <c r="R2010">
        <v>19</v>
      </c>
      <c r="S2010">
        <v>101.6</v>
      </c>
    </row>
    <row r="2011" spans="1:19" x14ac:dyDescent="0.25">
      <c r="A2011" t="s">
        <v>8214</v>
      </c>
      <c r="B2011" s="1">
        <v>44969</v>
      </c>
      <c r="C2011" t="s">
        <v>8215</v>
      </c>
      <c r="D2011" t="s">
        <v>259</v>
      </c>
      <c r="G2011">
        <v>38</v>
      </c>
      <c r="H2011" t="s">
        <v>1856</v>
      </c>
      <c r="J2011" t="s">
        <v>8216</v>
      </c>
      <c r="L2011">
        <v>0</v>
      </c>
      <c r="P2011">
        <v>3.29</v>
      </c>
      <c r="Q2011">
        <v>2.06</v>
      </c>
      <c r="R2011">
        <v>289</v>
      </c>
      <c r="S2011">
        <v>136.76</v>
      </c>
    </row>
    <row r="2012" spans="1:19" x14ac:dyDescent="0.25">
      <c r="A2012" t="s">
        <v>8217</v>
      </c>
      <c r="B2012" s="1">
        <v>44969</v>
      </c>
      <c r="C2012" t="s">
        <v>3533</v>
      </c>
      <c r="D2012" t="s">
        <v>259</v>
      </c>
      <c r="E2012" t="s">
        <v>24</v>
      </c>
      <c r="F2012" t="s">
        <v>237</v>
      </c>
      <c r="G2012">
        <v>5</v>
      </c>
      <c r="H2012" t="s">
        <v>464</v>
      </c>
      <c r="I2012" t="s">
        <v>763</v>
      </c>
      <c r="J2012" t="s">
        <v>4184</v>
      </c>
      <c r="K2012" t="s">
        <v>8218</v>
      </c>
    </row>
    <row r="2013" spans="1:19" x14ac:dyDescent="0.25">
      <c r="A2013" t="s">
        <v>8256</v>
      </c>
      <c r="B2013" s="1">
        <v>44976</v>
      </c>
      <c r="C2013" t="s">
        <v>8257</v>
      </c>
      <c r="D2013" t="s">
        <v>259</v>
      </c>
      <c r="G2013">
        <v>40</v>
      </c>
      <c r="H2013" t="s">
        <v>1856</v>
      </c>
      <c r="J2013" t="s">
        <v>8258</v>
      </c>
      <c r="L2013">
        <v>0</v>
      </c>
      <c r="P2013">
        <v>3.32</v>
      </c>
      <c r="Q2013">
        <v>2.12</v>
      </c>
      <c r="R2013">
        <v>222</v>
      </c>
      <c r="S2013">
        <v>115.99</v>
      </c>
    </row>
    <row r="2014" spans="1:19" x14ac:dyDescent="0.25">
      <c r="A2014" t="s">
        <v>8259</v>
      </c>
      <c r="B2014" s="1">
        <v>44976</v>
      </c>
      <c r="C2014" t="s">
        <v>8260</v>
      </c>
      <c r="D2014" t="s">
        <v>259</v>
      </c>
      <c r="E2014" t="s">
        <v>24</v>
      </c>
      <c r="F2014" t="s">
        <v>243</v>
      </c>
      <c r="G2014">
        <v>30</v>
      </c>
      <c r="H2014" t="s">
        <v>26</v>
      </c>
      <c r="I2014" t="s">
        <v>370</v>
      </c>
      <c r="J2014" t="s">
        <v>1260</v>
      </c>
      <c r="K2014" t="s">
        <v>1261</v>
      </c>
      <c r="L2014">
        <v>177</v>
      </c>
      <c r="M2014">
        <v>98</v>
      </c>
      <c r="N2014" s="2">
        <v>0.36</v>
      </c>
      <c r="O2014">
        <v>86</v>
      </c>
      <c r="P2014">
        <v>15.93</v>
      </c>
      <c r="Q2014">
        <v>7.97</v>
      </c>
      <c r="R2014">
        <v>278</v>
      </c>
      <c r="S2014">
        <v>146.19</v>
      </c>
    </row>
    <row r="2015" spans="1:19" x14ac:dyDescent="0.25">
      <c r="A2015" t="s">
        <v>8261</v>
      </c>
      <c r="B2015" s="1">
        <v>44976</v>
      </c>
      <c r="C2015" t="s">
        <v>8262</v>
      </c>
      <c r="D2015" t="s">
        <v>259</v>
      </c>
      <c r="E2015" t="s">
        <v>24</v>
      </c>
      <c r="F2015" t="s">
        <v>768</v>
      </c>
      <c r="G2015">
        <v>10</v>
      </c>
      <c r="H2015" t="s">
        <v>194</v>
      </c>
      <c r="I2015" t="s">
        <v>700</v>
      </c>
      <c r="J2015" t="s">
        <v>1282</v>
      </c>
      <c r="K2015" t="s">
        <v>8263</v>
      </c>
      <c r="R2015">
        <v>52</v>
      </c>
      <c r="S2015">
        <v>110.7</v>
      </c>
    </row>
    <row r="2016" spans="1:19" x14ac:dyDescent="0.25">
      <c r="A2016" t="s">
        <v>8264</v>
      </c>
      <c r="B2016" s="1">
        <v>44976</v>
      </c>
      <c r="C2016" t="s">
        <v>8265</v>
      </c>
      <c r="D2016" t="s">
        <v>259</v>
      </c>
      <c r="E2016" t="s">
        <v>24</v>
      </c>
      <c r="F2016" t="s">
        <v>243</v>
      </c>
      <c r="G2016">
        <v>30</v>
      </c>
      <c r="H2016" t="s">
        <v>188</v>
      </c>
      <c r="I2016" t="s">
        <v>189</v>
      </c>
      <c r="J2016" t="s">
        <v>8266</v>
      </c>
      <c r="K2016" t="s">
        <v>8267</v>
      </c>
      <c r="R2016">
        <v>92</v>
      </c>
    </row>
    <row r="2017" spans="1:19" x14ac:dyDescent="0.25">
      <c r="A2017" t="s">
        <v>8268</v>
      </c>
      <c r="B2017" s="1">
        <v>44976</v>
      </c>
      <c r="C2017" t="s">
        <v>247</v>
      </c>
      <c r="D2017" t="s">
        <v>259</v>
      </c>
      <c r="E2017" t="s">
        <v>24</v>
      </c>
      <c r="F2017" t="s">
        <v>2708</v>
      </c>
      <c r="G2017">
        <v>10</v>
      </c>
      <c r="H2017" t="s">
        <v>464</v>
      </c>
      <c r="I2017" t="s">
        <v>579</v>
      </c>
      <c r="J2017" t="s">
        <v>580</v>
      </c>
      <c r="K2017" t="s">
        <v>8269</v>
      </c>
    </row>
    <row r="2018" spans="1:19" x14ac:dyDescent="0.25">
      <c r="A2018" t="s">
        <v>8316</v>
      </c>
      <c r="B2018" s="1">
        <v>44983</v>
      </c>
      <c r="C2018" t="s">
        <v>4331</v>
      </c>
      <c r="D2018" t="s">
        <v>259</v>
      </c>
      <c r="E2018" t="s">
        <v>24</v>
      </c>
      <c r="F2018" t="s">
        <v>243</v>
      </c>
      <c r="G2018">
        <v>45</v>
      </c>
      <c r="H2018" t="s">
        <v>26</v>
      </c>
      <c r="I2018" t="s">
        <v>370</v>
      </c>
      <c r="J2018" t="s">
        <v>439</v>
      </c>
      <c r="K2018" t="s">
        <v>8317</v>
      </c>
      <c r="L2018">
        <v>264</v>
      </c>
      <c r="M2018">
        <v>98</v>
      </c>
      <c r="N2018" s="2">
        <v>0.36</v>
      </c>
      <c r="O2018">
        <v>85</v>
      </c>
      <c r="P2018">
        <v>15.94</v>
      </c>
      <c r="Q2018">
        <v>11.95</v>
      </c>
      <c r="R2018">
        <v>427</v>
      </c>
      <c r="S2018">
        <v>148.02000000000001</v>
      </c>
    </row>
    <row r="2019" spans="1:19" x14ac:dyDescent="0.25">
      <c r="A2019" t="s">
        <v>8318</v>
      </c>
      <c r="B2019" s="1">
        <v>44983</v>
      </c>
      <c r="C2019" t="s">
        <v>3853</v>
      </c>
      <c r="D2019" t="s">
        <v>259</v>
      </c>
      <c r="E2019" t="s">
        <v>24</v>
      </c>
      <c r="F2019" t="s">
        <v>747</v>
      </c>
      <c r="G2019">
        <v>5</v>
      </c>
      <c r="H2019" t="s">
        <v>49</v>
      </c>
      <c r="I2019" t="s">
        <v>50</v>
      </c>
      <c r="J2019" t="s">
        <v>51</v>
      </c>
      <c r="K2019" t="s">
        <v>8213</v>
      </c>
      <c r="R2019">
        <v>20</v>
      </c>
      <c r="S2019">
        <v>101.05</v>
      </c>
    </row>
    <row r="2020" spans="1:19" x14ac:dyDescent="0.25">
      <c r="A2020" t="s">
        <v>8319</v>
      </c>
      <c r="B2020" s="1">
        <v>44983</v>
      </c>
      <c r="C2020" t="s">
        <v>1552</v>
      </c>
      <c r="D2020" t="s">
        <v>259</v>
      </c>
      <c r="E2020" t="s">
        <v>24</v>
      </c>
      <c r="F2020" t="s">
        <v>237</v>
      </c>
      <c r="G2020">
        <v>10</v>
      </c>
      <c r="H2020" t="s">
        <v>464</v>
      </c>
      <c r="I2020" t="s">
        <v>103</v>
      </c>
      <c r="J2020" t="s">
        <v>8320</v>
      </c>
      <c r="K2020" t="s">
        <v>8321</v>
      </c>
    </row>
    <row r="2021" spans="1:19" x14ac:dyDescent="0.25">
      <c r="A2021" t="s">
        <v>8395</v>
      </c>
      <c r="B2021" s="1">
        <v>44990</v>
      </c>
      <c r="C2021" t="s">
        <v>1637</v>
      </c>
      <c r="D2021" t="s">
        <v>259</v>
      </c>
      <c r="E2021" t="s">
        <v>24</v>
      </c>
      <c r="F2021" t="s">
        <v>208</v>
      </c>
      <c r="G2021">
        <v>10</v>
      </c>
      <c r="H2021" t="s">
        <v>464</v>
      </c>
      <c r="I2021" t="s">
        <v>579</v>
      </c>
      <c r="J2021" t="s">
        <v>808</v>
      </c>
      <c r="K2021" t="s">
        <v>8396</v>
      </c>
    </row>
    <row r="2022" spans="1:19" x14ac:dyDescent="0.25">
      <c r="A2022" t="s">
        <v>8446</v>
      </c>
      <c r="B2022" s="1">
        <v>44997</v>
      </c>
      <c r="C2022" t="s">
        <v>1737</v>
      </c>
      <c r="D2022" t="s">
        <v>259</v>
      </c>
      <c r="E2022" t="s">
        <v>24</v>
      </c>
      <c r="F2022" t="s">
        <v>208</v>
      </c>
      <c r="G2022">
        <v>10</v>
      </c>
      <c r="H2022" t="s">
        <v>464</v>
      </c>
      <c r="I2022" t="s">
        <v>763</v>
      </c>
      <c r="J2022" t="s">
        <v>914</v>
      </c>
      <c r="K2022" t="s">
        <v>8447</v>
      </c>
    </row>
    <row r="2023" spans="1:19" x14ac:dyDescent="0.25">
      <c r="A2023" t="s">
        <v>8504</v>
      </c>
      <c r="B2023" s="1">
        <v>45004</v>
      </c>
      <c r="C2023" t="s">
        <v>2939</v>
      </c>
      <c r="D2023" t="s">
        <v>259</v>
      </c>
      <c r="E2023" t="s">
        <v>24</v>
      </c>
      <c r="F2023" t="s">
        <v>231</v>
      </c>
      <c r="G2023">
        <v>10</v>
      </c>
      <c r="H2023" t="s">
        <v>194</v>
      </c>
      <c r="I2023" t="s">
        <v>195</v>
      </c>
      <c r="J2023" t="s">
        <v>211</v>
      </c>
      <c r="K2023" t="s">
        <v>8452</v>
      </c>
      <c r="R2023">
        <v>47</v>
      </c>
      <c r="S2023">
        <v>105.68</v>
      </c>
    </row>
    <row r="2024" spans="1:19" x14ac:dyDescent="0.25">
      <c r="A2024" t="s">
        <v>8505</v>
      </c>
      <c r="B2024" s="1">
        <v>45004</v>
      </c>
      <c r="C2024" t="s">
        <v>6136</v>
      </c>
      <c r="D2024" t="s">
        <v>259</v>
      </c>
      <c r="E2024" t="s">
        <v>24</v>
      </c>
      <c r="F2024" t="s">
        <v>170</v>
      </c>
      <c r="G2024">
        <v>20</v>
      </c>
      <c r="H2024" t="s">
        <v>194</v>
      </c>
      <c r="I2024" t="s">
        <v>1445</v>
      </c>
      <c r="J2024" t="s">
        <v>3191</v>
      </c>
      <c r="K2024" t="s">
        <v>8506</v>
      </c>
      <c r="R2024">
        <v>123</v>
      </c>
      <c r="S2024">
        <v>119.79</v>
      </c>
    </row>
    <row r="2025" spans="1:19" x14ac:dyDescent="0.25">
      <c r="A2025" t="s">
        <v>8507</v>
      </c>
      <c r="B2025" s="1">
        <v>45004</v>
      </c>
      <c r="C2025" t="s">
        <v>1438</v>
      </c>
      <c r="D2025" t="s">
        <v>259</v>
      </c>
      <c r="E2025" t="s">
        <v>24</v>
      </c>
      <c r="F2025" t="s">
        <v>335</v>
      </c>
      <c r="G2025">
        <v>30</v>
      </c>
      <c r="H2025" t="s">
        <v>26</v>
      </c>
      <c r="I2025" t="s">
        <v>370</v>
      </c>
      <c r="J2025" t="s">
        <v>3832</v>
      </c>
      <c r="K2025" t="s">
        <v>8508</v>
      </c>
      <c r="L2025">
        <v>199</v>
      </c>
      <c r="M2025">
        <v>110</v>
      </c>
      <c r="N2025" s="2">
        <v>0.38</v>
      </c>
      <c r="O2025">
        <v>85</v>
      </c>
      <c r="P2025">
        <v>16.760000000000002</v>
      </c>
      <c r="Q2025">
        <v>8.3800000000000008</v>
      </c>
      <c r="R2025">
        <v>302</v>
      </c>
      <c r="S2025">
        <v>153.01</v>
      </c>
    </row>
    <row r="2026" spans="1:19" x14ac:dyDescent="0.25">
      <c r="A2026" t="s">
        <v>8509</v>
      </c>
      <c r="B2026" s="1">
        <v>45004</v>
      </c>
      <c r="C2026" t="s">
        <v>5654</v>
      </c>
      <c r="D2026" t="s">
        <v>259</v>
      </c>
      <c r="E2026" t="s">
        <v>24</v>
      </c>
      <c r="F2026" t="s">
        <v>3250</v>
      </c>
      <c r="G2026">
        <v>5</v>
      </c>
      <c r="H2026" t="s">
        <v>26</v>
      </c>
      <c r="I2026" t="s">
        <v>358</v>
      </c>
      <c r="J2026" t="s">
        <v>359</v>
      </c>
      <c r="K2026" t="s">
        <v>8510</v>
      </c>
      <c r="L2026">
        <v>22</v>
      </c>
      <c r="M2026">
        <v>73</v>
      </c>
      <c r="N2026" s="2">
        <v>0.33</v>
      </c>
      <c r="O2026">
        <v>80</v>
      </c>
      <c r="P2026">
        <v>14.09</v>
      </c>
      <c r="Q2026">
        <v>1.17</v>
      </c>
      <c r="R2026">
        <v>41</v>
      </c>
      <c r="S2026">
        <v>136.61000000000001</v>
      </c>
    </row>
    <row r="2027" spans="1:19" x14ac:dyDescent="0.25">
      <c r="A2027" t="s">
        <v>8511</v>
      </c>
      <c r="B2027" s="1">
        <v>45004</v>
      </c>
      <c r="C2027" t="s">
        <v>6967</v>
      </c>
      <c r="D2027" t="s">
        <v>259</v>
      </c>
      <c r="E2027" t="s">
        <v>24</v>
      </c>
      <c r="F2027" t="s">
        <v>3250</v>
      </c>
      <c r="G2027">
        <v>5</v>
      </c>
      <c r="H2027" t="s">
        <v>49</v>
      </c>
      <c r="I2027" t="s">
        <v>50</v>
      </c>
      <c r="J2027" t="s">
        <v>51</v>
      </c>
      <c r="K2027" t="s">
        <v>8512</v>
      </c>
      <c r="R2027">
        <v>27</v>
      </c>
      <c r="S2027">
        <v>113.27</v>
      </c>
    </row>
    <row r="2028" spans="1:19" x14ac:dyDescent="0.25">
      <c r="A2028" t="s">
        <v>8513</v>
      </c>
      <c r="B2028" s="1">
        <v>45004</v>
      </c>
      <c r="C2028" t="s">
        <v>3712</v>
      </c>
      <c r="D2028" t="s">
        <v>259</v>
      </c>
      <c r="E2028" t="s">
        <v>24</v>
      </c>
      <c r="F2028" t="s">
        <v>208</v>
      </c>
      <c r="G2028">
        <v>15</v>
      </c>
      <c r="H2028" t="s">
        <v>464</v>
      </c>
      <c r="I2028" t="s">
        <v>943</v>
      </c>
      <c r="J2028" t="s">
        <v>1709</v>
      </c>
      <c r="K2028" t="s">
        <v>8356</v>
      </c>
    </row>
    <row r="2029" spans="1:19" x14ac:dyDescent="0.25">
      <c r="A2029" t="s">
        <v>8621</v>
      </c>
      <c r="B2029" s="1">
        <v>45018</v>
      </c>
      <c r="C2029" t="s">
        <v>8039</v>
      </c>
      <c r="D2029" t="s">
        <v>259</v>
      </c>
      <c r="E2029" t="s">
        <v>24</v>
      </c>
      <c r="F2029" t="s">
        <v>208</v>
      </c>
      <c r="G2029">
        <v>10</v>
      </c>
      <c r="H2029" t="s">
        <v>464</v>
      </c>
      <c r="I2029" t="s">
        <v>579</v>
      </c>
      <c r="J2029" t="s">
        <v>1820</v>
      </c>
      <c r="K2029" t="s">
        <v>8622</v>
      </c>
    </row>
    <row r="2030" spans="1:19" x14ac:dyDescent="0.25">
      <c r="A2030" t="s">
        <v>8669</v>
      </c>
      <c r="B2030" s="1">
        <v>45025</v>
      </c>
      <c r="C2030" t="s">
        <v>8670</v>
      </c>
      <c r="D2030" t="s">
        <v>259</v>
      </c>
      <c r="E2030" t="s">
        <v>24</v>
      </c>
      <c r="F2030" t="s">
        <v>297</v>
      </c>
      <c r="G2030">
        <v>45</v>
      </c>
      <c r="H2030" t="s">
        <v>7750</v>
      </c>
      <c r="I2030" t="s">
        <v>663</v>
      </c>
      <c r="J2030" t="s">
        <v>632</v>
      </c>
      <c r="K2030" t="s">
        <v>8671</v>
      </c>
      <c r="L2030">
        <v>138</v>
      </c>
      <c r="P2030">
        <v>2.94</v>
      </c>
      <c r="Q2030">
        <v>3.03</v>
      </c>
      <c r="R2030">
        <v>415</v>
      </c>
      <c r="S2030">
        <v>146.74</v>
      </c>
    </row>
    <row r="2031" spans="1:19" x14ac:dyDescent="0.25">
      <c r="A2031" t="s">
        <v>8672</v>
      </c>
      <c r="B2031" s="1">
        <v>45025</v>
      </c>
      <c r="C2031" t="s">
        <v>8673</v>
      </c>
      <c r="D2031" t="s">
        <v>259</v>
      </c>
      <c r="E2031" t="s">
        <v>24</v>
      </c>
      <c r="F2031" t="s">
        <v>297</v>
      </c>
      <c r="G2031">
        <v>5</v>
      </c>
      <c r="H2031" t="s">
        <v>7562</v>
      </c>
      <c r="I2031" t="s">
        <v>7567</v>
      </c>
      <c r="J2031" t="s">
        <v>7778</v>
      </c>
      <c r="K2031" t="s">
        <v>8674</v>
      </c>
      <c r="L2031">
        <v>13</v>
      </c>
      <c r="P2031">
        <v>2.4</v>
      </c>
      <c r="Q2031">
        <v>0.45</v>
      </c>
      <c r="R2031">
        <v>35</v>
      </c>
      <c r="S2031">
        <v>126.19</v>
      </c>
    </row>
    <row r="2032" spans="1:19" x14ac:dyDescent="0.25">
      <c r="A2032" t="s">
        <v>8675</v>
      </c>
      <c r="B2032" s="1">
        <v>45025</v>
      </c>
      <c r="C2032" t="s">
        <v>8676</v>
      </c>
      <c r="D2032" t="s">
        <v>259</v>
      </c>
      <c r="E2032" t="s">
        <v>24</v>
      </c>
      <c r="F2032" t="s">
        <v>231</v>
      </c>
      <c r="G2032">
        <v>10</v>
      </c>
      <c r="H2032" t="s">
        <v>194</v>
      </c>
      <c r="I2032" t="s">
        <v>195</v>
      </c>
      <c r="J2032" t="s">
        <v>211</v>
      </c>
      <c r="K2032" t="s">
        <v>8677</v>
      </c>
      <c r="R2032">
        <v>45</v>
      </c>
      <c r="S2032">
        <v>104.25</v>
      </c>
    </row>
    <row r="2033" spans="1:19" x14ac:dyDescent="0.25">
      <c r="A2033" t="s">
        <v>8678</v>
      </c>
      <c r="B2033" s="1">
        <v>45025</v>
      </c>
      <c r="C2033" t="s">
        <v>1909</v>
      </c>
      <c r="D2033" t="s">
        <v>259</v>
      </c>
      <c r="E2033" t="s">
        <v>24</v>
      </c>
      <c r="F2033" t="s">
        <v>215</v>
      </c>
      <c r="G2033">
        <v>10</v>
      </c>
      <c r="H2033" t="s">
        <v>464</v>
      </c>
      <c r="I2033" t="s">
        <v>1617</v>
      </c>
      <c r="J2033" t="s">
        <v>3543</v>
      </c>
      <c r="K2033" t="s">
        <v>8679</v>
      </c>
    </row>
    <row r="2034" spans="1:19" x14ac:dyDescent="0.25">
      <c r="A2034" t="s">
        <v>8726</v>
      </c>
      <c r="B2034" s="1">
        <v>45032</v>
      </c>
      <c r="C2034" t="s">
        <v>8727</v>
      </c>
      <c r="D2034" t="s">
        <v>259</v>
      </c>
      <c r="E2034" t="s">
        <v>24</v>
      </c>
      <c r="F2034" t="s">
        <v>215</v>
      </c>
      <c r="G2034">
        <v>10</v>
      </c>
      <c r="H2034" t="s">
        <v>464</v>
      </c>
      <c r="I2034" t="s">
        <v>579</v>
      </c>
      <c r="J2034" t="s">
        <v>986</v>
      </c>
      <c r="K2034" t="s">
        <v>8728</v>
      </c>
    </row>
    <row r="2035" spans="1:19" x14ac:dyDescent="0.25">
      <c r="A2035" t="s">
        <v>8729</v>
      </c>
      <c r="B2035" s="1">
        <v>45032</v>
      </c>
      <c r="C2035" t="s">
        <v>6962</v>
      </c>
      <c r="D2035" t="s">
        <v>259</v>
      </c>
      <c r="E2035" t="s">
        <v>24</v>
      </c>
      <c r="F2035" t="s">
        <v>323</v>
      </c>
      <c r="G2035">
        <v>60</v>
      </c>
      <c r="H2035" t="s">
        <v>26</v>
      </c>
      <c r="I2035" t="s">
        <v>370</v>
      </c>
      <c r="J2035" t="s">
        <v>498</v>
      </c>
      <c r="K2035" t="s">
        <v>2640</v>
      </c>
      <c r="L2035">
        <v>400</v>
      </c>
      <c r="M2035">
        <v>111</v>
      </c>
      <c r="N2035" s="2">
        <v>0.38</v>
      </c>
      <c r="O2035">
        <v>85</v>
      </c>
      <c r="P2035">
        <v>16.829999999999998</v>
      </c>
      <c r="Q2035">
        <v>16.829999999999998</v>
      </c>
      <c r="R2035">
        <v>615</v>
      </c>
      <c r="S2035">
        <v>154.5</v>
      </c>
    </row>
    <row r="2036" spans="1:19" x14ac:dyDescent="0.25">
      <c r="A2036" t="s">
        <v>8730</v>
      </c>
      <c r="B2036" s="1">
        <v>45032</v>
      </c>
      <c r="C2036" t="s">
        <v>5428</v>
      </c>
      <c r="D2036" t="s">
        <v>259</v>
      </c>
      <c r="E2036" t="s">
        <v>24</v>
      </c>
      <c r="F2036" t="s">
        <v>323</v>
      </c>
      <c r="G2036">
        <v>5</v>
      </c>
      <c r="H2036" t="s">
        <v>49</v>
      </c>
      <c r="I2036" t="s">
        <v>50</v>
      </c>
      <c r="J2036" t="s">
        <v>51</v>
      </c>
      <c r="K2036" t="s">
        <v>8731</v>
      </c>
      <c r="R2036">
        <v>30</v>
      </c>
      <c r="S2036">
        <v>118.57</v>
      </c>
    </row>
    <row r="2037" spans="1:19" x14ac:dyDescent="0.25">
      <c r="A2037" t="s">
        <v>8732</v>
      </c>
      <c r="B2037" s="1">
        <v>45032</v>
      </c>
      <c r="C2037" t="s">
        <v>2279</v>
      </c>
      <c r="D2037" t="s">
        <v>259</v>
      </c>
      <c r="E2037" t="s">
        <v>24</v>
      </c>
      <c r="F2037" t="s">
        <v>208</v>
      </c>
      <c r="G2037">
        <v>10</v>
      </c>
      <c r="H2037" t="s">
        <v>464</v>
      </c>
      <c r="I2037" t="s">
        <v>579</v>
      </c>
      <c r="J2037" t="s">
        <v>1000</v>
      </c>
      <c r="K2037" t="s">
        <v>8733</v>
      </c>
    </row>
    <row r="2038" spans="1:19" x14ac:dyDescent="0.25">
      <c r="A2038" t="s">
        <v>8789</v>
      </c>
      <c r="B2038" s="1">
        <v>45039</v>
      </c>
      <c r="C2038" t="s">
        <v>8790</v>
      </c>
      <c r="D2038" t="s">
        <v>259</v>
      </c>
      <c r="E2038" t="s">
        <v>24</v>
      </c>
      <c r="F2038" t="s">
        <v>243</v>
      </c>
      <c r="G2038">
        <v>45</v>
      </c>
      <c r="H2038" t="s">
        <v>188</v>
      </c>
      <c r="I2038" t="s">
        <v>189</v>
      </c>
      <c r="J2038" t="s">
        <v>244</v>
      </c>
      <c r="K2038" t="s">
        <v>8791</v>
      </c>
      <c r="R2038">
        <v>143</v>
      </c>
    </row>
    <row r="2039" spans="1:19" x14ac:dyDescent="0.25">
      <c r="A2039" t="s">
        <v>8792</v>
      </c>
      <c r="B2039" s="1">
        <v>45039</v>
      </c>
      <c r="C2039" t="s">
        <v>8793</v>
      </c>
      <c r="D2039" t="s">
        <v>259</v>
      </c>
      <c r="E2039" t="s">
        <v>24</v>
      </c>
      <c r="F2039" t="s">
        <v>323</v>
      </c>
      <c r="G2039">
        <v>60</v>
      </c>
      <c r="H2039" t="s">
        <v>26</v>
      </c>
      <c r="I2039" t="s">
        <v>370</v>
      </c>
      <c r="J2039" t="s">
        <v>498</v>
      </c>
      <c r="K2039" t="s">
        <v>8641</v>
      </c>
      <c r="L2039">
        <v>409</v>
      </c>
      <c r="M2039">
        <v>114</v>
      </c>
      <c r="N2039" s="2">
        <v>0.39</v>
      </c>
      <c r="O2039">
        <v>85</v>
      </c>
      <c r="P2039">
        <v>17.010000000000002</v>
      </c>
      <c r="Q2039">
        <v>17.010000000000002</v>
      </c>
      <c r="R2039">
        <v>643</v>
      </c>
      <c r="S2039">
        <v>158.79</v>
      </c>
    </row>
    <row r="2040" spans="1:19" x14ac:dyDescent="0.25">
      <c r="A2040" t="s">
        <v>8794</v>
      </c>
      <c r="B2040" s="1">
        <v>45039</v>
      </c>
      <c r="C2040" t="s">
        <v>7027</v>
      </c>
      <c r="D2040" t="s">
        <v>259</v>
      </c>
      <c r="E2040" t="s">
        <v>24</v>
      </c>
      <c r="F2040" t="s">
        <v>323</v>
      </c>
      <c r="G2040">
        <v>5</v>
      </c>
      <c r="H2040" t="s">
        <v>49</v>
      </c>
      <c r="I2040" t="s">
        <v>50</v>
      </c>
      <c r="J2040" t="s">
        <v>51</v>
      </c>
      <c r="K2040" t="s">
        <v>8795</v>
      </c>
      <c r="R2040">
        <v>12</v>
      </c>
    </row>
    <row r="2041" spans="1:19" x14ac:dyDescent="0.25">
      <c r="A2041" t="s">
        <v>8796</v>
      </c>
      <c r="B2041" s="1">
        <v>45039</v>
      </c>
      <c r="C2041" t="s">
        <v>2295</v>
      </c>
      <c r="D2041" t="s">
        <v>259</v>
      </c>
      <c r="E2041" t="s">
        <v>24</v>
      </c>
      <c r="F2041" t="s">
        <v>200</v>
      </c>
      <c r="G2041">
        <v>10</v>
      </c>
      <c r="H2041" t="s">
        <v>464</v>
      </c>
      <c r="I2041" t="s">
        <v>579</v>
      </c>
      <c r="J2041" t="s">
        <v>8797</v>
      </c>
      <c r="K2041" t="s">
        <v>8798</v>
      </c>
    </row>
    <row r="2042" spans="1:19" x14ac:dyDescent="0.25">
      <c r="A2042" t="s">
        <v>8836</v>
      </c>
      <c r="B2042" s="1">
        <v>45046</v>
      </c>
      <c r="C2042" t="s">
        <v>5362</v>
      </c>
      <c r="D2042" t="s">
        <v>259</v>
      </c>
      <c r="E2042" t="s">
        <v>24</v>
      </c>
      <c r="F2042" t="s">
        <v>335</v>
      </c>
      <c r="G2042">
        <v>45</v>
      </c>
      <c r="H2042" t="s">
        <v>26</v>
      </c>
      <c r="I2042" t="s">
        <v>370</v>
      </c>
      <c r="J2042" t="s">
        <v>4280</v>
      </c>
      <c r="K2042" t="s">
        <v>8837</v>
      </c>
      <c r="L2042">
        <v>297</v>
      </c>
      <c r="M2042">
        <v>110</v>
      </c>
      <c r="N2042" s="2">
        <v>0.38</v>
      </c>
      <c r="O2042">
        <v>84</v>
      </c>
      <c r="P2042">
        <v>16.77</v>
      </c>
      <c r="Q2042">
        <v>12.58</v>
      </c>
      <c r="R2042">
        <v>436</v>
      </c>
      <c r="S2042">
        <v>149.94</v>
      </c>
    </row>
    <row r="2043" spans="1:19" x14ac:dyDescent="0.25">
      <c r="A2043" t="s">
        <v>8838</v>
      </c>
      <c r="B2043" s="1">
        <v>45046</v>
      </c>
      <c r="C2043" t="s">
        <v>6447</v>
      </c>
      <c r="D2043" t="s">
        <v>259</v>
      </c>
      <c r="E2043" t="s">
        <v>24</v>
      </c>
      <c r="F2043" t="s">
        <v>323</v>
      </c>
      <c r="G2043">
        <v>30</v>
      </c>
      <c r="H2043" t="s">
        <v>26</v>
      </c>
      <c r="I2043" t="s">
        <v>370</v>
      </c>
      <c r="J2043" t="s">
        <v>396</v>
      </c>
      <c r="K2043" t="s">
        <v>6537</v>
      </c>
      <c r="L2043">
        <v>208</v>
      </c>
      <c r="M2043">
        <v>115</v>
      </c>
      <c r="N2043" s="2">
        <v>0.4</v>
      </c>
      <c r="O2043">
        <v>81</v>
      </c>
      <c r="P2043">
        <v>17.14</v>
      </c>
      <c r="Q2043">
        <v>8.57</v>
      </c>
      <c r="R2043">
        <v>292</v>
      </c>
      <c r="S2043">
        <v>150.12</v>
      </c>
    </row>
    <row r="2044" spans="1:19" x14ac:dyDescent="0.25">
      <c r="A2044" t="s">
        <v>8839</v>
      </c>
      <c r="B2044" s="1">
        <v>45046</v>
      </c>
      <c r="C2044" t="s">
        <v>1688</v>
      </c>
      <c r="D2044" t="s">
        <v>259</v>
      </c>
      <c r="E2044" t="s">
        <v>24</v>
      </c>
      <c r="F2044" t="s">
        <v>335</v>
      </c>
      <c r="G2044">
        <v>10</v>
      </c>
      <c r="H2044" t="s">
        <v>194</v>
      </c>
      <c r="I2044" t="s">
        <v>700</v>
      </c>
      <c r="J2044" t="s">
        <v>1282</v>
      </c>
      <c r="K2044" t="s">
        <v>8840</v>
      </c>
      <c r="R2044">
        <v>52</v>
      </c>
      <c r="S2044">
        <v>112.1</v>
      </c>
    </row>
    <row r="2045" spans="1:19" x14ac:dyDescent="0.25">
      <c r="A2045" t="s">
        <v>8841</v>
      </c>
      <c r="B2045" s="1">
        <v>45046</v>
      </c>
      <c r="C2045" t="s">
        <v>5958</v>
      </c>
      <c r="D2045" t="s">
        <v>259</v>
      </c>
      <c r="E2045" t="s">
        <v>24</v>
      </c>
      <c r="F2045" t="s">
        <v>305</v>
      </c>
      <c r="G2045">
        <v>10</v>
      </c>
      <c r="H2045" t="s">
        <v>194</v>
      </c>
      <c r="I2045" t="s">
        <v>195</v>
      </c>
      <c r="J2045" t="s">
        <v>211</v>
      </c>
      <c r="K2045" t="s">
        <v>8842</v>
      </c>
      <c r="R2045">
        <v>42</v>
      </c>
      <c r="S2045">
        <v>100.94</v>
      </c>
    </row>
    <row r="2046" spans="1:19" x14ac:dyDescent="0.25">
      <c r="A2046" t="s">
        <v>8843</v>
      </c>
      <c r="B2046" s="1">
        <v>45046</v>
      </c>
      <c r="C2046" t="s">
        <v>5961</v>
      </c>
      <c r="D2046" t="s">
        <v>259</v>
      </c>
      <c r="E2046" t="s">
        <v>24</v>
      </c>
      <c r="F2046" t="s">
        <v>1987</v>
      </c>
      <c r="G2046">
        <v>20</v>
      </c>
      <c r="H2046" t="s">
        <v>188</v>
      </c>
      <c r="I2046" t="s">
        <v>238</v>
      </c>
      <c r="J2046" t="s">
        <v>8844</v>
      </c>
      <c r="K2046" t="s">
        <v>8845</v>
      </c>
      <c r="R2046">
        <v>77</v>
      </c>
      <c r="S2046">
        <v>98.31</v>
      </c>
    </row>
    <row r="2047" spans="1:19" x14ac:dyDescent="0.25">
      <c r="A2047" t="s">
        <v>8878</v>
      </c>
      <c r="B2047" s="1">
        <v>45053</v>
      </c>
      <c r="C2047" t="s">
        <v>3101</v>
      </c>
      <c r="D2047" t="s">
        <v>259</v>
      </c>
      <c r="E2047" t="s">
        <v>24</v>
      </c>
      <c r="F2047" t="s">
        <v>1987</v>
      </c>
      <c r="G2047">
        <v>10</v>
      </c>
      <c r="H2047" t="s">
        <v>464</v>
      </c>
      <c r="I2047" t="s">
        <v>943</v>
      </c>
      <c r="J2047" t="s">
        <v>944</v>
      </c>
      <c r="K2047" t="s">
        <v>8879</v>
      </c>
    </row>
    <row r="2048" spans="1:19" x14ac:dyDescent="0.25">
      <c r="A2048" t="s">
        <v>8927</v>
      </c>
      <c r="B2048" s="1">
        <v>45060</v>
      </c>
      <c r="C2048" t="s">
        <v>6172</v>
      </c>
      <c r="D2048" t="s">
        <v>259</v>
      </c>
      <c r="E2048" t="s">
        <v>24</v>
      </c>
      <c r="F2048" t="s">
        <v>208</v>
      </c>
      <c r="G2048">
        <v>15</v>
      </c>
      <c r="H2048" t="s">
        <v>464</v>
      </c>
      <c r="I2048" t="s">
        <v>763</v>
      </c>
      <c r="J2048" t="s">
        <v>2926</v>
      </c>
      <c r="K2048" t="s">
        <v>8928</v>
      </c>
    </row>
    <row r="2049" spans="1:19" x14ac:dyDescent="0.25">
      <c r="A2049" t="s">
        <v>9035</v>
      </c>
      <c r="B2049" s="1">
        <v>45081</v>
      </c>
      <c r="C2049" t="s">
        <v>9036</v>
      </c>
      <c r="D2049" t="s">
        <v>259</v>
      </c>
      <c r="E2049" t="s">
        <v>24</v>
      </c>
      <c r="F2049" t="s">
        <v>215</v>
      </c>
      <c r="G2049">
        <v>15</v>
      </c>
      <c r="H2049" t="s">
        <v>464</v>
      </c>
      <c r="I2049" t="s">
        <v>943</v>
      </c>
      <c r="J2049" t="s">
        <v>1709</v>
      </c>
      <c r="K2049" t="s">
        <v>9037</v>
      </c>
    </row>
    <row r="2050" spans="1:19" x14ac:dyDescent="0.25">
      <c r="A2050" t="s">
        <v>9081</v>
      </c>
      <c r="B2050" s="1">
        <v>45088</v>
      </c>
      <c r="C2050" t="s">
        <v>9082</v>
      </c>
      <c r="D2050" t="s">
        <v>259</v>
      </c>
      <c r="E2050" t="s">
        <v>24</v>
      </c>
      <c r="F2050" t="s">
        <v>208</v>
      </c>
      <c r="G2050">
        <v>15</v>
      </c>
      <c r="H2050" t="s">
        <v>464</v>
      </c>
      <c r="I2050" t="s">
        <v>943</v>
      </c>
      <c r="J2050" t="s">
        <v>1709</v>
      </c>
      <c r="K2050" t="s">
        <v>9083</v>
      </c>
    </row>
    <row r="2051" spans="1:19" x14ac:dyDescent="0.25">
      <c r="A2051" t="s">
        <v>9102</v>
      </c>
      <c r="B2051" s="1">
        <v>45095</v>
      </c>
      <c r="C2051" t="s">
        <v>9103</v>
      </c>
      <c r="D2051" t="s">
        <v>259</v>
      </c>
      <c r="E2051" t="s">
        <v>24</v>
      </c>
      <c r="F2051" t="s">
        <v>208</v>
      </c>
      <c r="G2051">
        <v>10</v>
      </c>
      <c r="H2051" t="s">
        <v>464</v>
      </c>
      <c r="I2051" t="s">
        <v>579</v>
      </c>
      <c r="J2051" t="s">
        <v>1975</v>
      </c>
      <c r="K2051" t="s">
        <v>9104</v>
      </c>
    </row>
    <row r="2052" spans="1:19" x14ac:dyDescent="0.25">
      <c r="A2052" t="s">
        <v>9139</v>
      </c>
      <c r="B2052" s="1">
        <v>45102</v>
      </c>
      <c r="C2052" t="s">
        <v>3220</v>
      </c>
      <c r="D2052" t="s">
        <v>259</v>
      </c>
      <c r="E2052" t="s">
        <v>24</v>
      </c>
      <c r="F2052" t="s">
        <v>208</v>
      </c>
      <c r="G2052">
        <v>10</v>
      </c>
      <c r="H2052" t="s">
        <v>464</v>
      </c>
      <c r="I2052" t="s">
        <v>579</v>
      </c>
      <c r="J2052" t="s">
        <v>602</v>
      </c>
      <c r="K2052" t="s">
        <v>9140</v>
      </c>
    </row>
    <row r="2053" spans="1:19" x14ac:dyDescent="0.25">
      <c r="A2053" t="s">
        <v>9234</v>
      </c>
      <c r="B2053" s="1">
        <v>45116</v>
      </c>
      <c r="C2053" t="s">
        <v>1649</v>
      </c>
      <c r="D2053" t="s">
        <v>259</v>
      </c>
      <c r="E2053" t="s">
        <v>24</v>
      </c>
      <c r="F2053" t="s">
        <v>459</v>
      </c>
      <c r="G2053">
        <v>10</v>
      </c>
      <c r="H2053" t="s">
        <v>464</v>
      </c>
      <c r="I2053" t="s">
        <v>1617</v>
      </c>
      <c r="J2053" t="s">
        <v>3543</v>
      </c>
      <c r="K2053" t="s">
        <v>9235</v>
      </c>
    </row>
    <row r="2054" spans="1:19" x14ac:dyDescent="0.25">
      <c r="A2054" t="s">
        <v>9289</v>
      </c>
      <c r="B2054" s="1">
        <v>45123</v>
      </c>
      <c r="C2054" t="s">
        <v>9290</v>
      </c>
      <c r="D2054" t="s">
        <v>259</v>
      </c>
      <c r="E2054" t="s">
        <v>24</v>
      </c>
      <c r="F2054" t="s">
        <v>200</v>
      </c>
      <c r="G2054">
        <v>30</v>
      </c>
      <c r="H2054" t="s">
        <v>188</v>
      </c>
      <c r="I2054" t="s">
        <v>575</v>
      </c>
      <c r="J2054" t="s">
        <v>6253</v>
      </c>
      <c r="K2054" t="s">
        <v>9291</v>
      </c>
      <c r="R2054">
        <v>98</v>
      </c>
    </row>
    <row r="2055" spans="1:19" x14ac:dyDescent="0.25">
      <c r="A2055" t="s">
        <v>9292</v>
      </c>
      <c r="B2055" s="1">
        <v>45123</v>
      </c>
      <c r="C2055" t="s">
        <v>4369</v>
      </c>
      <c r="D2055" t="s">
        <v>259</v>
      </c>
      <c r="E2055" t="s">
        <v>24</v>
      </c>
      <c r="F2055" t="s">
        <v>200</v>
      </c>
      <c r="G2055">
        <v>10</v>
      </c>
      <c r="H2055" t="s">
        <v>464</v>
      </c>
      <c r="I2055" t="s">
        <v>579</v>
      </c>
      <c r="J2055" t="s">
        <v>602</v>
      </c>
      <c r="K2055" t="s">
        <v>9293</v>
      </c>
    </row>
    <row r="2056" spans="1:19" x14ac:dyDescent="0.25">
      <c r="A2056" t="s">
        <v>9346</v>
      </c>
      <c r="B2056" s="1">
        <v>45130</v>
      </c>
      <c r="C2056" t="s">
        <v>9347</v>
      </c>
      <c r="D2056" t="s">
        <v>259</v>
      </c>
      <c r="E2056" t="s">
        <v>24</v>
      </c>
      <c r="F2056" t="s">
        <v>243</v>
      </c>
      <c r="G2056">
        <v>45</v>
      </c>
      <c r="H2056" t="s">
        <v>26</v>
      </c>
      <c r="I2056" t="s">
        <v>370</v>
      </c>
      <c r="J2056" t="s">
        <v>439</v>
      </c>
      <c r="K2056" t="s">
        <v>3155</v>
      </c>
      <c r="L2056">
        <v>296</v>
      </c>
      <c r="M2056">
        <v>110</v>
      </c>
      <c r="N2056" s="2">
        <v>0.38</v>
      </c>
      <c r="O2056">
        <v>84</v>
      </c>
      <c r="P2056">
        <v>16.7</v>
      </c>
      <c r="Q2056">
        <v>12.52</v>
      </c>
      <c r="R2056">
        <v>412</v>
      </c>
      <c r="S2056">
        <v>144.55000000000001</v>
      </c>
    </row>
    <row r="2057" spans="1:19" x14ac:dyDescent="0.25">
      <c r="A2057" t="s">
        <v>9348</v>
      </c>
      <c r="B2057" s="1">
        <v>45130</v>
      </c>
      <c r="C2057" t="s">
        <v>3018</v>
      </c>
      <c r="D2057" t="s">
        <v>259</v>
      </c>
      <c r="E2057" t="s">
        <v>24</v>
      </c>
      <c r="F2057" t="s">
        <v>170</v>
      </c>
      <c r="G2057">
        <v>10</v>
      </c>
      <c r="H2057" t="s">
        <v>26</v>
      </c>
      <c r="I2057" t="s">
        <v>358</v>
      </c>
      <c r="J2057" t="s">
        <v>9349</v>
      </c>
      <c r="K2057" t="s">
        <v>9350</v>
      </c>
      <c r="L2057">
        <v>37</v>
      </c>
      <c r="M2057">
        <v>62</v>
      </c>
      <c r="N2057" s="2">
        <v>0.28999999999999998</v>
      </c>
      <c r="O2057">
        <v>89</v>
      </c>
      <c r="P2057">
        <v>13.2</v>
      </c>
      <c r="Q2057">
        <v>2.2000000000000002</v>
      </c>
      <c r="R2057">
        <v>66</v>
      </c>
      <c r="S2057">
        <v>122.06</v>
      </c>
    </row>
    <row r="2058" spans="1:19" x14ac:dyDescent="0.25">
      <c r="A2058" t="s">
        <v>9351</v>
      </c>
      <c r="B2058" s="1">
        <v>45130</v>
      </c>
      <c r="C2058" t="s">
        <v>9352</v>
      </c>
      <c r="D2058" t="s">
        <v>259</v>
      </c>
      <c r="E2058" t="s">
        <v>24</v>
      </c>
      <c r="F2058" t="s">
        <v>243</v>
      </c>
      <c r="G2058">
        <v>5</v>
      </c>
      <c r="H2058" t="s">
        <v>49</v>
      </c>
      <c r="I2058" t="s">
        <v>50</v>
      </c>
      <c r="J2058" t="s">
        <v>51</v>
      </c>
      <c r="K2058" t="s">
        <v>9353</v>
      </c>
      <c r="R2058">
        <v>22</v>
      </c>
      <c r="S2058">
        <v>102.81</v>
      </c>
    </row>
    <row r="2059" spans="1:19" x14ac:dyDescent="0.25">
      <c r="A2059" t="s">
        <v>9377</v>
      </c>
      <c r="B2059" s="1">
        <v>45137</v>
      </c>
      <c r="C2059" t="s">
        <v>5087</v>
      </c>
      <c r="D2059" t="s">
        <v>259</v>
      </c>
      <c r="G2059">
        <v>40</v>
      </c>
      <c r="H2059" t="s">
        <v>1856</v>
      </c>
      <c r="J2059" t="s">
        <v>9378</v>
      </c>
      <c r="L2059">
        <v>0</v>
      </c>
      <c r="P2059">
        <v>3.28</v>
      </c>
      <c r="Q2059">
        <v>2.0499999999999998</v>
      </c>
      <c r="R2059">
        <v>271</v>
      </c>
      <c r="S2059">
        <v>128.72</v>
      </c>
    </row>
    <row r="2060" spans="1:19" x14ac:dyDescent="0.25">
      <c r="A2060" t="s">
        <v>9379</v>
      </c>
      <c r="B2060" s="1">
        <v>45137</v>
      </c>
      <c r="C2060" t="s">
        <v>9380</v>
      </c>
      <c r="D2060" t="s">
        <v>259</v>
      </c>
      <c r="E2060" t="s">
        <v>24</v>
      </c>
      <c r="F2060" t="s">
        <v>323</v>
      </c>
      <c r="G2060">
        <v>45</v>
      </c>
      <c r="H2060" t="s">
        <v>26</v>
      </c>
      <c r="I2060" t="s">
        <v>370</v>
      </c>
      <c r="J2060" t="s">
        <v>439</v>
      </c>
      <c r="K2060" t="s">
        <v>9381</v>
      </c>
      <c r="L2060">
        <v>304</v>
      </c>
      <c r="M2060">
        <v>112</v>
      </c>
      <c r="N2060" s="2">
        <v>0.39</v>
      </c>
      <c r="O2060">
        <v>85</v>
      </c>
      <c r="P2060">
        <v>16.88</v>
      </c>
      <c r="Q2060">
        <v>12.66</v>
      </c>
      <c r="R2060">
        <v>461</v>
      </c>
      <c r="S2060">
        <v>153.93</v>
      </c>
    </row>
    <row r="2061" spans="1:19" x14ac:dyDescent="0.25">
      <c r="A2061" t="s">
        <v>9382</v>
      </c>
      <c r="B2061" s="1">
        <v>45137</v>
      </c>
      <c r="C2061" t="s">
        <v>9383</v>
      </c>
      <c r="D2061" t="s">
        <v>259</v>
      </c>
      <c r="E2061" t="s">
        <v>24</v>
      </c>
      <c r="F2061" t="s">
        <v>354</v>
      </c>
      <c r="G2061">
        <v>5</v>
      </c>
      <c r="H2061" t="s">
        <v>26</v>
      </c>
      <c r="I2061" t="s">
        <v>358</v>
      </c>
      <c r="J2061" t="s">
        <v>359</v>
      </c>
      <c r="K2061" t="s">
        <v>9384</v>
      </c>
      <c r="L2061">
        <v>18</v>
      </c>
      <c r="M2061">
        <v>61</v>
      </c>
      <c r="N2061" s="2">
        <v>0.3</v>
      </c>
      <c r="O2061">
        <v>82</v>
      </c>
      <c r="P2061">
        <v>13.06</v>
      </c>
      <c r="Q2061">
        <v>1.0900000000000001</v>
      </c>
      <c r="R2061">
        <v>36</v>
      </c>
      <c r="S2061">
        <v>127.75</v>
      </c>
    </row>
    <row r="2062" spans="1:19" x14ac:dyDescent="0.25">
      <c r="A2062" t="s">
        <v>9385</v>
      </c>
      <c r="B2062" s="1">
        <v>45137</v>
      </c>
      <c r="C2062" t="s">
        <v>1949</v>
      </c>
      <c r="D2062" t="s">
        <v>259</v>
      </c>
      <c r="E2062" t="s">
        <v>24</v>
      </c>
      <c r="F2062" t="s">
        <v>747</v>
      </c>
      <c r="G2062">
        <v>5</v>
      </c>
      <c r="H2062" t="s">
        <v>49</v>
      </c>
      <c r="I2062" t="s">
        <v>50</v>
      </c>
      <c r="J2062" t="s">
        <v>51</v>
      </c>
      <c r="K2062" t="s">
        <v>9386</v>
      </c>
      <c r="R2062">
        <v>26</v>
      </c>
      <c r="S2062">
        <v>111.63</v>
      </c>
    </row>
    <row r="2063" spans="1:19" x14ac:dyDescent="0.25">
      <c r="A2063" t="s">
        <v>9417</v>
      </c>
      <c r="B2063" s="1">
        <v>45144</v>
      </c>
      <c r="C2063" t="s">
        <v>9418</v>
      </c>
      <c r="D2063" t="s">
        <v>259</v>
      </c>
      <c r="E2063" t="s">
        <v>24</v>
      </c>
      <c r="F2063" t="s">
        <v>323</v>
      </c>
      <c r="G2063">
        <v>90</v>
      </c>
      <c r="H2063" t="s">
        <v>26</v>
      </c>
      <c r="I2063" t="s">
        <v>370</v>
      </c>
      <c r="J2063" t="s">
        <v>1278</v>
      </c>
      <c r="K2063" t="s">
        <v>2088</v>
      </c>
      <c r="L2063">
        <v>635</v>
      </c>
      <c r="M2063">
        <v>118</v>
      </c>
      <c r="N2063" s="2">
        <v>0.4</v>
      </c>
      <c r="O2063">
        <v>84</v>
      </c>
      <c r="P2063">
        <v>17.260000000000002</v>
      </c>
      <c r="Q2063">
        <v>25.89</v>
      </c>
      <c r="R2063">
        <v>828</v>
      </c>
      <c r="S2063">
        <v>146.01</v>
      </c>
    </row>
    <row r="2064" spans="1:19" x14ac:dyDescent="0.25">
      <c r="A2064" t="s">
        <v>9419</v>
      </c>
      <c r="B2064" s="1">
        <v>45144</v>
      </c>
      <c r="C2064" t="s">
        <v>8500</v>
      </c>
      <c r="D2064" t="s">
        <v>259</v>
      </c>
      <c r="E2064" t="s">
        <v>24</v>
      </c>
      <c r="F2064" t="s">
        <v>905</v>
      </c>
      <c r="G2064">
        <v>5</v>
      </c>
      <c r="H2064" t="s">
        <v>49</v>
      </c>
      <c r="I2064" t="s">
        <v>50</v>
      </c>
      <c r="J2064" t="s">
        <v>51</v>
      </c>
      <c r="K2064" t="s">
        <v>9420</v>
      </c>
      <c r="R2064">
        <v>24</v>
      </c>
      <c r="S2064">
        <v>107.52</v>
      </c>
    </row>
    <row r="2065" spans="1:19" x14ac:dyDescent="0.25">
      <c r="A2065" t="s">
        <v>9421</v>
      </c>
      <c r="B2065" s="1">
        <v>45144</v>
      </c>
      <c r="C2065" t="s">
        <v>2629</v>
      </c>
      <c r="D2065" t="s">
        <v>259</v>
      </c>
      <c r="E2065" t="s">
        <v>24</v>
      </c>
      <c r="F2065" t="s">
        <v>208</v>
      </c>
      <c r="G2065">
        <v>10</v>
      </c>
      <c r="H2065" t="s">
        <v>464</v>
      </c>
      <c r="I2065" t="s">
        <v>763</v>
      </c>
      <c r="J2065" t="s">
        <v>914</v>
      </c>
      <c r="K2065" t="s">
        <v>9422</v>
      </c>
    </row>
    <row r="2066" spans="1:19" x14ac:dyDescent="0.25">
      <c r="A2066" t="s">
        <v>9467</v>
      </c>
      <c r="B2066" s="1">
        <v>45151</v>
      </c>
      <c r="C2066" t="s">
        <v>9468</v>
      </c>
      <c r="D2066" t="s">
        <v>259</v>
      </c>
      <c r="E2066" t="s">
        <v>24</v>
      </c>
      <c r="F2066" t="s">
        <v>208</v>
      </c>
      <c r="G2066">
        <v>10</v>
      </c>
      <c r="H2066" t="s">
        <v>464</v>
      </c>
      <c r="I2066" t="s">
        <v>579</v>
      </c>
      <c r="J2066" t="s">
        <v>2432</v>
      </c>
      <c r="K2066" t="s">
        <v>9469</v>
      </c>
    </row>
    <row r="2067" spans="1:19" x14ac:dyDescent="0.25">
      <c r="A2067" t="s">
        <v>9470</v>
      </c>
      <c r="B2067" s="1">
        <v>45151</v>
      </c>
      <c r="C2067" t="s">
        <v>9471</v>
      </c>
      <c r="D2067" t="s">
        <v>259</v>
      </c>
      <c r="E2067" t="s">
        <v>24</v>
      </c>
      <c r="F2067" t="s">
        <v>208</v>
      </c>
      <c r="G2067">
        <v>15</v>
      </c>
      <c r="H2067" t="s">
        <v>464</v>
      </c>
      <c r="I2067" t="s">
        <v>1617</v>
      </c>
      <c r="J2067" t="s">
        <v>2838</v>
      </c>
      <c r="K2067" t="s">
        <v>9472</v>
      </c>
    </row>
    <row r="2068" spans="1:19" x14ac:dyDescent="0.25">
      <c r="A2068" t="s">
        <v>9473</v>
      </c>
      <c r="B2068" s="1">
        <v>45151</v>
      </c>
      <c r="C2068" t="s">
        <v>9474</v>
      </c>
      <c r="D2068" t="s">
        <v>259</v>
      </c>
      <c r="E2068" t="s">
        <v>24</v>
      </c>
      <c r="F2068" t="s">
        <v>459</v>
      </c>
      <c r="G2068">
        <v>15</v>
      </c>
      <c r="H2068" t="s">
        <v>464</v>
      </c>
      <c r="I2068" t="s">
        <v>1617</v>
      </c>
      <c r="J2068" t="s">
        <v>9475</v>
      </c>
      <c r="K2068" t="s">
        <v>9476</v>
      </c>
    </row>
    <row r="2069" spans="1:19" x14ac:dyDescent="0.25">
      <c r="A2069" t="s">
        <v>9516</v>
      </c>
      <c r="B2069" s="1">
        <v>45158</v>
      </c>
      <c r="C2069" t="s">
        <v>6825</v>
      </c>
      <c r="D2069" t="s">
        <v>259</v>
      </c>
      <c r="E2069" t="s">
        <v>24</v>
      </c>
      <c r="F2069" t="s">
        <v>305</v>
      </c>
      <c r="G2069">
        <v>30</v>
      </c>
      <c r="H2069" t="s">
        <v>194</v>
      </c>
      <c r="I2069" t="s">
        <v>232</v>
      </c>
      <c r="J2069" t="s">
        <v>9517</v>
      </c>
      <c r="K2069" t="s">
        <v>9518</v>
      </c>
      <c r="R2069">
        <v>237</v>
      </c>
      <c r="S2069">
        <v>132.08000000000001</v>
      </c>
    </row>
    <row r="2070" spans="1:19" x14ac:dyDescent="0.25">
      <c r="A2070" t="s">
        <v>9519</v>
      </c>
      <c r="B2070" s="1">
        <v>45158</v>
      </c>
      <c r="C2070" t="s">
        <v>9520</v>
      </c>
      <c r="D2070" t="s">
        <v>259</v>
      </c>
      <c r="E2070" t="s">
        <v>24</v>
      </c>
      <c r="F2070" t="s">
        <v>9324</v>
      </c>
      <c r="G2070">
        <v>30</v>
      </c>
      <c r="H2070" t="s">
        <v>7562</v>
      </c>
      <c r="I2070" t="s">
        <v>7989</v>
      </c>
      <c r="J2070" t="s">
        <v>7990</v>
      </c>
      <c r="K2070" t="s">
        <v>9521</v>
      </c>
      <c r="L2070">
        <v>107</v>
      </c>
      <c r="P2070">
        <v>2.69</v>
      </c>
      <c r="Q2070">
        <v>2.77</v>
      </c>
      <c r="R2070">
        <v>253</v>
      </c>
      <c r="S2070">
        <v>138.47</v>
      </c>
    </row>
    <row r="2071" spans="1:19" x14ac:dyDescent="0.25">
      <c r="A2071" t="s">
        <v>9522</v>
      </c>
      <c r="B2071" s="1">
        <v>45158</v>
      </c>
      <c r="C2071" t="s">
        <v>9523</v>
      </c>
      <c r="D2071" t="s">
        <v>259</v>
      </c>
      <c r="E2071" t="s">
        <v>24</v>
      </c>
      <c r="F2071" t="s">
        <v>323</v>
      </c>
      <c r="G2071">
        <v>5</v>
      </c>
      <c r="H2071" t="s">
        <v>7562</v>
      </c>
      <c r="I2071" t="s">
        <v>7989</v>
      </c>
      <c r="J2071" t="s">
        <v>9524</v>
      </c>
      <c r="K2071" t="s">
        <v>9525</v>
      </c>
      <c r="L2071">
        <v>17</v>
      </c>
      <c r="P2071">
        <v>2.58</v>
      </c>
      <c r="Q2071">
        <v>0.48</v>
      </c>
      <c r="R2071">
        <v>36</v>
      </c>
      <c r="S2071">
        <v>127.72</v>
      </c>
    </row>
    <row r="2072" spans="1:19" x14ac:dyDescent="0.25">
      <c r="A2072" t="s">
        <v>9526</v>
      </c>
      <c r="B2072" s="1">
        <v>45158</v>
      </c>
      <c r="C2072" t="s">
        <v>9527</v>
      </c>
      <c r="D2072" t="s">
        <v>259</v>
      </c>
      <c r="E2072" t="s">
        <v>24</v>
      </c>
      <c r="F2072" t="s">
        <v>2256</v>
      </c>
      <c r="G2072">
        <v>5</v>
      </c>
      <c r="H2072" t="s">
        <v>194</v>
      </c>
      <c r="I2072" t="s">
        <v>195</v>
      </c>
      <c r="J2072" t="s">
        <v>196</v>
      </c>
      <c r="K2072" t="s">
        <v>9528</v>
      </c>
      <c r="R2072">
        <v>20</v>
      </c>
      <c r="S2072">
        <v>99.53</v>
      </c>
    </row>
    <row r="2073" spans="1:19" x14ac:dyDescent="0.25">
      <c r="A2073" t="s">
        <v>9529</v>
      </c>
      <c r="B2073" s="1">
        <v>45158</v>
      </c>
      <c r="C2073" t="s">
        <v>9530</v>
      </c>
      <c r="D2073" t="s">
        <v>259</v>
      </c>
      <c r="E2073" t="s">
        <v>24</v>
      </c>
      <c r="F2073" t="s">
        <v>243</v>
      </c>
      <c r="G2073">
        <v>30</v>
      </c>
      <c r="H2073" t="s">
        <v>188</v>
      </c>
      <c r="I2073" t="s">
        <v>189</v>
      </c>
      <c r="J2073" t="s">
        <v>8193</v>
      </c>
      <c r="K2073" t="s">
        <v>9531</v>
      </c>
      <c r="R2073">
        <v>92</v>
      </c>
    </row>
    <row r="2074" spans="1:19" x14ac:dyDescent="0.25">
      <c r="A2074" t="s">
        <v>9532</v>
      </c>
      <c r="B2074" s="1">
        <v>45158</v>
      </c>
      <c r="C2074" t="s">
        <v>1009</v>
      </c>
      <c r="D2074" t="s">
        <v>259</v>
      </c>
      <c r="E2074" t="s">
        <v>24</v>
      </c>
      <c r="F2074" t="s">
        <v>459</v>
      </c>
      <c r="G2074">
        <v>15</v>
      </c>
      <c r="H2074" t="s">
        <v>464</v>
      </c>
      <c r="I2074" t="s">
        <v>579</v>
      </c>
      <c r="J2074" t="s">
        <v>4321</v>
      </c>
      <c r="K2074" t="s">
        <v>9533</v>
      </c>
    </row>
    <row r="2075" spans="1:19" x14ac:dyDescent="0.25">
      <c r="A2075" t="s">
        <v>9576</v>
      </c>
      <c r="B2075" s="1">
        <v>45165</v>
      </c>
      <c r="C2075" t="s">
        <v>9577</v>
      </c>
      <c r="D2075" t="s">
        <v>259</v>
      </c>
      <c r="E2075" t="s">
        <v>24</v>
      </c>
      <c r="F2075" t="s">
        <v>323</v>
      </c>
      <c r="G2075">
        <v>45</v>
      </c>
      <c r="H2075" t="s">
        <v>26</v>
      </c>
      <c r="I2075" t="s">
        <v>370</v>
      </c>
      <c r="J2075" t="s">
        <v>479</v>
      </c>
      <c r="K2075" t="s">
        <v>9578</v>
      </c>
      <c r="L2075">
        <v>304</v>
      </c>
      <c r="M2075">
        <v>113</v>
      </c>
      <c r="N2075" s="2">
        <v>0.36</v>
      </c>
      <c r="O2075">
        <v>87</v>
      </c>
      <c r="P2075">
        <v>16.149999999999999</v>
      </c>
      <c r="Q2075">
        <v>12.11</v>
      </c>
      <c r="R2075">
        <v>440</v>
      </c>
      <c r="S2075">
        <v>149.9</v>
      </c>
    </row>
    <row r="2076" spans="1:19" x14ac:dyDescent="0.25">
      <c r="A2076" t="s">
        <v>9579</v>
      </c>
      <c r="B2076" s="1">
        <v>45165</v>
      </c>
      <c r="C2076" t="s">
        <v>9580</v>
      </c>
      <c r="D2076" t="s">
        <v>259</v>
      </c>
      <c r="E2076" t="s">
        <v>24</v>
      </c>
      <c r="F2076" t="s">
        <v>3250</v>
      </c>
      <c r="G2076">
        <v>10</v>
      </c>
      <c r="H2076" t="s">
        <v>26</v>
      </c>
      <c r="I2076" t="s">
        <v>39</v>
      </c>
      <c r="J2076" t="s">
        <v>7372</v>
      </c>
      <c r="K2076" t="s">
        <v>9581</v>
      </c>
      <c r="L2076">
        <v>46</v>
      </c>
      <c r="M2076">
        <v>77</v>
      </c>
      <c r="N2076" s="2">
        <v>0.35</v>
      </c>
      <c r="O2076">
        <v>77</v>
      </c>
      <c r="P2076">
        <v>14.4</v>
      </c>
      <c r="Q2076">
        <v>2.4</v>
      </c>
      <c r="R2076">
        <v>75</v>
      </c>
      <c r="S2076">
        <v>130.13999999999999</v>
      </c>
    </row>
    <row r="2077" spans="1:19" x14ac:dyDescent="0.25">
      <c r="A2077" t="s">
        <v>9582</v>
      </c>
      <c r="B2077" s="1">
        <v>45165</v>
      </c>
      <c r="C2077" t="s">
        <v>9583</v>
      </c>
      <c r="D2077" t="s">
        <v>259</v>
      </c>
      <c r="E2077" t="s">
        <v>24</v>
      </c>
      <c r="F2077" t="s">
        <v>335</v>
      </c>
      <c r="G2077">
        <v>5</v>
      </c>
      <c r="H2077" t="s">
        <v>26</v>
      </c>
      <c r="I2077" t="s">
        <v>358</v>
      </c>
      <c r="J2077" t="s">
        <v>359</v>
      </c>
      <c r="K2077" t="s">
        <v>9584</v>
      </c>
      <c r="L2077">
        <v>18</v>
      </c>
      <c r="M2077">
        <v>60</v>
      </c>
      <c r="N2077" s="2">
        <v>0.31</v>
      </c>
      <c r="O2077">
        <v>78</v>
      </c>
      <c r="P2077">
        <v>12.83</v>
      </c>
      <c r="Q2077">
        <v>1.07</v>
      </c>
      <c r="R2077">
        <v>32</v>
      </c>
      <c r="S2077">
        <v>115.44</v>
      </c>
    </row>
    <row r="2078" spans="1:19" x14ac:dyDescent="0.25">
      <c r="A2078" t="s">
        <v>9585</v>
      </c>
      <c r="B2078" s="1">
        <v>45165</v>
      </c>
      <c r="C2078" t="s">
        <v>7186</v>
      </c>
      <c r="D2078" t="s">
        <v>259</v>
      </c>
      <c r="E2078" t="s">
        <v>24</v>
      </c>
      <c r="F2078" t="s">
        <v>243</v>
      </c>
      <c r="G2078">
        <v>30</v>
      </c>
      <c r="H2078" t="s">
        <v>188</v>
      </c>
      <c r="I2078" t="s">
        <v>238</v>
      </c>
      <c r="J2078" t="s">
        <v>8360</v>
      </c>
      <c r="K2078" t="s">
        <v>9586</v>
      </c>
      <c r="R2078">
        <v>111</v>
      </c>
      <c r="S2078">
        <v>94.95</v>
      </c>
    </row>
    <row r="2079" spans="1:19" x14ac:dyDescent="0.25">
      <c r="A2079" t="s">
        <v>9587</v>
      </c>
      <c r="B2079" s="1">
        <v>45165</v>
      </c>
      <c r="C2079" t="s">
        <v>963</v>
      </c>
      <c r="D2079" t="s">
        <v>259</v>
      </c>
      <c r="E2079" t="s">
        <v>24</v>
      </c>
      <c r="F2079" t="s">
        <v>208</v>
      </c>
      <c r="G2079">
        <v>10</v>
      </c>
      <c r="H2079" t="s">
        <v>464</v>
      </c>
      <c r="I2079" t="s">
        <v>1571</v>
      </c>
      <c r="J2079" t="s">
        <v>2704</v>
      </c>
      <c r="K2079" t="s">
        <v>9588</v>
      </c>
    </row>
    <row r="2080" spans="1:19" x14ac:dyDescent="0.25">
      <c r="A2080" t="s">
        <v>9679</v>
      </c>
      <c r="B2080" s="1">
        <v>45179</v>
      </c>
      <c r="C2080" t="s">
        <v>9680</v>
      </c>
      <c r="D2080" t="s">
        <v>259</v>
      </c>
      <c r="E2080" t="s">
        <v>24</v>
      </c>
      <c r="F2080" t="s">
        <v>490</v>
      </c>
      <c r="G2080">
        <v>45</v>
      </c>
      <c r="H2080" t="s">
        <v>1856</v>
      </c>
      <c r="I2080" t="s">
        <v>1857</v>
      </c>
      <c r="J2080" t="s">
        <v>9681</v>
      </c>
      <c r="K2080" t="s">
        <v>9682</v>
      </c>
      <c r="L2080">
        <v>0</v>
      </c>
      <c r="P2080">
        <v>3.17</v>
      </c>
      <c r="Q2080">
        <v>2.06</v>
      </c>
      <c r="R2080">
        <v>252</v>
      </c>
      <c r="S2080">
        <v>120.41</v>
      </c>
    </row>
    <row r="2081" spans="1:19" x14ac:dyDescent="0.25">
      <c r="A2081" t="s">
        <v>9683</v>
      </c>
      <c r="B2081" s="1">
        <v>45179</v>
      </c>
      <c r="C2081" t="s">
        <v>9684</v>
      </c>
      <c r="D2081" t="s">
        <v>259</v>
      </c>
      <c r="E2081" t="s">
        <v>24</v>
      </c>
      <c r="F2081" t="s">
        <v>305</v>
      </c>
      <c r="G2081">
        <v>30</v>
      </c>
      <c r="H2081" t="s">
        <v>194</v>
      </c>
      <c r="I2081" t="s">
        <v>232</v>
      </c>
      <c r="J2081" t="s">
        <v>9685</v>
      </c>
      <c r="K2081" t="s">
        <v>9603</v>
      </c>
      <c r="R2081">
        <v>230</v>
      </c>
      <c r="S2081">
        <v>132.11000000000001</v>
      </c>
    </row>
    <row r="2082" spans="1:19" x14ac:dyDescent="0.25">
      <c r="A2082" t="s">
        <v>9686</v>
      </c>
      <c r="B2082" s="1">
        <v>45179</v>
      </c>
      <c r="C2082" t="s">
        <v>9687</v>
      </c>
      <c r="D2082" t="s">
        <v>259</v>
      </c>
      <c r="E2082" t="s">
        <v>24</v>
      </c>
      <c r="F2082" t="s">
        <v>180</v>
      </c>
      <c r="G2082">
        <v>10</v>
      </c>
      <c r="H2082" t="s">
        <v>194</v>
      </c>
      <c r="I2082" t="s">
        <v>195</v>
      </c>
      <c r="J2082" t="s">
        <v>9688</v>
      </c>
      <c r="K2082" t="s">
        <v>9689</v>
      </c>
      <c r="R2082">
        <v>54</v>
      </c>
      <c r="S2082">
        <v>111.46</v>
      </c>
    </row>
    <row r="2083" spans="1:19" x14ac:dyDescent="0.25">
      <c r="A2083" t="s">
        <v>9690</v>
      </c>
      <c r="B2083" s="1">
        <v>45179</v>
      </c>
      <c r="C2083" t="s">
        <v>5765</v>
      </c>
      <c r="D2083" t="s">
        <v>259</v>
      </c>
      <c r="G2083">
        <v>5</v>
      </c>
      <c r="H2083" t="s">
        <v>26</v>
      </c>
      <c r="J2083" t="s">
        <v>9691</v>
      </c>
      <c r="L2083">
        <v>18</v>
      </c>
      <c r="M2083">
        <v>60</v>
      </c>
      <c r="N2083" s="2">
        <v>0.28000000000000003</v>
      </c>
      <c r="O2083">
        <v>87</v>
      </c>
      <c r="P2083">
        <v>12.73</v>
      </c>
      <c r="Q2083">
        <v>1.07</v>
      </c>
      <c r="R2083">
        <v>23</v>
      </c>
    </row>
    <row r="2084" spans="1:19" x14ac:dyDescent="0.25">
      <c r="A2084" t="s">
        <v>9692</v>
      </c>
      <c r="B2084" s="1">
        <v>45179</v>
      </c>
      <c r="C2084" t="s">
        <v>8721</v>
      </c>
      <c r="D2084" t="s">
        <v>259</v>
      </c>
      <c r="E2084" t="s">
        <v>24</v>
      </c>
      <c r="F2084" t="s">
        <v>323</v>
      </c>
      <c r="G2084">
        <v>30</v>
      </c>
      <c r="H2084" t="s">
        <v>26</v>
      </c>
      <c r="I2084" t="s">
        <v>370</v>
      </c>
      <c r="J2084" t="s">
        <v>396</v>
      </c>
      <c r="K2084" t="s">
        <v>9693</v>
      </c>
      <c r="L2084">
        <v>170</v>
      </c>
      <c r="M2084">
        <v>95</v>
      </c>
      <c r="N2084" s="2">
        <v>0.37</v>
      </c>
      <c r="O2084">
        <v>81</v>
      </c>
      <c r="P2084">
        <v>15.69</v>
      </c>
      <c r="Q2084">
        <v>7.84</v>
      </c>
      <c r="R2084">
        <v>290</v>
      </c>
      <c r="S2084">
        <v>149</v>
      </c>
    </row>
    <row r="2085" spans="1:19" x14ac:dyDescent="0.25">
      <c r="A2085" t="s">
        <v>9694</v>
      </c>
      <c r="B2085" s="1">
        <v>45179</v>
      </c>
      <c r="C2085" t="s">
        <v>9695</v>
      </c>
      <c r="D2085" t="s">
        <v>259</v>
      </c>
      <c r="E2085" t="s">
        <v>24</v>
      </c>
      <c r="F2085" t="s">
        <v>170</v>
      </c>
      <c r="G2085">
        <v>10</v>
      </c>
      <c r="H2085" t="s">
        <v>26</v>
      </c>
      <c r="I2085" t="s">
        <v>39</v>
      </c>
      <c r="J2085" t="s">
        <v>7372</v>
      </c>
      <c r="K2085" t="s">
        <v>9696</v>
      </c>
      <c r="L2085">
        <v>44</v>
      </c>
      <c r="M2085">
        <v>74</v>
      </c>
      <c r="N2085" s="2">
        <v>0.34</v>
      </c>
      <c r="O2085">
        <v>79</v>
      </c>
      <c r="P2085">
        <v>14.13</v>
      </c>
      <c r="Q2085">
        <v>2.35</v>
      </c>
      <c r="R2085">
        <v>85</v>
      </c>
      <c r="S2085">
        <v>138.69999999999999</v>
      </c>
    </row>
    <row r="2086" spans="1:19" x14ac:dyDescent="0.25">
      <c r="A2086" t="s">
        <v>9748</v>
      </c>
      <c r="B2086" s="1">
        <v>45186</v>
      </c>
      <c r="C2086" t="s">
        <v>9749</v>
      </c>
      <c r="D2086" t="s">
        <v>259</v>
      </c>
      <c r="E2086" t="s">
        <v>24</v>
      </c>
      <c r="F2086" t="s">
        <v>208</v>
      </c>
      <c r="G2086">
        <v>15</v>
      </c>
      <c r="H2086" t="s">
        <v>464</v>
      </c>
      <c r="I2086" t="s">
        <v>763</v>
      </c>
      <c r="J2086" t="s">
        <v>2508</v>
      </c>
      <c r="K2086" t="s">
        <v>9750</v>
      </c>
    </row>
    <row r="2087" spans="1:19" x14ac:dyDescent="0.25">
      <c r="A2087" t="s">
        <v>9778</v>
      </c>
      <c r="B2087" s="1">
        <v>45193</v>
      </c>
      <c r="C2087" t="s">
        <v>9779</v>
      </c>
      <c r="D2087" t="s">
        <v>259</v>
      </c>
      <c r="E2087" t="s">
        <v>24</v>
      </c>
      <c r="F2087" t="s">
        <v>180</v>
      </c>
      <c r="G2087">
        <v>15</v>
      </c>
      <c r="H2087" t="s">
        <v>194</v>
      </c>
      <c r="I2087" t="s">
        <v>195</v>
      </c>
      <c r="J2087" t="s">
        <v>1217</v>
      </c>
      <c r="K2087" t="s">
        <v>9780</v>
      </c>
      <c r="R2087">
        <v>103</v>
      </c>
      <c r="S2087">
        <v>124.8</v>
      </c>
    </row>
    <row r="2088" spans="1:19" x14ac:dyDescent="0.25">
      <c r="A2088" t="s">
        <v>9781</v>
      </c>
      <c r="B2088" s="1">
        <v>45193</v>
      </c>
      <c r="C2088" t="s">
        <v>5273</v>
      </c>
      <c r="D2088" t="s">
        <v>259</v>
      </c>
      <c r="E2088" t="s">
        <v>24</v>
      </c>
      <c r="F2088" t="s">
        <v>2256</v>
      </c>
      <c r="G2088">
        <v>20</v>
      </c>
      <c r="H2088" t="s">
        <v>194</v>
      </c>
      <c r="I2088" t="s">
        <v>1445</v>
      </c>
      <c r="J2088" t="s">
        <v>4217</v>
      </c>
      <c r="K2088" t="s">
        <v>9782</v>
      </c>
      <c r="R2088">
        <v>145</v>
      </c>
      <c r="S2088">
        <v>128.28</v>
      </c>
    </row>
    <row r="2089" spans="1:19" x14ac:dyDescent="0.25">
      <c r="A2089" t="s">
        <v>9783</v>
      </c>
      <c r="B2089" s="1">
        <v>45193</v>
      </c>
      <c r="C2089" t="s">
        <v>9784</v>
      </c>
      <c r="D2089" t="s">
        <v>259</v>
      </c>
      <c r="E2089" t="s">
        <v>24</v>
      </c>
      <c r="F2089" t="s">
        <v>33</v>
      </c>
      <c r="G2089">
        <v>60</v>
      </c>
      <c r="H2089" t="s">
        <v>26</v>
      </c>
      <c r="I2089" t="s">
        <v>370</v>
      </c>
      <c r="J2089" t="s">
        <v>498</v>
      </c>
      <c r="K2089" t="s">
        <v>9785</v>
      </c>
      <c r="L2089">
        <v>377</v>
      </c>
      <c r="M2089">
        <v>105</v>
      </c>
      <c r="N2089" s="2">
        <v>0.38</v>
      </c>
      <c r="O2089">
        <v>83</v>
      </c>
      <c r="P2089">
        <v>16.399999999999999</v>
      </c>
      <c r="Q2089">
        <v>16.399999999999999</v>
      </c>
      <c r="R2089">
        <v>615</v>
      </c>
      <c r="S2089">
        <v>154.08000000000001</v>
      </c>
    </row>
    <row r="2090" spans="1:19" x14ac:dyDescent="0.25">
      <c r="A2090" t="s">
        <v>9786</v>
      </c>
      <c r="B2090" s="1">
        <v>45193</v>
      </c>
      <c r="C2090" t="s">
        <v>6658</v>
      </c>
      <c r="D2090" t="s">
        <v>259</v>
      </c>
      <c r="E2090" t="s">
        <v>24</v>
      </c>
      <c r="F2090" t="s">
        <v>180</v>
      </c>
      <c r="G2090">
        <v>5</v>
      </c>
      <c r="H2090" t="s">
        <v>49</v>
      </c>
      <c r="I2090" t="s">
        <v>50</v>
      </c>
      <c r="J2090" t="s">
        <v>51</v>
      </c>
      <c r="K2090" t="s">
        <v>9787</v>
      </c>
      <c r="R2090">
        <v>27</v>
      </c>
      <c r="S2090">
        <v>114.57</v>
      </c>
    </row>
    <row r="2091" spans="1:19" x14ac:dyDescent="0.25">
      <c r="A2091" t="s">
        <v>9824</v>
      </c>
      <c r="B2091" s="1">
        <v>45200</v>
      </c>
      <c r="C2091" t="s">
        <v>5216</v>
      </c>
      <c r="D2091" t="s">
        <v>259</v>
      </c>
      <c r="E2091" t="s">
        <v>24</v>
      </c>
      <c r="F2091" t="s">
        <v>323</v>
      </c>
      <c r="G2091">
        <v>75</v>
      </c>
      <c r="H2091" t="s">
        <v>26</v>
      </c>
      <c r="I2091" t="s">
        <v>370</v>
      </c>
      <c r="J2091" t="s">
        <v>1081</v>
      </c>
      <c r="K2091" t="s">
        <v>5363</v>
      </c>
      <c r="L2091">
        <v>499</v>
      </c>
      <c r="M2091">
        <v>111</v>
      </c>
      <c r="N2091" s="2">
        <v>0.39</v>
      </c>
      <c r="O2091">
        <v>84</v>
      </c>
      <c r="P2091">
        <v>16.84</v>
      </c>
      <c r="Q2091">
        <v>21.05</v>
      </c>
      <c r="R2091">
        <v>843</v>
      </c>
      <c r="S2091">
        <v>162.59</v>
      </c>
    </row>
    <row r="2092" spans="1:19" x14ac:dyDescent="0.25">
      <c r="A2092" t="s">
        <v>9825</v>
      </c>
      <c r="B2092" s="1">
        <v>45200</v>
      </c>
      <c r="C2092" t="s">
        <v>2914</v>
      </c>
      <c r="D2092" t="s">
        <v>259</v>
      </c>
      <c r="E2092" t="s">
        <v>24</v>
      </c>
      <c r="F2092" t="s">
        <v>243</v>
      </c>
      <c r="G2092">
        <v>5</v>
      </c>
      <c r="H2092" t="s">
        <v>26</v>
      </c>
      <c r="I2092" t="s">
        <v>358</v>
      </c>
      <c r="J2092" t="s">
        <v>359</v>
      </c>
      <c r="K2092" t="s">
        <v>9826</v>
      </c>
      <c r="L2092">
        <v>16</v>
      </c>
      <c r="M2092">
        <v>52</v>
      </c>
      <c r="N2092" s="2">
        <v>0.3</v>
      </c>
      <c r="O2092">
        <v>75</v>
      </c>
      <c r="P2092">
        <v>12.2</v>
      </c>
      <c r="Q2092">
        <v>1.01</v>
      </c>
      <c r="R2092">
        <v>37</v>
      </c>
      <c r="S2092">
        <v>131.66</v>
      </c>
    </row>
    <row r="2093" spans="1:19" x14ac:dyDescent="0.25">
      <c r="A2093" t="s">
        <v>9827</v>
      </c>
      <c r="B2093" s="1">
        <v>45200</v>
      </c>
      <c r="C2093" t="s">
        <v>2148</v>
      </c>
      <c r="D2093" t="s">
        <v>259</v>
      </c>
      <c r="E2093" t="s">
        <v>24</v>
      </c>
      <c r="F2093" t="s">
        <v>297</v>
      </c>
      <c r="G2093">
        <v>10</v>
      </c>
      <c r="H2093" t="s">
        <v>194</v>
      </c>
      <c r="I2093" t="s">
        <v>195</v>
      </c>
      <c r="J2093" t="s">
        <v>211</v>
      </c>
      <c r="K2093" t="s">
        <v>9591</v>
      </c>
      <c r="R2093">
        <v>47</v>
      </c>
    </row>
    <row r="2094" spans="1:19" x14ac:dyDescent="0.25">
      <c r="A2094" t="s">
        <v>9828</v>
      </c>
      <c r="B2094" s="1">
        <v>45200</v>
      </c>
      <c r="C2094" t="s">
        <v>2726</v>
      </c>
      <c r="D2094" t="s">
        <v>259</v>
      </c>
      <c r="E2094" t="s">
        <v>24</v>
      </c>
      <c r="F2094" t="s">
        <v>237</v>
      </c>
      <c r="G2094">
        <v>10</v>
      </c>
      <c r="H2094" t="s">
        <v>464</v>
      </c>
      <c r="I2094" t="s">
        <v>579</v>
      </c>
      <c r="J2094" t="s">
        <v>580</v>
      </c>
      <c r="K2094" t="s">
        <v>9829</v>
      </c>
    </row>
    <row r="2095" spans="1:19" x14ac:dyDescent="0.25">
      <c r="A2095" t="s">
        <v>9861</v>
      </c>
      <c r="B2095" s="1">
        <v>45207</v>
      </c>
      <c r="C2095" t="s">
        <v>1469</v>
      </c>
      <c r="D2095" t="s">
        <v>259</v>
      </c>
      <c r="E2095" t="s">
        <v>24</v>
      </c>
      <c r="F2095" t="s">
        <v>208</v>
      </c>
      <c r="G2095">
        <v>10</v>
      </c>
      <c r="H2095" t="s">
        <v>464</v>
      </c>
      <c r="I2095" t="s">
        <v>579</v>
      </c>
      <c r="J2095" t="s">
        <v>986</v>
      </c>
      <c r="K2095" t="s">
        <v>9862</v>
      </c>
    </row>
    <row r="2096" spans="1:19" x14ac:dyDescent="0.25">
      <c r="A2096" t="s">
        <v>9900</v>
      </c>
      <c r="B2096" s="1">
        <v>45214</v>
      </c>
      <c r="C2096" t="s">
        <v>7189</v>
      </c>
      <c r="D2096" t="s">
        <v>259</v>
      </c>
      <c r="E2096" t="s">
        <v>24</v>
      </c>
      <c r="F2096" t="s">
        <v>33</v>
      </c>
      <c r="G2096">
        <v>45</v>
      </c>
      <c r="H2096" t="s">
        <v>26</v>
      </c>
      <c r="I2096" t="s">
        <v>370</v>
      </c>
      <c r="J2096" t="s">
        <v>439</v>
      </c>
      <c r="K2096" t="s">
        <v>9901</v>
      </c>
      <c r="L2096">
        <v>287</v>
      </c>
      <c r="M2096">
        <v>106</v>
      </c>
      <c r="N2096" s="2">
        <v>0.37</v>
      </c>
      <c r="O2096">
        <v>86</v>
      </c>
      <c r="P2096">
        <v>16.53</v>
      </c>
      <c r="Q2096">
        <v>12.4</v>
      </c>
      <c r="R2096">
        <v>422</v>
      </c>
      <c r="S2096">
        <v>146.55000000000001</v>
      </c>
    </row>
    <row r="2097" spans="1:19" x14ac:dyDescent="0.25">
      <c r="A2097" t="s">
        <v>9902</v>
      </c>
      <c r="B2097" s="1">
        <v>45214</v>
      </c>
      <c r="C2097" t="s">
        <v>9903</v>
      </c>
      <c r="D2097" t="s">
        <v>259</v>
      </c>
      <c r="E2097" t="s">
        <v>24</v>
      </c>
      <c r="F2097" t="s">
        <v>747</v>
      </c>
      <c r="G2097">
        <v>10</v>
      </c>
      <c r="H2097" t="s">
        <v>26</v>
      </c>
      <c r="I2097" t="s">
        <v>358</v>
      </c>
      <c r="J2097" t="s">
        <v>9904</v>
      </c>
      <c r="K2097" t="s">
        <v>9905</v>
      </c>
      <c r="L2097">
        <v>32</v>
      </c>
      <c r="M2097">
        <v>54</v>
      </c>
      <c r="N2097" s="2">
        <v>0.28999999999999998</v>
      </c>
      <c r="O2097">
        <v>79</v>
      </c>
      <c r="P2097">
        <v>12.36</v>
      </c>
      <c r="Q2097">
        <v>2.06</v>
      </c>
      <c r="R2097">
        <v>65</v>
      </c>
      <c r="S2097">
        <v>121.38</v>
      </c>
    </row>
    <row r="2098" spans="1:19" x14ac:dyDescent="0.25">
      <c r="A2098" t="s">
        <v>9906</v>
      </c>
      <c r="B2098" s="1">
        <v>45214</v>
      </c>
      <c r="C2098" t="s">
        <v>5654</v>
      </c>
      <c r="D2098" t="s">
        <v>259</v>
      </c>
      <c r="E2098" t="s">
        <v>24</v>
      </c>
      <c r="F2098" t="s">
        <v>554</v>
      </c>
      <c r="G2098">
        <v>5</v>
      </c>
      <c r="H2098" t="s">
        <v>49</v>
      </c>
      <c r="I2098" t="s">
        <v>50</v>
      </c>
      <c r="J2098" t="s">
        <v>51</v>
      </c>
      <c r="K2098" t="s">
        <v>9907</v>
      </c>
      <c r="R2098">
        <v>23</v>
      </c>
      <c r="S2098">
        <v>105.7</v>
      </c>
    </row>
    <row r="2099" spans="1:19" x14ac:dyDescent="0.25">
      <c r="A2099" t="s">
        <v>9908</v>
      </c>
      <c r="B2099" s="1">
        <v>45214</v>
      </c>
      <c r="C2099" t="s">
        <v>5774</v>
      </c>
      <c r="D2099" t="s">
        <v>259</v>
      </c>
      <c r="E2099" t="s">
        <v>24</v>
      </c>
      <c r="F2099" t="s">
        <v>200</v>
      </c>
      <c r="G2099">
        <v>10</v>
      </c>
      <c r="H2099" t="s">
        <v>464</v>
      </c>
      <c r="I2099" t="s">
        <v>579</v>
      </c>
      <c r="J2099" t="s">
        <v>1820</v>
      </c>
      <c r="K2099" t="s">
        <v>9909</v>
      </c>
    </row>
    <row r="2100" spans="1:19" x14ac:dyDescent="0.25">
      <c r="A2100" t="s">
        <v>9910</v>
      </c>
      <c r="B2100" s="1">
        <v>45214</v>
      </c>
      <c r="C2100" t="s">
        <v>2741</v>
      </c>
      <c r="D2100" t="s">
        <v>259</v>
      </c>
      <c r="E2100" t="s">
        <v>24</v>
      </c>
      <c r="F2100" t="s">
        <v>200</v>
      </c>
      <c r="G2100">
        <v>10</v>
      </c>
      <c r="H2100" t="s">
        <v>464</v>
      </c>
      <c r="I2100" t="s">
        <v>1571</v>
      </c>
      <c r="J2100" t="s">
        <v>2704</v>
      </c>
      <c r="K2100" t="s">
        <v>9911</v>
      </c>
    </row>
    <row r="2101" spans="1:19" x14ac:dyDescent="0.25">
      <c r="A2101" t="s">
        <v>9912</v>
      </c>
      <c r="B2101" s="1">
        <v>45214</v>
      </c>
      <c r="C2101" t="s">
        <v>9913</v>
      </c>
      <c r="D2101" t="s">
        <v>259</v>
      </c>
      <c r="E2101" t="s">
        <v>24</v>
      </c>
      <c r="F2101" t="s">
        <v>2708</v>
      </c>
      <c r="G2101">
        <v>10</v>
      </c>
      <c r="H2101" t="s">
        <v>464</v>
      </c>
      <c r="I2101" t="s">
        <v>103</v>
      </c>
      <c r="J2101" t="s">
        <v>3305</v>
      </c>
      <c r="K2101" t="s">
        <v>9914</v>
      </c>
    </row>
    <row r="2102" spans="1:19" x14ac:dyDescent="0.25">
      <c r="A2102" t="s">
        <v>9957</v>
      </c>
      <c r="B2102" s="1">
        <v>45221</v>
      </c>
      <c r="C2102" t="s">
        <v>5428</v>
      </c>
      <c r="D2102" t="s">
        <v>259</v>
      </c>
      <c r="E2102" t="s">
        <v>24</v>
      </c>
      <c r="F2102" t="s">
        <v>305</v>
      </c>
      <c r="G2102">
        <v>20</v>
      </c>
      <c r="H2102" t="s">
        <v>194</v>
      </c>
      <c r="I2102" t="s">
        <v>1445</v>
      </c>
      <c r="J2102" t="s">
        <v>3313</v>
      </c>
      <c r="K2102" t="s">
        <v>9958</v>
      </c>
      <c r="R2102">
        <v>112</v>
      </c>
      <c r="S2102">
        <v>113.11</v>
      </c>
    </row>
    <row r="2103" spans="1:19" x14ac:dyDescent="0.25">
      <c r="A2103" t="s">
        <v>9959</v>
      </c>
      <c r="B2103" s="1">
        <v>45221</v>
      </c>
      <c r="C2103" t="s">
        <v>6734</v>
      </c>
      <c r="D2103" t="s">
        <v>259</v>
      </c>
      <c r="E2103" t="s">
        <v>24</v>
      </c>
      <c r="F2103" t="s">
        <v>335</v>
      </c>
      <c r="G2103">
        <v>10</v>
      </c>
      <c r="H2103" t="s">
        <v>194</v>
      </c>
      <c r="I2103" t="s">
        <v>195</v>
      </c>
      <c r="J2103" t="s">
        <v>211</v>
      </c>
      <c r="K2103" t="s">
        <v>9960</v>
      </c>
      <c r="R2103">
        <v>57</v>
      </c>
      <c r="S2103">
        <v>114.48</v>
      </c>
    </row>
    <row r="2104" spans="1:19" x14ac:dyDescent="0.25">
      <c r="A2104" t="s">
        <v>9961</v>
      </c>
      <c r="B2104" s="1">
        <v>45221</v>
      </c>
      <c r="C2104" t="s">
        <v>2914</v>
      </c>
      <c r="D2104" t="s">
        <v>259</v>
      </c>
      <c r="E2104" t="s">
        <v>24</v>
      </c>
      <c r="F2104" t="s">
        <v>323</v>
      </c>
      <c r="G2104">
        <v>20</v>
      </c>
      <c r="H2104" t="s">
        <v>7562</v>
      </c>
      <c r="I2104" t="s">
        <v>7989</v>
      </c>
      <c r="J2104" t="s">
        <v>9893</v>
      </c>
      <c r="K2104" t="s">
        <v>9962</v>
      </c>
      <c r="L2104">
        <v>76</v>
      </c>
      <c r="P2104">
        <v>2.72</v>
      </c>
      <c r="Q2104">
        <v>2.0299999999999998</v>
      </c>
      <c r="R2104">
        <v>176</v>
      </c>
      <c r="S2104">
        <v>141.54</v>
      </c>
    </row>
    <row r="2105" spans="1:19" x14ac:dyDescent="0.25">
      <c r="A2105" t="s">
        <v>9963</v>
      </c>
      <c r="B2105" s="1">
        <v>45221</v>
      </c>
      <c r="C2105" t="s">
        <v>2594</v>
      </c>
      <c r="D2105" t="s">
        <v>259</v>
      </c>
      <c r="E2105" t="s">
        <v>24</v>
      </c>
      <c r="F2105" t="s">
        <v>7754</v>
      </c>
      <c r="G2105">
        <v>5</v>
      </c>
      <c r="H2105" t="s">
        <v>7562</v>
      </c>
      <c r="I2105" t="s">
        <v>7989</v>
      </c>
      <c r="J2105" t="s">
        <v>9480</v>
      </c>
      <c r="K2105" t="s">
        <v>9866</v>
      </c>
      <c r="L2105">
        <v>19</v>
      </c>
      <c r="P2105">
        <v>2.73</v>
      </c>
      <c r="Q2105">
        <v>0.51</v>
      </c>
      <c r="R2105">
        <v>44</v>
      </c>
      <c r="S2105">
        <v>141.71</v>
      </c>
    </row>
    <row r="2106" spans="1:19" x14ac:dyDescent="0.25">
      <c r="A2106" t="s">
        <v>9964</v>
      </c>
      <c r="B2106" s="1">
        <v>45221</v>
      </c>
      <c r="C2106" t="s">
        <v>3125</v>
      </c>
      <c r="D2106" t="s">
        <v>259</v>
      </c>
      <c r="E2106" t="s">
        <v>24</v>
      </c>
      <c r="F2106" t="s">
        <v>7754</v>
      </c>
      <c r="G2106">
        <v>5</v>
      </c>
      <c r="H2106" t="s">
        <v>49</v>
      </c>
      <c r="I2106" t="s">
        <v>7782</v>
      </c>
      <c r="J2106" t="s">
        <v>7783</v>
      </c>
      <c r="K2106" t="s">
        <v>9738</v>
      </c>
      <c r="R2106">
        <v>29</v>
      </c>
      <c r="S2106">
        <v>116.73</v>
      </c>
    </row>
    <row r="2107" spans="1:19" x14ac:dyDescent="0.25">
      <c r="A2107" t="s">
        <v>9965</v>
      </c>
      <c r="B2107" s="1">
        <v>45221</v>
      </c>
      <c r="C2107" t="s">
        <v>251</v>
      </c>
      <c r="D2107" t="s">
        <v>259</v>
      </c>
      <c r="E2107" t="s">
        <v>24</v>
      </c>
      <c r="F2107" t="s">
        <v>215</v>
      </c>
      <c r="G2107">
        <v>10</v>
      </c>
      <c r="H2107" t="s">
        <v>464</v>
      </c>
      <c r="I2107" t="s">
        <v>579</v>
      </c>
      <c r="J2107" t="s">
        <v>9966</v>
      </c>
      <c r="K2107" t="s">
        <v>9967</v>
      </c>
    </row>
    <row r="2108" spans="1:19" x14ac:dyDescent="0.25">
      <c r="A2108" t="s">
        <v>9999</v>
      </c>
      <c r="B2108" s="1">
        <v>45228</v>
      </c>
      <c r="C2108" t="s">
        <v>1801</v>
      </c>
      <c r="D2108" t="s">
        <v>259</v>
      </c>
      <c r="E2108" t="s">
        <v>24</v>
      </c>
      <c r="F2108" t="s">
        <v>208</v>
      </c>
      <c r="G2108">
        <v>5</v>
      </c>
      <c r="H2108" t="s">
        <v>464</v>
      </c>
      <c r="I2108" t="s">
        <v>1571</v>
      </c>
      <c r="J2108" t="s">
        <v>4596</v>
      </c>
      <c r="K2108" t="s">
        <v>10000</v>
      </c>
    </row>
    <row r="2109" spans="1:19" x14ac:dyDescent="0.25">
      <c r="A2109" t="s">
        <v>10047</v>
      </c>
      <c r="B2109" s="1">
        <v>45235</v>
      </c>
      <c r="C2109" t="s">
        <v>2629</v>
      </c>
      <c r="D2109" t="s">
        <v>259</v>
      </c>
      <c r="E2109" t="s">
        <v>24</v>
      </c>
      <c r="F2109" t="s">
        <v>459</v>
      </c>
      <c r="G2109">
        <v>10</v>
      </c>
      <c r="H2109" t="s">
        <v>464</v>
      </c>
      <c r="I2109" t="s">
        <v>579</v>
      </c>
      <c r="J2109" t="s">
        <v>808</v>
      </c>
      <c r="K2109" t="s">
        <v>10048</v>
      </c>
    </row>
    <row r="2110" spans="1:19" x14ac:dyDescent="0.25">
      <c r="A2110" t="s">
        <v>10101</v>
      </c>
      <c r="B2110" s="1">
        <v>45242</v>
      </c>
      <c r="C2110" t="s">
        <v>7963</v>
      </c>
      <c r="D2110" t="s">
        <v>259</v>
      </c>
      <c r="E2110" t="s">
        <v>24</v>
      </c>
      <c r="F2110" t="s">
        <v>323</v>
      </c>
      <c r="G2110">
        <v>60</v>
      </c>
      <c r="H2110" t="s">
        <v>26</v>
      </c>
      <c r="I2110" t="s">
        <v>370</v>
      </c>
      <c r="J2110" t="s">
        <v>498</v>
      </c>
      <c r="K2110" t="s">
        <v>10102</v>
      </c>
      <c r="L2110">
        <v>398</v>
      </c>
      <c r="M2110">
        <v>111</v>
      </c>
      <c r="N2110" s="2">
        <v>0.39</v>
      </c>
      <c r="O2110">
        <v>83</v>
      </c>
      <c r="P2110">
        <v>16.8</v>
      </c>
      <c r="Q2110">
        <v>16.8</v>
      </c>
      <c r="R2110">
        <v>620</v>
      </c>
      <c r="S2110">
        <v>153.77000000000001</v>
      </c>
    </row>
    <row r="2111" spans="1:19" x14ac:dyDescent="0.25">
      <c r="A2111" t="s">
        <v>10103</v>
      </c>
      <c r="B2111" s="1">
        <v>45242</v>
      </c>
      <c r="C2111" t="s">
        <v>10104</v>
      </c>
      <c r="D2111" t="s">
        <v>259</v>
      </c>
      <c r="E2111" t="s">
        <v>24</v>
      </c>
      <c r="F2111" t="s">
        <v>335</v>
      </c>
      <c r="G2111">
        <v>5</v>
      </c>
      <c r="H2111" t="s">
        <v>26</v>
      </c>
      <c r="I2111" t="s">
        <v>358</v>
      </c>
      <c r="J2111" t="s">
        <v>359</v>
      </c>
      <c r="K2111" t="s">
        <v>10105</v>
      </c>
      <c r="L2111">
        <v>18</v>
      </c>
      <c r="M2111">
        <v>59</v>
      </c>
      <c r="N2111" s="2">
        <v>0.28000000000000003</v>
      </c>
      <c r="O2111">
        <v>86</v>
      </c>
      <c r="P2111">
        <v>12.82</v>
      </c>
      <c r="Q2111">
        <v>1.07</v>
      </c>
      <c r="R2111">
        <v>34</v>
      </c>
      <c r="S2111">
        <v>116.44</v>
      </c>
    </row>
    <row r="2112" spans="1:19" x14ac:dyDescent="0.25">
      <c r="A2112" t="s">
        <v>10106</v>
      </c>
      <c r="B2112" s="1">
        <v>45242</v>
      </c>
      <c r="C2112" t="s">
        <v>10107</v>
      </c>
      <c r="D2112" t="s">
        <v>259</v>
      </c>
      <c r="E2112" t="s">
        <v>24</v>
      </c>
      <c r="F2112" t="s">
        <v>305</v>
      </c>
      <c r="G2112">
        <v>20</v>
      </c>
      <c r="H2112" t="s">
        <v>49</v>
      </c>
      <c r="I2112" t="s">
        <v>226</v>
      </c>
      <c r="J2112" t="s">
        <v>10108</v>
      </c>
      <c r="K2112" t="s">
        <v>10109</v>
      </c>
      <c r="R2112">
        <v>49</v>
      </c>
    </row>
    <row r="2113" spans="1:19" x14ac:dyDescent="0.25">
      <c r="A2113" t="s">
        <v>10148</v>
      </c>
      <c r="B2113" s="1">
        <v>45249</v>
      </c>
      <c r="C2113" t="s">
        <v>8347</v>
      </c>
      <c r="D2113" t="s">
        <v>259</v>
      </c>
      <c r="E2113" t="s">
        <v>24</v>
      </c>
      <c r="F2113" t="s">
        <v>33</v>
      </c>
      <c r="G2113">
        <v>45</v>
      </c>
      <c r="H2113" t="s">
        <v>26</v>
      </c>
      <c r="I2113" t="s">
        <v>370</v>
      </c>
      <c r="J2113" t="s">
        <v>4280</v>
      </c>
      <c r="K2113" t="s">
        <v>10149</v>
      </c>
      <c r="L2113">
        <v>273</v>
      </c>
      <c r="M2113">
        <v>101</v>
      </c>
      <c r="N2113" s="2">
        <v>0.37</v>
      </c>
      <c r="O2113">
        <v>83</v>
      </c>
      <c r="P2113">
        <v>16.12</v>
      </c>
      <c r="Q2113">
        <v>12.09</v>
      </c>
      <c r="R2113">
        <v>497</v>
      </c>
      <c r="S2113">
        <v>160.22</v>
      </c>
    </row>
    <row r="2114" spans="1:19" x14ac:dyDescent="0.25">
      <c r="A2114" t="s">
        <v>10150</v>
      </c>
      <c r="B2114" s="1">
        <v>45249</v>
      </c>
      <c r="C2114" t="s">
        <v>4571</v>
      </c>
      <c r="D2114" t="s">
        <v>259</v>
      </c>
      <c r="E2114" t="s">
        <v>24</v>
      </c>
      <c r="F2114" t="s">
        <v>2833</v>
      </c>
      <c r="G2114">
        <v>10</v>
      </c>
      <c r="H2114" t="s">
        <v>26</v>
      </c>
      <c r="I2114" t="s">
        <v>358</v>
      </c>
      <c r="J2114" t="s">
        <v>389</v>
      </c>
      <c r="K2114" t="s">
        <v>10100</v>
      </c>
      <c r="L2114">
        <v>44</v>
      </c>
      <c r="M2114">
        <v>74</v>
      </c>
      <c r="N2114" s="2">
        <v>0.36</v>
      </c>
      <c r="O2114">
        <v>74</v>
      </c>
      <c r="P2114">
        <v>14.15</v>
      </c>
      <c r="Q2114">
        <v>2.36</v>
      </c>
      <c r="R2114">
        <v>95</v>
      </c>
      <c r="S2114">
        <v>146.21</v>
      </c>
    </row>
    <row r="2115" spans="1:19" x14ac:dyDescent="0.25">
      <c r="A2115" t="s">
        <v>10151</v>
      </c>
      <c r="B2115" s="1">
        <v>45249</v>
      </c>
      <c r="C2115" t="s">
        <v>4833</v>
      </c>
      <c r="D2115" t="s">
        <v>259</v>
      </c>
      <c r="E2115" t="s">
        <v>24</v>
      </c>
      <c r="F2115" t="s">
        <v>354</v>
      </c>
      <c r="G2115">
        <v>10</v>
      </c>
      <c r="H2115" t="s">
        <v>194</v>
      </c>
      <c r="I2115" t="s">
        <v>700</v>
      </c>
      <c r="J2115" t="s">
        <v>1282</v>
      </c>
      <c r="K2115" t="s">
        <v>10152</v>
      </c>
      <c r="R2115">
        <v>72</v>
      </c>
      <c r="S2115">
        <v>125.22</v>
      </c>
    </row>
    <row r="2116" spans="1:19" x14ac:dyDescent="0.25">
      <c r="A2116" t="s">
        <v>10153</v>
      </c>
      <c r="B2116" s="1">
        <v>45249</v>
      </c>
      <c r="C2116" t="s">
        <v>4506</v>
      </c>
      <c r="D2116" t="s">
        <v>259</v>
      </c>
      <c r="E2116" t="s">
        <v>24</v>
      </c>
      <c r="F2116" t="s">
        <v>180</v>
      </c>
      <c r="G2116">
        <v>5</v>
      </c>
      <c r="H2116" t="s">
        <v>194</v>
      </c>
      <c r="I2116" t="s">
        <v>195</v>
      </c>
      <c r="J2116" t="s">
        <v>196</v>
      </c>
      <c r="K2116" t="s">
        <v>10154</v>
      </c>
      <c r="R2116">
        <v>31</v>
      </c>
      <c r="S2116">
        <v>117.81</v>
      </c>
    </row>
    <row r="2117" spans="1:19" x14ac:dyDescent="0.25">
      <c r="A2117" t="s">
        <v>10155</v>
      </c>
      <c r="B2117" s="1">
        <v>45249</v>
      </c>
      <c r="C2117" t="s">
        <v>10156</v>
      </c>
      <c r="D2117" t="s">
        <v>259</v>
      </c>
      <c r="E2117" t="s">
        <v>24</v>
      </c>
      <c r="F2117" t="s">
        <v>200</v>
      </c>
      <c r="G2117">
        <v>30</v>
      </c>
      <c r="H2117" t="s">
        <v>188</v>
      </c>
      <c r="I2117" t="s">
        <v>189</v>
      </c>
      <c r="J2117" t="s">
        <v>3951</v>
      </c>
      <c r="K2117" t="s">
        <v>10157</v>
      </c>
      <c r="R2117">
        <v>97</v>
      </c>
    </row>
    <row r="2118" spans="1:19" x14ac:dyDescent="0.25">
      <c r="A2118" t="s">
        <v>10158</v>
      </c>
      <c r="B2118" s="1">
        <v>45249</v>
      </c>
      <c r="C2118" t="s">
        <v>1669</v>
      </c>
      <c r="D2118" t="s">
        <v>259</v>
      </c>
      <c r="E2118" t="s">
        <v>24</v>
      </c>
      <c r="F2118" t="s">
        <v>2708</v>
      </c>
      <c r="G2118">
        <v>10</v>
      </c>
      <c r="H2118" t="s">
        <v>464</v>
      </c>
      <c r="I2118" t="s">
        <v>579</v>
      </c>
      <c r="J2118" t="s">
        <v>2432</v>
      </c>
      <c r="K2118" t="s">
        <v>10159</v>
      </c>
    </row>
    <row r="2119" spans="1:19" x14ac:dyDescent="0.25">
      <c r="A2119" t="s">
        <v>10180</v>
      </c>
      <c r="B2119" s="1">
        <v>45256</v>
      </c>
      <c r="C2119" t="s">
        <v>3568</v>
      </c>
      <c r="D2119" t="s">
        <v>259</v>
      </c>
      <c r="E2119" t="s">
        <v>24</v>
      </c>
      <c r="F2119" t="s">
        <v>335</v>
      </c>
      <c r="G2119">
        <v>45</v>
      </c>
      <c r="H2119" t="s">
        <v>26</v>
      </c>
      <c r="I2119" t="s">
        <v>370</v>
      </c>
      <c r="J2119" t="s">
        <v>4280</v>
      </c>
      <c r="K2119" t="s">
        <v>10181</v>
      </c>
      <c r="L2119">
        <v>281</v>
      </c>
      <c r="M2119">
        <v>106</v>
      </c>
      <c r="N2119" s="2">
        <v>0.38</v>
      </c>
      <c r="O2119">
        <v>84</v>
      </c>
      <c r="P2119">
        <v>16.57</v>
      </c>
      <c r="Q2119">
        <v>12.27</v>
      </c>
      <c r="R2119">
        <v>488</v>
      </c>
      <c r="S2119">
        <v>160.97999999999999</v>
      </c>
    </row>
    <row r="2120" spans="1:19" x14ac:dyDescent="0.25">
      <c r="A2120" t="s">
        <v>10182</v>
      </c>
      <c r="B2120" s="1">
        <v>45256</v>
      </c>
      <c r="C2120" t="s">
        <v>10183</v>
      </c>
      <c r="D2120" t="s">
        <v>259</v>
      </c>
      <c r="E2120" t="s">
        <v>24</v>
      </c>
      <c r="F2120" t="s">
        <v>180</v>
      </c>
      <c r="G2120">
        <v>5</v>
      </c>
      <c r="H2120" t="s">
        <v>26</v>
      </c>
      <c r="I2120" t="s">
        <v>358</v>
      </c>
      <c r="J2120" t="s">
        <v>359</v>
      </c>
      <c r="K2120" t="s">
        <v>10184</v>
      </c>
      <c r="L2120">
        <v>17</v>
      </c>
      <c r="M2120">
        <v>57</v>
      </c>
      <c r="N2120" s="2">
        <v>0.28999999999999998</v>
      </c>
      <c r="O2120">
        <v>82</v>
      </c>
      <c r="P2120">
        <v>12.58</v>
      </c>
      <c r="Q2120">
        <v>1.05</v>
      </c>
      <c r="R2120">
        <v>38</v>
      </c>
      <c r="S2120">
        <v>132.79</v>
      </c>
    </row>
    <row r="2121" spans="1:19" x14ac:dyDescent="0.25">
      <c r="A2121" t="s">
        <v>10185</v>
      </c>
      <c r="B2121" s="1">
        <v>45256</v>
      </c>
      <c r="C2121" t="s">
        <v>10186</v>
      </c>
      <c r="D2121" t="s">
        <v>259</v>
      </c>
      <c r="E2121" t="s">
        <v>24</v>
      </c>
      <c r="F2121" t="s">
        <v>243</v>
      </c>
      <c r="G2121">
        <v>5</v>
      </c>
      <c r="H2121" t="s">
        <v>49</v>
      </c>
      <c r="I2121" t="s">
        <v>50</v>
      </c>
      <c r="J2121" t="s">
        <v>51</v>
      </c>
      <c r="K2121" t="s">
        <v>10100</v>
      </c>
      <c r="R2121">
        <v>30</v>
      </c>
      <c r="S2121">
        <v>117.71</v>
      </c>
    </row>
    <row r="2122" spans="1:19" x14ac:dyDescent="0.25">
      <c r="A2122" t="s">
        <v>10187</v>
      </c>
      <c r="B2122" s="1">
        <v>45256</v>
      </c>
      <c r="C2122" t="s">
        <v>1009</v>
      </c>
      <c r="D2122" t="s">
        <v>259</v>
      </c>
      <c r="E2122" t="s">
        <v>24</v>
      </c>
      <c r="F2122" t="s">
        <v>2708</v>
      </c>
      <c r="G2122">
        <v>10</v>
      </c>
      <c r="H2122" t="s">
        <v>188</v>
      </c>
      <c r="I2122" t="s">
        <v>2479</v>
      </c>
      <c r="J2122" t="s">
        <v>2480</v>
      </c>
      <c r="K2122" t="s">
        <v>3197</v>
      </c>
      <c r="R2122">
        <v>43</v>
      </c>
      <c r="S2122">
        <v>98.88</v>
      </c>
    </row>
    <row r="2123" spans="1:19" x14ac:dyDescent="0.25">
      <c r="A2123" t="s">
        <v>10223</v>
      </c>
      <c r="B2123" s="1">
        <v>45263</v>
      </c>
      <c r="C2123" t="s">
        <v>10224</v>
      </c>
      <c r="D2123" t="s">
        <v>259</v>
      </c>
      <c r="E2123" t="s">
        <v>24</v>
      </c>
      <c r="F2123" t="s">
        <v>215</v>
      </c>
      <c r="G2123">
        <v>10</v>
      </c>
      <c r="H2123" t="s">
        <v>464</v>
      </c>
      <c r="I2123" t="s">
        <v>1571</v>
      </c>
      <c r="J2123" t="s">
        <v>10225</v>
      </c>
      <c r="K2123" t="s">
        <v>10226</v>
      </c>
    </row>
    <row r="2124" spans="1:19" x14ac:dyDescent="0.25">
      <c r="A2124" t="s">
        <v>10227</v>
      </c>
      <c r="B2124" s="1">
        <v>45263</v>
      </c>
      <c r="C2124" t="s">
        <v>2022</v>
      </c>
      <c r="D2124" t="s">
        <v>259</v>
      </c>
      <c r="E2124" t="s">
        <v>24</v>
      </c>
      <c r="F2124" t="s">
        <v>208</v>
      </c>
      <c r="G2124">
        <v>10</v>
      </c>
      <c r="H2124" t="s">
        <v>464</v>
      </c>
      <c r="I2124" t="s">
        <v>579</v>
      </c>
      <c r="J2124" t="s">
        <v>808</v>
      </c>
      <c r="K2124" t="s">
        <v>10228</v>
      </c>
    </row>
    <row r="2125" spans="1:19" x14ac:dyDescent="0.25">
      <c r="A2125" t="s">
        <v>10287</v>
      </c>
      <c r="B2125" s="1">
        <v>45270</v>
      </c>
      <c r="C2125" t="s">
        <v>1637</v>
      </c>
      <c r="D2125" t="s">
        <v>259</v>
      </c>
      <c r="E2125" t="s">
        <v>24</v>
      </c>
      <c r="F2125" t="s">
        <v>208</v>
      </c>
      <c r="G2125">
        <v>10</v>
      </c>
      <c r="H2125" t="s">
        <v>464</v>
      </c>
      <c r="I2125" t="s">
        <v>579</v>
      </c>
      <c r="J2125" t="s">
        <v>1820</v>
      </c>
      <c r="K2125" t="s">
        <v>10288</v>
      </c>
    </row>
    <row r="2126" spans="1:19" x14ac:dyDescent="0.25">
      <c r="A2126" t="s">
        <v>10338</v>
      </c>
      <c r="B2126" s="1">
        <v>45277</v>
      </c>
      <c r="C2126" t="s">
        <v>7826</v>
      </c>
      <c r="D2126" t="s">
        <v>259</v>
      </c>
      <c r="E2126" t="s">
        <v>24</v>
      </c>
      <c r="F2126" t="s">
        <v>2256</v>
      </c>
      <c r="G2126">
        <v>15</v>
      </c>
      <c r="H2126" t="s">
        <v>194</v>
      </c>
      <c r="I2126" t="s">
        <v>195</v>
      </c>
      <c r="J2126" t="s">
        <v>6498</v>
      </c>
      <c r="K2126" t="s">
        <v>10339</v>
      </c>
      <c r="R2126">
        <v>70</v>
      </c>
      <c r="S2126">
        <v>97.45</v>
      </c>
    </row>
    <row r="2127" spans="1:19" x14ac:dyDescent="0.25">
      <c r="A2127" t="s">
        <v>10340</v>
      </c>
      <c r="B2127" s="1">
        <v>45277</v>
      </c>
      <c r="C2127" t="s">
        <v>10341</v>
      </c>
      <c r="D2127" t="s">
        <v>259</v>
      </c>
      <c r="E2127" t="s">
        <v>24</v>
      </c>
      <c r="F2127" t="s">
        <v>33</v>
      </c>
      <c r="G2127">
        <v>45</v>
      </c>
      <c r="H2127" t="s">
        <v>26</v>
      </c>
      <c r="I2127" t="s">
        <v>370</v>
      </c>
      <c r="J2127" t="s">
        <v>439</v>
      </c>
      <c r="K2127" t="s">
        <v>10342</v>
      </c>
      <c r="L2127">
        <v>274</v>
      </c>
      <c r="M2127">
        <v>102</v>
      </c>
      <c r="N2127" s="2">
        <v>0.38</v>
      </c>
      <c r="O2127">
        <v>82</v>
      </c>
      <c r="P2127">
        <v>16.22</v>
      </c>
      <c r="Q2127">
        <v>12.16</v>
      </c>
      <c r="R2127">
        <v>428</v>
      </c>
      <c r="S2127">
        <v>146.63999999999999</v>
      </c>
    </row>
    <row r="2128" spans="1:19" x14ac:dyDescent="0.25">
      <c r="A2128" t="s">
        <v>10343</v>
      </c>
      <c r="B2128" s="1">
        <v>45277</v>
      </c>
      <c r="C2128" t="s">
        <v>10344</v>
      </c>
      <c r="D2128" t="s">
        <v>259</v>
      </c>
      <c r="E2128" t="s">
        <v>24</v>
      </c>
      <c r="F2128" t="s">
        <v>200</v>
      </c>
      <c r="G2128">
        <v>10</v>
      </c>
      <c r="H2128" t="s">
        <v>464</v>
      </c>
      <c r="I2128" t="s">
        <v>579</v>
      </c>
      <c r="J2128" t="s">
        <v>1000</v>
      </c>
      <c r="K2128" t="s">
        <v>10345</v>
      </c>
    </row>
    <row r="2129" spans="1:19" x14ac:dyDescent="0.25">
      <c r="A2129" t="s">
        <v>10379</v>
      </c>
      <c r="B2129" s="1">
        <v>45284</v>
      </c>
      <c r="C2129" t="s">
        <v>942</v>
      </c>
      <c r="D2129" t="s">
        <v>259</v>
      </c>
      <c r="E2129" t="s">
        <v>24</v>
      </c>
      <c r="F2129" t="s">
        <v>215</v>
      </c>
      <c r="G2129">
        <v>30</v>
      </c>
      <c r="H2129" t="s">
        <v>464</v>
      </c>
      <c r="I2129" t="s">
        <v>943</v>
      </c>
      <c r="J2129" t="s">
        <v>1621</v>
      </c>
      <c r="K2129" t="s">
        <v>10378</v>
      </c>
    </row>
    <row r="2130" spans="1:19" x14ac:dyDescent="0.25">
      <c r="A2130" t="s">
        <v>10485</v>
      </c>
      <c r="B2130" s="1">
        <v>45298</v>
      </c>
      <c r="C2130" t="s">
        <v>4429</v>
      </c>
      <c r="D2130" t="s">
        <v>259</v>
      </c>
      <c r="E2130" t="s">
        <v>24</v>
      </c>
      <c r="F2130" t="s">
        <v>180</v>
      </c>
      <c r="G2130">
        <v>15</v>
      </c>
      <c r="H2130" t="s">
        <v>194</v>
      </c>
      <c r="I2130" t="s">
        <v>195</v>
      </c>
      <c r="J2130" t="s">
        <v>1217</v>
      </c>
      <c r="K2130" t="s">
        <v>10486</v>
      </c>
      <c r="R2130">
        <v>69</v>
      </c>
      <c r="S2130">
        <v>102.67</v>
      </c>
    </row>
    <row r="2131" spans="1:19" x14ac:dyDescent="0.25">
      <c r="A2131" t="s">
        <v>10487</v>
      </c>
      <c r="B2131" s="1">
        <v>45298</v>
      </c>
      <c r="C2131" t="s">
        <v>10488</v>
      </c>
      <c r="D2131" t="s">
        <v>259</v>
      </c>
      <c r="E2131" t="s">
        <v>24</v>
      </c>
      <c r="F2131" t="s">
        <v>354</v>
      </c>
      <c r="G2131">
        <v>45</v>
      </c>
      <c r="H2131" t="s">
        <v>26</v>
      </c>
      <c r="I2131" t="s">
        <v>370</v>
      </c>
      <c r="J2131" t="s">
        <v>439</v>
      </c>
      <c r="K2131" t="s">
        <v>10489</v>
      </c>
      <c r="L2131">
        <v>284</v>
      </c>
      <c r="M2131">
        <v>105</v>
      </c>
      <c r="N2131" s="2">
        <v>0.38</v>
      </c>
      <c r="O2131">
        <v>83</v>
      </c>
      <c r="P2131">
        <v>16.45</v>
      </c>
      <c r="Q2131">
        <v>12.34</v>
      </c>
      <c r="R2131">
        <v>368</v>
      </c>
    </row>
    <row r="2132" spans="1:19" x14ac:dyDescent="0.25">
      <c r="A2132" t="s">
        <v>10490</v>
      </c>
      <c r="B2132" s="1">
        <v>45298</v>
      </c>
      <c r="C2132" t="s">
        <v>10491</v>
      </c>
      <c r="D2132" t="s">
        <v>259</v>
      </c>
      <c r="E2132" t="s">
        <v>24</v>
      </c>
      <c r="F2132" t="s">
        <v>490</v>
      </c>
      <c r="G2132">
        <v>10</v>
      </c>
      <c r="H2132" t="s">
        <v>26</v>
      </c>
      <c r="I2132" t="s">
        <v>39</v>
      </c>
      <c r="J2132" t="s">
        <v>7372</v>
      </c>
      <c r="K2132" t="s">
        <v>10492</v>
      </c>
      <c r="L2132">
        <v>43</v>
      </c>
      <c r="M2132">
        <v>72</v>
      </c>
      <c r="N2132" s="2">
        <v>0.32</v>
      </c>
      <c r="O2132">
        <v>85</v>
      </c>
      <c r="P2132">
        <v>14.11</v>
      </c>
      <c r="Q2132">
        <v>2.35</v>
      </c>
      <c r="R2132">
        <v>75</v>
      </c>
      <c r="S2132">
        <v>129.34</v>
      </c>
    </row>
    <row r="2133" spans="1:19" x14ac:dyDescent="0.25">
      <c r="A2133" t="s">
        <v>10493</v>
      </c>
      <c r="B2133" s="1">
        <v>45298</v>
      </c>
      <c r="C2133" t="s">
        <v>10494</v>
      </c>
      <c r="D2133" t="s">
        <v>259</v>
      </c>
      <c r="E2133" t="s">
        <v>24</v>
      </c>
      <c r="F2133" t="s">
        <v>180</v>
      </c>
      <c r="G2133">
        <v>5</v>
      </c>
      <c r="H2133" t="s">
        <v>49</v>
      </c>
      <c r="I2133" t="s">
        <v>50</v>
      </c>
      <c r="J2133" t="s">
        <v>51</v>
      </c>
      <c r="K2133" t="s">
        <v>10495</v>
      </c>
      <c r="R2133">
        <v>12</v>
      </c>
    </row>
    <row r="2134" spans="1:19" x14ac:dyDescent="0.25">
      <c r="A2134" t="s">
        <v>10496</v>
      </c>
      <c r="B2134" s="1">
        <v>45298</v>
      </c>
      <c r="C2134" t="s">
        <v>2049</v>
      </c>
      <c r="D2134" t="s">
        <v>259</v>
      </c>
      <c r="E2134" t="s">
        <v>24</v>
      </c>
      <c r="F2134" t="s">
        <v>208</v>
      </c>
      <c r="G2134">
        <v>15</v>
      </c>
      <c r="H2134" t="s">
        <v>464</v>
      </c>
      <c r="I2134" t="s">
        <v>1571</v>
      </c>
      <c r="J2134" t="s">
        <v>2322</v>
      </c>
      <c r="K2134" t="s">
        <v>10497</v>
      </c>
    </row>
    <row r="2135" spans="1:19" x14ac:dyDescent="0.25">
      <c r="A2135" t="s">
        <v>10540</v>
      </c>
      <c r="B2135" s="1">
        <v>45305</v>
      </c>
      <c r="C2135" t="s">
        <v>2307</v>
      </c>
      <c r="D2135" t="s">
        <v>259</v>
      </c>
      <c r="E2135" t="s">
        <v>24</v>
      </c>
      <c r="F2135" t="s">
        <v>237</v>
      </c>
      <c r="G2135">
        <v>10</v>
      </c>
      <c r="H2135" t="s">
        <v>464</v>
      </c>
      <c r="I2135" t="s">
        <v>1571</v>
      </c>
      <c r="J2135" t="s">
        <v>2704</v>
      </c>
      <c r="K2135" t="s">
        <v>10541</v>
      </c>
    </row>
    <row r="2136" spans="1:19" x14ac:dyDescent="0.25">
      <c r="A2136" t="s">
        <v>30</v>
      </c>
      <c r="B2136" s="1">
        <v>43335</v>
      </c>
      <c r="C2136" t="s">
        <v>31</v>
      </c>
      <c r="D2136" t="s">
        <v>32</v>
      </c>
      <c r="E2136" t="s">
        <v>24</v>
      </c>
      <c r="F2136" t="s">
        <v>33</v>
      </c>
      <c r="G2136">
        <v>20</v>
      </c>
      <c r="H2136" t="s">
        <v>26</v>
      </c>
      <c r="I2136" t="s">
        <v>27</v>
      </c>
      <c r="J2136" t="s">
        <v>28</v>
      </c>
      <c r="K2136" t="s">
        <v>34</v>
      </c>
      <c r="L2136">
        <v>104</v>
      </c>
      <c r="M2136">
        <v>87</v>
      </c>
      <c r="N2136" s="2">
        <v>0.38</v>
      </c>
      <c r="O2136">
        <v>74</v>
      </c>
      <c r="P2136">
        <v>14.86</v>
      </c>
      <c r="Q2136">
        <v>4.95</v>
      </c>
      <c r="R2136">
        <v>138</v>
      </c>
    </row>
    <row r="2137" spans="1:19" x14ac:dyDescent="0.25">
      <c r="A2137" t="s">
        <v>35</v>
      </c>
      <c r="B2137" s="1">
        <v>43342</v>
      </c>
      <c r="C2137" t="s">
        <v>36</v>
      </c>
      <c r="D2137" t="s">
        <v>32</v>
      </c>
      <c r="E2137" t="s">
        <v>24</v>
      </c>
      <c r="F2137" t="s">
        <v>25</v>
      </c>
      <c r="G2137">
        <v>20</v>
      </c>
      <c r="H2137" t="s">
        <v>26</v>
      </c>
      <c r="I2137" t="s">
        <v>27</v>
      </c>
      <c r="J2137" t="s">
        <v>28</v>
      </c>
      <c r="K2137" t="s">
        <v>29</v>
      </c>
      <c r="L2137">
        <v>115</v>
      </c>
      <c r="M2137">
        <v>96</v>
      </c>
      <c r="N2137" s="2">
        <v>0.39</v>
      </c>
      <c r="O2137">
        <v>77</v>
      </c>
      <c r="P2137">
        <v>15.74</v>
      </c>
      <c r="Q2137">
        <v>5.24</v>
      </c>
      <c r="R2137">
        <v>151</v>
      </c>
    </row>
    <row r="2138" spans="1:19" x14ac:dyDescent="0.25">
      <c r="A2138" t="s">
        <v>37</v>
      </c>
      <c r="B2138" s="1">
        <v>43349</v>
      </c>
      <c r="C2138" t="s">
        <v>38</v>
      </c>
      <c r="D2138" t="s">
        <v>32</v>
      </c>
      <c r="E2138" t="s">
        <v>24</v>
      </c>
      <c r="F2138" t="s">
        <v>25</v>
      </c>
      <c r="G2138">
        <v>45</v>
      </c>
      <c r="H2138" t="s">
        <v>26</v>
      </c>
      <c r="I2138" t="s">
        <v>39</v>
      </c>
      <c r="J2138" t="s">
        <v>40</v>
      </c>
      <c r="K2138" t="s">
        <v>41</v>
      </c>
      <c r="L2138">
        <v>0</v>
      </c>
      <c r="M2138">
        <v>0</v>
      </c>
      <c r="N2138" s="2">
        <v>0</v>
      </c>
      <c r="O2138">
        <v>0</v>
      </c>
      <c r="P2138">
        <v>0</v>
      </c>
      <c r="Q2138">
        <v>0</v>
      </c>
      <c r="R2138">
        <v>0</v>
      </c>
    </row>
    <row r="2139" spans="1:19" x14ac:dyDescent="0.25">
      <c r="A2139" t="s">
        <v>42</v>
      </c>
      <c r="B2139" s="1">
        <v>43349</v>
      </c>
      <c r="C2139" t="s">
        <v>43</v>
      </c>
      <c r="D2139" t="s">
        <v>32</v>
      </c>
      <c r="E2139" t="s">
        <v>24</v>
      </c>
      <c r="F2139" t="s">
        <v>25</v>
      </c>
      <c r="G2139">
        <v>30</v>
      </c>
      <c r="H2139" t="s">
        <v>26</v>
      </c>
      <c r="I2139" t="s">
        <v>44</v>
      </c>
      <c r="J2139" t="s">
        <v>45</v>
      </c>
      <c r="K2139" t="s">
        <v>46</v>
      </c>
      <c r="L2139">
        <v>178</v>
      </c>
      <c r="M2139">
        <v>99</v>
      </c>
      <c r="N2139" s="2">
        <v>0.38</v>
      </c>
      <c r="O2139">
        <v>81</v>
      </c>
      <c r="P2139">
        <v>15.94</v>
      </c>
      <c r="Q2139">
        <v>7.96</v>
      </c>
      <c r="R2139">
        <v>236</v>
      </c>
    </row>
    <row r="2140" spans="1:19" x14ac:dyDescent="0.25">
      <c r="A2140" t="s">
        <v>47</v>
      </c>
      <c r="B2140" s="1">
        <v>43349</v>
      </c>
      <c r="C2140" t="s">
        <v>48</v>
      </c>
      <c r="D2140" t="s">
        <v>32</v>
      </c>
      <c r="E2140" t="s">
        <v>24</v>
      </c>
      <c r="F2140" t="s">
        <v>25</v>
      </c>
      <c r="G2140">
        <v>5</v>
      </c>
      <c r="H2140" t="s">
        <v>49</v>
      </c>
      <c r="I2140" t="s">
        <v>50</v>
      </c>
      <c r="J2140" t="s">
        <v>51</v>
      </c>
      <c r="K2140" t="s">
        <v>52</v>
      </c>
      <c r="R2140">
        <v>14</v>
      </c>
    </row>
    <row r="2141" spans="1:19" x14ac:dyDescent="0.25">
      <c r="A2141" t="s">
        <v>57</v>
      </c>
      <c r="B2141" s="1">
        <v>43356</v>
      </c>
      <c r="C2141" t="s">
        <v>58</v>
      </c>
      <c r="D2141" t="s">
        <v>32</v>
      </c>
      <c r="E2141" t="s">
        <v>24</v>
      </c>
      <c r="F2141" t="s">
        <v>25</v>
      </c>
      <c r="G2141">
        <v>45</v>
      </c>
      <c r="H2141" t="s">
        <v>26</v>
      </c>
      <c r="I2141" t="s">
        <v>44</v>
      </c>
      <c r="J2141" t="s">
        <v>59</v>
      </c>
      <c r="K2141" t="s">
        <v>60</v>
      </c>
      <c r="L2141">
        <v>131</v>
      </c>
      <c r="M2141">
        <v>84</v>
      </c>
      <c r="N2141" s="2">
        <v>0.38</v>
      </c>
      <c r="O2141">
        <v>74</v>
      </c>
      <c r="P2141">
        <v>14.76</v>
      </c>
      <c r="Q2141">
        <v>6.41</v>
      </c>
      <c r="R2141">
        <v>174</v>
      </c>
    </row>
    <row r="2142" spans="1:19" x14ac:dyDescent="0.25">
      <c r="A2142" t="s">
        <v>66</v>
      </c>
      <c r="B2142" s="1">
        <v>43363</v>
      </c>
      <c r="C2142" t="s">
        <v>67</v>
      </c>
      <c r="D2142" t="s">
        <v>32</v>
      </c>
      <c r="E2142" t="s">
        <v>24</v>
      </c>
      <c r="F2142" t="s">
        <v>25</v>
      </c>
      <c r="G2142">
        <v>30</v>
      </c>
      <c r="H2142" t="s">
        <v>26</v>
      </c>
      <c r="I2142" t="s">
        <v>44</v>
      </c>
      <c r="J2142" t="s">
        <v>64</v>
      </c>
      <c r="K2142" t="s">
        <v>68</v>
      </c>
      <c r="L2142">
        <v>152</v>
      </c>
      <c r="M2142">
        <v>84</v>
      </c>
      <c r="N2142" s="2">
        <v>0.38</v>
      </c>
      <c r="O2142">
        <v>75</v>
      </c>
      <c r="P2142">
        <v>14.93</v>
      </c>
      <c r="Q2142">
        <v>7.46</v>
      </c>
      <c r="R2142">
        <v>201</v>
      </c>
    </row>
    <row r="2143" spans="1:19" x14ac:dyDescent="0.25">
      <c r="A2143" t="s">
        <v>80</v>
      </c>
      <c r="B2143" s="1">
        <v>43377</v>
      </c>
      <c r="C2143" t="s">
        <v>81</v>
      </c>
      <c r="D2143" t="s">
        <v>32</v>
      </c>
      <c r="E2143" t="s">
        <v>24</v>
      </c>
      <c r="F2143" t="s">
        <v>25</v>
      </c>
      <c r="G2143">
        <v>30</v>
      </c>
      <c r="H2143" t="s">
        <v>26</v>
      </c>
      <c r="I2143" t="s">
        <v>44</v>
      </c>
      <c r="J2143" t="s">
        <v>64</v>
      </c>
      <c r="K2143" t="s">
        <v>82</v>
      </c>
      <c r="L2143">
        <v>159</v>
      </c>
      <c r="M2143">
        <v>88</v>
      </c>
      <c r="N2143" s="2">
        <v>0.38</v>
      </c>
      <c r="O2143">
        <v>75</v>
      </c>
      <c r="P2143">
        <v>15.21</v>
      </c>
      <c r="Q2143">
        <v>7.6</v>
      </c>
      <c r="R2143">
        <v>210</v>
      </c>
    </row>
    <row r="2144" spans="1:19" x14ac:dyDescent="0.25">
      <c r="A2144" t="s">
        <v>86</v>
      </c>
      <c r="B2144" s="1">
        <v>43384</v>
      </c>
      <c r="C2144" t="s">
        <v>87</v>
      </c>
      <c r="D2144" t="s">
        <v>32</v>
      </c>
      <c r="E2144" t="s">
        <v>24</v>
      </c>
      <c r="F2144" t="s">
        <v>25</v>
      </c>
      <c r="G2144">
        <v>45</v>
      </c>
      <c r="H2144" t="s">
        <v>26</v>
      </c>
      <c r="I2144" t="s">
        <v>44</v>
      </c>
      <c r="J2144" t="s">
        <v>88</v>
      </c>
      <c r="K2144" t="s">
        <v>89</v>
      </c>
      <c r="L2144">
        <v>184</v>
      </c>
      <c r="M2144">
        <v>86</v>
      </c>
      <c r="N2144" s="2">
        <v>0.39</v>
      </c>
      <c r="O2144">
        <v>72</v>
      </c>
      <c r="P2144">
        <v>14.83</v>
      </c>
      <c r="Q2144">
        <v>8.85</v>
      </c>
      <c r="R2144">
        <v>243</v>
      </c>
    </row>
    <row r="2145" spans="1:18" x14ac:dyDescent="0.25">
      <c r="A2145" t="s">
        <v>112</v>
      </c>
      <c r="B2145" s="1">
        <v>43433</v>
      </c>
      <c r="C2145" t="s">
        <v>113</v>
      </c>
      <c r="D2145" t="s">
        <v>32</v>
      </c>
      <c r="E2145" t="s">
        <v>24</v>
      </c>
      <c r="F2145" t="s">
        <v>25</v>
      </c>
      <c r="G2145">
        <v>20</v>
      </c>
      <c r="H2145" t="s">
        <v>26</v>
      </c>
      <c r="I2145" t="s">
        <v>44</v>
      </c>
      <c r="J2145" t="s">
        <v>114</v>
      </c>
      <c r="K2145" t="s">
        <v>115</v>
      </c>
      <c r="L2145">
        <v>106</v>
      </c>
      <c r="M2145">
        <v>88</v>
      </c>
      <c r="N2145" s="2">
        <v>0.39</v>
      </c>
      <c r="O2145">
        <v>73</v>
      </c>
      <c r="P2145">
        <v>15.19</v>
      </c>
      <c r="Q2145">
        <v>5.05</v>
      </c>
      <c r="R2145">
        <v>140</v>
      </c>
    </row>
    <row r="2146" spans="1:18" x14ac:dyDescent="0.25">
      <c r="A2146" t="s">
        <v>121</v>
      </c>
      <c r="B2146" s="1">
        <v>43447</v>
      </c>
      <c r="C2146" t="s">
        <v>122</v>
      </c>
      <c r="D2146" t="s">
        <v>32</v>
      </c>
      <c r="E2146" t="s">
        <v>24</v>
      </c>
      <c r="F2146" t="s">
        <v>25</v>
      </c>
      <c r="G2146">
        <v>30</v>
      </c>
      <c r="H2146" t="s">
        <v>26</v>
      </c>
      <c r="I2146" t="s">
        <v>44</v>
      </c>
      <c r="J2146" t="s">
        <v>45</v>
      </c>
      <c r="K2146" t="s">
        <v>123</v>
      </c>
      <c r="L2146">
        <v>159</v>
      </c>
      <c r="M2146">
        <v>89</v>
      </c>
      <c r="N2146" s="2">
        <v>0.36</v>
      </c>
      <c r="O2146">
        <v>84</v>
      </c>
      <c r="P2146">
        <v>15.28</v>
      </c>
      <c r="Q2146">
        <v>7.63</v>
      </c>
      <c r="R2146">
        <v>210</v>
      </c>
    </row>
    <row r="2147" spans="1:18" x14ac:dyDescent="0.25">
      <c r="A2147" t="s">
        <v>129</v>
      </c>
      <c r="B2147" s="1">
        <v>43489</v>
      </c>
      <c r="C2147" t="s">
        <v>130</v>
      </c>
      <c r="D2147" t="s">
        <v>32</v>
      </c>
      <c r="E2147" t="s">
        <v>24</v>
      </c>
      <c r="F2147" t="s">
        <v>25</v>
      </c>
      <c r="G2147">
        <v>30</v>
      </c>
      <c r="H2147" t="s">
        <v>26</v>
      </c>
      <c r="I2147" t="s">
        <v>44</v>
      </c>
      <c r="J2147" t="s">
        <v>45</v>
      </c>
      <c r="K2147" t="s">
        <v>131</v>
      </c>
      <c r="L2147">
        <v>143</v>
      </c>
      <c r="M2147">
        <v>79</v>
      </c>
      <c r="N2147" s="2">
        <v>0.36</v>
      </c>
      <c r="O2147">
        <v>79</v>
      </c>
      <c r="P2147">
        <v>14.63</v>
      </c>
      <c r="Q2147">
        <v>7.31</v>
      </c>
      <c r="R2147">
        <v>189</v>
      </c>
    </row>
    <row r="2148" spans="1:18" x14ac:dyDescent="0.25">
      <c r="A2148" t="s">
        <v>132</v>
      </c>
      <c r="B2148" s="1">
        <v>43622</v>
      </c>
      <c r="C2148" t="s">
        <v>133</v>
      </c>
      <c r="D2148" t="s">
        <v>32</v>
      </c>
      <c r="E2148" t="s">
        <v>24</v>
      </c>
      <c r="F2148" t="s">
        <v>25</v>
      </c>
      <c r="G2148">
        <v>30</v>
      </c>
      <c r="H2148" t="s">
        <v>26</v>
      </c>
      <c r="I2148" t="s">
        <v>103</v>
      </c>
      <c r="J2148" t="s">
        <v>134</v>
      </c>
      <c r="K2148" t="s">
        <v>135</v>
      </c>
      <c r="L2148">
        <v>153</v>
      </c>
      <c r="M2148">
        <v>85</v>
      </c>
      <c r="N2148" s="2">
        <v>0.38</v>
      </c>
      <c r="O2148">
        <v>77</v>
      </c>
      <c r="P2148">
        <v>15</v>
      </c>
      <c r="Q2148">
        <v>7.5</v>
      </c>
      <c r="R2148">
        <v>202</v>
      </c>
    </row>
    <row r="2149" spans="1:18" x14ac:dyDescent="0.25">
      <c r="A2149" t="s">
        <v>139</v>
      </c>
      <c r="B2149" s="1">
        <v>43629</v>
      </c>
      <c r="C2149" t="s">
        <v>140</v>
      </c>
      <c r="D2149" t="s">
        <v>32</v>
      </c>
      <c r="E2149" t="s">
        <v>24</v>
      </c>
      <c r="F2149" t="s">
        <v>25</v>
      </c>
      <c r="G2149">
        <v>30</v>
      </c>
      <c r="H2149" t="s">
        <v>26</v>
      </c>
      <c r="I2149" t="s">
        <v>126</v>
      </c>
      <c r="J2149" t="s">
        <v>141</v>
      </c>
      <c r="K2149" t="s">
        <v>142</v>
      </c>
      <c r="L2149">
        <v>165</v>
      </c>
      <c r="M2149">
        <v>92</v>
      </c>
      <c r="N2149" s="2">
        <v>0.41</v>
      </c>
      <c r="O2149">
        <v>66</v>
      </c>
      <c r="P2149">
        <v>14.08</v>
      </c>
      <c r="Q2149">
        <v>7.03</v>
      </c>
      <c r="R2149">
        <v>218</v>
      </c>
    </row>
    <row r="2150" spans="1:18" x14ac:dyDescent="0.25">
      <c r="A2150" t="s">
        <v>151</v>
      </c>
      <c r="B2150" s="1">
        <v>43636</v>
      </c>
      <c r="C2150" t="s">
        <v>87</v>
      </c>
      <c r="D2150" t="s">
        <v>32</v>
      </c>
      <c r="E2150" t="s">
        <v>24</v>
      </c>
      <c r="F2150" t="s">
        <v>25</v>
      </c>
      <c r="G2150">
        <v>30</v>
      </c>
      <c r="H2150" t="s">
        <v>26</v>
      </c>
      <c r="I2150" t="s">
        <v>126</v>
      </c>
      <c r="J2150" t="s">
        <v>141</v>
      </c>
      <c r="K2150" t="s">
        <v>152</v>
      </c>
      <c r="L2150">
        <v>140</v>
      </c>
      <c r="M2150">
        <v>78</v>
      </c>
      <c r="N2150" s="2">
        <v>0.42</v>
      </c>
      <c r="O2150">
        <v>54</v>
      </c>
      <c r="P2150">
        <v>12.13</v>
      </c>
      <c r="Q2150">
        <v>6.06</v>
      </c>
      <c r="R2150">
        <v>184</v>
      </c>
    </row>
    <row r="2151" spans="1:18" x14ac:dyDescent="0.25">
      <c r="A2151" t="s">
        <v>156</v>
      </c>
      <c r="B2151" s="1">
        <v>43643</v>
      </c>
      <c r="C2151" t="s">
        <v>157</v>
      </c>
      <c r="D2151" t="s">
        <v>32</v>
      </c>
      <c r="E2151" t="s">
        <v>24</v>
      </c>
      <c r="F2151" t="s">
        <v>25</v>
      </c>
      <c r="G2151">
        <v>30</v>
      </c>
      <c r="H2151" t="s">
        <v>26</v>
      </c>
      <c r="I2151" t="s">
        <v>44</v>
      </c>
      <c r="J2151" t="s">
        <v>45</v>
      </c>
      <c r="K2151" t="s">
        <v>158</v>
      </c>
      <c r="L2151">
        <v>174</v>
      </c>
      <c r="M2151">
        <v>97</v>
      </c>
      <c r="N2151" s="2">
        <v>0.38</v>
      </c>
      <c r="O2151">
        <v>80</v>
      </c>
      <c r="P2151">
        <v>15.83</v>
      </c>
      <c r="Q2151">
        <v>7.91</v>
      </c>
      <c r="R2151">
        <v>229</v>
      </c>
    </row>
    <row r="2152" spans="1:18" x14ac:dyDescent="0.25">
      <c r="A2152" t="s">
        <v>164</v>
      </c>
      <c r="B2152" s="1">
        <v>43657</v>
      </c>
      <c r="C2152" t="s">
        <v>165</v>
      </c>
      <c r="D2152" t="s">
        <v>32</v>
      </c>
      <c r="E2152" t="s">
        <v>24</v>
      </c>
      <c r="F2152" t="s">
        <v>25</v>
      </c>
      <c r="G2152">
        <v>20</v>
      </c>
      <c r="H2152" t="s">
        <v>26</v>
      </c>
      <c r="I2152" t="s">
        <v>44</v>
      </c>
      <c r="J2152" t="s">
        <v>166</v>
      </c>
      <c r="K2152" t="s">
        <v>167</v>
      </c>
      <c r="L2152">
        <v>110</v>
      </c>
      <c r="M2152">
        <v>92</v>
      </c>
      <c r="N2152" s="2">
        <v>0.38</v>
      </c>
      <c r="O2152">
        <v>80</v>
      </c>
      <c r="P2152">
        <v>15.53</v>
      </c>
      <c r="Q2152">
        <v>5.16</v>
      </c>
      <c r="R2152">
        <v>145</v>
      </c>
    </row>
    <row r="2153" spans="1:18" x14ac:dyDescent="0.25">
      <c r="A2153" t="s">
        <v>173</v>
      </c>
      <c r="B2153" s="1">
        <v>43664</v>
      </c>
      <c r="C2153" t="s">
        <v>174</v>
      </c>
      <c r="D2153" t="s">
        <v>32</v>
      </c>
      <c r="E2153" t="s">
        <v>24</v>
      </c>
      <c r="F2153" t="s">
        <v>25</v>
      </c>
      <c r="G2153">
        <v>30</v>
      </c>
      <c r="H2153" t="s">
        <v>26</v>
      </c>
      <c r="I2153" t="s">
        <v>126</v>
      </c>
      <c r="J2153" t="s">
        <v>141</v>
      </c>
      <c r="K2153" t="s">
        <v>175</v>
      </c>
      <c r="L2153">
        <v>142</v>
      </c>
      <c r="M2153">
        <v>79</v>
      </c>
      <c r="N2153" s="2">
        <v>0.39</v>
      </c>
      <c r="O2153">
        <v>57</v>
      </c>
      <c r="P2153">
        <v>11.97</v>
      </c>
      <c r="Q2153">
        <v>5.98</v>
      </c>
      <c r="R2153">
        <v>186</v>
      </c>
    </row>
    <row r="2154" spans="1:18" x14ac:dyDescent="0.25">
      <c r="A2154" t="s">
        <v>176</v>
      </c>
      <c r="B2154" s="1">
        <v>43713</v>
      </c>
      <c r="C2154" t="s">
        <v>149</v>
      </c>
      <c r="D2154" t="s">
        <v>32</v>
      </c>
      <c r="E2154" t="s">
        <v>24</v>
      </c>
      <c r="F2154" t="s">
        <v>25</v>
      </c>
      <c r="G2154">
        <v>45</v>
      </c>
      <c r="H2154" t="s">
        <v>26</v>
      </c>
      <c r="I2154" t="s">
        <v>126</v>
      </c>
      <c r="J2154" t="s">
        <v>146</v>
      </c>
      <c r="K2154" t="s">
        <v>177</v>
      </c>
      <c r="L2154">
        <v>202</v>
      </c>
      <c r="M2154">
        <v>75</v>
      </c>
      <c r="N2154" s="2">
        <v>0.41</v>
      </c>
      <c r="O2154">
        <v>57</v>
      </c>
      <c r="P2154">
        <v>12.26</v>
      </c>
      <c r="Q2154">
        <v>9.1999999999999993</v>
      </c>
      <c r="R2154">
        <v>266</v>
      </c>
    </row>
    <row r="2155" spans="1:18" x14ac:dyDescent="0.25">
      <c r="A2155" t="s">
        <v>192</v>
      </c>
      <c r="B2155" s="1">
        <v>43832</v>
      </c>
      <c r="C2155" t="s">
        <v>193</v>
      </c>
      <c r="D2155" t="s">
        <v>32</v>
      </c>
      <c r="E2155" t="s">
        <v>24</v>
      </c>
      <c r="F2155" t="s">
        <v>180</v>
      </c>
      <c r="G2155">
        <v>5</v>
      </c>
      <c r="H2155" t="s">
        <v>194</v>
      </c>
      <c r="I2155" t="s">
        <v>195</v>
      </c>
      <c r="J2155" t="s">
        <v>196</v>
      </c>
      <c r="K2155" t="s">
        <v>197</v>
      </c>
      <c r="R2155">
        <v>28</v>
      </c>
    </row>
    <row r="2156" spans="1:18" x14ac:dyDescent="0.25">
      <c r="A2156" t="s">
        <v>198</v>
      </c>
      <c r="B2156" s="1">
        <v>43832</v>
      </c>
      <c r="C2156" t="s">
        <v>199</v>
      </c>
      <c r="D2156" t="s">
        <v>32</v>
      </c>
      <c r="E2156" t="s">
        <v>24</v>
      </c>
      <c r="F2156" t="s">
        <v>200</v>
      </c>
      <c r="G2156">
        <v>30</v>
      </c>
      <c r="H2156" t="s">
        <v>188</v>
      </c>
      <c r="I2156" t="s">
        <v>189</v>
      </c>
      <c r="J2156" t="s">
        <v>201</v>
      </c>
      <c r="K2156" t="s">
        <v>202</v>
      </c>
      <c r="R2156">
        <v>123</v>
      </c>
    </row>
    <row r="2157" spans="1:18" x14ac:dyDescent="0.25">
      <c r="A2157" t="s">
        <v>213</v>
      </c>
      <c r="B2157" s="1">
        <v>43846</v>
      </c>
      <c r="C2157" t="s">
        <v>214</v>
      </c>
      <c r="D2157" t="s">
        <v>32</v>
      </c>
      <c r="E2157" t="s">
        <v>24</v>
      </c>
      <c r="F2157" t="s">
        <v>215</v>
      </c>
      <c r="G2157">
        <v>60</v>
      </c>
      <c r="H2157" t="s">
        <v>188</v>
      </c>
      <c r="I2157" t="s">
        <v>189</v>
      </c>
      <c r="J2157" t="s">
        <v>216</v>
      </c>
      <c r="K2157" t="s">
        <v>217</v>
      </c>
      <c r="R2157">
        <v>243</v>
      </c>
    </row>
    <row r="2158" spans="1:18" x14ac:dyDescent="0.25">
      <c r="A2158" t="s">
        <v>301</v>
      </c>
      <c r="B2158" s="1">
        <v>44119</v>
      </c>
      <c r="C2158" t="s">
        <v>302</v>
      </c>
      <c r="D2158" t="s">
        <v>32</v>
      </c>
      <c r="E2158" t="s">
        <v>24</v>
      </c>
      <c r="F2158" t="s">
        <v>180</v>
      </c>
      <c r="G2158">
        <v>10</v>
      </c>
      <c r="H2158" t="s">
        <v>194</v>
      </c>
      <c r="I2158" t="s">
        <v>195</v>
      </c>
      <c r="J2158" t="s">
        <v>211</v>
      </c>
      <c r="K2158" t="s">
        <v>220</v>
      </c>
      <c r="R2158">
        <v>56</v>
      </c>
    </row>
    <row r="2159" spans="1:18" x14ac:dyDescent="0.25">
      <c r="A2159" t="s">
        <v>303</v>
      </c>
      <c r="B2159" s="1">
        <v>44119</v>
      </c>
      <c r="C2159" t="s">
        <v>304</v>
      </c>
      <c r="D2159" t="s">
        <v>32</v>
      </c>
      <c r="E2159" t="s">
        <v>24</v>
      </c>
      <c r="F2159" t="s">
        <v>305</v>
      </c>
      <c r="G2159">
        <v>10</v>
      </c>
      <c r="H2159" t="s">
        <v>49</v>
      </c>
      <c r="I2159" t="s">
        <v>226</v>
      </c>
      <c r="J2159" t="s">
        <v>293</v>
      </c>
      <c r="K2159" t="s">
        <v>306</v>
      </c>
      <c r="R2159">
        <v>28</v>
      </c>
    </row>
    <row r="2160" spans="1:18" x14ac:dyDescent="0.25">
      <c r="A2160" t="s">
        <v>379</v>
      </c>
      <c r="B2160" s="1">
        <v>44140</v>
      </c>
      <c r="C2160" t="s">
        <v>380</v>
      </c>
      <c r="D2160" t="s">
        <v>32</v>
      </c>
      <c r="E2160" t="s">
        <v>24</v>
      </c>
      <c r="F2160" t="s">
        <v>243</v>
      </c>
      <c r="G2160">
        <v>10</v>
      </c>
      <c r="H2160" t="s">
        <v>26</v>
      </c>
      <c r="I2160" t="s">
        <v>370</v>
      </c>
      <c r="J2160" t="s">
        <v>381</v>
      </c>
      <c r="K2160" t="s">
        <v>382</v>
      </c>
      <c r="L2160">
        <v>49</v>
      </c>
      <c r="M2160">
        <v>81</v>
      </c>
      <c r="N2160" s="2">
        <v>0.33</v>
      </c>
      <c r="O2160">
        <v>87</v>
      </c>
      <c r="P2160">
        <v>14.72</v>
      </c>
      <c r="Q2160">
        <v>2.4500000000000002</v>
      </c>
      <c r="R2160">
        <v>67</v>
      </c>
    </row>
    <row r="2161" spans="1:18" x14ac:dyDescent="0.25">
      <c r="A2161" t="s">
        <v>383</v>
      </c>
      <c r="B2161" s="1">
        <v>44140</v>
      </c>
      <c r="C2161" t="s">
        <v>384</v>
      </c>
      <c r="D2161" t="s">
        <v>32</v>
      </c>
      <c r="E2161" t="s">
        <v>24</v>
      </c>
      <c r="F2161" t="s">
        <v>243</v>
      </c>
      <c r="G2161">
        <v>20</v>
      </c>
      <c r="H2161" t="s">
        <v>26</v>
      </c>
      <c r="I2161" t="s">
        <v>370</v>
      </c>
      <c r="J2161" t="s">
        <v>385</v>
      </c>
      <c r="K2161" t="s">
        <v>386</v>
      </c>
      <c r="L2161">
        <v>116</v>
      </c>
      <c r="M2161">
        <v>96</v>
      </c>
      <c r="N2161" s="2">
        <v>0.39</v>
      </c>
      <c r="O2161">
        <v>78</v>
      </c>
      <c r="P2161">
        <v>15.87</v>
      </c>
      <c r="Q2161">
        <v>5.29</v>
      </c>
      <c r="R2161">
        <v>158</v>
      </c>
    </row>
    <row r="2162" spans="1:18" x14ac:dyDescent="0.25">
      <c r="A2162" t="s">
        <v>387</v>
      </c>
      <c r="B2162" s="1">
        <v>44140</v>
      </c>
      <c r="C2162" t="s">
        <v>388</v>
      </c>
      <c r="D2162" t="s">
        <v>32</v>
      </c>
      <c r="E2162" t="s">
        <v>24</v>
      </c>
      <c r="F2162" t="s">
        <v>243</v>
      </c>
      <c r="G2162">
        <v>10</v>
      </c>
      <c r="H2162" t="s">
        <v>26</v>
      </c>
      <c r="I2162" t="s">
        <v>358</v>
      </c>
      <c r="J2162" t="s">
        <v>389</v>
      </c>
      <c r="K2162" t="s">
        <v>390</v>
      </c>
      <c r="L2162">
        <v>39</v>
      </c>
      <c r="M2162">
        <v>65</v>
      </c>
      <c r="N2162" s="2">
        <v>0.3</v>
      </c>
      <c r="O2162">
        <v>86</v>
      </c>
      <c r="P2162">
        <v>13.47</v>
      </c>
      <c r="Q2162">
        <v>2.2400000000000002</v>
      </c>
      <c r="R2162">
        <v>53</v>
      </c>
    </row>
    <row r="2163" spans="1:18" x14ac:dyDescent="0.25">
      <c r="A2163" t="s">
        <v>391</v>
      </c>
      <c r="B2163" s="1">
        <v>44140</v>
      </c>
      <c r="C2163" t="s">
        <v>392</v>
      </c>
      <c r="D2163" t="s">
        <v>32</v>
      </c>
      <c r="E2163" t="s">
        <v>24</v>
      </c>
      <c r="F2163" t="s">
        <v>243</v>
      </c>
      <c r="G2163">
        <v>5</v>
      </c>
      <c r="H2163" t="s">
        <v>49</v>
      </c>
      <c r="I2163" t="s">
        <v>50</v>
      </c>
      <c r="J2163" t="s">
        <v>51</v>
      </c>
      <c r="K2163" t="s">
        <v>393</v>
      </c>
      <c r="R2163">
        <v>13</v>
      </c>
    </row>
    <row r="2164" spans="1:18" x14ac:dyDescent="0.25">
      <c r="A2164" t="s">
        <v>443</v>
      </c>
      <c r="B2164" s="1">
        <v>44147</v>
      </c>
      <c r="C2164" t="s">
        <v>444</v>
      </c>
      <c r="D2164" t="s">
        <v>32</v>
      </c>
      <c r="E2164" t="s">
        <v>24</v>
      </c>
      <c r="F2164" t="s">
        <v>328</v>
      </c>
      <c r="G2164">
        <v>30</v>
      </c>
      <c r="H2164" t="s">
        <v>26</v>
      </c>
      <c r="I2164" t="s">
        <v>370</v>
      </c>
      <c r="J2164" t="s">
        <v>433</v>
      </c>
      <c r="K2164" t="s">
        <v>445</v>
      </c>
      <c r="L2164">
        <v>130</v>
      </c>
      <c r="M2164">
        <v>72</v>
      </c>
      <c r="N2164" s="2">
        <v>0.31</v>
      </c>
      <c r="O2164">
        <v>89</v>
      </c>
      <c r="P2164">
        <v>13.98</v>
      </c>
      <c r="Q2164">
        <v>6.99</v>
      </c>
      <c r="R2164">
        <v>178</v>
      </c>
    </row>
    <row r="2165" spans="1:18" x14ac:dyDescent="0.25">
      <c r="A2165" t="s">
        <v>492</v>
      </c>
      <c r="B2165" s="1">
        <v>44154</v>
      </c>
      <c r="C2165" t="s">
        <v>478</v>
      </c>
      <c r="D2165" t="s">
        <v>32</v>
      </c>
      <c r="E2165" t="s">
        <v>24</v>
      </c>
      <c r="F2165" t="s">
        <v>33</v>
      </c>
      <c r="G2165">
        <v>30</v>
      </c>
      <c r="H2165" t="s">
        <v>26</v>
      </c>
      <c r="I2165" t="s">
        <v>370</v>
      </c>
      <c r="J2165" t="s">
        <v>433</v>
      </c>
      <c r="K2165" t="s">
        <v>493</v>
      </c>
      <c r="L2165">
        <v>129</v>
      </c>
      <c r="M2165">
        <v>72</v>
      </c>
      <c r="N2165" s="2">
        <v>0.3</v>
      </c>
      <c r="O2165">
        <v>90</v>
      </c>
      <c r="P2165">
        <v>13.83</v>
      </c>
      <c r="Q2165">
        <v>6.91</v>
      </c>
      <c r="R2165">
        <v>176</v>
      </c>
    </row>
    <row r="2166" spans="1:18" x14ac:dyDescent="0.25">
      <c r="A2166" t="s">
        <v>494</v>
      </c>
      <c r="B2166" s="1">
        <v>44154</v>
      </c>
      <c r="C2166" t="s">
        <v>258</v>
      </c>
      <c r="D2166" t="s">
        <v>32</v>
      </c>
      <c r="E2166" t="s">
        <v>24</v>
      </c>
      <c r="F2166" t="s">
        <v>314</v>
      </c>
      <c r="G2166">
        <v>10</v>
      </c>
      <c r="H2166" t="s">
        <v>194</v>
      </c>
      <c r="I2166" t="s">
        <v>195</v>
      </c>
      <c r="J2166" t="s">
        <v>211</v>
      </c>
      <c r="K2166" t="s">
        <v>495</v>
      </c>
      <c r="R2166">
        <v>51</v>
      </c>
    </row>
    <row r="2167" spans="1:18" x14ac:dyDescent="0.25">
      <c r="A2167" t="s">
        <v>539</v>
      </c>
      <c r="B2167" s="1">
        <v>44161</v>
      </c>
      <c r="C2167" t="s">
        <v>540</v>
      </c>
      <c r="D2167" t="s">
        <v>32</v>
      </c>
      <c r="E2167" t="s">
        <v>24</v>
      </c>
      <c r="F2167" t="s">
        <v>33</v>
      </c>
      <c r="G2167">
        <v>45</v>
      </c>
      <c r="H2167" t="s">
        <v>26</v>
      </c>
      <c r="I2167" t="s">
        <v>370</v>
      </c>
      <c r="J2167" t="s">
        <v>439</v>
      </c>
      <c r="K2167" t="s">
        <v>541</v>
      </c>
      <c r="L2167">
        <v>219</v>
      </c>
      <c r="M2167">
        <v>81</v>
      </c>
      <c r="N2167" s="2">
        <v>0.32</v>
      </c>
      <c r="O2167">
        <v>93</v>
      </c>
      <c r="P2167">
        <v>14.79</v>
      </c>
      <c r="Q2167">
        <v>11.09</v>
      </c>
      <c r="R2167">
        <v>299</v>
      </c>
    </row>
    <row r="2168" spans="1:18" x14ac:dyDescent="0.25">
      <c r="A2168" t="s">
        <v>542</v>
      </c>
      <c r="B2168" s="1">
        <v>44161</v>
      </c>
      <c r="C2168" t="s">
        <v>543</v>
      </c>
      <c r="D2168" t="s">
        <v>32</v>
      </c>
      <c r="E2168" t="s">
        <v>24</v>
      </c>
      <c r="F2168" t="s">
        <v>33</v>
      </c>
      <c r="G2168">
        <v>5</v>
      </c>
      <c r="H2168" t="s">
        <v>26</v>
      </c>
      <c r="I2168" t="s">
        <v>358</v>
      </c>
      <c r="J2168" t="s">
        <v>359</v>
      </c>
      <c r="K2168" t="s">
        <v>544</v>
      </c>
      <c r="L2168">
        <v>12</v>
      </c>
      <c r="M2168">
        <v>40</v>
      </c>
      <c r="N2168" s="2">
        <v>0.23</v>
      </c>
      <c r="O2168">
        <v>87</v>
      </c>
      <c r="P2168">
        <v>10.68</v>
      </c>
      <c r="Q2168">
        <v>0.89</v>
      </c>
      <c r="R2168">
        <v>16</v>
      </c>
    </row>
    <row r="2169" spans="1:18" x14ac:dyDescent="0.25">
      <c r="A2169" t="s">
        <v>545</v>
      </c>
      <c r="B2169" s="1">
        <v>44161</v>
      </c>
      <c r="C2169" t="s">
        <v>546</v>
      </c>
      <c r="D2169" t="s">
        <v>32</v>
      </c>
      <c r="E2169" t="s">
        <v>24</v>
      </c>
      <c r="F2169" t="s">
        <v>215</v>
      </c>
      <c r="G2169">
        <v>30</v>
      </c>
      <c r="H2169" t="s">
        <v>188</v>
      </c>
      <c r="I2169" t="s">
        <v>103</v>
      </c>
      <c r="J2169" t="s">
        <v>415</v>
      </c>
      <c r="K2169" t="s">
        <v>547</v>
      </c>
      <c r="R2169">
        <v>93</v>
      </c>
    </row>
    <row r="2170" spans="1:18" x14ac:dyDescent="0.25">
      <c r="A2170" t="s">
        <v>582</v>
      </c>
      <c r="B2170" s="1">
        <v>44168</v>
      </c>
      <c r="C2170" t="s">
        <v>374</v>
      </c>
      <c r="D2170" t="s">
        <v>32</v>
      </c>
      <c r="E2170" t="s">
        <v>24</v>
      </c>
      <c r="F2170" t="s">
        <v>243</v>
      </c>
      <c r="G2170">
        <v>30</v>
      </c>
      <c r="H2170" t="s">
        <v>26</v>
      </c>
      <c r="I2170" t="s">
        <v>370</v>
      </c>
      <c r="J2170" t="s">
        <v>433</v>
      </c>
      <c r="K2170" t="s">
        <v>583</v>
      </c>
      <c r="L2170">
        <v>157</v>
      </c>
      <c r="M2170">
        <v>87</v>
      </c>
      <c r="N2170" s="2">
        <v>0.35</v>
      </c>
      <c r="O2170">
        <v>84</v>
      </c>
      <c r="P2170">
        <v>15.01</v>
      </c>
      <c r="Q2170">
        <v>7.5</v>
      </c>
      <c r="R2170">
        <v>215</v>
      </c>
    </row>
    <row r="2171" spans="1:18" x14ac:dyDescent="0.25">
      <c r="A2171" t="s">
        <v>625</v>
      </c>
      <c r="B2171" s="1">
        <v>44175</v>
      </c>
      <c r="C2171" t="s">
        <v>626</v>
      </c>
      <c r="D2171" t="s">
        <v>32</v>
      </c>
      <c r="E2171" t="s">
        <v>24</v>
      </c>
      <c r="F2171" t="s">
        <v>243</v>
      </c>
      <c r="G2171">
        <v>30</v>
      </c>
      <c r="H2171" t="s">
        <v>26</v>
      </c>
      <c r="I2171" t="s">
        <v>44</v>
      </c>
      <c r="J2171" t="s">
        <v>627</v>
      </c>
      <c r="K2171" t="s">
        <v>628</v>
      </c>
      <c r="L2171">
        <v>153</v>
      </c>
      <c r="M2171">
        <v>85</v>
      </c>
      <c r="N2171" s="2">
        <v>0.34</v>
      </c>
      <c r="O2171">
        <v>84</v>
      </c>
      <c r="P2171">
        <v>14.89</v>
      </c>
      <c r="Q2171">
        <v>7.44</v>
      </c>
      <c r="R2171">
        <v>210</v>
      </c>
    </row>
    <row r="2172" spans="1:18" x14ac:dyDescent="0.25">
      <c r="A2172" t="s">
        <v>676</v>
      </c>
      <c r="B2172" s="1">
        <v>44182</v>
      </c>
      <c r="C2172" t="s">
        <v>677</v>
      </c>
      <c r="D2172" t="s">
        <v>32</v>
      </c>
      <c r="E2172" t="s">
        <v>24</v>
      </c>
      <c r="F2172" t="s">
        <v>323</v>
      </c>
      <c r="G2172">
        <v>60</v>
      </c>
      <c r="H2172" t="s">
        <v>26</v>
      </c>
      <c r="I2172" t="s">
        <v>370</v>
      </c>
      <c r="J2172" t="s">
        <v>498</v>
      </c>
      <c r="K2172" t="s">
        <v>678</v>
      </c>
      <c r="L2172">
        <v>286</v>
      </c>
      <c r="M2172">
        <v>79</v>
      </c>
      <c r="N2172" s="2">
        <v>0.33</v>
      </c>
      <c r="O2172">
        <v>87</v>
      </c>
      <c r="P2172">
        <v>14.66</v>
      </c>
      <c r="Q2172">
        <v>14.66</v>
      </c>
      <c r="R2172">
        <v>353</v>
      </c>
    </row>
    <row r="2173" spans="1:18" x14ac:dyDescent="0.25">
      <c r="A2173" t="s">
        <v>733</v>
      </c>
      <c r="B2173" s="1">
        <v>44189</v>
      </c>
      <c r="C2173" t="s">
        <v>734</v>
      </c>
      <c r="D2173" t="s">
        <v>32</v>
      </c>
      <c r="E2173" t="s">
        <v>24</v>
      </c>
      <c r="F2173" t="s">
        <v>323</v>
      </c>
      <c r="G2173">
        <v>15</v>
      </c>
      <c r="H2173" t="s">
        <v>26</v>
      </c>
      <c r="I2173" t="s">
        <v>370</v>
      </c>
      <c r="J2173" t="s">
        <v>531</v>
      </c>
      <c r="K2173" t="s">
        <v>532</v>
      </c>
      <c r="L2173">
        <v>69</v>
      </c>
      <c r="M2173">
        <v>77</v>
      </c>
      <c r="N2173" s="2">
        <v>0.31</v>
      </c>
      <c r="O2173">
        <v>92</v>
      </c>
      <c r="P2173">
        <v>14.41</v>
      </c>
      <c r="Q2173">
        <v>3.6</v>
      </c>
      <c r="R2173">
        <v>86</v>
      </c>
    </row>
    <row r="2174" spans="1:18" x14ac:dyDescent="0.25">
      <c r="A2174" t="s">
        <v>735</v>
      </c>
      <c r="B2174" s="1">
        <v>44189</v>
      </c>
      <c r="C2174" t="s">
        <v>736</v>
      </c>
      <c r="D2174" t="s">
        <v>32</v>
      </c>
      <c r="E2174" t="s">
        <v>24</v>
      </c>
      <c r="F2174" t="s">
        <v>323</v>
      </c>
      <c r="G2174">
        <v>20</v>
      </c>
      <c r="H2174" t="s">
        <v>26</v>
      </c>
      <c r="I2174" t="s">
        <v>370</v>
      </c>
      <c r="J2174" t="s">
        <v>385</v>
      </c>
      <c r="K2174" t="s">
        <v>534</v>
      </c>
      <c r="L2174">
        <v>144</v>
      </c>
      <c r="M2174">
        <v>120</v>
      </c>
      <c r="N2174" s="2">
        <v>0.39</v>
      </c>
      <c r="O2174">
        <v>87</v>
      </c>
      <c r="P2174">
        <v>17.45</v>
      </c>
      <c r="Q2174">
        <v>5.82</v>
      </c>
      <c r="R2174">
        <v>178</v>
      </c>
    </row>
    <row r="2175" spans="1:18" x14ac:dyDescent="0.25">
      <c r="A2175" t="s">
        <v>737</v>
      </c>
      <c r="B2175" s="1">
        <v>44189</v>
      </c>
      <c r="C2175" t="s">
        <v>738</v>
      </c>
      <c r="D2175" t="s">
        <v>32</v>
      </c>
      <c r="E2175" t="s">
        <v>24</v>
      </c>
      <c r="F2175" t="s">
        <v>323</v>
      </c>
      <c r="G2175">
        <v>5</v>
      </c>
      <c r="H2175" t="s">
        <v>26</v>
      </c>
      <c r="I2175" t="s">
        <v>358</v>
      </c>
      <c r="J2175" t="s">
        <v>359</v>
      </c>
      <c r="K2175" t="s">
        <v>456</v>
      </c>
      <c r="L2175">
        <v>11</v>
      </c>
      <c r="M2175">
        <v>37</v>
      </c>
      <c r="N2175" s="2">
        <v>0.21</v>
      </c>
      <c r="O2175">
        <v>91</v>
      </c>
      <c r="P2175">
        <v>10.32</v>
      </c>
      <c r="Q2175">
        <v>0.86</v>
      </c>
      <c r="R2175">
        <v>14</v>
      </c>
    </row>
    <row r="2176" spans="1:18" x14ac:dyDescent="0.25">
      <c r="A2176" t="s">
        <v>739</v>
      </c>
      <c r="B2176" s="1">
        <v>44189</v>
      </c>
      <c r="C2176" t="s">
        <v>740</v>
      </c>
      <c r="D2176" t="s">
        <v>32</v>
      </c>
      <c r="E2176" t="s">
        <v>24</v>
      </c>
      <c r="F2176" t="s">
        <v>243</v>
      </c>
      <c r="G2176">
        <v>10</v>
      </c>
      <c r="H2176" t="s">
        <v>188</v>
      </c>
      <c r="I2176" t="s">
        <v>238</v>
      </c>
      <c r="J2176" t="s">
        <v>674</v>
      </c>
      <c r="K2176" t="s">
        <v>741</v>
      </c>
      <c r="R2176">
        <v>33</v>
      </c>
    </row>
    <row r="2177" spans="1:18" x14ac:dyDescent="0.25">
      <c r="A2177" t="s">
        <v>788</v>
      </c>
      <c r="B2177" s="1">
        <v>44196</v>
      </c>
      <c r="C2177" t="s">
        <v>789</v>
      </c>
      <c r="D2177" t="s">
        <v>32</v>
      </c>
      <c r="E2177" t="s">
        <v>24</v>
      </c>
      <c r="F2177" t="s">
        <v>354</v>
      </c>
      <c r="G2177">
        <v>30</v>
      </c>
      <c r="H2177" t="s">
        <v>605</v>
      </c>
      <c r="I2177" t="s">
        <v>663</v>
      </c>
      <c r="J2177" t="s">
        <v>790</v>
      </c>
      <c r="K2177" t="s">
        <v>791</v>
      </c>
      <c r="L2177">
        <v>83</v>
      </c>
      <c r="P2177">
        <v>15.5</v>
      </c>
      <c r="Q2177">
        <v>3.73</v>
      </c>
      <c r="R2177">
        <v>160</v>
      </c>
    </row>
    <row r="2178" spans="1:18" x14ac:dyDescent="0.25">
      <c r="A2178" t="s">
        <v>792</v>
      </c>
      <c r="B2178" s="1">
        <v>44196</v>
      </c>
      <c r="C2178" t="s">
        <v>793</v>
      </c>
      <c r="D2178" t="s">
        <v>32</v>
      </c>
      <c r="E2178" t="s">
        <v>24</v>
      </c>
      <c r="F2178" t="s">
        <v>490</v>
      </c>
      <c r="G2178">
        <v>5</v>
      </c>
      <c r="H2178" t="s">
        <v>26</v>
      </c>
      <c r="I2178" t="s">
        <v>358</v>
      </c>
      <c r="J2178" t="s">
        <v>359</v>
      </c>
      <c r="K2178" t="s">
        <v>794</v>
      </c>
      <c r="L2178">
        <v>23</v>
      </c>
      <c r="M2178">
        <v>78</v>
      </c>
      <c r="N2178" s="2">
        <v>0.3</v>
      </c>
      <c r="O2178">
        <v>95</v>
      </c>
      <c r="P2178">
        <v>14.52</v>
      </c>
      <c r="Q2178">
        <v>1.2</v>
      </c>
      <c r="R2178">
        <v>29</v>
      </c>
    </row>
    <row r="2179" spans="1:18" x14ac:dyDescent="0.25">
      <c r="A2179" t="s">
        <v>795</v>
      </c>
      <c r="B2179" s="1">
        <v>44196</v>
      </c>
      <c r="C2179" t="s">
        <v>81</v>
      </c>
      <c r="D2179" t="s">
        <v>32</v>
      </c>
      <c r="E2179" t="s">
        <v>24</v>
      </c>
      <c r="F2179" t="s">
        <v>208</v>
      </c>
      <c r="G2179">
        <v>20</v>
      </c>
      <c r="H2179" t="s">
        <v>188</v>
      </c>
      <c r="I2179" t="s">
        <v>238</v>
      </c>
      <c r="J2179" t="s">
        <v>796</v>
      </c>
      <c r="K2179" t="s">
        <v>797</v>
      </c>
      <c r="R2179">
        <v>72</v>
      </c>
    </row>
    <row r="2180" spans="1:18" x14ac:dyDescent="0.25">
      <c r="A2180" t="s">
        <v>849</v>
      </c>
      <c r="B2180" s="1">
        <v>44203</v>
      </c>
      <c r="C2180" t="s">
        <v>850</v>
      </c>
      <c r="D2180" t="s">
        <v>32</v>
      </c>
      <c r="E2180" t="s">
        <v>24</v>
      </c>
      <c r="F2180" t="s">
        <v>354</v>
      </c>
      <c r="G2180">
        <v>45</v>
      </c>
      <c r="H2180" t="s">
        <v>605</v>
      </c>
      <c r="I2180" t="s">
        <v>663</v>
      </c>
      <c r="J2180" t="s">
        <v>769</v>
      </c>
      <c r="K2180" t="s">
        <v>851</v>
      </c>
      <c r="L2180">
        <v>135</v>
      </c>
      <c r="P2180">
        <v>16.239999999999998</v>
      </c>
      <c r="Q2180">
        <v>5.62</v>
      </c>
      <c r="R2180">
        <v>256</v>
      </c>
    </row>
    <row r="2181" spans="1:18" x14ac:dyDescent="0.25">
      <c r="A2181" t="s">
        <v>852</v>
      </c>
      <c r="B2181" s="1">
        <v>44203</v>
      </c>
      <c r="C2181" t="s">
        <v>762</v>
      </c>
      <c r="D2181" t="s">
        <v>32</v>
      </c>
      <c r="E2181" t="s">
        <v>24</v>
      </c>
      <c r="F2181" t="s">
        <v>180</v>
      </c>
      <c r="G2181">
        <v>10</v>
      </c>
      <c r="H2181" t="s">
        <v>194</v>
      </c>
      <c r="I2181" t="s">
        <v>195</v>
      </c>
      <c r="J2181" t="s">
        <v>211</v>
      </c>
      <c r="K2181" t="s">
        <v>212</v>
      </c>
      <c r="R2181">
        <v>46</v>
      </c>
    </row>
    <row r="2182" spans="1:18" x14ac:dyDescent="0.25">
      <c r="A2182" t="s">
        <v>900</v>
      </c>
      <c r="B2182" s="1">
        <v>44210</v>
      </c>
      <c r="C2182" t="s">
        <v>901</v>
      </c>
      <c r="D2182" t="s">
        <v>32</v>
      </c>
      <c r="E2182" t="s">
        <v>24</v>
      </c>
      <c r="F2182" t="s">
        <v>243</v>
      </c>
      <c r="G2182">
        <v>45</v>
      </c>
      <c r="H2182" t="s">
        <v>26</v>
      </c>
      <c r="I2182" t="s">
        <v>370</v>
      </c>
      <c r="J2182" t="s">
        <v>479</v>
      </c>
      <c r="K2182" t="s">
        <v>902</v>
      </c>
      <c r="L2182">
        <v>242</v>
      </c>
      <c r="M2182">
        <v>90</v>
      </c>
      <c r="N2182" s="2">
        <v>0.36</v>
      </c>
      <c r="O2182">
        <v>80</v>
      </c>
      <c r="P2182">
        <v>15.25</v>
      </c>
      <c r="Q2182">
        <v>11.44</v>
      </c>
      <c r="R2182">
        <v>300</v>
      </c>
    </row>
    <row r="2183" spans="1:18" x14ac:dyDescent="0.25">
      <c r="A2183" t="s">
        <v>903</v>
      </c>
      <c r="B2183" s="1">
        <v>44210</v>
      </c>
      <c r="C2183" t="s">
        <v>904</v>
      </c>
      <c r="D2183" t="s">
        <v>32</v>
      </c>
      <c r="E2183" t="s">
        <v>24</v>
      </c>
      <c r="F2183" t="s">
        <v>905</v>
      </c>
      <c r="G2183">
        <v>10</v>
      </c>
      <c r="H2183" t="s">
        <v>26</v>
      </c>
      <c r="I2183" t="s">
        <v>358</v>
      </c>
      <c r="J2183" t="s">
        <v>389</v>
      </c>
      <c r="K2183" t="s">
        <v>906</v>
      </c>
      <c r="L2183">
        <v>50</v>
      </c>
      <c r="M2183">
        <v>84</v>
      </c>
      <c r="N2183" s="2">
        <v>0.37</v>
      </c>
      <c r="O2183">
        <v>78</v>
      </c>
      <c r="P2183">
        <v>15.05</v>
      </c>
      <c r="Q2183">
        <v>2.5099999999999998</v>
      </c>
      <c r="R2183">
        <v>62</v>
      </c>
    </row>
    <row r="2184" spans="1:18" x14ac:dyDescent="0.25">
      <c r="A2184" t="s">
        <v>907</v>
      </c>
      <c r="B2184" s="1">
        <v>44210</v>
      </c>
      <c r="C2184" t="s">
        <v>908</v>
      </c>
      <c r="D2184" t="s">
        <v>32</v>
      </c>
      <c r="E2184" t="s">
        <v>24</v>
      </c>
      <c r="F2184" t="s">
        <v>180</v>
      </c>
      <c r="G2184">
        <v>5</v>
      </c>
      <c r="H2184" t="s">
        <v>194</v>
      </c>
      <c r="I2184" t="s">
        <v>195</v>
      </c>
      <c r="J2184" t="s">
        <v>196</v>
      </c>
      <c r="K2184" t="s">
        <v>205</v>
      </c>
      <c r="R2184">
        <v>23</v>
      </c>
    </row>
    <row r="2185" spans="1:18" x14ac:dyDescent="0.25">
      <c r="A2185" t="s">
        <v>946</v>
      </c>
      <c r="B2185" s="1">
        <v>44217</v>
      </c>
      <c r="C2185" t="s">
        <v>947</v>
      </c>
      <c r="D2185" t="s">
        <v>32</v>
      </c>
      <c r="E2185" t="s">
        <v>24</v>
      </c>
      <c r="F2185" t="s">
        <v>243</v>
      </c>
      <c r="G2185">
        <v>45</v>
      </c>
      <c r="H2185" t="s">
        <v>26</v>
      </c>
      <c r="I2185" t="s">
        <v>370</v>
      </c>
      <c r="J2185" t="s">
        <v>439</v>
      </c>
      <c r="K2185" t="s">
        <v>948</v>
      </c>
      <c r="L2185">
        <v>232</v>
      </c>
      <c r="M2185">
        <v>86</v>
      </c>
      <c r="N2185" s="2">
        <v>0.36</v>
      </c>
      <c r="O2185">
        <v>82</v>
      </c>
      <c r="P2185">
        <v>15.15</v>
      </c>
      <c r="Q2185">
        <v>11.36</v>
      </c>
      <c r="R2185">
        <v>288</v>
      </c>
    </row>
    <row r="2186" spans="1:18" x14ac:dyDescent="0.25">
      <c r="A2186" t="s">
        <v>949</v>
      </c>
      <c r="B2186" s="1">
        <v>44217</v>
      </c>
      <c r="C2186" t="s">
        <v>950</v>
      </c>
      <c r="D2186" t="s">
        <v>32</v>
      </c>
      <c r="E2186" t="s">
        <v>24</v>
      </c>
      <c r="F2186" t="s">
        <v>243</v>
      </c>
      <c r="G2186">
        <v>5</v>
      </c>
      <c r="H2186" t="s">
        <v>49</v>
      </c>
      <c r="I2186" t="s">
        <v>50</v>
      </c>
      <c r="J2186" t="s">
        <v>51</v>
      </c>
      <c r="K2186" t="s">
        <v>951</v>
      </c>
      <c r="R2186">
        <v>12</v>
      </c>
    </row>
    <row r="2187" spans="1:18" x14ac:dyDescent="0.25">
      <c r="A2187" t="s">
        <v>952</v>
      </c>
      <c r="B2187" s="1">
        <v>44217</v>
      </c>
      <c r="C2187" t="s">
        <v>193</v>
      </c>
      <c r="D2187" t="s">
        <v>32</v>
      </c>
      <c r="E2187" t="s">
        <v>24</v>
      </c>
      <c r="F2187" t="s">
        <v>215</v>
      </c>
      <c r="G2187">
        <v>10</v>
      </c>
      <c r="H2187" t="s">
        <v>464</v>
      </c>
      <c r="I2187" t="s">
        <v>579</v>
      </c>
      <c r="J2187" t="s">
        <v>914</v>
      </c>
      <c r="K2187" t="s">
        <v>953</v>
      </c>
    </row>
    <row r="2188" spans="1:18" x14ac:dyDescent="0.25">
      <c r="A2188" t="s">
        <v>1011</v>
      </c>
      <c r="B2188" s="1">
        <v>44224</v>
      </c>
      <c r="C2188" t="s">
        <v>1012</v>
      </c>
      <c r="D2188" t="s">
        <v>32</v>
      </c>
      <c r="E2188" t="s">
        <v>24</v>
      </c>
      <c r="F2188" t="s">
        <v>243</v>
      </c>
      <c r="G2188">
        <v>45</v>
      </c>
      <c r="H2188" t="s">
        <v>188</v>
      </c>
      <c r="I2188" t="s">
        <v>575</v>
      </c>
      <c r="J2188" t="s">
        <v>576</v>
      </c>
      <c r="K2188" t="s">
        <v>1013</v>
      </c>
      <c r="R2188">
        <v>145</v>
      </c>
    </row>
    <row r="2189" spans="1:18" x14ac:dyDescent="0.25">
      <c r="A2189" t="s">
        <v>1014</v>
      </c>
      <c r="B2189" s="1">
        <v>44224</v>
      </c>
      <c r="C2189" t="s">
        <v>1015</v>
      </c>
      <c r="D2189" t="s">
        <v>32</v>
      </c>
      <c r="E2189" t="s">
        <v>24</v>
      </c>
      <c r="F2189" t="s">
        <v>323</v>
      </c>
      <c r="G2189">
        <v>30</v>
      </c>
      <c r="H2189" t="s">
        <v>26</v>
      </c>
      <c r="I2189" t="s">
        <v>370</v>
      </c>
      <c r="J2189" t="s">
        <v>880</v>
      </c>
      <c r="K2189" t="s">
        <v>1016</v>
      </c>
      <c r="L2189">
        <v>146</v>
      </c>
      <c r="M2189">
        <v>81</v>
      </c>
      <c r="N2189" s="2">
        <v>0.33</v>
      </c>
      <c r="O2189">
        <v>89</v>
      </c>
      <c r="P2189">
        <v>14.76</v>
      </c>
      <c r="Q2189">
        <v>7.38</v>
      </c>
      <c r="R2189">
        <v>180</v>
      </c>
    </row>
    <row r="2190" spans="1:18" x14ac:dyDescent="0.25">
      <c r="A2190" t="s">
        <v>1017</v>
      </c>
      <c r="B2190" s="1">
        <v>44224</v>
      </c>
      <c r="C2190" t="s">
        <v>1018</v>
      </c>
      <c r="D2190" t="s">
        <v>32</v>
      </c>
      <c r="E2190" t="s">
        <v>24</v>
      </c>
      <c r="F2190" t="s">
        <v>323</v>
      </c>
      <c r="G2190">
        <v>5</v>
      </c>
      <c r="H2190" t="s">
        <v>49</v>
      </c>
      <c r="I2190" t="s">
        <v>50</v>
      </c>
      <c r="J2190" t="s">
        <v>51</v>
      </c>
      <c r="K2190" t="s">
        <v>1019</v>
      </c>
      <c r="R2190">
        <v>12</v>
      </c>
    </row>
    <row r="2191" spans="1:18" x14ac:dyDescent="0.25">
      <c r="A2191" t="s">
        <v>1067</v>
      </c>
      <c r="B2191" s="1">
        <v>44231</v>
      </c>
      <c r="C2191" t="s">
        <v>1068</v>
      </c>
      <c r="D2191" t="s">
        <v>32</v>
      </c>
      <c r="E2191" t="s">
        <v>24</v>
      </c>
      <c r="F2191" t="s">
        <v>323</v>
      </c>
      <c r="G2191">
        <v>5</v>
      </c>
      <c r="H2191" t="s">
        <v>26</v>
      </c>
      <c r="I2191" t="s">
        <v>423</v>
      </c>
      <c r="J2191" t="s">
        <v>505</v>
      </c>
      <c r="K2191" t="s">
        <v>1069</v>
      </c>
      <c r="L2191">
        <v>18</v>
      </c>
      <c r="M2191">
        <v>61</v>
      </c>
      <c r="N2191" s="2">
        <v>0.28999999999999998</v>
      </c>
      <c r="O2191">
        <v>89</v>
      </c>
      <c r="P2191">
        <v>13.14</v>
      </c>
      <c r="Q2191">
        <v>1.0900000000000001</v>
      </c>
      <c r="R2191">
        <v>23</v>
      </c>
    </row>
    <row r="2192" spans="1:18" x14ac:dyDescent="0.25">
      <c r="A2192" t="s">
        <v>1070</v>
      </c>
      <c r="B2192" s="1">
        <v>44231</v>
      </c>
      <c r="C2192" t="s">
        <v>950</v>
      </c>
      <c r="D2192" t="s">
        <v>32</v>
      </c>
      <c r="E2192" t="s">
        <v>24</v>
      </c>
      <c r="F2192" t="s">
        <v>323</v>
      </c>
      <c r="G2192">
        <v>30</v>
      </c>
      <c r="H2192" t="s">
        <v>26</v>
      </c>
      <c r="I2192" t="s">
        <v>370</v>
      </c>
      <c r="J2192" t="s">
        <v>396</v>
      </c>
      <c r="K2192" t="s">
        <v>1071</v>
      </c>
      <c r="L2192">
        <v>155</v>
      </c>
      <c r="M2192">
        <v>86</v>
      </c>
      <c r="N2192" s="2">
        <v>0.33</v>
      </c>
      <c r="O2192">
        <v>90</v>
      </c>
      <c r="P2192">
        <v>15.15</v>
      </c>
      <c r="Q2192">
        <v>7.58</v>
      </c>
      <c r="R2192">
        <v>191</v>
      </c>
    </row>
    <row r="2193" spans="1:19" x14ac:dyDescent="0.25">
      <c r="A2193" t="s">
        <v>1072</v>
      </c>
      <c r="B2193" s="1">
        <v>44231</v>
      </c>
      <c r="C2193" t="s">
        <v>1073</v>
      </c>
      <c r="D2193" t="s">
        <v>32</v>
      </c>
      <c r="E2193" t="s">
        <v>24</v>
      </c>
      <c r="F2193" t="s">
        <v>323</v>
      </c>
      <c r="G2193">
        <v>5</v>
      </c>
      <c r="H2193" t="s">
        <v>26</v>
      </c>
      <c r="I2193" t="s">
        <v>358</v>
      </c>
      <c r="J2193" t="s">
        <v>359</v>
      </c>
      <c r="K2193" t="s">
        <v>1074</v>
      </c>
      <c r="L2193">
        <v>18</v>
      </c>
      <c r="M2193">
        <v>61</v>
      </c>
      <c r="N2193" s="2">
        <v>0.28999999999999998</v>
      </c>
      <c r="O2193">
        <v>86</v>
      </c>
      <c r="P2193">
        <v>12.92</v>
      </c>
      <c r="Q2193">
        <v>1.08</v>
      </c>
      <c r="R2193">
        <v>23</v>
      </c>
    </row>
    <row r="2194" spans="1:19" x14ac:dyDescent="0.25">
      <c r="A2194" t="s">
        <v>1075</v>
      </c>
      <c r="B2194" s="1">
        <v>44231</v>
      </c>
      <c r="C2194" t="s">
        <v>1076</v>
      </c>
      <c r="D2194" t="s">
        <v>32</v>
      </c>
      <c r="E2194" t="s">
        <v>24</v>
      </c>
      <c r="F2194" t="s">
        <v>323</v>
      </c>
      <c r="G2194">
        <v>5</v>
      </c>
      <c r="H2194" t="s">
        <v>49</v>
      </c>
      <c r="I2194" t="s">
        <v>50</v>
      </c>
      <c r="J2194" t="s">
        <v>51</v>
      </c>
      <c r="K2194" t="s">
        <v>1019</v>
      </c>
      <c r="R2194">
        <v>12</v>
      </c>
    </row>
    <row r="2195" spans="1:19" x14ac:dyDescent="0.25">
      <c r="A2195" t="s">
        <v>1077</v>
      </c>
      <c r="B2195" s="1">
        <v>44231</v>
      </c>
      <c r="C2195" t="s">
        <v>1078</v>
      </c>
      <c r="D2195" t="s">
        <v>32</v>
      </c>
      <c r="E2195" t="s">
        <v>24</v>
      </c>
      <c r="F2195" t="s">
        <v>768</v>
      </c>
      <c r="G2195">
        <v>5</v>
      </c>
      <c r="H2195" t="s">
        <v>194</v>
      </c>
      <c r="I2195" t="s">
        <v>195</v>
      </c>
      <c r="J2195" t="s">
        <v>196</v>
      </c>
      <c r="K2195" t="s">
        <v>1079</v>
      </c>
      <c r="R2195">
        <v>23</v>
      </c>
    </row>
    <row r="2196" spans="1:19" x14ac:dyDescent="0.25">
      <c r="A2196" t="s">
        <v>1118</v>
      </c>
      <c r="B2196" s="1">
        <v>44238</v>
      </c>
      <c r="C2196" t="s">
        <v>1119</v>
      </c>
      <c r="D2196" t="s">
        <v>32</v>
      </c>
      <c r="E2196" t="s">
        <v>24</v>
      </c>
      <c r="F2196" t="s">
        <v>323</v>
      </c>
      <c r="G2196">
        <v>60</v>
      </c>
      <c r="H2196" t="s">
        <v>26</v>
      </c>
      <c r="I2196" t="s">
        <v>370</v>
      </c>
      <c r="J2196" t="s">
        <v>498</v>
      </c>
      <c r="K2196" t="s">
        <v>678</v>
      </c>
      <c r="L2196">
        <v>303</v>
      </c>
      <c r="M2196">
        <v>84</v>
      </c>
      <c r="N2196" s="2">
        <v>0.34</v>
      </c>
      <c r="O2196">
        <v>88</v>
      </c>
      <c r="P2196">
        <v>15.04</v>
      </c>
      <c r="Q2196">
        <v>15.03</v>
      </c>
      <c r="R2196">
        <v>375</v>
      </c>
    </row>
    <row r="2197" spans="1:19" x14ac:dyDescent="0.25">
      <c r="A2197" t="s">
        <v>1120</v>
      </c>
      <c r="B2197" s="1">
        <v>44238</v>
      </c>
      <c r="C2197" t="s">
        <v>374</v>
      </c>
      <c r="D2197" t="s">
        <v>32</v>
      </c>
      <c r="E2197" t="s">
        <v>24</v>
      </c>
      <c r="F2197" t="s">
        <v>323</v>
      </c>
      <c r="G2197">
        <v>5</v>
      </c>
      <c r="H2197" t="s">
        <v>49</v>
      </c>
      <c r="I2197" t="s">
        <v>50</v>
      </c>
      <c r="J2197" t="s">
        <v>51</v>
      </c>
      <c r="K2197" t="s">
        <v>502</v>
      </c>
      <c r="R2197">
        <v>12</v>
      </c>
    </row>
    <row r="2198" spans="1:19" x14ac:dyDescent="0.25">
      <c r="A2198" t="s">
        <v>1168</v>
      </c>
      <c r="B2198" s="1">
        <v>44245</v>
      </c>
      <c r="C2198" t="s">
        <v>418</v>
      </c>
      <c r="D2198" t="s">
        <v>32</v>
      </c>
      <c r="E2198" t="s">
        <v>24</v>
      </c>
      <c r="F2198" t="s">
        <v>243</v>
      </c>
      <c r="G2198">
        <v>60</v>
      </c>
      <c r="H2198" t="s">
        <v>188</v>
      </c>
      <c r="I2198" t="s">
        <v>189</v>
      </c>
      <c r="J2198" t="s">
        <v>216</v>
      </c>
      <c r="K2198" t="s">
        <v>1169</v>
      </c>
      <c r="R2198">
        <v>208</v>
      </c>
      <c r="S2198">
        <v>92.7</v>
      </c>
    </row>
    <row r="2199" spans="1:19" x14ac:dyDescent="0.25">
      <c r="A2199" t="s">
        <v>1170</v>
      </c>
      <c r="B2199" s="1">
        <v>44245</v>
      </c>
      <c r="C2199" t="s">
        <v>1171</v>
      </c>
      <c r="D2199" t="s">
        <v>32</v>
      </c>
      <c r="E2199" t="s">
        <v>24</v>
      </c>
      <c r="F2199" t="s">
        <v>328</v>
      </c>
      <c r="G2199">
        <v>45</v>
      </c>
      <c r="H2199" t="s">
        <v>26</v>
      </c>
      <c r="I2199" t="s">
        <v>370</v>
      </c>
      <c r="J2199" t="s">
        <v>439</v>
      </c>
      <c r="K2199" t="s">
        <v>1172</v>
      </c>
      <c r="L2199">
        <v>232</v>
      </c>
      <c r="M2199">
        <v>86</v>
      </c>
      <c r="N2199" s="2">
        <v>0.34</v>
      </c>
      <c r="O2199">
        <v>86</v>
      </c>
      <c r="P2199">
        <v>15.15</v>
      </c>
      <c r="Q2199">
        <v>11.36</v>
      </c>
      <c r="R2199">
        <v>287</v>
      </c>
    </row>
    <row r="2200" spans="1:19" x14ac:dyDescent="0.25">
      <c r="A2200" t="s">
        <v>1173</v>
      </c>
      <c r="B2200" s="1">
        <v>44245</v>
      </c>
      <c r="C2200" t="s">
        <v>214</v>
      </c>
      <c r="D2200" t="s">
        <v>32</v>
      </c>
      <c r="E2200" t="s">
        <v>24</v>
      </c>
      <c r="F2200" t="s">
        <v>328</v>
      </c>
      <c r="G2200">
        <v>10</v>
      </c>
      <c r="H2200" t="s">
        <v>194</v>
      </c>
      <c r="I2200" t="s">
        <v>700</v>
      </c>
      <c r="J2200" t="s">
        <v>701</v>
      </c>
      <c r="K2200" t="s">
        <v>1174</v>
      </c>
      <c r="R2200">
        <v>46</v>
      </c>
    </row>
    <row r="2201" spans="1:19" x14ac:dyDescent="0.25">
      <c r="A2201" t="s">
        <v>1232</v>
      </c>
      <c r="B2201" s="1">
        <v>44252</v>
      </c>
      <c r="C2201" t="s">
        <v>1233</v>
      </c>
      <c r="D2201" t="s">
        <v>32</v>
      </c>
      <c r="E2201" t="s">
        <v>24</v>
      </c>
      <c r="F2201" t="s">
        <v>243</v>
      </c>
      <c r="G2201">
        <v>45</v>
      </c>
      <c r="H2201" t="s">
        <v>188</v>
      </c>
      <c r="I2201" t="s">
        <v>189</v>
      </c>
      <c r="J2201" t="s">
        <v>244</v>
      </c>
      <c r="K2201" t="s">
        <v>1234</v>
      </c>
      <c r="R2201">
        <v>148</v>
      </c>
    </row>
    <row r="2202" spans="1:19" x14ac:dyDescent="0.25">
      <c r="A2202" t="s">
        <v>1235</v>
      </c>
      <c r="B2202" s="1">
        <v>44252</v>
      </c>
      <c r="C2202" t="s">
        <v>999</v>
      </c>
      <c r="D2202" t="s">
        <v>32</v>
      </c>
      <c r="E2202" t="s">
        <v>24</v>
      </c>
      <c r="F2202" t="s">
        <v>237</v>
      </c>
      <c r="G2202">
        <v>10</v>
      </c>
      <c r="H2202" t="s">
        <v>464</v>
      </c>
      <c r="I2202" t="s">
        <v>579</v>
      </c>
      <c r="J2202" t="s">
        <v>602</v>
      </c>
      <c r="K2202" t="s">
        <v>1236</v>
      </c>
    </row>
    <row r="2203" spans="1:19" x14ac:dyDescent="0.25">
      <c r="A2203" t="s">
        <v>1325</v>
      </c>
      <c r="B2203" s="1">
        <v>44266</v>
      </c>
      <c r="C2203" t="s">
        <v>1326</v>
      </c>
      <c r="D2203" t="s">
        <v>32</v>
      </c>
      <c r="E2203" t="s">
        <v>24</v>
      </c>
      <c r="F2203" t="s">
        <v>243</v>
      </c>
      <c r="G2203">
        <v>10</v>
      </c>
      <c r="H2203" t="s">
        <v>26</v>
      </c>
      <c r="I2203" t="s">
        <v>370</v>
      </c>
      <c r="J2203" t="s">
        <v>381</v>
      </c>
      <c r="K2203" t="s">
        <v>1327</v>
      </c>
      <c r="L2203">
        <v>46</v>
      </c>
      <c r="M2203">
        <v>77</v>
      </c>
      <c r="N2203" s="2">
        <v>0.32</v>
      </c>
      <c r="O2203">
        <v>86</v>
      </c>
      <c r="P2203">
        <v>14.15</v>
      </c>
      <c r="Q2203">
        <v>2.36</v>
      </c>
      <c r="R2203">
        <v>57</v>
      </c>
    </row>
    <row r="2204" spans="1:19" x14ac:dyDescent="0.25">
      <c r="A2204" t="s">
        <v>1328</v>
      </c>
      <c r="B2204" s="1">
        <v>44266</v>
      </c>
      <c r="C2204" t="s">
        <v>1329</v>
      </c>
      <c r="D2204" t="s">
        <v>32</v>
      </c>
      <c r="E2204" t="s">
        <v>24</v>
      </c>
      <c r="F2204" t="s">
        <v>323</v>
      </c>
      <c r="G2204">
        <v>20</v>
      </c>
      <c r="H2204" t="s">
        <v>26</v>
      </c>
      <c r="I2204" t="s">
        <v>370</v>
      </c>
      <c r="J2204" t="s">
        <v>385</v>
      </c>
      <c r="K2204" t="s">
        <v>1330</v>
      </c>
      <c r="L2204">
        <v>151</v>
      </c>
      <c r="M2204">
        <v>126</v>
      </c>
      <c r="N2204" s="2">
        <v>0.44</v>
      </c>
      <c r="O2204">
        <v>76</v>
      </c>
      <c r="P2204">
        <v>17.79</v>
      </c>
      <c r="Q2204">
        <v>5.93</v>
      </c>
      <c r="R2204">
        <v>186</v>
      </c>
    </row>
    <row r="2205" spans="1:19" x14ac:dyDescent="0.25">
      <c r="A2205" t="s">
        <v>1331</v>
      </c>
      <c r="B2205" s="1">
        <v>44266</v>
      </c>
      <c r="C2205" t="s">
        <v>1332</v>
      </c>
      <c r="D2205" t="s">
        <v>32</v>
      </c>
      <c r="E2205" t="s">
        <v>24</v>
      </c>
      <c r="F2205" t="s">
        <v>323</v>
      </c>
      <c r="G2205">
        <v>5</v>
      </c>
      <c r="H2205" t="s">
        <v>26</v>
      </c>
      <c r="I2205" t="s">
        <v>358</v>
      </c>
      <c r="J2205" t="s">
        <v>359</v>
      </c>
      <c r="K2205" t="s">
        <v>1047</v>
      </c>
      <c r="L2205">
        <v>9</v>
      </c>
      <c r="M2205">
        <v>31</v>
      </c>
      <c r="N2205" s="2">
        <v>0.21</v>
      </c>
      <c r="O2205">
        <v>80</v>
      </c>
      <c r="P2205">
        <v>9.4</v>
      </c>
      <c r="Q2205">
        <v>0.78</v>
      </c>
      <c r="R2205">
        <v>12</v>
      </c>
    </row>
    <row r="2206" spans="1:19" x14ac:dyDescent="0.25">
      <c r="A2206" t="s">
        <v>1333</v>
      </c>
      <c r="B2206" s="1">
        <v>44266</v>
      </c>
      <c r="C2206" t="s">
        <v>1061</v>
      </c>
      <c r="D2206" t="s">
        <v>32</v>
      </c>
      <c r="E2206" t="s">
        <v>24</v>
      </c>
      <c r="F2206" t="s">
        <v>323</v>
      </c>
      <c r="G2206">
        <v>5</v>
      </c>
      <c r="H2206" t="s">
        <v>49</v>
      </c>
      <c r="I2206" t="s">
        <v>50</v>
      </c>
      <c r="J2206" t="s">
        <v>51</v>
      </c>
      <c r="K2206" t="s">
        <v>934</v>
      </c>
      <c r="R2206">
        <v>12</v>
      </c>
    </row>
    <row r="2207" spans="1:19" x14ac:dyDescent="0.25">
      <c r="A2207" t="s">
        <v>1334</v>
      </c>
      <c r="B2207" s="1">
        <v>44266</v>
      </c>
      <c r="C2207" t="s">
        <v>1298</v>
      </c>
      <c r="D2207" t="s">
        <v>32</v>
      </c>
      <c r="E2207" t="s">
        <v>24</v>
      </c>
      <c r="F2207" t="s">
        <v>215</v>
      </c>
      <c r="G2207">
        <v>20</v>
      </c>
      <c r="H2207" t="s">
        <v>464</v>
      </c>
      <c r="I2207" t="s">
        <v>763</v>
      </c>
      <c r="J2207" t="s">
        <v>1335</v>
      </c>
      <c r="K2207" t="s">
        <v>1336</v>
      </c>
      <c r="S2207">
        <v>105</v>
      </c>
    </row>
    <row r="2208" spans="1:19" x14ac:dyDescent="0.25">
      <c r="A2208" t="s">
        <v>1387</v>
      </c>
      <c r="B2208" s="1">
        <v>44273</v>
      </c>
      <c r="C2208" t="s">
        <v>1388</v>
      </c>
      <c r="D2208" t="s">
        <v>32</v>
      </c>
      <c r="E2208" t="s">
        <v>24</v>
      </c>
      <c r="F2208" t="s">
        <v>292</v>
      </c>
      <c r="G2208">
        <v>15</v>
      </c>
      <c r="H2208" t="s">
        <v>194</v>
      </c>
      <c r="I2208" t="s">
        <v>232</v>
      </c>
      <c r="J2208" t="s">
        <v>993</v>
      </c>
      <c r="K2208" t="s">
        <v>1389</v>
      </c>
      <c r="R2208">
        <v>69</v>
      </c>
    </row>
    <row r="2209" spans="1:18" x14ac:dyDescent="0.25">
      <c r="A2209" t="s">
        <v>1390</v>
      </c>
      <c r="B2209" s="1">
        <v>44273</v>
      </c>
      <c r="C2209" t="s">
        <v>1391</v>
      </c>
      <c r="D2209" t="s">
        <v>32</v>
      </c>
      <c r="E2209" t="s">
        <v>24</v>
      </c>
      <c r="F2209" t="s">
        <v>243</v>
      </c>
      <c r="G2209">
        <v>30</v>
      </c>
      <c r="H2209" t="s">
        <v>26</v>
      </c>
      <c r="I2209" t="s">
        <v>370</v>
      </c>
      <c r="J2209" t="s">
        <v>1392</v>
      </c>
      <c r="K2209" t="s">
        <v>1393</v>
      </c>
      <c r="L2209">
        <v>151</v>
      </c>
      <c r="M2209">
        <v>84</v>
      </c>
      <c r="N2209" s="2">
        <v>0.34</v>
      </c>
      <c r="O2209">
        <v>85</v>
      </c>
      <c r="P2209">
        <v>14.93</v>
      </c>
      <c r="Q2209">
        <v>7.47</v>
      </c>
      <c r="R2209">
        <v>187</v>
      </c>
    </row>
    <row r="2210" spans="1:18" x14ac:dyDescent="0.25">
      <c r="A2210" t="s">
        <v>1394</v>
      </c>
      <c r="B2210" s="1">
        <v>44273</v>
      </c>
      <c r="C2210" t="s">
        <v>1395</v>
      </c>
      <c r="D2210" t="s">
        <v>32</v>
      </c>
      <c r="E2210" t="s">
        <v>24</v>
      </c>
      <c r="F2210" t="s">
        <v>243</v>
      </c>
      <c r="G2210">
        <v>5</v>
      </c>
      <c r="H2210" t="s">
        <v>49</v>
      </c>
      <c r="I2210" t="s">
        <v>50</v>
      </c>
      <c r="J2210" t="s">
        <v>51</v>
      </c>
      <c r="K2210" t="s">
        <v>1396</v>
      </c>
      <c r="R2210">
        <v>12</v>
      </c>
    </row>
    <row r="2211" spans="1:18" x14ac:dyDescent="0.25">
      <c r="A2211" t="s">
        <v>1397</v>
      </c>
      <c r="B2211" s="1">
        <v>44273</v>
      </c>
      <c r="C2211" t="s">
        <v>1398</v>
      </c>
      <c r="D2211" t="s">
        <v>32</v>
      </c>
      <c r="E2211" t="s">
        <v>24</v>
      </c>
      <c r="F2211" t="s">
        <v>208</v>
      </c>
      <c r="G2211">
        <v>20</v>
      </c>
      <c r="H2211" t="s">
        <v>464</v>
      </c>
      <c r="I2211" t="s">
        <v>579</v>
      </c>
      <c r="J2211" t="s">
        <v>1399</v>
      </c>
      <c r="K2211" t="s">
        <v>1400</v>
      </c>
    </row>
    <row r="2212" spans="1:18" x14ac:dyDescent="0.25">
      <c r="A2212" t="s">
        <v>1493</v>
      </c>
      <c r="B2212" s="1">
        <v>44280</v>
      </c>
      <c r="C2212" t="s">
        <v>399</v>
      </c>
      <c r="D2212" t="s">
        <v>32</v>
      </c>
      <c r="E2212" t="s">
        <v>24</v>
      </c>
      <c r="F2212" t="s">
        <v>243</v>
      </c>
      <c r="G2212">
        <v>45</v>
      </c>
      <c r="H2212" t="s">
        <v>188</v>
      </c>
      <c r="I2212" t="s">
        <v>189</v>
      </c>
      <c r="J2212" t="s">
        <v>244</v>
      </c>
      <c r="K2212" t="s">
        <v>1494</v>
      </c>
      <c r="R2212">
        <v>146</v>
      </c>
    </row>
    <row r="2213" spans="1:18" x14ac:dyDescent="0.25">
      <c r="A2213" t="s">
        <v>1495</v>
      </c>
      <c r="B2213" s="1">
        <v>44280</v>
      </c>
      <c r="C2213" t="s">
        <v>1496</v>
      </c>
      <c r="D2213" t="s">
        <v>32</v>
      </c>
      <c r="E2213" t="s">
        <v>24</v>
      </c>
      <c r="F2213" t="s">
        <v>200</v>
      </c>
      <c r="G2213">
        <v>20</v>
      </c>
      <c r="H2213" t="s">
        <v>464</v>
      </c>
      <c r="I2213" t="s">
        <v>763</v>
      </c>
      <c r="J2213" t="s">
        <v>1385</v>
      </c>
      <c r="K2213" t="s">
        <v>1497</v>
      </c>
    </row>
    <row r="2214" spans="1:18" x14ac:dyDescent="0.25">
      <c r="A2214" t="s">
        <v>1555</v>
      </c>
      <c r="B2214" s="1">
        <v>44287</v>
      </c>
      <c r="C2214" t="s">
        <v>1556</v>
      </c>
      <c r="D2214" t="s">
        <v>32</v>
      </c>
      <c r="E2214" t="s">
        <v>24</v>
      </c>
      <c r="F2214" t="s">
        <v>323</v>
      </c>
      <c r="G2214">
        <v>45</v>
      </c>
      <c r="H2214" t="s">
        <v>26</v>
      </c>
      <c r="I2214" t="s">
        <v>370</v>
      </c>
      <c r="J2214" t="s">
        <v>479</v>
      </c>
      <c r="K2214" t="s">
        <v>1557</v>
      </c>
      <c r="L2214">
        <v>254</v>
      </c>
      <c r="M2214">
        <v>94</v>
      </c>
      <c r="N2214" s="2">
        <v>0.37</v>
      </c>
      <c r="O2214">
        <v>82</v>
      </c>
      <c r="P2214">
        <v>15.52</v>
      </c>
      <c r="Q2214">
        <v>11.64</v>
      </c>
      <c r="R2214">
        <v>314</v>
      </c>
    </row>
    <row r="2215" spans="1:18" x14ac:dyDescent="0.25">
      <c r="A2215" t="s">
        <v>1558</v>
      </c>
      <c r="B2215" s="1">
        <v>44287</v>
      </c>
      <c r="C2215" t="s">
        <v>1559</v>
      </c>
      <c r="D2215" t="s">
        <v>32</v>
      </c>
      <c r="E2215" t="s">
        <v>24</v>
      </c>
      <c r="F2215" t="s">
        <v>335</v>
      </c>
      <c r="G2215">
        <v>5</v>
      </c>
      <c r="H2215" t="s">
        <v>49</v>
      </c>
      <c r="I2215" t="s">
        <v>50</v>
      </c>
      <c r="J2215" t="s">
        <v>51</v>
      </c>
      <c r="K2215" t="s">
        <v>1560</v>
      </c>
      <c r="R2215">
        <v>12</v>
      </c>
    </row>
    <row r="2216" spans="1:18" x14ac:dyDescent="0.25">
      <c r="A2216" t="s">
        <v>1561</v>
      </c>
      <c r="B2216" s="1">
        <v>44287</v>
      </c>
      <c r="C2216" t="s">
        <v>1562</v>
      </c>
      <c r="D2216" t="s">
        <v>32</v>
      </c>
      <c r="E2216" t="s">
        <v>24</v>
      </c>
      <c r="F2216" t="s">
        <v>215</v>
      </c>
      <c r="G2216">
        <v>10</v>
      </c>
      <c r="H2216" t="s">
        <v>464</v>
      </c>
      <c r="I2216" t="s">
        <v>943</v>
      </c>
      <c r="J2216" t="s">
        <v>944</v>
      </c>
      <c r="K2216" t="s">
        <v>1563</v>
      </c>
    </row>
    <row r="2217" spans="1:18" x14ac:dyDescent="0.25">
      <c r="A2217" t="s">
        <v>1607</v>
      </c>
      <c r="B2217" s="1">
        <v>44294</v>
      </c>
      <c r="C2217" t="s">
        <v>1608</v>
      </c>
      <c r="D2217" t="s">
        <v>32</v>
      </c>
      <c r="E2217" t="s">
        <v>24</v>
      </c>
      <c r="F2217" t="s">
        <v>292</v>
      </c>
      <c r="G2217">
        <v>30</v>
      </c>
      <c r="H2217" t="s">
        <v>194</v>
      </c>
      <c r="I2217" t="s">
        <v>232</v>
      </c>
      <c r="J2217" t="s">
        <v>1609</v>
      </c>
      <c r="K2217" t="s">
        <v>1610</v>
      </c>
      <c r="R2217">
        <v>139</v>
      </c>
    </row>
    <row r="2218" spans="1:18" x14ac:dyDescent="0.25">
      <c r="A2218" t="s">
        <v>1611</v>
      </c>
      <c r="B2218" s="1">
        <v>44294</v>
      </c>
      <c r="C2218" t="s">
        <v>1612</v>
      </c>
      <c r="D2218" t="s">
        <v>32</v>
      </c>
      <c r="E2218" t="s">
        <v>24</v>
      </c>
      <c r="F2218" t="s">
        <v>243</v>
      </c>
      <c r="G2218">
        <v>30</v>
      </c>
      <c r="H2218" t="s">
        <v>26</v>
      </c>
      <c r="I2218" t="s">
        <v>370</v>
      </c>
      <c r="J2218" t="s">
        <v>396</v>
      </c>
      <c r="K2218" t="s">
        <v>1613</v>
      </c>
      <c r="L2218">
        <v>151</v>
      </c>
      <c r="M2218">
        <v>84</v>
      </c>
      <c r="N2218" s="2">
        <v>0.35</v>
      </c>
      <c r="O2218">
        <v>83</v>
      </c>
      <c r="P2218">
        <v>14.94</v>
      </c>
      <c r="Q2218">
        <v>7.47</v>
      </c>
      <c r="R2218">
        <v>187</v>
      </c>
    </row>
    <row r="2219" spans="1:18" x14ac:dyDescent="0.25">
      <c r="A2219" t="s">
        <v>1614</v>
      </c>
      <c r="B2219" s="1">
        <v>44294</v>
      </c>
      <c r="C2219" t="s">
        <v>1417</v>
      </c>
      <c r="D2219" t="s">
        <v>32</v>
      </c>
      <c r="E2219" t="s">
        <v>24</v>
      </c>
      <c r="F2219" t="s">
        <v>243</v>
      </c>
      <c r="G2219">
        <v>5</v>
      </c>
      <c r="H2219" t="s">
        <v>49</v>
      </c>
      <c r="I2219" t="s">
        <v>50</v>
      </c>
      <c r="J2219" t="s">
        <v>51</v>
      </c>
      <c r="K2219" t="s">
        <v>1396</v>
      </c>
      <c r="R2219">
        <v>12</v>
      </c>
    </row>
    <row r="2220" spans="1:18" x14ac:dyDescent="0.25">
      <c r="A2220" t="s">
        <v>1615</v>
      </c>
      <c r="B2220" s="1">
        <v>44294</v>
      </c>
      <c r="C2220" t="s">
        <v>1616</v>
      </c>
      <c r="D2220" t="s">
        <v>32</v>
      </c>
      <c r="E2220" t="s">
        <v>24</v>
      </c>
      <c r="F2220" t="s">
        <v>215</v>
      </c>
      <c r="G2220">
        <v>20</v>
      </c>
      <c r="H2220" t="s">
        <v>464</v>
      </c>
      <c r="I2220" t="s">
        <v>1617</v>
      </c>
      <c r="J2220" t="s">
        <v>1618</v>
      </c>
      <c r="K2220" t="s">
        <v>1619</v>
      </c>
    </row>
    <row r="2221" spans="1:18" x14ac:dyDescent="0.25">
      <c r="A2221" t="s">
        <v>1659</v>
      </c>
      <c r="B2221" s="1">
        <v>44301</v>
      </c>
      <c r="C2221" t="s">
        <v>1556</v>
      </c>
      <c r="D2221" t="s">
        <v>32</v>
      </c>
      <c r="E2221" t="s">
        <v>24</v>
      </c>
      <c r="F2221" t="s">
        <v>323</v>
      </c>
      <c r="G2221">
        <v>60</v>
      </c>
      <c r="H2221" t="s">
        <v>26</v>
      </c>
      <c r="I2221" t="s">
        <v>370</v>
      </c>
      <c r="J2221" t="s">
        <v>646</v>
      </c>
      <c r="K2221" t="s">
        <v>1660</v>
      </c>
      <c r="L2221">
        <v>351</v>
      </c>
      <c r="M2221">
        <v>97</v>
      </c>
      <c r="N2221" s="2">
        <v>0.37</v>
      </c>
      <c r="O2221">
        <v>84</v>
      </c>
      <c r="P2221">
        <v>15.87</v>
      </c>
      <c r="Q2221">
        <v>15.87</v>
      </c>
      <c r="R2221">
        <v>434</v>
      </c>
    </row>
    <row r="2222" spans="1:18" x14ac:dyDescent="0.25">
      <c r="A2222" t="s">
        <v>1661</v>
      </c>
      <c r="B2222" s="1">
        <v>44301</v>
      </c>
      <c r="C2222" t="s">
        <v>1662</v>
      </c>
      <c r="D2222" t="s">
        <v>32</v>
      </c>
      <c r="E2222" t="s">
        <v>24</v>
      </c>
      <c r="F2222" t="s">
        <v>323</v>
      </c>
      <c r="G2222">
        <v>5</v>
      </c>
      <c r="H2222" t="s">
        <v>26</v>
      </c>
      <c r="I2222" t="s">
        <v>358</v>
      </c>
      <c r="J2222" t="s">
        <v>359</v>
      </c>
      <c r="K2222" t="s">
        <v>1407</v>
      </c>
      <c r="L2222">
        <v>14</v>
      </c>
      <c r="M2222">
        <v>48</v>
      </c>
      <c r="N2222" s="2">
        <v>0.25</v>
      </c>
      <c r="O2222">
        <v>89</v>
      </c>
      <c r="P2222">
        <v>11.73</v>
      </c>
      <c r="Q2222">
        <v>0.98</v>
      </c>
      <c r="R2222">
        <v>18</v>
      </c>
    </row>
    <row r="2223" spans="1:18" x14ac:dyDescent="0.25">
      <c r="A2223" t="s">
        <v>1663</v>
      </c>
      <c r="B2223" s="1">
        <v>44301</v>
      </c>
      <c r="C2223" t="s">
        <v>1664</v>
      </c>
      <c r="D2223" t="s">
        <v>32</v>
      </c>
      <c r="E2223" t="s">
        <v>24</v>
      </c>
      <c r="F2223" t="s">
        <v>323</v>
      </c>
      <c r="G2223">
        <v>5</v>
      </c>
      <c r="H2223" t="s">
        <v>49</v>
      </c>
      <c r="I2223" t="s">
        <v>50</v>
      </c>
      <c r="J2223" t="s">
        <v>51</v>
      </c>
      <c r="K2223" t="s">
        <v>1656</v>
      </c>
      <c r="R2223">
        <v>12</v>
      </c>
    </row>
    <row r="2224" spans="1:18" x14ac:dyDescent="0.25">
      <c r="A2224" t="s">
        <v>1665</v>
      </c>
      <c r="B2224" s="1">
        <v>44301</v>
      </c>
      <c r="C2224" t="s">
        <v>1666</v>
      </c>
      <c r="D2224" t="s">
        <v>32</v>
      </c>
      <c r="E2224" t="s">
        <v>24</v>
      </c>
      <c r="F2224" t="s">
        <v>243</v>
      </c>
      <c r="G2224">
        <v>10</v>
      </c>
      <c r="H2224" t="s">
        <v>188</v>
      </c>
      <c r="I2224" t="s">
        <v>189</v>
      </c>
      <c r="J2224" t="s">
        <v>564</v>
      </c>
      <c r="K2224" t="s">
        <v>1667</v>
      </c>
      <c r="R2224">
        <v>33</v>
      </c>
    </row>
    <row r="2225" spans="1:19" x14ac:dyDescent="0.25">
      <c r="A2225" t="s">
        <v>1668</v>
      </c>
      <c r="B2225" s="1">
        <v>44301</v>
      </c>
      <c r="C2225" t="s">
        <v>1669</v>
      </c>
      <c r="D2225" t="s">
        <v>32</v>
      </c>
      <c r="E2225" t="s">
        <v>24</v>
      </c>
      <c r="F2225" t="s">
        <v>237</v>
      </c>
      <c r="G2225">
        <v>10</v>
      </c>
      <c r="H2225" t="s">
        <v>464</v>
      </c>
      <c r="I2225" t="s">
        <v>579</v>
      </c>
      <c r="J2225" t="s">
        <v>1000</v>
      </c>
      <c r="K2225" t="s">
        <v>1670</v>
      </c>
    </row>
    <row r="2226" spans="1:19" x14ac:dyDescent="0.25">
      <c r="A2226" t="s">
        <v>1722</v>
      </c>
      <c r="B2226" s="1">
        <v>44308</v>
      </c>
      <c r="C2226" t="s">
        <v>1478</v>
      </c>
      <c r="D2226" t="s">
        <v>32</v>
      </c>
      <c r="E2226" t="s">
        <v>24</v>
      </c>
      <c r="F2226" t="s">
        <v>328</v>
      </c>
      <c r="G2226">
        <v>30</v>
      </c>
      <c r="H2226" t="s">
        <v>26</v>
      </c>
      <c r="I2226" t="s">
        <v>370</v>
      </c>
      <c r="J2226" t="s">
        <v>396</v>
      </c>
      <c r="K2226" t="s">
        <v>1723</v>
      </c>
      <c r="L2226">
        <v>147</v>
      </c>
      <c r="M2226">
        <v>82</v>
      </c>
      <c r="N2226" s="2">
        <v>0.32</v>
      </c>
      <c r="O2226">
        <v>90</v>
      </c>
      <c r="P2226">
        <v>14.67</v>
      </c>
      <c r="Q2226">
        <v>7.34</v>
      </c>
      <c r="R2226">
        <v>182</v>
      </c>
    </row>
    <row r="2227" spans="1:19" x14ac:dyDescent="0.25">
      <c r="A2227" t="s">
        <v>1724</v>
      </c>
      <c r="B2227" s="1">
        <v>44308</v>
      </c>
      <c r="C2227" t="s">
        <v>1725</v>
      </c>
      <c r="D2227" t="s">
        <v>32</v>
      </c>
      <c r="E2227" t="s">
        <v>24</v>
      </c>
      <c r="F2227" t="s">
        <v>335</v>
      </c>
      <c r="G2227">
        <v>10</v>
      </c>
      <c r="H2227" t="s">
        <v>194</v>
      </c>
      <c r="I2227" t="s">
        <v>1445</v>
      </c>
      <c r="J2227" t="s">
        <v>1446</v>
      </c>
      <c r="K2227" t="s">
        <v>1726</v>
      </c>
      <c r="R2227">
        <v>46</v>
      </c>
    </row>
    <row r="2228" spans="1:19" x14ac:dyDescent="0.25">
      <c r="A2228" t="s">
        <v>1727</v>
      </c>
      <c r="B2228" s="1">
        <v>44308</v>
      </c>
      <c r="C2228" t="s">
        <v>1728</v>
      </c>
      <c r="D2228" t="s">
        <v>32</v>
      </c>
      <c r="E2228" t="s">
        <v>24</v>
      </c>
      <c r="F2228" t="s">
        <v>292</v>
      </c>
      <c r="G2228">
        <v>15</v>
      </c>
      <c r="H2228" t="s">
        <v>194</v>
      </c>
      <c r="I2228" t="s">
        <v>195</v>
      </c>
      <c r="J2228" t="s">
        <v>1217</v>
      </c>
      <c r="K2228" t="s">
        <v>1729</v>
      </c>
      <c r="R2228">
        <v>69</v>
      </c>
    </row>
    <row r="2229" spans="1:19" x14ac:dyDescent="0.25">
      <c r="A2229" t="s">
        <v>1730</v>
      </c>
      <c r="B2229" s="1">
        <v>44308</v>
      </c>
      <c r="C2229" t="s">
        <v>1731</v>
      </c>
      <c r="D2229" t="s">
        <v>32</v>
      </c>
      <c r="E2229" t="s">
        <v>24</v>
      </c>
      <c r="F2229" t="s">
        <v>328</v>
      </c>
      <c r="G2229">
        <v>5</v>
      </c>
      <c r="H2229" t="s">
        <v>49</v>
      </c>
      <c r="I2229" t="s">
        <v>50</v>
      </c>
      <c r="J2229" t="s">
        <v>51</v>
      </c>
      <c r="K2229" t="s">
        <v>1732</v>
      </c>
      <c r="R2229">
        <v>12</v>
      </c>
    </row>
    <row r="2230" spans="1:19" x14ac:dyDescent="0.25">
      <c r="A2230" t="s">
        <v>1733</v>
      </c>
      <c r="B2230" s="1">
        <v>44308</v>
      </c>
      <c r="C2230" t="s">
        <v>1734</v>
      </c>
      <c r="D2230" t="s">
        <v>32</v>
      </c>
      <c r="E2230" t="s">
        <v>24</v>
      </c>
      <c r="F2230" t="s">
        <v>243</v>
      </c>
      <c r="G2230">
        <v>20</v>
      </c>
      <c r="H2230" t="s">
        <v>188</v>
      </c>
      <c r="I2230" t="s">
        <v>189</v>
      </c>
      <c r="J2230" t="s">
        <v>248</v>
      </c>
      <c r="K2230" t="s">
        <v>1735</v>
      </c>
      <c r="R2230">
        <v>64</v>
      </c>
    </row>
    <row r="2231" spans="1:19" x14ac:dyDescent="0.25">
      <c r="A2231" t="s">
        <v>1736</v>
      </c>
      <c r="B2231" s="1">
        <v>44308</v>
      </c>
      <c r="C2231" t="s">
        <v>1737</v>
      </c>
      <c r="D2231" t="s">
        <v>32</v>
      </c>
      <c r="E2231" t="s">
        <v>24</v>
      </c>
      <c r="F2231" t="s">
        <v>215</v>
      </c>
      <c r="G2231">
        <v>10</v>
      </c>
      <c r="H2231" t="s">
        <v>464</v>
      </c>
      <c r="I2231" t="s">
        <v>763</v>
      </c>
      <c r="J2231" t="s">
        <v>914</v>
      </c>
      <c r="K2231" t="s">
        <v>1738</v>
      </c>
    </row>
    <row r="2232" spans="1:19" x14ac:dyDescent="0.25">
      <c r="A2232" t="s">
        <v>1786</v>
      </c>
      <c r="B2232" s="1">
        <v>44315</v>
      </c>
      <c r="C2232" t="s">
        <v>1402</v>
      </c>
      <c r="D2232" t="s">
        <v>32</v>
      </c>
      <c r="E2232" t="s">
        <v>24</v>
      </c>
      <c r="F2232" t="s">
        <v>243</v>
      </c>
      <c r="G2232">
        <v>30</v>
      </c>
      <c r="H2232" t="s">
        <v>26</v>
      </c>
      <c r="I2232" t="s">
        <v>370</v>
      </c>
      <c r="J2232" t="s">
        <v>396</v>
      </c>
      <c r="K2232" t="s">
        <v>1787</v>
      </c>
      <c r="L2232">
        <v>156</v>
      </c>
      <c r="M2232">
        <v>87</v>
      </c>
      <c r="N2232" s="2">
        <v>0.35</v>
      </c>
      <c r="O2232">
        <v>86</v>
      </c>
      <c r="P2232">
        <v>15.18</v>
      </c>
      <c r="Q2232">
        <v>7.6</v>
      </c>
      <c r="R2232">
        <v>193</v>
      </c>
    </row>
    <row r="2233" spans="1:19" x14ac:dyDescent="0.25">
      <c r="A2233" t="s">
        <v>1788</v>
      </c>
      <c r="B2233" s="1">
        <v>44315</v>
      </c>
      <c r="C2233" t="s">
        <v>1789</v>
      </c>
      <c r="D2233" t="s">
        <v>32</v>
      </c>
      <c r="E2233" t="s">
        <v>24</v>
      </c>
      <c r="F2233" t="s">
        <v>328</v>
      </c>
      <c r="G2233">
        <v>10</v>
      </c>
      <c r="H2233" t="s">
        <v>194</v>
      </c>
      <c r="I2233" t="s">
        <v>700</v>
      </c>
      <c r="J2233" t="s">
        <v>1282</v>
      </c>
      <c r="K2233" t="s">
        <v>1790</v>
      </c>
      <c r="R2233">
        <v>46</v>
      </c>
    </row>
    <row r="2234" spans="1:19" x14ac:dyDescent="0.25">
      <c r="A2234" t="s">
        <v>1791</v>
      </c>
      <c r="B2234" s="1">
        <v>44315</v>
      </c>
      <c r="C2234" t="s">
        <v>1792</v>
      </c>
      <c r="D2234" t="s">
        <v>32</v>
      </c>
      <c r="E2234" t="s">
        <v>24</v>
      </c>
      <c r="F2234" t="s">
        <v>328</v>
      </c>
      <c r="G2234">
        <v>10</v>
      </c>
      <c r="H2234" t="s">
        <v>194</v>
      </c>
      <c r="I2234" t="s">
        <v>195</v>
      </c>
      <c r="J2234" t="s">
        <v>211</v>
      </c>
      <c r="K2234" t="s">
        <v>1793</v>
      </c>
      <c r="R2234">
        <v>46</v>
      </c>
    </row>
    <row r="2235" spans="1:19" x14ac:dyDescent="0.25">
      <c r="A2235" t="s">
        <v>1794</v>
      </c>
      <c r="B2235" s="1">
        <v>44315</v>
      </c>
      <c r="C2235" t="s">
        <v>1795</v>
      </c>
      <c r="D2235" t="s">
        <v>32</v>
      </c>
      <c r="E2235" t="s">
        <v>24</v>
      </c>
      <c r="F2235" t="s">
        <v>243</v>
      </c>
      <c r="G2235">
        <v>5</v>
      </c>
      <c r="H2235" t="s">
        <v>49</v>
      </c>
      <c r="I2235" t="s">
        <v>50</v>
      </c>
      <c r="J2235" t="s">
        <v>51</v>
      </c>
      <c r="K2235" t="s">
        <v>1796</v>
      </c>
      <c r="R2235">
        <v>12</v>
      </c>
    </row>
    <row r="2236" spans="1:19" x14ac:dyDescent="0.25">
      <c r="A2236" t="s">
        <v>1797</v>
      </c>
      <c r="B2236" s="1">
        <v>44315</v>
      </c>
      <c r="C2236" t="s">
        <v>1798</v>
      </c>
      <c r="D2236" t="s">
        <v>32</v>
      </c>
      <c r="E2236" t="s">
        <v>24</v>
      </c>
      <c r="F2236" t="s">
        <v>243</v>
      </c>
      <c r="G2236">
        <v>45</v>
      </c>
      <c r="H2236" t="s">
        <v>188</v>
      </c>
      <c r="I2236" t="s">
        <v>189</v>
      </c>
      <c r="J2236" t="s">
        <v>244</v>
      </c>
      <c r="K2236" t="s">
        <v>1799</v>
      </c>
      <c r="R2236">
        <v>148</v>
      </c>
      <c r="S2236">
        <v>77.72</v>
      </c>
    </row>
    <row r="2237" spans="1:19" x14ac:dyDescent="0.25">
      <c r="A2237" t="s">
        <v>1800</v>
      </c>
      <c r="B2237" s="1">
        <v>44315</v>
      </c>
      <c r="C2237" t="s">
        <v>1801</v>
      </c>
      <c r="D2237" t="s">
        <v>32</v>
      </c>
      <c r="E2237" t="s">
        <v>24</v>
      </c>
      <c r="F2237" t="s">
        <v>208</v>
      </c>
      <c r="G2237">
        <v>20</v>
      </c>
      <c r="H2237" t="s">
        <v>464</v>
      </c>
      <c r="I2237" t="s">
        <v>1571</v>
      </c>
      <c r="J2237" t="s">
        <v>1802</v>
      </c>
      <c r="K2237" t="s">
        <v>1803</v>
      </c>
    </row>
    <row r="2238" spans="1:19" x14ac:dyDescent="0.25">
      <c r="A2238" t="s">
        <v>1864</v>
      </c>
      <c r="B2238" s="1">
        <v>44322</v>
      </c>
      <c r="C2238" t="s">
        <v>1865</v>
      </c>
      <c r="D2238" t="s">
        <v>32</v>
      </c>
      <c r="E2238" t="s">
        <v>24</v>
      </c>
      <c r="F2238" t="s">
        <v>243</v>
      </c>
      <c r="G2238">
        <v>45</v>
      </c>
      <c r="H2238" t="s">
        <v>26</v>
      </c>
      <c r="I2238" t="s">
        <v>370</v>
      </c>
      <c r="J2238" t="s">
        <v>479</v>
      </c>
      <c r="K2238" t="s">
        <v>1866</v>
      </c>
      <c r="L2238">
        <v>267</v>
      </c>
      <c r="M2238">
        <v>99</v>
      </c>
      <c r="N2238" s="2">
        <v>0.36</v>
      </c>
      <c r="O2238">
        <v>86</v>
      </c>
      <c r="P2238">
        <v>16</v>
      </c>
      <c r="Q2238">
        <v>11.99</v>
      </c>
      <c r="R2238">
        <v>330</v>
      </c>
    </row>
    <row r="2239" spans="1:19" x14ac:dyDescent="0.25">
      <c r="A2239" t="s">
        <v>1867</v>
      </c>
      <c r="B2239" s="1">
        <v>44322</v>
      </c>
      <c r="C2239" t="s">
        <v>1868</v>
      </c>
      <c r="D2239" t="s">
        <v>32</v>
      </c>
      <c r="E2239" t="s">
        <v>24</v>
      </c>
      <c r="F2239" t="s">
        <v>243</v>
      </c>
      <c r="G2239">
        <v>10</v>
      </c>
      <c r="H2239" t="s">
        <v>26</v>
      </c>
      <c r="I2239" t="s">
        <v>358</v>
      </c>
      <c r="J2239" t="s">
        <v>389</v>
      </c>
      <c r="K2239" t="s">
        <v>1754</v>
      </c>
      <c r="L2239">
        <v>46</v>
      </c>
      <c r="M2239">
        <v>77</v>
      </c>
      <c r="N2239" s="2">
        <v>0.34</v>
      </c>
      <c r="O2239">
        <v>82</v>
      </c>
      <c r="P2239">
        <v>14.5</v>
      </c>
      <c r="Q2239">
        <v>2.42</v>
      </c>
      <c r="R2239">
        <v>58</v>
      </c>
    </row>
    <row r="2240" spans="1:19" x14ac:dyDescent="0.25">
      <c r="A2240" t="s">
        <v>1869</v>
      </c>
      <c r="B2240" s="1">
        <v>44322</v>
      </c>
      <c r="C2240" t="s">
        <v>1715</v>
      </c>
      <c r="D2240" t="s">
        <v>32</v>
      </c>
      <c r="E2240" t="s">
        <v>24</v>
      </c>
      <c r="F2240" t="s">
        <v>354</v>
      </c>
      <c r="G2240">
        <v>10</v>
      </c>
      <c r="H2240" t="s">
        <v>194</v>
      </c>
      <c r="I2240" t="s">
        <v>700</v>
      </c>
      <c r="J2240" t="s">
        <v>1282</v>
      </c>
      <c r="K2240" t="s">
        <v>1595</v>
      </c>
      <c r="R2240">
        <v>46</v>
      </c>
    </row>
    <row r="2241" spans="1:18" x14ac:dyDescent="0.25">
      <c r="A2241" t="s">
        <v>1870</v>
      </c>
      <c r="B2241" s="1">
        <v>44322</v>
      </c>
      <c r="C2241" t="s">
        <v>1871</v>
      </c>
      <c r="D2241" t="s">
        <v>32</v>
      </c>
      <c r="E2241" t="s">
        <v>24</v>
      </c>
      <c r="F2241" t="s">
        <v>328</v>
      </c>
      <c r="G2241">
        <v>10</v>
      </c>
      <c r="H2241" t="s">
        <v>194</v>
      </c>
      <c r="I2241" t="s">
        <v>195</v>
      </c>
      <c r="J2241" t="s">
        <v>211</v>
      </c>
      <c r="K2241" t="s">
        <v>1872</v>
      </c>
      <c r="R2241">
        <v>46</v>
      </c>
    </row>
    <row r="2242" spans="1:18" x14ac:dyDescent="0.25">
      <c r="A2242" t="s">
        <v>1873</v>
      </c>
      <c r="B2242" s="1">
        <v>44322</v>
      </c>
      <c r="C2242" t="s">
        <v>1549</v>
      </c>
      <c r="D2242" t="s">
        <v>32</v>
      </c>
      <c r="E2242" t="s">
        <v>24</v>
      </c>
      <c r="F2242" t="s">
        <v>243</v>
      </c>
      <c r="G2242">
        <v>5</v>
      </c>
      <c r="H2242" t="s">
        <v>49</v>
      </c>
      <c r="I2242" t="s">
        <v>50</v>
      </c>
      <c r="J2242" t="s">
        <v>51</v>
      </c>
      <c r="K2242" t="s">
        <v>1874</v>
      </c>
      <c r="R2242">
        <v>12</v>
      </c>
    </row>
    <row r="2243" spans="1:18" x14ac:dyDescent="0.25">
      <c r="A2243" t="s">
        <v>1875</v>
      </c>
      <c r="B2243" s="1">
        <v>44322</v>
      </c>
      <c r="C2243" t="s">
        <v>1876</v>
      </c>
      <c r="D2243" t="s">
        <v>32</v>
      </c>
      <c r="E2243" t="s">
        <v>24</v>
      </c>
      <c r="F2243" t="s">
        <v>208</v>
      </c>
      <c r="G2243">
        <v>20</v>
      </c>
      <c r="H2243" t="s">
        <v>464</v>
      </c>
      <c r="I2243" t="s">
        <v>579</v>
      </c>
      <c r="J2243" t="s">
        <v>1598</v>
      </c>
      <c r="K2243" t="s">
        <v>1877</v>
      </c>
    </row>
    <row r="2244" spans="1:18" x14ac:dyDescent="0.25">
      <c r="A2244" t="s">
        <v>1922</v>
      </c>
      <c r="B2244" s="1">
        <v>44329</v>
      </c>
      <c r="C2244" t="s">
        <v>1923</v>
      </c>
      <c r="D2244" t="s">
        <v>32</v>
      </c>
      <c r="E2244" t="s">
        <v>24</v>
      </c>
      <c r="F2244" t="s">
        <v>200</v>
      </c>
      <c r="G2244">
        <v>45</v>
      </c>
      <c r="H2244" t="s">
        <v>188</v>
      </c>
      <c r="I2244" t="s">
        <v>189</v>
      </c>
      <c r="J2244" t="s">
        <v>829</v>
      </c>
      <c r="K2244" t="s">
        <v>1924</v>
      </c>
      <c r="R2244">
        <v>140</v>
      </c>
    </row>
    <row r="2245" spans="1:18" x14ac:dyDescent="0.25">
      <c r="A2245" t="s">
        <v>1925</v>
      </c>
      <c r="B2245" s="1">
        <v>44329</v>
      </c>
      <c r="C2245" t="s">
        <v>1926</v>
      </c>
      <c r="D2245" t="s">
        <v>32</v>
      </c>
      <c r="E2245" t="s">
        <v>24</v>
      </c>
      <c r="F2245" t="s">
        <v>243</v>
      </c>
      <c r="G2245">
        <v>45</v>
      </c>
      <c r="H2245" t="s">
        <v>26</v>
      </c>
      <c r="I2245" t="s">
        <v>370</v>
      </c>
      <c r="J2245" t="s">
        <v>439</v>
      </c>
      <c r="K2245" t="s">
        <v>1927</v>
      </c>
      <c r="L2245">
        <v>234</v>
      </c>
      <c r="M2245">
        <v>87</v>
      </c>
      <c r="N2245" s="2">
        <v>0.35</v>
      </c>
      <c r="O2245">
        <v>84</v>
      </c>
      <c r="P2245">
        <v>15.18</v>
      </c>
      <c r="Q2245">
        <v>11.39</v>
      </c>
      <c r="R2245">
        <v>290</v>
      </c>
    </row>
    <row r="2246" spans="1:18" x14ac:dyDescent="0.25">
      <c r="A2246" t="s">
        <v>1928</v>
      </c>
      <c r="B2246" s="1">
        <v>44329</v>
      </c>
      <c r="C2246" t="s">
        <v>1929</v>
      </c>
      <c r="D2246" t="s">
        <v>32</v>
      </c>
      <c r="E2246" t="s">
        <v>24</v>
      </c>
      <c r="F2246" t="s">
        <v>243</v>
      </c>
      <c r="G2246">
        <v>5</v>
      </c>
      <c r="H2246" t="s">
        <v>49</v>
      </c>
      <c r="I2246" t="s">
        <v>50</v>
      </c>
      <c r="J2246" t="s">
        <v>51</v>
      </c>
      <c r="K2246" t="s">
        <v>1396</v>
      </c>
      <c r="R2246">
        <v>12</v>
      </c>
    </row>
    <row r="2247" spans="1:18" x14ac:dyDescent="0.25">
      <c r="A2247" t="s">
        <v>1930</v>
      </c>
      <c r="B2247" s="1">
        <v>44329</v>
      </c>
      <c r="C2247" t="s">
        <v>1931</v>
      </c>
      <c r="D2247" t="s">
        <v>32</v>
      </c>
      <c r="E2247" t="s">
        <v>24</v>
      </c>
      <c r="F2247" t="s">
        <v>328</v>
      </c>
      <c r="G2247">
        <v>5</v>
      </c>
      <c r="H2247" t="s">
        <v>194</v>
      </c>
      <c r="I2247" t="s">
        <v>195</v>
      </c>
      <c r="J2247" t="s">
        <v>196</v>
      </c>
      <c r="K2247" t="s">
        <v>1932</v>
      </c>
      <c r="R2247">
        <v>23</v>
      </c>
    </row>
    <row r="2248" spans="1:18" x14ac:dyDescent="0.25">
      <c r="A2248" t="s">
        <v>1933</v>
      </c>
      <c r="B2248" s="1">
        <v>44329</v>
      </c>
      <c r="C2248" t="s">
        <v>1658</v>
      </c>
      <c r="D2248" t="s">
        <v>32</v>
      </c>
      <c r="E2248" t="s">
        <v>24</v>
      </c>
      <c r="F2248" t="s">
        <v>237</v>
      </c>
      <c r="G2248">
        <v>15</v>
      </c>
      <c r="H2248" t="s">
        <v>464</v>
      </c>
      <c r="I2248" t="s">
        <v>943</v>
      </c>
      <c r="J2248" t="s">
        <v>1709</v>
      </c>
      <c r="K2248" t="s">
        <v>1934</v>
      </c>
    </row>
    <row r="2249" spans="1:18" x14ac:dyDescent="0.25">
      <c r="A2249" t="s">
        <v>1995</v>
      </c>
      <c r="B2249" s="1">
        <v>44336</v>
      </c>
      <c r="C2249" t="s">
        <v>1388</v>
      </c>
      <c r="D2249" t="s">
        <v>32</v>
      </c>
      <c r="E2249" t="s">
        <v>24</v>
      </c>
      <c r="F2249" t="s">
        <v>323</v>
      </c>
      <c r="G2249">
        <v>60</v>
      </c>
      <c r="H2249" t="s">
        <v>26</v>
      </c>
      <c r="I2249" t="s">
        <v>370</v>
      </c>
      <c r="J2249" t="s">
        <v>646</v>
      </c>
      <c r="K2249" t="s">
        <v>1996</v>
      </c>
      <c r="L2249">
        <v>333</v>
      </c>
      <c r="M2249">
        <v>93</v>
      </c>
      <c r="N2249" s="2">
        <v>0.36</v>
      </c>
      <c r="O2249">
        <v>84</v>
      </c>
      <c r="P2249">
        <v>15.49</v>
      </c>
      <c r="Q2249">
        <v>15.49</v>
      </c>
      <c r="R2249">
        <v>411</v>
      </c>
    </row>
    <row r="2250" spans="1:18" x14ac:dyDescent="0.25">
      <c r="A2250" t="s">
        <v>1997</v>
      </c>
      <c r="B2250" s="1">
        <v>44336</v>
      </c>
      <c r="C2250" t="s">
        <v>1998</v>
      </c>
      <c r="D2250" t="s">
        <v>32</v>
      </c>
      <c r="E2250" t="s">
        <v>24</v>
      </c>
      <c r="F2250" t="s">
        <v>323</v>
      </c>
      <c r="G2250">
        <v>5</v>
      </c>
      <c r="H2250" t="s">
        <v>49</v>
      </c>
      <c r="I2250" t="s">
        <v>50</v>
      </c>
      <c r="J2250" t="s">
        <v>51</v>
      </c>
      <c r="K2250" t="s">
        <v>1656</v>
      </c>
      <c r="R2250">
        <v>11</v>
      </c>
    </row>
    <row r="2251" spans="1:18" x14ac:dyDescent="0.25">
      <c r="A2251" t="s">
        <v>1999</v>
      </c>
      <c r="B2251" s="1">
        <v>44336</v>
      </c>
      <c r="C2251" t="s">
        <v>1310</v>
      </c>
      <c r="D2251" t="s">
        <v>32</v>
      </c>
      <c r="E2251" t="s">
        <v>24</v>
      </c>
      <c r="F2251" t="s">
        <v>208</v>
      </c>
      <c r="G2251">
        <v>10</v>
      </c>
      <c r="H2251" t="s">
        <v>464</v>
      </c>
      <c r="I2251" t="s">
        <v>579</v>
      </c>
      <c r="J2251" t="s">
        <v>602</v>
      </c>
      <c r="K2251" t="s">
        <v>2000</v>
      </c>
    </row>
    <row r="2252" spans="1:18" x14ac:dyDescent="0.25">
      <c r="A2252" t="s">
        <v>2061</v>
      </c>
      <c r="B2252" s="1">
        <v>44343</v>
      </c>
      <c r="C2252" t="s">
        <v>1764</v>
      </c>
      <c r="D2252" t="s">
        <v>32</v>
      </c>
      <c r="E2252" t="s">
        <v>24</v>
      </c>
      <c r="F2252" t="s">
        <v>323</v>
      </c>
      <c r="G2252">
        <v>60</v>
      </c>
      <c r="H2252" t="s">
        <v>26</v>
      </c>
      <c r="I2252" t="s">
        <v>370</v>
      </c>
      <c r="J2252" t="s">
        <v>646</v>
      </c>
      <c r="K2252" t="s">
        <v>2062</v>
      </c>
      <c r="L2252">
        <v>362</v>
      </c>
      <c r="M2252">
        <v>101</v>
      </c>
      <c r="N2252" s="2">
        <v>0.38</v>
      </c>
      <c r="O2252">
        <v>83</v>
      </c>
      <c r="P2252">
        <v>16.149999999999999</v>
      </c>
      <c r="Q2252">
        <v>16.149999999999999</v>
      </c>
      <c r="R2252">
        <v>446</v>
      </c>
    </row>
    <row r="2253" spans="1:18" x14ac:dyDescent="0.25">
      <c r="A2253" t="s">
        <v>2063</v>
      </c>
      <c r="B2253" s="1">
        <v>44343</v>
      </c>
      <c r="C2253" t="s">
        <v>2064</v>
      </c>
      <c r="D2253" t="s">
        <v>32</v>
      </c>
      <c r="E2253" t="s">
        <v>24</v>
      </c>
      <c r="F2253" t="s">
        <v>323</v>
      </c>
      <c r="G2253">
        <v>5</v>
      </c>
      <c r="H2253" t="s">
        <v>49</v>
      </c>
      <c r="I2253" t="s">
        <v>50</v>
      </c>
      <c r="J2253" t="s">
        <v>51</v>
      </c>
      <c r="K2253" t="s">
        <v>1656</v>
      </c>
      <c r="R2253">
        <v>11</v>
      </c>
    </row>
    <row r="2254" spans="1:18" x14ac:dyDescent="0.25">
      <c r="A2254" t="s">
        <v>2065</v>
      </c>
      <c r="B2254" s="1">
        <v>44343</v>
      </c>
      <c r="C2254" t="s">
        <v>2066</v>
      </c>
      <c r="D2254" t="s">
        <v>32</v>
      </c>
      <c r="E2254" t="s">
        <v>24</v>
      </c>
      <c r="F2254" t="s">
        <v>314</v>
      </c>
      <c r="G2254">
        <v>5</v>
      </c>
      <c r="H2254" t="s">
        <v>194</v>
      </c>
      <c r="I2254" t="s">
        <v>195</v>
      </c>
      <c r="J2254" t="s">
        <v>196</v>
      </c>
      <c r="K2254" t="s">
        <v>1778</v>
      </c>
      <c r="R2254">
        <v>23</v>
      </c>
    </row>
    <row r="2255" spans="1:18" x14ac:dyDescent="0.25">
      <c r="A2255" t="s">
        <v>2067</v>
      </c>
      <c r="B2255" s="1">
        <v>44343</v>
      </c>
      <c r="C2255" t="s">
        <v>2068</v>
      </c>
      <c r="D2255" t="s">
        <v>32</v>
      </c>
      <c r="E2255" t="s">
        <v>24</v>
      </c>
      <c r="F2255" t="s">
        <v>215</v>
      </c>
      <c r="G2255">
        <v>15</v>
      </c>
      <c r="H2255" t="s">
        <v>464</v>
      </c>
      <c r="I2255" t="s">
        <v>943</v>
      </c>
      <c r="J2255" t="s">
        <v>1709</v>
      </c>
      <c r="K2255" t="s">
        <v>2069</v>
      </c>
    </row>
    <row r="2256" spans="1:18" x14ac:dyDescent="0.25">
      <c r="A2256" t="s">
        <v>2120</v>
      </c>
      <c r="B2256" s="1">
        <v>44350</v>
      </c>
      <c r="C2256" t="s">
        <v>2121</v>
      </c>
      <c r="D2256" t="s">
        <v>32</v>
      </c>
      <c r="E2256" t="s">
        <v>24</v>
      </c>
      <c r="F2256" t="s">
        <v>323</v>
      </c>
      <c r="G2256">
        <v>60</v>
      </c>
      <c r="H2256" t="s">
        <v>26</v>
      </c>
      <c r="I2256" t="s">
        <v>370</v>
      </c>
      <c r="J2256" t="s">
        <v>646</v>
      </c>
      <c r="K2256" t="s">
        <v>2122</v>
      </c>
      <c r="L2256">
        <v>332</v>
      </c>
      <c r="M2256">
        <v>92</v>
      </c>
      <c r="N2256" s="2">
        <v>0.35</v>
      </c>
      <c r="O2256">
        <v>86</v>
      </c>
      <c r="P2256">
        <v>15.31</v>
      </c>
      <c r="Q2256">
        <v>15.31</v>
      </c>
      <c r="R2256">
        <v>410</v>
      </c>
    </row>
    <row r="2257" spans="1:19" x14ac:dyDescent="0.25">
      <c r="A2257" t="s">
        <v>2123</v>
      </c>
      <c r="B2257" s="1">
        <v>44350</v>
      </c>
      <c r="C2257" t="s">
        <v>2055</v>
      </c>
      <c r="D2257" t="s">
        <v>32</v>
      </c>
      <c r="E2257" t="s">
        <v>24</v>
      </c>
      <c r="F2257" t="s">
        <v>323</v>
      </c>
      <c r="G2257">
        <v>5</v>
      </c>
      <c r="H2257" t="s">
        <v>49</v>
      </c>
      <c r="I2257" t="s">
        <v>50</v>
      </c>
      <c r="J2257" t="s">
        <v>51</v>
      </c>
      <c r="K2257" t="s">
        <v>1656</v>
      </c>
      <c r="R2257">
        <v>11</v>
      </c>
    </row>
    <row r="2258" spans="1:19" x14ac:dyDescent="0.25">
      <c r="A2258" t="s">
        <v>2177</v>
      </c>
      <c r="B2258" s="1">
        <v>44357</v>
      </c>
      <c r="C2258" t="s">
        <v>530</v>
      </c>
      <c r="D2258" t="s">
        <v>32</v>
      </c>
      <c r="E2258" t="s">
        <v>24</v>
      </c>
      <c r="F2258" t="s">
        <v>215</v>
      </c>
      <c r="G2258">
        <v>20</v>
      </c>
      <c r="H2258" t="s">
        <v>188</v>
      </c>
      <c r="I2258" t="s">
        <v>103</v>
      </c>
      <c r="J2258" t="s">
        <v>2178</v>
      </c>
      <c r="K2258" t="s">
        <v>2179</v>
      </c>
      <c r="R2258">
        <v>69</v>
      </c>
      <c r="S2258">
        <v>95.97</v>
      </c>
    </row>
    <row r="2259" spans="1:19" x14ac:dyDescent="0.25">
      <c r="A2259" t="s">
        <v>2180</v>
      </c>
      <c r="B2259" s="1">
        <v>44357</v>
      </c>
      <c r="C2259" t="s">
        <v>1838</v>
      </c>
      <c r="D2259" t="s">
        <v>32</v>
      </c>
      <c r="E2259" t="s">
        <v>24</v>
      </c>
      <c r="F2259" t="s">
        <v>323</v>
      </c>
      <c r="G2259">
        <v>15</v>
      </c>
      <c r="H2259" t="s">
        <v>26</v>
      </c>
      <c r="I2259" t="s">
        <v>370</v>
      </c>
      <c r="J2259" t="s">
        <v>531</v>
      </c>
      <c r="K2259" t="s">
        <v>2181</v>
      </c>
      <c r="L2259">
        <v>72</v>
      </c>
      <c r="M2259">
        <v>80</v>
      </c>
      <c r="N2259" s="2">
        <v>0.32</v>
      </c>
      <c r="O2259">
        <v>89</v>
      </c>
      <c r="P2259">
        <v>14.5</v>
      </c>
      <c r="Q2259">
        <v>3.63</v>
      </c>
      <c r="R2259">
        <v>89</v>
      </c>
    </row>
    <row r="2260" spans="1:19" x14ac:dyDescent="0.25">
      <c r="A2260" t="s">
        <v>2182</v>
      </c>
      <c r="B2260" s="1">
        <v>44357</v>
      </c>
      <c r="C2260" t="s">
        <v>2183</v>
      </c>
      <c r="D2260" t="s">
        <v>32</v>
      </c>
      <c r="E2260" t="s">
        <v>24</v>
      </c>
      <c r="F2260" t="s">
        <v>323</v>
      </c>
      <c r="G2260">
        <v>20</v>
      </c>
      <c r="H2260" t="s">
        <v>26</v>
      </c>
      <c r="I2260" t="s">
        <v>370</v>
      </c>
      <c r="J2260" t="s">
        <v>385</v>
      </c>
      <c r="K2260" t="s">
        <v>2184</v>
      </c>
      <c r="L2260">
        <v>169</v>
      </c>
      <c r="M2260">
        <v>141</v>
      </c>
      <c r="N2260" s="2">
        <v>0.44</v>
      </c>
      <c r="O2260">
        <v>81</v>
      </c>
      <c r="P2260">
        <v>18.600000000000001</v>
      </c>
      <c r="Q2260">
        <v>6.2</v>
      </c>
      <c r="R2260">
        <v>209</v>
      </c>
    </row>
    <row r="2261" spans="1:19" x14ac:dyDescent="0.25">
      <c r="A2261" t="s">
        <v>2185</v>
      </c>
      <c r="B2261" s="1">
        <v>44357</v>
      </c>
      <c r="C2261" t="s">
        <v>2186</v>
      </c>
      <c r="D2261" t="s">
        <v>32</v>
      </c>
      <c r="E2261" t="s">
        <v>24</v>
      </c>
      <c r="F2261" t="s">
        <v>747</v>
      </c>
      <c r="G2261">
        <v>10</v>
      </c>
      <c r="H2261" t="s">
        <v>26</v>
      </c>
      <c r="I2261" t="s">
        <v>358</v>
      </c>
      <c r="J2261" t="s">
        <v>389</v>
      </c>
      <c r="K2261" t="s">
        <v>2187</v>
      </c>
      <c r="L2261">
        <v>48</v>
      </c>
      <c r="M2261">
        <v>80</v>
      </c>
      <c r="N2261" s="2">
        <v>0.36</v>
      </c>
      <c r="O2261">
        <v>78</v>
      </c>
      <c r="P2261">
        <v>14.7</v>
      </c>
      <c r="Q2261">
        <v>2.46</v>
      </c>
      <c r="R2261">
        <v>59</v>
      </c>
    </row>
    <row r="2262" spans="1:19" x14ac:dyDescent="0.25">
      <c r="A2262" t="s">
        <v>2188</v>
      </c>
      <c r="B2262" s="1">
        <v>44357</v>
      </c>
      <c r="C2262" t="s">
        <v>1643</v>
      </c>
      <c r="D2262" t="s">
        <v>32</v>
      </c>
      <c r="E2262" t="s">
        <v>24</v>
      </c>
      <c r="F2262" t="s">
        <v>747</v>
      </c>
      <c r="G2262">
        <v>5</v>
      </c>
      <c r="H2262" t="s">
        <v>49</v>
      </c>
      <c r="I2262" t="s">
        <v>50</v>
      </c>
      <c r="J2262" t="s">
        <v>51</v>
      </c>
      <c r="K2262" t="s">
        <v>2189</v>
      </c>
      <c r="R2262">
        <v>11</v>
      </c>
    </row>
    <row r="2263" spans="1:19" x14ac:dyDescent="0.25">
      <c r="A2263" t="s">
        <v>2190</v>
      </c>
      <c r="B2263" s="1">
        <v>44357</v>
      </c>
      <c r="C2263" t="s">
        <v>1784</v>
      </c>
      <c r="D2263" t="s">
        <v>32</v>
      </c>
      <c r="E2263" t="s">
        <v>24</v>
      </c>
      <c r="F2263" t="s">
        <v>200</v>
      </c>
      <c r="G2263">
        <v>10</v>
      </c>
      <c r="H2263" t="s">
        <v>464</v>
      </c>
      <c r="I2263" t="s">
        <v>579</v>
      </c>
      <c r="J2263" t="s">
        <v>808</v>
      </c>
      <c r="K2263" t="s">
        <v>2191</v>
      </c>
    </row>
    <row r="2264" spans="1:19" x14ac:dyDescent="0.25">
      <c r="A2264" t="s">
        <v>2253</v>
      </c>
      <c r="B2264" s="1">
        <v>44364</v>
      </c>
      <c r="C2264" t="s">
        <v>1499</v>
      </c>
      <c r="D2264" t="s">
        <v>32</v>
      </c>
      <c r="E2264" t="s">
        <v>24</v>
      </c>
      <c r="F2264" t="s">
        <v>243</v>
      </c>
      <c r="G2264">
        <v>45</v>
      </c>
      <c r="H2264" t="s">
        <v>26</v>
      </c>
      <c r="I2264" t="s">
        <v>370</v>
      </c>
      <c r="J2264" t="s">
        <v>439</v>
      </c>
      <c r="K2264" t="s">
        <v>1584</v>
      </c>
      <c r="L2264">
        <v>245</v>
      </c>
      <c r="M2264">
        <v>91</v>
      </c>
      <c r="N2264" s="2">
        <v>0.35</v>
      </c>
      <c r="O2264">
        <v>86</v>
      </c>
      <c r="P2264">
        <v>15.41</v>
      </c>
      <c r="Q2264">
        <v>11.55</v>
      </c>
      <c r="R2264">
        <v>302</v>
      </c>
    </row>
    <row r="2265" spans="1:19" x14ac:dyDescent="0.25">
      <c r="A2265" t="s">
        <v>2254</v>
      </c>
      <c r="B2265" s="1">
        <v>44364</v>
      </c>
      <c r="C2265" t="s">
        <v>1792</v>
      </c>
      <c r="D2265" t="s">
        <v>32</v>
      </c>
      <c r="E2265" t="s">
        <v>24</v>
      </c>
      <c r="F2265" t="s">
        <v>243</v>
      </c>
      <c r="G2265">
        <v>5</v>
      </c>
      <c r="H2265" t="s">
        <v>49</v>
      </c>
      <c r="I2265" t="s">
        <v>50</v>
      </c>
      <c r="J2265" t="s">
        <v>51</v>
      </c>
      <c r="K2265" t="s">
        <v>2042</v>
      </c>
      <c r="R2265">
        <v>11</v>
      </c>
    </row>
    <row r="2266" spans="1:19" x14ac:dyDescent="0.25">
      <c r="A2266" t="s">
        <v>2309</v>
      </c>
      <c r="B2266" s="1">
        <v>44371</v>
      </c>
      <c r="C2266" t="s">
        <v>1779</v>
      </c>
      <c r="D2266" t="s">
        <v>32</v>
      </c>
      <c r="E2266" t="s">
        <v>24</v>
      </c>
      <c r="F2266" t="s">
        <v>243</v>
      </c>
      <c r="G2266">
        <v>45</v>
      </c>
      <c r="H2266" t="s">
        <v>26</v>
      </c>
      <c r="I2266" t="s">
        <v>370</v>
      </c>
      <c r="J2266" t="s">
        <v>439</v>
      </c>
      <c r="K2266" t="s">
        <v>2310</v>
      </c>
      <c r="L2266">
        <v>255</v>
      </c>
      <c r="M2266">
        <v>94</v>
      </c>
      <c r="N2266" s="2">
        <v>0.37</v>
      </c>
      <c r="O2266">
        <v>82</v>
      </c>
      <c r="P2266">
        <v>15.71</v>
      </c>
      <c r="Q2266">
        <v>11.79</v>
      </c>
      <c r="R2266">
        <v>314</v>
      </c>
    </row>
    <row r="2267" spans="1:19" x14ac:dyDescent="0.25">
      <c r="A2267" t="s">
        <v>2311</v>
      </c>
      <c r="B2267" s="1">
        <v>44371</v>
      </c>
      <c r="C2267" t="s">
        <v>1782</v>
      </c>
      <c r="D2267" t="s">
        <v>32</v>
      </c>
      <c r="E2267" t="s">
        <v>24</v>
      </c>
      <c r="F2267" t="s">
        <v>243</v>
      </c>
      <c r="G2267">
        <v>5</v>
      </c>
      <c r="H2267" t="s">
        <v>49</v>
      </c>
      <c r="I2267" t="s">
        <v>50</v>
      </c>
      <c r="J2267" t="s">
        <v>51</v>
      </c>
      <c r="K2267" t="s">
        <v>2042</v>
      </c>
      <c r="R2267">
        <v>12</v>
      </c>
    </row>
    <row r="2268" spans="1:19" x14ac:dyDescent="0.25">
      <c r="A2268" t="s">
        <v>2312</v>
      </c>
      <c r="B2268" s="1">
        <v>44371</v>
      </c>
      <c r="C2268" t="s">
        <v>2313</v>
      </c>
      <c r="D2268" t="s">
        <v>32</v>
      </c>
      <c r="E2268" t="s">
        <v>24</v>
      </c>
      <c r="F2268" t="s">
        <v>328</v>
      </c>
      <c r="G2268">
        <v>20</v>
      </c>
      <c r="H2268" t="s">
        <v>194</v>
      </c>
      <c r="I2268" t="s">
        <v>195</v>
      </c>
      <c r="J2268" t="s">
        <v>2314</v>
      </c>
      <c r="K2268" t="s">
        <v>2315</v>
      </c>
      <c r="R2268">
        <v>92</v>
      </c>
    </row>
    <row r="2269" spans="1:19" x14ac:dyDescent="0.25">
      <c r="A2269" t="s">
        <v>2316</v>
      </c>
      <c r="B2269" s="1">
        <v>44371</v>
      </c>
      <c r="C2269" t="s">
        <v>1606</v>
      </c>
      <c r="D2269" t="s">
        <v>32</v>
      </c>
      <c r="E2269" t="s">
        <v>24</v>
      </c>
      <c r="F2269" t="s">
        <v>459</v>
      </c>
      <c r="G2269">
        <v>15</v>
      </c>
      <c r="H2269" t="s">
        <v>464</v>
      </c>
      <c r="I2269" t="s">
        <v>763</v>
      </c>
      <c r="J2269" t="s">
        <v>2229</v>
      </c>
      <c r="K2269" t="s">
        <v>2296</v>
      </c>
    </row>
    <row r="2270" spans="1:19" x14ac:dyDescent="0.25">
      <c r="A2270" t="s">
        <v>2375</v>
      </c>
      <c r="B2270" s="1">
        <v>44378</v>
      </c>
      <c r="C2270" t="s">
        <v>2376</v>
      </c>
      <c r="D2270" t="s">
        <v>32</v>
      </c>
      <c r="E2270" t="s">
        <v>24</v>
      </c>
      <c r="F2270" t="s">
        <v>323</v>
      </c>
      <c r="G2270">
        <v>30</v>
      </c>
      <c r="H2270" t="s">
        <v>26</v>
      </c>
      <c r="I2270" t="s">
        <v>370</v>
      </c>
      <c r="J2270" t="s">
        <v>396</v>
      </c>
      <c r="K2270" t="s">
        <v>1853</v>
      </c>
      <c r="L2270">
        <v>166</v>
      </c>
      <c r="M2270">
        <v>92</v>
      </c>
      <c r="N2270" s="2">
        <v>0.35</v>
      </c>
      <c r="O2270">
        <v>86</v>
      </c>
      <c r="P2270">
        <v>15.49</v>
      </c>
      <c r="Q2270">
        <v>7.74</v>
      </c>
      <c r="R2270">
        <v>205</v>
      </c>
    </row>
    <row r="2271" spans="1:19" x14ac:dyDescent="0.25">
      <c r="A2271" t="s">
        <v>2377</v>
      </c>
      <c r="B2271" s="1">
        <v>44378</v>
      </c>
      <c r="C2271" t="s">
        <v>2378</v>
      </c>
      <c r="D2271" t="s">
        <v>32</v>
      </c>
      <c r="E2271" t="s">
        <v>24</v>
      </c>
      <c r="F2271" t="s">
        <v>1203</v>
      </c>
      <c r="G2271">
        <v>20</v>
      </c>
      <c r="H2271" t="s">
        <v>194</v>
      </c>
      <c r="I2271" t="s">
        <v>195</v>
      </c>
      <c r="J2271" t="s">
        <v>2379</v>
      </c>
      <c r="K2271" t="s">
        <v>2380</v>
      </c>
      <c r="R2271">
        <v>92</v>
      </c>
    </row>
    <row r="2272" spans="1:19" x14ac:dyDescent="0.25">
      <c r="A2272" t="s">
        <v>2381</v>
      </c>
      <c r="B2272" s="1">
        <v>44378</v>
      </c>
      <c r="C2272" t="s">
        <v>2382</v>
      </c>
      <c r="D2272" t="s">
        <v>32</v>
      </c>
      <c r="E2272" t="s">
        <v>24</v>
      </c>
      <c r="F2272" t="s">
        <v>215</v>
      </c>
      <c r="G2272">
        <v>10</v>
      </c>
      <c r="H2272" t="s">
        <v>188</v>
      </c>
      <c r="I2272" t="s">
        <v>238</v>
      </c>
      <c r="J2272" t="s">
        <v>674</v>
      </c>
      <c r="K2272" t="s">
        <v>2383</v>
      </c>
      <c r="R2272">
        <v>34</v>
      </c>
    </row>
    <row r="2273" spans="1:19" x14ac:dyDescent="0.25">
      <c r="A2273" t="s">
        <v>2384</v>
      </c>
      <c r="B2273" s="1">
        <v>44378</v>
      </c>
      <c r="C2273" t="s">
        <v>2385</v>
      </c>
      <c r="D2273" t="s">
        <v>32</v>
      </c>
      <c r="E2273" t="s">
        <v>24</v>
      </c>
      <c r="F2273" t="s">
        <v>200</v>
      </c>
      <c r="G2273">
        <v>20</v>
      </c>
      <c r="H2273" t="s">
        <v>464</v>
      </c>
      <c r="I2273" t="s">
        <v>943</v>
      </c>
      <c r="J2273" t="s">
        <v>1347</v>
      </c>
      <c r="K2273" t="s">
        <v>2386</v>
      </c>
    </row>
    <row r="2274" spans="1:19" x14ac:dyDescent="0.25">
      <c r="A2274" t="s">
        <v>2430</v>
      </c>
      <c r="B2274" s="1">
        <v>44385</v>
      </c>
      <c r="C2274" t="s">
        <v>2431</v>
      </c>
      <c r="D2274" t="s">
        <v>32</v>
      </c>
      <c r="E2274" t="s">
        <v>24</v>
      </c>
      <c r="F2274" t="s">
        <v>215</v>
      </c>
      <c r="G2274">
        <v>10</v>
      </c>
      <c r="H2274" t="s">
        <v>464</v>
      </c>
      <c r="I2274" t="s">
        <v>579</v>
      </c>
      <c r="J2274" t="s">
        <v>2432</v>
      </c>
      <c r="K2274" t="s">
        <v>2429</v>
      </c>
    </row>
    <row r="2275" spans="1:19" x14ac:dyDescent="0.25">
      <c r="A2275" t="s">
        <v>2433</v>
      </c>
      <c r="B2275" s="1">
        <v>44385</v>
      </c>
      <c r="C2275" t="s">
        <v>2434</v>
      </c>
      <c r="D2275" t="s">
        <v>32</v>
      </c>
      <c r="E2275" t="s">
        <v>24</v>
      </c>
      <c r="F2275" t="s">
        <v>200</v>
      </c>
      <c r="G2275">
        <v>20</v>
      </c>
      <c r="H2275" t="s">
        <v>464</v>
      </c>
      <c r="I2275" t="s">
        <v>943</v>
      </c>
      <c r="J2275" t="s">
        <v>1347</v>
      </c>
      <c r="K2275" t="s">
        <v>2386</v>
      </c>
    </row>
    <row r="2276" spans="1:19" x14ac:dyDescent="0.25">
      <c r="A2276" t="s">
        <v>2510</v>
      </c>
      <c r="B2276" s="1">
        <v>44392</v>
      </c>
      <c r="C2276" t="s">
        <v>1295</v>
      </c>
      <c r="D2276" t="s">
        <v>32</v>
      </c>
      <c r="E2276" t="s">
        <v>24</v>
      </c>
      <c r="F2276" t="s">
        <v>243</v>
      </c>
      <c r="G2276">
        <v>60</v>
      </c>
      <c r="H2276" t="s">
        <v>188</v>
      </c>
      <c r="I2276" t="s">
        <v>189</v>
      </c>
      <c r="J2276" t="s">
        <v>216</v>
      </c>
      <c r="K2276" t="s">
        <v>2511</v>
      </c>
      <c r="R2276">
        <v>193</v>
      </c>
    </row>
    <row r="2277" spans="1:19" x14ac:dyDescent="0.25">
      <c r="A2277" t="s">
        <v>2512</v>
      </c>
      <c r="B2277" s="1">
        <v>44392</v>
      </c>
      <c r="C2277" t="s">
        <v>2513</v>
      </c>
      <c r="D2277" t="s">
        <v>32</v>
      </c>
      <c r="E2277" t="s">
        <v>24</v>
      </c>
      <c r="F2277" t="s">
        <v>215</v>
      </c>
      <c r="G2277">
        <v>5</v>
      </c>
      <c r="H2277" t="s">
        <v>188</v>
      </c>
      <c r="I2277" t="s">
        <v>2479</v>
      </c>
      <c r="J2277" t="s">
        <v>2505</v>
      </c>
      <c r="K2277" t="s">
        <v>2514</v>
      </c>
      <c r="R2277">
        <v>16</v>
      </c>
      <c r="S2277">
        <v>92.57</v>
      </c>
    </row>
    <row r="2278" spans="1:19" x14ac:dyDescent="0.25">
      <c r="A2278" t="s">
        <v>2515</v>
      </c>
      <c r="B2278" s="1">
        <v>44392</v>
      </c>
      <c r="C2278" t="s">
        <v>2516</v>
      </c>
      <c r="D2278" t="s">
        <v>32</v>
      </c>
      <c r="E2278" t="s">
        <v>24</v>
      </c>
      <c r="F2278" t="s">
        <v>1203</v>
      </c>
      <c r="G2278">
        <v>5</v>
      </c>
      <c r="H2278" t="s">
        <v>194</v>
      </c>
      <c r="I2278" t="s">
        <v>195</v>
      </c>
      <c r="J2278" t="s">
        <v>196</v>
      </c>
      <c r="K2278" t="s">
        <v>2517</v>
      </c>
      <c r="R2278">
        <v>17</v>
      </c>
      <c r="S2278">
        <v>85.5</v>
      </c>
    </row>
    <row r="2279" spans="1:19" x14ac:dyDescent="0.25">
      <c r="A2279" t="s">
        <v>2518</v>
      </c>
      <c r="B2279" s="1">
        <v>44392</v>
      </c>
      <c r="C2279" t="s">
        <v>1384</v>
      </c>
      <c r="D2279" t="s">
        <v>32</v>
      </c>
      <c r="E2279" t="s">
        <v>24</v>
      </c>
      <c r="F2279" t="s">
        <v>208</v>
      </c>
      <c r="G2279">
        <v>20</v>
      </c>
      <c r="H2279" t="s">
        <v>464</v>
      </c>
      <c r="I2279" t="s">
        <v>579</v>
      </c>
      <c r="J2279" t="s">
        <v>2519</v>
      </c>
      <c r="K2279" t="s">
        <v>2520</v>
      </c>
    </row>
    <row r="2280" spans="1:19" x14ac:dyDescent="0.25">
      <c r="A2280" t="s">
        <v>2565</v>
      </c>
      <c r="B2280" s="1">
        <v>44399</v>
      </c>
      <c r="C2280" t="s">
        <v>489</v>
      </c>
      <c r="D2280" t="s">
        <v>32</v>
      </c>
      <c r="E2280" t="s">
        <v>24</v>
      </c>
      <c r="F2280" t="s">
        <v>215</v>
      </c>
      <c r="G2280">
        <v>60</v>
      </c>
      <c r="H2280" t="s">
        <v>188</v>
      </c>
      <c r="I2280" t="s">
        <v>189</v>
      </c>
      <c r="J2280" t="s">
        <v>216</v>
      </c>
      <c r="K2280" t="s">
        <v>2566</v>
      </c>
      <c r="R2280">
        <v>207</v>
      </c>
    </row>
    <row r="2281" spans="1:19" x14ac:dyDescent="0.25">
      <c r="A2281" t="s">
        <v>2567</v>
      </c>
      <c r="B2281" s="1">
        <v>44399</v>
      </c>
      <c r="C2281" t="s">
        <v>2568</v>
      </c>
      <c r="D2281" t="s">
        <v>32</v>
      </c>
      <c r="E2281" t="s">
        <v>24</v>
      </c>
      <c r="F2281" t="s">
        <v>208</v>
      </c>
      <c r="G2281">
        <v>20</v>
      </c>
      <c r="H2281" t="s">
        <v>464</v>
      </c>
      <c r="I2281" t="s">
        <v>579</v>
      </c>
      <c r="J2281" t="s">
        <v>2519</v>
      </c>
      <c r="K2281" t="s">
        <v>2520</v>
      </c>
    </row>
    <row r="2282" spans="1:19" x14ac:dyDescent="0.25">
      <c r="A2282" t="s">
        <v>2631</v>
      </c>
      <c r="B2282" s="1">
        <v>44406</v>
      </c>
      <c r="C2282" t="s">
        <v>2632</v>
      </c>
      <c r="D2282" t="s">
        <v>32</v>
      </c>
      <c r="E2282" t="s">
        <v>24</v>
      </c>
      <c r="F2282" t="s">
        <v>243</v>
      </c>
      <c r="G2282">
        <v>30</v>
      </c>
      <c r="H2282" t="s">
        <v>26</v>
      </c>
      <c r="I2282" t="s">
        <v>370</v>
      </c>
      <c r="J2282" t="s">
        <v>2633</v>
      </c>
      <c r="K2282" t="s">
        <v>2634</v>
      </c>
      <c r="L2282">
        <v>167</v>
      </c>
      <c r="M2282">
        <v>93</v>
      </c>
      <c r="N2282" s="2">
        <v>0.36</v>
      </c>
      <c r="O2282">
        <v>85</v>
      </c>
      <c r="P2282">
        <v>15.55</v>
      </c>
      <c r="Q2282">
        <v>7.78</v>
      </c>
      <c r="R2282">
        <v>206</v>
      </c>
    </row>
    <row r="2283" spans="1:19" x14ac:dyDescent="0.25">
      <c r="A2283" t="s">
        <v>2635</v>
      </c>
      <c r="B2283" s="1">
        <v>44406</v>
      </c>
      <c r="C2283" t="s">
        <v>1406</v>
      </c>
      <c r="D2283" t="s">
        <v>32</v>
      </c>
      <c r="E2283" t="s">
        <v>24</v>
      </c>
      <c r="F2283" t="s">
        <v>243</v>
      </c>
      <c r="G2283">
        <v>5</v>
      </c>
      <c r="H2283" t="s">
        <v>49</v>
      </c>
      <c r="I2283" t="s">
        <v>50</v>
      </c>
      <c r="J2283" t="s">
        <v>51</v>
      </c>
      <c r="K2283" t="s">
        <v>2042</v>
      </c>
      <c r="R2283">
        <v>11</v>
      </c>
    </row>
    <row r="2284" spans="1:19" x14ac:dyDescent="0.25">
      <c r="A2284" t="s">
        <v>2636</v>
      </c>
      <c r="B2284" s="1">
        <v>44406</v>
      </c>
      <c r="C2284" t="s">
        <v>1909</v>
      </c>
      <c r="D2284" t="s">
        <v>32</v>
      </c>
      <c r="E2284" t="s">
        <v>24</v>
      </c>
      <c r="F2284" t="s">
        <v>200</v>
      </c>
      <c r="G2284">
        <v>20</v>
      </c>
      <c r="H2284" t="s">
        <v>464</v>
      </c>
      <c r="I2284" t="s">
        <v>1617</v>
      </c>
      <c r="J2284" t="s">
        <v>1618</v>
      </c>
      <c r="K2284" t="s">
        <v>2637</v>
      </c>
    </row>
    <row r="2285" spans="1:19" x14ac:dyDescent="0.25">
      <c r="A2285" t="s">
        <v>2692</v>
      </c>
      <c r="B2285" s="1">
        <v>44413</v>
      </c>
      <c r="C2285" t="s">
        <v>2693</v>
      </c>
      <c r="D2285" t="s">
        <v>32</v>
      </c>
      <c r="E2285" t="s">
        <v>24</v>
      </c>
      <c r="F2285" t="s">
        <v>323</v>
      </c>
      <c r="G2285">
        <v>30</v>
      </c>
      <c r="H2285" t="s">
        <v>26</v>
      </c>
      <c r="I2285" t="s">
        <v>370</v>
      </c>
      <c r="J2285" t="s">
        <v>2588</v>
      </c>
      <c r="K2285" t="s">
        <v>2694</v>
      </c>
      <c r="L2285">
        <v>170</v>
      </c>
      <c r="M2285">
        <v>94</v>
      </c>
      <c r="N2285" s="2">
        <v>0.35</v>
      </c>
      <c r="O2285">
        <v>87</v>
      </c>
      <c r="P2285">
        <v>15.65</v>
      </c>
      <c r="Q2285">
        <v>7.83</v>
      </c>
      <c r="R2285">
        <v>209</v>
      </c>
    </row>
    <row r="2286" spans="1:19" x14ac:dyDescent="0.25">
      <c r="A2286" t="s">
        <v>2695</v>
      </c>
      <c r="B2286" s="1">
        <v>44413</v>
      </c>
      <c r="C2286" t="s">
        <v>2696</v>
      </c>
      <c r="D2286" t="s">
        <v>32</v>
      </c>
      <c r="E2286" t="s">
        <v>24</v>
      </c>
      <c r="F2286" t="s">
        <v>323</v>
      </c>
      <c r="G2286">
        <v>20</v>
      </c>
      <c r="H2286" t="s">
        <v>26</v>
      </c>
      <c r="I2286" t="s">
        <v>39</v>
      </c>
      <c r="J2286" t="s">
        <v>2657</v>
      </c>
      <c r="K2286" t="s">
        <v>2697</v>
      </c>
      <c r="L2286">
        <v>87</v>
      </c>
      <c r="M2286">
        <v>72</v>
      </c>
      <c r="N2286" s="2">
        <v>0.31</v>
      </c>
      <c r="O2286">
        <v>88</v>
      </c>
      <c r="P2286">
        <v>13.99</v>
      </c>
      <c r="Q2286">
        <v>4.67</v>
      </c>
      <c r="R2286">
        <v>107</v>
      </c>
    </row>
    <row r="2287" spans="1:19" x14ac:dyDescent="0.25">
      <c r="A2287" t="s">
        <v>2698</v>
      </c>
      <c r="B2287" s="1">
        <v>44413</v>
      </c>
      <c r="C2287" t="s">
        <v>1381</v>
      </c>
      <c r="D2287" t="s">
        <v>32</v>
      </c>
      <c r="E2287" t="s">
        <v>24</v>
      </c>
      <c r="F2287" t="s">
        <v>895</v>
      </c>
      <c r="G2287">
        <v>10</v>
      </c>
      <c r="H2287" t="s">
        <v>194</v>
      </c>
      <c r="I2287" t="s">
        <v>195</v>
      </c>
      <c r="J2287" t="s">
        <v>211</v>
      </c>
      <c r="K2287" t="s">
        <v>2699</v>
      </c>
      <c r="R2287">
        <v>46</v>
      </c>
    </row>
    <row r="2288" spans="1:19" x14ac:dyDescent="0.25">
      <c r="A2288" t="s">
        <v>2700</v>
      </c>
      <c r="B2288" s="1">
        <v>44413</v>
      </c>
      <c r="C2288" t="s">
        <v>1367</v>
      </c>
      <c r="D2288" t="s">
        <v>32</v>
      </c>
      <c r="E2288" t="s">
        <v>24</v>
      </c>
      <c r="F2288" t="s">
        <v>459</v>
      </c>
      <c r="G2288">
        <v>10</v>
      </c>
      <c r="H2288" t="s">
        <v>464</v>
      </c>
      <c r="I2288" t="s">
        <v>943</v>
      </c>
      <c r="J2288" t="s">
        <v>944</v>
      </c>
      <c r="K2288" t="s">
        <v>2701</v>
      </c>
    </row>
    <row r="2289" spans="1:18" x14ac:dyDescent="0.25">
      <c r="A2289" t="s">
        <v>2746</v>
      </c>
      <c r="B2289" s="1">
        <v>44420</v>
      </c>
      <c r="C2289" t="s">
        <v>1499</v>
      </c>
      <c r="D2289" t="s">
        <v>32</v>
      </c>
      <c r="E2289" t="s">
        <v>24</v>
      </c>
      <c r="F2289" t="s">
        <v>335</v>
      </c>
      <c r="G2289">
        <v>45</v>
      </c>
      <c r="H2289" t="s">
        <v>26</v>
      </c>
      <c r="I2289" t="s">
        <v>370</v>
      </c>
      <c r="J2289" t="s">
        <v>479</v>
      </c>
      <c r="K2289" t="s">
        <v>2747</v>
      </c>
      <c r="L2289">
        <v>283</v>
      </c>
      <c r="M2289">
        <v>105</v>
      </c>
      <c r="N2289" s="2">
        <v>0.36</v>
      </c>
      <c r="O2289">
        <v>87</v>
      </c>
      <c r="P2289">
        <v>16.260000000000002</v>
      </c>
      <c r="Q2289">
        <v>12.19</v>
      </c>
      <c r="R2289">
        <v>349</v>
      </c>
    </row>
    <row r="2290" spans="1:18" x14ac:dyDescent="0.25">
      <c r="A2290" t="s">
        <v>2748</v>
      </c>
      <c r="B2290" s="1">
        <v>44420</v>
      </c>
      <c r="C2290" t="s">
        <v>1792</v>
      </c>
      <c r="D2290" t="s">
        <v>32</v>
      </c>
      <c r="E2290" t="s">
        <v>24</v>
      </c>
      <c r="F2290" t="s">
        <v>335</v>
      </c>
      <c r="G2290">
        <v>5</v>
      </c>
      <c r="H2290" t="s">
        <v>26</v>
      </c>
      <c r="I2290" t="s">
        <v>358</v>
      </c>
      <c r="J2290" t="s">
        <v>359</v>
      </c>
      <c r="K2290" t="s">
        <v>2749</v>
      </c>
      <c r="L2290">
        <v>26</v>
      </c>
      <c r="M2290">
        <v>88</v>
      </c>
      <c r="N2290" s="2">
        <v>0.37</v>
      </c>
      <c r="O2290">
        <v>78</v>
      </c>
      <c r="P2290">
        <v>15.3</v>
      </c>
      <c r="Q2290">
        <v>1.27</v>
      </c>
      <c r="R2290">
        <v>33</v>
      </c>
    </row>
    <row r="2291" spans="1:18" x14ac:dyDescent="0.25">
      <c r="A2291" t="s">
        <v>2750</v>
      </c>
      <c r="B2291" s="1">
        <v>44420</v>
      </c>
      <c r="C2291" t="s">
        <v>2113</v>
      </c>
      <c r="D2291" t="s">
        <v>32</v>
      </c>
      <c r="E2291" t="s">
        <v>24</v>
      </c>
      <c r="F2291" t="s">
        <v>180</v>
      </c>
      <c r="G2291">
        <v>20</v>
      </c>
      <c r="H2291" t="s">
        <v>194</v>
      </c>
      <c r="I2291" t="s">
        <v>195</v>
      </c>
      <c r="J2291" t="s">
        <v>2751</v>
      </c>
      <c r="K2291" t="s">
        <v>2752</v>
      </c>
      <c r="R2291">
        <v>92</v>
      </c>
    </row>
    <row r="2292" spans="1:18" x14ac:dyDescent="0.25">
      <c r="A2292" t="s">
        <v>2753</v>
      </c>
      <c r="B2292" s="1">
        <v>44420</v>
      </c>
      <c r="C2292" t="s">
        <v>2754</v>
      </c>
      <c r="D2292" t="s">
        <v>32</v>
      </c>
      <c r="E2292" t="s">
        <v>24</v>
      </c>
      <c r="F2292" t="s">
        <v>215</v>
      </c>
      <c r="G2292">
        <v>20</v>
      </c>
      <c r="H2292" t="s">
        <v>188</v>
      </c>
      <c r="I2292" t="s">
        <v>189</v>
      </c>
      <c r="J2292" t="s">
        <v>248</v>
      </c>
      <c r="K2292" t="s">
        <v>2755</v>
      </c>
      <c r="R2292">
        <v>67</v>
      </c>
    </row>
    <row r="2293" spans="1:18" x14ac:dyDescent="0.25">
      <c r="A2293" t="s">
        <v>2756</v>
      </c>
      <c r="B2293" s="1">
        <v>44420</v>
      </c>
      <c r="C2293" t="s">
        <v>1597</v>
      </c>
      <c r="D2293" t="s">
        <v>32</v>
      </c>
      <c r="E2293" t="s">
        <v>24</v>
      </c>
      <c r="F2293" t="s">
        <v>237</v>
      </c>
      <c r="G2293">
        <v>20</v>
      </c>
      <c r="H2293" t="s">
        <v>464</v>
      </c>
      <c r="I2293" t="s">
        <v>943</v>
      </c>
      <c r="J2293" t="s">
        <v>1347</v>
      </c>
      <c r="K2293" t="s">
        <v>2757</v>
      </c>
    </row>
    <row r="2294" spans="1:18" x14ac:dyDescent="0.25">
      <c r="A2294" t="s">
        <v>2813</v>
      </c>
      <c r="B2294" s="1">
        <v>44427</v>
      </c>
      <c r="C2294" t="s">
        <v>2814</v>
      </c>
      <c r="D2294" t="s">
        <v>32</v>
      </c>
      <c r="E2294" t="s">
        <v>24</v>
      </c>
      <c r="F2294" t="s">
        <v>323</v>
      </c>
      <c r="G2294">
        <v>60</v>
      </c>
      <c r="H2294" t="s">
        <v>26</v>
      </c>
      <c r="I2294" t="s">
        <v>370</v>
      </c>
      <c r="J2294" t="s">
        <v>646</v>
      </c>
      <c r="K2294" t="s">
        <v>2815</v>
      </c>
      <c r="L2294">
        <v>390</v>
      </c>
      <c r="M2294">
        <v>108</v>
      </c>
      <c r="N2294" s="2">
        <v>0.38</v>
      </c>
      <c r="O2294">
        <v>86</v>
      </c>
      <c r="P2294">
        <v>16.61</v>
      </c>
      <c r="Q2294">
        <v>16.61</v>
      </c>
      <c r="R2294">
        <v>480</v>
      </c>
    </row>
    <row r="2295" spans="1:18" x14ac:dyDescent="0.25">
      <c r="A2295" t="s">
        <v>2816</v>
      </c>
      <c r="B2295" s="1">
        <v>44427</v>
      </c>
      <c r="C2295" t="s">
        <v>1669</v>
      </c>
      <c r="D2295" t="s">
        <v>32</v>
      </c>
      <c r="E2295" t="s">
        <v>24</v>
      </c>
      <c r="F2295" t="s">
        <v>208</v>
      </c>
      <c r="G2295">
        <v>10</v>
      </c>
      <c r="H2295" t="s">
        <v>464</v>
      </c>
      <c r="I2295" t="s">
        <v>579</v>
      </c>
      <c r="J2295" t="s">
        <v>580</v>
      </c>
      <c r="K2295" t="s">
        <v>2817</v>
      </c>
    </row>
    <row r="2296" spans="1:18" x14ac:dyDescent="0.25">
      <c r="A2296" t="s">
        <v>2868</v>
      </c>
      <c r="B2296" s="1">
        <v>44434</v>
      </c>
      <c r="C2296" t="s">
        <v>2869</v>
      </c>
      <c r="D2296" t="s">
        <v>32</v>
      </c>
      <c r="E2296" t="s">
        <v>24</v>
      </c>
      <c r="F2296" t="s">
        <v>323</v>
      </c>
      <c r="G2296">
        <v>45</v>
      </c>
      <c r="H2296" t="s">
        <v>26</v>
      </c>
      <c r="I2296" t="s">
        <v>370</v>
      </c>
      <c r="J2296" t="s">
        <v>439</v>
      </c>
      <c r="K2296" t="s">
        <v>2870</v>
      </c>
      <c r="L2296">
        <v>265</v>
      </c>
      <c r="M2296">
        <v>98</v>
      </c>
      <c r="N2296" s="2">
        <v>0.36</v>
      </c>
      <c r="O2296">
        <v>86</v>
      </c>
      <c r="P2296">
        <v>15.99</v>
      </c>
      <c r="Q2296">
        <v>12</v>
      </c>
      <c r="R2296">
        <v>327</v>
      </c>
    </row>
    <row r="2297" spans="1:18" x14ac:dyDescent="0.25">
      <c r="A2297" t="s">
        <v>2871</v>
      </c>
      <c r="B2297" s="1">
        <v>44434</v>
      </c>
      <c r="C2297" t="s">
        <v>2872</v>
      </c>
      <c r="D2297" t="s">
        <v>32</v>
      </c>
      <c r="E2297" t="s">
        <v>24</v>
      </c>
      <c r="F2297" t="s">
        <v>180</v>
      </c>
      <c r="G2297">
        <v>15</v>
      </c>
      <c r="H2297" t="s">
        <v>194</v>
      </c>
      <c r="I2297" t="s">
        <v>195</v>
      </c>
      <c r="J2297" t="s">
        <v>1217</v>
      </c>
      <c r="K2297" t="s">
        <v>2873</v>
      </c>
      <c r="R2297">
        <v>69</v>
      </c>
    </row>
    <row r="2298" spans="1:18" x14ac:dyDescent="0.25">
      <c r="A2298" t="s">
        <v>2874</v>
      </c>
      <c r="B2298" s="1">
        <v>44434</v>
      </c>
      <c r="C2298" t="s">
        <v>2875</v>
      </c>
      <c r="D2298" t="s">
        <v>32</v>
      </c>
      <c r="E2298" t="s">
        <v>24</v>
      </c>
      <c r="F2298" t="s">
        <v>2876</v>
      </c>
      <c r="G2298">
        <v>5</v>
      </c>
      <c r="H2298" t="s">
        <v>49</v>
      </c>
      <c r="I2298" t="s">
        <v>50</v>
      </c>
      <c r="J2298" t="s">
        <v>51</v>
      </c>
      <c r="K2298" t="s">
        <v>2877</v>
      </c>
      <c r="R2298">
        <v>12</v>
      </c>
    </row>
    <row r="2299" spans="1:18" x14ac:dyDescent="0.25">
      <c r="A2299" t="s">
        <v>2878</v>
      </c>
      <c r="B2299" s="1">
        <v>44434</v>
      </c>
      <c r="C2299" t="s">
        <v>1964</v>
      </c>
      <c r="D2299" t="s">
        <v>32</v>
      </c>
      <c r="E2299" t="s">
        <v>24</v>
      </c>
      <c r="F2299" t="s">
        <v>459</v>
      </c>
      <c r="G2299">
        <v>10</v>
      </c>
      <c r="H2299" t="s">
        <v>464</v>
      </c>
      <c r="I2299" t="s">
        <v>763</v>
      </c>
      <c r="J2299" t="s">
        <v>764</v>
      </c>
      <c r="K2299" t="s">
        <v>2879</v>
      </c>
    </row>
    <row r="2300" spans="1:18" x14ac:dyDescent="0.25">
      <c r="A2300" t="s">
        <v>2920</v>
      </c>
      <c r="B2300" s="1">
        <v>44441</v>
      </c>
      <c r="C2300" t="s">
        <v>2921</v>
      </c>
      <c r="D2300" t="s">
        <v>32</v>
      </c>
      <c r="E2300" t="s">
        <v>24</v>
      </c>
      <c r="F2300" t="s">
        <v>243</v>
      </c>
      <c r="G2300">
        <v>45</v>
      </c>
      <c r="H2300" t="s">
        <v>188</v>
      </c>
      <c r="I2300" t="s">
        <v>189</v>
      </c>
      <c r="J2300" t="s">
        <v>244</v>
      </c>
      <c r="K2300" t="s">
        <v>2922</v>
      </c>
      <c r="R2300">
        <v>147</v>
      </c>
    </row>
    <row r="2301" spans="1:18" x14ac:dyDescent="0.25">
      <c r="A2301" t="s">
        <v>2923</v>
      </c>
      <c r="B2301" s="1">
        <v>44441</v>
      </c>
      <c r="C2301" t="s">
        <v>1835</v>
      </c>
      <c r="D2301" t="s">
        <v>32</v>
      </c>
      <c r="E2301" t="s">
        <v>24</v>
      </c>
      <c r="F2301" t="s">
        <v>180</v>
      </c>
      <c r="G2301">
        <v>10</v>
      </c>
      <c r="H2301" t="s">
        <v>194</v>
      </c>
      <c r="I2301" t="s">
        <v>195</v>
      </c>
      <c r="J2301" t="s">
        <v>211</v>
      </c>
      <c r="K2301" t="s">
        <v>2924</v>
      </c>
      <c r="R2301">
        <v>46</v>
      </c>
    </row>
    <row r="2302" spans="1:18" x14ac:dyDescent="0.25">
      <c r="A2302" t="s">
        <v>2925</v>
      </c>
      <c r="B2302" s="1">
        <v>44441</v>
      </c>
      <c r="C2302" t="s">
        <v>839</v>
      </c>
      <c r="D2302" t="s">
        <v>32</v>
      </c>
      <c r="E2302" t="s">
        <v>24</v>
      </c>
      <c r="F2302" t="s">
        <v>237</v>
      </c>
      <c r="G2302">
        <v>15</v>
      </c>
      <c r="H2302" t="s">
        <v>464</v>
      </c>
      <c r="I2302" t="s">
        <v>763</v>
      </c>
      <c r="J2302" t="s">
        <v>2926</v>
      </c>
      <c r="K2302" t="s">
        <v>2927</v>
      </c>
    </row>
    <row r="2303" spans="1:18" x14ac:dyDescent="0.25">
      <c r="A2303" t="s">
        <v>2994</v>
      </c>
      <c r="B2303" s="1">
        <v>44448</v>
      </c>
      <c r="C2303" t="s">
        <v>2995</v>
      </c>
      <c r="D2303" t="s">
        <v>32</v>
      </c>
      <c r="E2303" t="s">
        <v>24</v>
      </c>
      <c r="F2303" t="s">
        <v>243</v>
      </c>
      <c r="G2303">
        <v>45</v>
      </c>
      <c r="H2303" t="s">
        <v>188</v>
      </c>
      <c r="I2303" t="s">
        <v>189</v>
      </c>
      <c r="J2303" t="s">
        <v>244</v>
      </c>
      <c r="K2303" t="s">
        <v>2996</v>
      </c>
      <c r="R2303">
        <v>140</v>
      </c>
    </row>
    <row r="2304" spans="1:18" x14ac:dyDescent="0.25">
      <c r="A2304" t="s">
        <v>2997</v>
      </c>
      <c r="B2304" s="1">
        <v>44448</v>
      </c>
      <c r="C2304" t="s">
        <v>2998</v>
      </c>
      <c r="D2304" t="s">
        <v>32</v>
      </c>
      <c r="E2304" t="s">
        <v>24</v>
      </c>
      <c r="F2304" t="s">
        <v>335</v>
      </c>
      <c r="G2304">
        <v>45</v>
      </c>
      <c r="H2304" t="s">
        <v>26</v>
      </c>
      <c r="I2304" t="s">
        <v>370</v>
      </c>
      <c r="J2304" t="s">
        <v>479</v>
      </c>
      <c r="K2304" t="s">
        <v>2999</v>
      </c>
      <c r="L2304">
        <v>287</v>
      </c>
      <c r="M2304">
        <v>106</v>
      </c>
      <c r="N2304" s="2">
        <v>0.37</v>
      </c>
      <c r="O2304">
        <v>84</v>
      </c>
      <c r="P2304">
        <v>16.2</v>
      </c>
      <c r="Q2304">
        <v>12.15</v>
      </c>
      <c r="R2304">
        <v>354</v>
      </c>
    </row>
    <row r="2305" spans="1:18" x14ac:dyDescent="0.25">
      <c r="A2305" t="s">
        <v>3000</v>
      </c>
      <c r="B2305" s="1">
        <v>44448</v>
      </c>
      <c r="C2305" t="s">
        <v>3001</v>
      </c>
      <c r="D2305" t="s">
        <v>32</v>
      </c>
      <c r="E2305" t="s">
        <v>24</v>
      </c>
      <c r="F2305" t="s">
        <v>490</v>
      </c>
      <c r="G2305">
        <v>5</v>
      </c>
      <c r="H2305" t="s">
        <v>26</v>
      </c>
      <c r="I2305" t="s">
        <v>358</v>
      </c>
      <c r="J2305" t="s">
        <v>359</v>
      </c>
      <c r="K2305" t="s">
        <v>3002</v>
      </c>
      <c r="L2305">
        <v>22</v>
      </c>
      <c r="M2305">
        <v>74</v>
      </c>
      <c r="N2305" s="2">
        <v>0.33</v>
      </c>
      <c r="O2305">
        <v>82</v>
      </c>
      <c r="P2305">
        <v>14.03</v>
      </c>
      <c r="Q2305">
        <v>1.17</v>
      </c>
      <c r="R2305">
        <v>27</v>
      </c>
    </row>
    <row r="2306" spans="1:18" x14ac:dyDescent="0.25">
      <c r="A2306" t="s">
        <v>3003</v>
      </c>
      <c r="B2306" s="1">
        <v>44448</v>
      </c>
      <c r="C2306" t="s">
        <v>3004</v>
      </c>
      <c r="D2306" t="s">
        <v>32</v>
      </c>
      <c r="E2306" t="s">
        <v>24</v>
      </c>
      <c r="F2306" t="s">
        <v>335</v>
      </c>
      <c r="G2306">
        <v>10</v>
      </c>
      <c r="H2306" t="s">
        <v>194</v>
      </c>
      <c r="I2306" t="s">
        <v>195</v>
      </c>
      <c r="J2306" t="s">
        <v>3005</v>
      </c>
      <c r="K2306" t="s">
        <v>3006</v>
      </c>
      <c r="R2306">
        <v>46</v>
      </c>
    </row>
    <row r="2307" spans="1:18" x14ac:dyDescent="0.25">
      <c r="A2307" t="s">
        <v>3007</v>
      </c>
      <c r="B2307" s="1">
        <v>44448</v>
      </c>
      <c r="C2307" t="s">
        <v>2132</v>
      </c>
      <c r="D2307" t="s">
        <v>32</v>
      </c>
      <c r="E2307" t="s">
        <v>24</v>
      </c>
      <c r="F2307" t="s">
        <v>905</v>
      </c>
      <c r="G2307">
        <v>5</v>
      </c>
      <c r="H2307" t="s">
        <v>49</v>
      </c>
      <c r="I2307" t="s">
        <v>50</v>
      </c>
      <c r="J2307" t="s">
        <v>51</v>
      </c>
      <c r="K2307" t="s">
        <v>3008</v>
      </c>
      <c r="R2307">
        <v>12</v>
      </c>
    </row>
    <row r="2308" spans="1:18" x14ac:dyDescent="0.25">
      <c r="A2308" t="s">
        <v>3009</v>
      </c>
      <c r="B2308" s="1">
        <v>44448</v>
      </c>
      <c r="C2308" t="s">
        <v>2483</v>
      </c>
      <c r="D2308" t="s">
        <v>32</v>
      </c>
      <c r="E2308" t="s">
        <v>24</v>
      </c>
      <c r="F2308" t="s">
        <v>208</v>
      </c>
      <c r="G2308">
        <v>5</v>
      </c>
      <c r="H2308" t="s">
        <v>464</v>
      </c>
      <c r="I2308" t="s">
        <v>943</v>
      </c>
      <c r="J2308" t="s">
        <v>3010</v>
      </c>
      <c r="K2308" t="s">
        <v>3011</v>
      </c>
    </row>
    <row r="2309" spans="1:18" x14ac:dyDescent="0.25">
      <c r="A2309" t="s">
        <v>3060</v>
      </c>
      <c r="B2309" s="1">
        <v>44455</v>
      </c>
      <c r="C2309" t="s">
        <v>3061</v>
      </c>
      <c r="D2309" t="s">
        <v>32</v>
      </c>
      <c r="E2309" t="s">
        <v>24</v>
      </c>
      <c r="F2309" t="s">
        <v>328</v>
      </c>
      <c r="G2309">
        <v>45</v>
      </c>
      <c r="H2309" t="s">
        <v>26</v>
      </c>
      <c r="I2309" t="s">
        <v>370</v>
      </c>
      <c r="J2309" t="s">
        <v>1256</v>
      </c>
      <c r="K2309" t="s">
        <v>3062</v>
      </c>
      <c r="L2309">
        <v>277</v>
      </c>
      <c r="M2309">
        <v>103</v>
      </c>
      <c r="N2309" s="2">
        <v>0.37</v>
      </c>
      <c r="O2309">
        <v>83</v>
      </c>
      <c r="P2309">
        <v>15.77</v>
      </c>
      <c r="Q2309">
        <v>11.83</v>
      </c>
      <c r="R2309">
        <v>342</v>
      </c>
    </row>
    <row r="2310" spans="1:18" x14ac:dyDescent="0.25">
      <c r="A2310" t="s">
        <v>3063</v>
      </c>
      <c r="B2310" s="1">
        <v>44455</v>
      </c>
      <c r="C2310" t="s">
        <v>3064</v>
      </c>
      <c r="D2310" t="s">
        <v>32</v>
      </c>
      <c r="E2310" t="s">
        <v>24</v>
      </c>
      <c r="F2310" t="s">
        <v>328</v>
      </c>
      <c r="G2310">
        <v>10</v>
      </c>
      <c r="H2310" t="s">
        <v>26</v>
      </c>
      <c r="I2310" t="s">
        <v>358</v>
      </c>
      <c r="J2310" t="s">
        <v>389</v>
      </c>
      <c r="K2310" t="s">
        <v>2604</v>
      </c>
      <c r="L2310">
        <v>33</v>
      </c>
      <c r="M2310">
        <v>55</v>
      </c>
      <c r="N2310" s="2">
        <v>0.28000000000000003</v>
      </c>
      <c r="O2310">
        <v>86</v>
      </c>
      <c r="P2310">
        <v>12.55</v>
      </c>
      <c r="Q2310">
        <v>2.09</v>
      </c>
      <c r="R2310">
        <v>41</v>
      </c>
    </row>
    <row r="2311" spans="1:18" x14ac:dyDescent="0.25">
      <c r="A2311" t="s">
        <v>3065</v>
      </c>
      <c r="B2311" s="1">
        <v>44455</v>
      </c>
      <c r="C2311" t="s">
        <v>3066</v>
      </c>
      <c r="D2311" t="s">
        <v>32</v>
      </c>
      <c r="E2311" t="s">
        <v>24</v>
      </c>
      <c r="F2311" t="s">
        <v>323</v>
      </c>
      <c r="G2311">
        <v>5</v>
      </c>
      <c r="H2311" t="s">
        <v>49</v>
      </c>
      <c r="I2311" t="s">
        <v>50</v>
      </c>
      <c r="J2311" t="s">
        <v>51</v>
      </c>
      <c r="K2311" t="s">
        <v>3067</v>
      </c>
      <c r="R2311">
        <v>12</v>
      </c>
    </row>
    <row r="2312" spans="1:18" x14ac:dyDescent="0.25">
      <c r="A2312" t="s">
        <v>3068</v>
      </c>
      <c r="B2312" s="1">
        <v>44455</v>
      </c>
      <c r="C2312" t="s">
        <v>1398</v>
      </c>
      <c r="D2312" t="s">
        <v>32</v>
      </c>
      <c r="E2312" t="s">
        <v>24</v>
      </c>
      <c r="F2312" t="s">
        <v>215</v>
      </c>
      <c r="G2312">
        <v>10</v>
      </c>
      <c r="H2312" t="s">
        <v>464</v>
      </c>
      <c r="I2312" t="s">
        <v>943</v>
      </c>
      <c r="J2312" t="s">
        <v>944</v>
      </c>
      <c r="K2312" t="s">
        <v>3069</v>
      </c>
    </row>
    <row r="2313" spans="1:18" x14ac:dyDescent="0.25">
      <c r="A2313" t="s">
        <v>3111</v>
      </c>
      <c r="B2313" s="1">
        <v>44462</v>
      </c>
      <c r="C2313" t="s">
        <v>652</v>
      </c>
      <c r="D2313" t="s">
        <v>32</v>
      </c>
      <c r="E2313" t="s">
        <v>24</v>
      </c>
      <c r="F2313" t="s">
        <v>243</v>
      </c>
      <c r="G2313">
        <v>45</v>
      </c>
      <c r="H2313" t="s">
        <v>188</v>
      </c>
      <c r="I2313" t="s">
        <v>575</v>
      </c>
      <c r="J2313" t="s">
        <v>576</v>
      </c>
      <c r="K2313" t="s">
        <v>3112</v>
      </c>
      <c r="R2313">
        <v>148</v>
      </c>
    </row>
    <row r="2314" spans="1:18" x14ac:dyDescent="0.25">
      <c r="A2314" t="s">
        <v>3113</v>
      </c>
      <c r="B2314" s="1">
        <v>44462</v>
      </c>
      <c r="C2314" t="s">
        <v>3114</v>
      </c>
      <c r="D2314" t="s">
        <v>32</v>
      </c>
      <c r="E2314" t="s">
        <v>24</v>
      </c>
      <c r="F2314" t="s">
        <v>323</v>
      </c>
      <c r="G2314">
        <v>5</v>
      </c>
      <c r="H2314" t="s">
        <v>26</v>
      </c>
      <c r="I2314" t="s">
        <v>423</v>
      </c>
      <c r="J2314" t="s">
        <v>505</v>
      </c>
      <c r="K2314" t="s">
        <v>3115</v>
      </c>
      <c r="L2314">
        <v>27</v>
      </c>
      <c r="M2314">
        <v>89</v>
      </c>
      <c r="N2314" s="2">
        <v>0.32</v>
      </c>
      <c r="O2314">
        <v>96</v>
      </c>
      <c r="P2314">
        <v>15.46</v>
      </c>
      <c r="Q2314">
        <v>1.29</v>
      </c>
      <c r="R2314">
        <v>33</v>
      </c>
    </row>
    <row r="2315" spans="1:18" x14ac:dyDescent="0.25">
      <c r="A2315" t="s">
        <v>3116</v>
      </c>
      <c r="B2315" s="1">
        <v>44462</v>
      </c>
      <c r="C2315" t="s">
        <v>3117</v>
      </c>
      <c r="D2315" t="s">
        <v>32</v>
      </c>
      <c r="E2315" t="s">
        <v>24</v>
      </c>
      <c r="F2315" t="s">
        <v>33</v>
      </c>
      <c r="G2315">
        <v>45</v>
      </c>
      <c r="H2315" t="s">
        <v>26</v>
      </c>
      <c r="I2315" t="s">
        <v>370</v>
      </c>
      <c r="J2315" t="s">
        <v>439</v>
      </c>
      <c r="K2315" t="s">
        <v>1790</v>
      </c>
      <c r="L2315">
        <v>266</v>
      </c>
      <c r="M2315">
        <v>98</v>
      </c>
      <c r="N2315" s="2">
        <v>0.35</v>
      </c>
      <c r="O2315">
        <v>88</v>
      </c>
      <c r="P2315">
        <v>16.02</v>
      </c>
      <c r="Q2315">
        <v>12.02</v>
      </c>
      <c r="R2315">
        <v>328</v>
      </c>
    </row>
    <row r="2316" spans="1:18" x14ac:dyDescent="0.25">
      <c r="A2316" t="s">
        <v>3118</v>
      </c>
      <c r="B2316" s="1">
        <v>44462</v>
      </c>
      <c r="C2316" t="s">
        <v>1819</v>
      </c>
      <c r="D2316" t="s">
        <v>32</v>
      </c>
      <c r="E2316" t="s">
        <v>24</v>
      </c>
      <c r="F2316" t="s">
        <v>237</v>
      </c>
      <c r="G2316">
        <v>15</v>
      </c>
      <c r="H2316" t="s">
        <v>464</v>
      </c>
      <c r="I2316" t="s">
        <v>943</v>
      </c>
      <c r="J2316" t="s">
        <v>1709</v>
      </c>
      <c r="K2316" t="s">
        <v>3110</v>
      </c>
    </row>
    <row r="2317" spans="1:18" x14ac:dyDescent="0.25">
      <c r="A2317" t="s">
        <v>3183</v>
      </c>
      <c r="B2317" s="1">
        <v>44469</v>
      </c>
      <c r="C2317" t="s">
        <v>1912</v>
      </c>
      <c r="D2317" t="s">
        <v>32</v>
      </c>
      <c r="E2317" t="s">
        <v>24</v>
      </c>
      <c r="F2317" t="s">
        <v>323</v>
      </c>
      <c r="G2317">
        <v>30</v>
      </c>
      <c r="H2317" t="s">
        <v>26</v>
      </c>
      <c r="I2317" t="s">
        <v>370</v>
      </c>
      <c r="J2317" t="s">
        <v>2585</v>
      </c>
      <c r="K2317" t="s">
        <v>3184</v>
      </c>
      <c r="L2317">
        <v>167</v>
      </c>
      <c r="M2317">
        <v>93</v>
      </c>
      <c r="N2317" s="2">
        <v>0.35</v>
      </c>
      <c r="O2317">
        <v>86</v>
      </c>
      <c r="P2317">
        <v>15.54</v>
      </c>
      <c r="Q2317">
        <v>7.77</v>
      </c>
      <c r="R2317">
        <v>206</v>
      </c>
    </row>
    <row r="2318" spans="1:18" x14ac:dyDescent="0.25">
      <c r="A2318" t="s">
        <v>3185</v>
      </c>
      <c r="B2318" s="1">
        <v>44469</v>
      </c>
      <c r="C2318" t="s">
        <v>3186</v>
      </c>
      <c r="D2318" t="s">
        <v>32</v>
      </c>
      <c r="E2318" t="s">
        <v>24</v>
      </c>
      <c r="F2318" t="s">
        <v>747</v>
      </c>
      <c r="G2318">
        <v>20</v>
      </c>
      <c r="H2318" t="s">
        <v>26</v>
      </c>
      <c r="I2318" t="s">
        <v>39</v>
      </c>
      <c r="J2318" t="s">
        <v>870</v>
      </c>
      <c r="K2318" t="s">
        <v>3187</v>
      </c>
      <c r="L2318">
        <v>98</v>
      </c>
      <c r="M2318">
        <v>81</v>
      </c>
      <c r="N2318" s="2">
        <v>0.34</v>
      </c>
      <c r="O2318">
        <v>84</v>
      </c>
      <c r="P2318">
        <v>14.81</v>
      </c>
      <c r="Q2318">
        <v>4.9400000000000004</v>
      </c>
      <c r="R2318">
        <v>120</v>
      </c>
    </row>
    <row r="2319" spans="1:18" x14ac:dyDescent="0.25">
      <c r="A2319" t="s">
        <v>3188</v>
      </c>
      <c r="B2319" s="1">
        <v>44469</v>
      </c>
      <c r="C2319" t="s">
        <v>2111</v>
      </c>
      <c r="D2319" t="s">
        <v>32</v>
      </c>
      <c r="E2319" t="s">
        <v>24</v>
      </c>
      <c r="F2319" t="s">
        <v>747</v>
      </c>
      <c r="G2319">
        <v>5</v>
      </c>
      <c r="H2319" t="s">
        <v>49</v>
      </c>
      <c r="I2319" t="s">
        <v>50</v>
      </c>
      <c r="J2319" t="s">
        <v>51</v>
      </c>
      <c r="K2319" t="s">
        <v>2189</v>
      </c>
      <c r="R2319">
        <v>11</v>
      </c>
    </row>
    <row r="2320" spans="1:18" x14ac:dyDescent="0.25">
      <c r="A2320" t="s">
        <v>3189</v>
      </c>
      <c r="B2320" s="1">
        <v>44469</v>
      </c>
      <c r="C2320" t="s">
        <v>3190</v>
      </c>
      <c r="D2320" t="s">
        <v>32</v>
      </c>
      <c r="E2320" t="s">
        <v>24</v>
      </c>
      <c r="F2320" t="s">
        <v>292</v>
      </c>
      <c r="G2320">
        <v>20</v>
      </c>
      <c r="H2320" t="s">
        <v>194</v>
      </c>
      <c r="I2320" t="s">
        <v>1445</v>
      </c>
      <c r="J2320" t="s">
        <v>3191</v>
      </c>
      <c r="K2320" t="s">
        <v>3192</v>
      </c>
      <c r="R2320">
        <v>92</v>
      </c>
    </row>
    <row r="2321" spans="1:18" x14ac:dyDescent="0.25">
      <c r="A2321" t="s">
        <v>3193</v>
      </c>
      <c r="B2321" s="1">
        <v>44469</v>
      </c>
      <c r="C2321" t="s">
        <v>3194</v>
      </c>
      <c r="D2321" t="s">
        <v>32</v>
      </c>
      <c r="E2321" t="s">
        <v>24</v>
      </c>
      <c r="F2321" t="s">
        <v>2256</v>
      </c>
      <c r="G2321">
        <v>5</v>
      </c>
      <c r="H2321" t="s">
        <v>194</v>
      </c>
      <c r="I2321" t="s">
        <v>195</v>
      </c>
      <c r="J2321" t="s">
        <v>196</v>
      </c>
      <c r="K2321" t="s">
        <v>3195</v>
      </c>
    </row>
    <row r="2322" spans="1:18" x14ac:dyDescent="0.25">
      <c r="A2322" t="s">
        <v>3196</v>
      </c>
      <c r="B2322" s="1">
        <v>44469</v>
      </c>
      <c r="C2322" t="s">
        <v>1637</v>
      </c>
      <c r="D2322" t="s">
        <v>32</v>
      </c>
      <c r="E2322" t="s">
        <v>24</v>
      </c>
      <c r="F2322" t="s">
        <v>237</v>
      </c>
      <c r="G2322">
        <v>10</v>
      </c>
      <c r="H2322" t="s">
        <v>464</v>
      </c>
      <c r="I2322" t="s">
        <v>943</v>
      </c>
      <c r="J2322" t="s">
        <v>944</v>
      </c>
      <c r="K2322" t="s">
        <v>3197</v>
      </c>
    </row>
    <row r="2323" spans="1:18" x14ac:dyDescent="0.25">
      <c r="A2323" t="s">
        <v>3254</v>
      </c>
      <c r="B2323" s="1">
        <v>44476</v>
      </c>
      <c r="C2323" t="s">
        <v>1986</v>
      </c>
      <c r="D2323" t="s">
        <v>32</v>
      </c>
      <c r="E2323" t="s">
        <v>24</v>
      </c>
      <c r="F2323" t="s">
        <v>2708</v>
      </c>
      <c r="G2323">
        <v>60</v>
      </c>
      <c r="H2323" t="s">
        <v>188</v>
      </c>
      <c r="I2323" t="s">
        <v>3255</v>
      </c>
      <c r="J2323" t="s">
        <v>3256</v>
      </c>
      <c r="K2323" t="s">
        <v>3257</v>
      </c>
      <c r="R2323">
        <v>194</v>
      </c>
    </row>
    <row r="2324" spans="1:18" x14ac:dyDescent="0.25">
      <c r="A2324" t="s">
        <v>3258</v>
      </c>
      <c r="B2324" s="1">
        <v>44476</v>
      </c>
      <c r="C2324" t="s">
        <v>3259</v>
      </c>
      <c r="D2324" t="s">
        <v>32</v>
      </c>
      <c r="E2324" t="s">
        <v>24</v>
      </c>
      <c r="F2324" t="s">
        <v>335</v>
      </c>
      <c r="G2324">
        <v>45</v>
      </c>
      <c r="H2324" t="s">
        <v>26</v>
      </c>
      <c r="I2324" t="s">
        <v>370</v>
      </c>
      <c r="J2324" t="s">
        <v>439</v>
      </c>
      <c r="K2324" t="s">
        <v>3260</v>
      </c>
      <c r="L2324">
        <v>276</v>
      </c>
      <c r="M2324">
        <v>102</v>
      </c>
      <c r="N2324" s="2">
        <v>0.38</v>
      </c>
      <c r="O2324">
        <v>82</v>
      </c>
      <c r="P2324">
        <v>16.260000000000002</v>
      </c>
      <c r="Q2324">
        <v>12.2</v>
      </c>
      <c r="R2324">
        <v>341</v>
      </c>
    </row>
    <row r="2325" spans="1:18" x14ac:dyDescent="0.25">
      <c r="A2325" t="s">
        <v>3261</v>
      </c>
      <c r="B2325" s="1">
        <v>44476</v>
      </c>
      <c r="C2325" t="s">
        <v>1643</v>
      </c>
      <c r="D2325" t="s">
        <v>32</v>
      </c>
      <c r="E2325" t="s">
        <v>24</v>
      </c>
      <c r="F2325" t="s">
        <v>335</v>
      </c>
      <c r="G2325">
        <v>5</v>
      </c>
      <c r="H2325" t="s">
        <v>26</v>
      </c>
      <c r="I2325" t="s">
        <v>358</v>
      </c>
      <c r="J2325" t="s">
        <v>359</v>
      </c>
      <c r="K2325" t="s">
        <v>3262</v>
      </c>
      <c r="L2325">
        <v>22</v>
      </c>
      <c r="M2325">
        <v>74</v>
      </c>
      <c r="N2325" s="2">
        <v>0.32</v>
      </c>
      <c r="O2325">
        <v>84</v>
      </c>
      <c r="P2325">
        <v>14.2</v>
      </c>
      <c r="Q2325">
        <v>1.18</v>
      </c>
      <c r="R2325">
        <v>27</v>
      </c>
    </row>
    <row r="2326" spans="1:18" x14ac:dyDescent="0.25">
      <c r="A2326" t="s">
        <v>3263</v>
      </c>
      <c r="B2326" s="1">
        <v>44476</v>
      </c>
      <c r="C2326" t="s">
        <v>3264</v>
      </c>
      <c r="D2326" t="s">
        <v>32</v>
      </c>
      <c r="E2326" t="s">
        <v>24</v>
      </c>
      <c r="F2326" t="s">
        <v>2833</v>
      </c>
      <c r="G2326">
        <v>5</v>
      </c>
      <c r="H2326" t="s">
        <v>49</v>
      </c>
      <c r="I2326" t="s">
        <v>50</v>
      </c>
      <c r="J2326" t="s">
        <v>51</v>
      </c>
      <c r="K2326" t="s">
        <v>2834</v>
      </c>
      <c r="R2326">
        <v>11</v>
      </c>
    </row>
    <row r="2327" spans="1:18" x14ac:dyDescent="0.25">
      <c r="A2327" t="s">
        <v>3265</v>
      </c>
      <c r="B2327" s="1">
        <v>44476</v>
      </c>
      <c r="C2327" t="s">
        <v>247</v>
      </c>
      <c r="D2327" t="s">
        <v>32</v>
      </c>
      <c r="E2327" t="s">
        <v>24</v>
      </c>
      <c r="F2327" t="s">
        <v>215</v>
      </c>
      <c r="G2327">
        <v>10</v>
      </c>
      <c r="H2327" t="s">
        <v>464</v>
      </c>
      <c r="I2327" t="s">
        <v>579</v>
      </c>
      <c r="J2327" t="s">
        <v>1000</v>
      </c>
      <c r="K2327" t="s">
        <v>3266</v>
      </c>
    </row>
    <row r="2328" spans="1:18" x14ac:dyDescent="0.25">
      <c r="A2328" t="s">
        <v>3326</v>
      </c>
      <c r="B2328" s="1">
        <v>44483</v>
      </c>
      <c r="C2328" t="s">
        <v>3327</v>
      </c>
      <c r="D2328" t="s">
        <v>32</v>
      </c>
      <c r="E2328" t="s">
        <v>24</v>
      </c>
      <c r="F2328" t="s">
        <v>243</v>
      </c>
      <c r="G2328">
        <v>15</v>
      </c>
      <c r="H2328" t="s">
        <v>188</v>
      </c>
      <c r="I2328" t="s">
        <v>254</v>
      </c>
      <c r="J2328" t="s">
        <v>3328</v>
      </c>
      <c r="K2328" t="s">
        <v>3329</v>
      </c>
      <c r="R2328">
        <v>40</v>
      </c>
    </row>
    <row r="2329" spans="1:18" x14ac:dyDescent="0.25">
      <c r="A2329" t="s">
        <v>3330</v>
      </c>
      <c r="B2329" s="1">
        <v>44483</v>
      </c>
      <c r="C2329" t="s">
        <v>2166</v>
      </c>
      <c r="D2329" t="s">
        <v>32</v>
      </c>
      <c r="E2329" t="s">
        <v>24</v>
      </c>
      <c r="F2329" t="s">
        <v>2256</v>
      </c>
      <c r="G2329">
        <v>10</v>
      </c>
      <c r="H2329" t="s">
        <v>194</v>
      </c>
      <c r="I2329" t="s">
        <v>195</v>
      </c>
      <c r="J2329" t="s">
        <v>211</v>
      </c>
      <c r="K2329" t="s">
        <v>3331</v>
      </c>
      <c r="R2329">
        <v>46</v>
      </c>
    </row>
    <row r="2330" spans="1:18" x14ac:dyDescent="0.25">
      <c r="A2330" t="s">
        <v>3332</v>
      </c>
      <c r="B2330" s="1">
        <v>44483</v>
      </c>
      <c r="C2330" t="s">
        <v>2360</v>
      </c>
      <c r="D2330" t="s">
        <v>32</v>
      </c>
      <c r="E2330" t="s">
        <v>24</v>
      </c>
      <c r="F2330" t="s">
        <v>323</v>
      </c>
      <c r="G2330">
        <v>5</v>
      </c>
      <c r="H2330" t="s">
        <v>26</v>
      </c>
      <c r="I2330" t="s">
        <v>423</v>
      </c>
      <c r="J2330" t="s">
        <v>505</v>
      </c>
      <c r="K2330" t="s">
        <v>1790</v>
      </c>
      <c r="L2330">
        <v>25</v>
      </c>
      <c r="M2330">
        <v>82</v>
      </c>
      <c r="N2330" s="2">
        <v>0.32</v>
      </c>
      <c r="O2330">
        <v>91</v>
      </c>
      <c r="P2330">
        <v>14.9</v>
      </c>
      <c r="Q2330">
        <v>1.24</v>
      </c>
      <c r="R2330">
        <v>30</v>
      </c>
    </row>
    <row r="2331" spans="1:18" x14ac:dyDescent="0.25">
      <c r="A2331" t="s">
        <v>3333</v>
      </c>
      <c r="B2331" s="1">
        <v>44483</v>
      </c>
      <c r="C2331" t="s">
        <v>1712</v>
      </c>
      <c r="D2331" t="s">
        <v>32</v>
      </c>
      <c r="E2331" t="s">
        <v>24</v>
      </c>
      <c r="F2331" t="s">
        <v>323</v>
      </c>
      <c r="G2331">
        <v>45</v>
      </c>
      <c r="H2331" t="s">
        <v>26</v>
      </c>
      <c r="I2331" t="s">
        <v>370</v>
      </c>
      <c r="J2331" t="s">
        <v>479</v>
      </c>
      <c r="K2331" t="s">
        <v>1765</v>
      </c>
      <c r="L2331">
        <v>287</v>
      </c>
      <c r="M2331">
        <v>106</v>
      </c>
      <c r="N2331" s="2">
        <v>0.38</v>
      </c>
      <c r="O2331">
        <v>85</v>
      </c>
      <c r="P2331">
        <v>16.36</v>
      </c>
      <c r="Q2331">
        <v>12.28</v>
      </c>
      <c r="R2331">
        <v>354</v>
      </c>
    </row>
    <row r="2332" spans="1:18" x14ac:dyDescent="0.25">
      <c r="A2332" t="s">
        <v>3334</v>
      </c>
      <c r="B2332" s="1">
        <v>44483</v>
      </c>
      <c r="C2332" t="s">
        <v>3335</v>
      </c>
      <c r="D2332" t="s">
        <v>32</v>
      </c>
      <c r="E2332" t="s">
        <v>24</v>
      </c>
      <c r="F2332" t="s">
        <v>2833</v>
      </c>
      <c r="G2332">
        <v>5</v>
      </c>
      <c r="H2332" t="s">
        <v>26</v>
      </c>
      <c r="I2332" t="s">
        <v>358</v>
      </c>
      <c r="J2332" t="s">
        <v>359</v>
      </c>
      <c r="K2332" t="s">
        <v>3336</v>
      </c>
      <c r="L2332">
        <v>17</v>
      </c>
      <c r="M2332">
        <v>58</v>
      </c>
      <c r="N2332" s="2">
        <v>0.32</v>
      </c>
      <c r="O2332">
        <v>74</v>
      </c>
      <c r="P2332">
        <v>12.7</v>
      </c>
      <c r="Q2332">
        <v>1.05</v>
      </c>
      <c r="R2332">
        <v>21</v>
      </c>
    </row>
    <row r="2333" spans="1:18" x14ac:dyDescent="0.25">
      <c r="A2333" t="s">
        <v>3337</v>
      </c>
      <c r="B2333" s="1">
        <v>44483</v>
      </c>
      <c r="C2333" t="s">
        <v>1546</v>
      </c>
      <c r="D2333" t="s">
        <v>32</v>
      </c>
      <c r="E2333" t="s">
        <v>24</v>
      </c>
      <c r="F2333" t="s">
        <v>490</v>
      </c>
      <c r="G2333">
        <v>5</v>
      </c>
      <c r="H2333" t="s">
        <v>49</v>
      </c>
      <c r="I2333" t="s">
        <v>50</v>
      </c>
      <c r="J2333" t="s">
        <v>51</v>
      </c>
      <c r="K2333" t="s">
        <v>3338</v>
      </c>
      <c r="R2333">
        <v>11</v>
      </c>
    </row>
    <row r="2334" spans="1:18" x14ac:dyDescent="0.25">
      <c r="A2334" t="s">
        <v>3339</v>
      </c>
      <c r="B2334" s="1">
        <v>44483</v>
      </c>
      <c r="C2334" t="s">
        <v>1454</v>
      </c>
      <c r="D2334" t="s">
        <v>32</v>
      </c>
      <c r="E2334" t="s">
        <v>24</v>
      </c>
      <c r="F2334" t="s">
        <v>200</v>
      </c>
      <c r="G2334">
        <v>10</v>
      </c>
      <c r="H2334" t="s">
        <v>464</v>
      </c>
      <c r="I2334" t="s">
        <v>763</v>
      </c>
      <c r="J2334" t="s">
        <v>914</v>
      </c>
      <c r="K2334" t="s">
        <v>3325</v>
      </c>
    </row>
    <row r="2335" spans="1:18" x14ac:dyDescent="0.25">
      <c r="A2335" t="s">
        <v>3392</v>
      </c>
      <c r="B2335" s="1">
        <v>44490</v>
      </c>
      <c r="C2335" t="s">
        <v>2921</v>
      </c>
      <c r="D2335" t="s">
        <v>32</v>
      </c>
      <c r="E2335" t="s">
        <v>24</v>
      </c>
      <c r="F2335" t="s">
        <v>237</v>
      </c>
      <c r="G2335">
        <v>30</v>
      </c>
      <c r="H2335" t="s">
        <v>188</v>
      </c>
      <c r="I2335" t="s">
        <v>238</v>
      </c>
      <c r="J2335" t="s">
        <v>3393</v>
      </c>
      <c r="K2335" t="s">
        <v>3394</v>
      </c>
      <c r="R2335">
        <v>102</v>
      </c>
    </row>
    <row r="2336" spans="1:18" x14ac:dyDescent="0.25">
      <c r="A2336" t="s">
        <v>3395</v>
      </c>
      <c r="B2336" s="1">
        <v>44490</v>
      </c>
      <c r="C2336" t="s">
        <v>3396</v>
      </c>
      <c r="D2336" t="s">
        <v>32</v>
      </c>
      <c r="E2336" t="s">
        <v>24</v>
      </c>
      <c r="F2336" t="s">
        <v>323</v>
      </c>
      <c r="G2336">
        <v>30</v>
      </c>
      <c r="H2336" t="s">
        <v>26</v>
      </c>
      <c r="I2336" t="s">
        <v>370</v>
      </c>
      <c r="J2336" t="s">
        <v>880</v>
      </c>
      <c r="K2336" t="s">
        <v>3397</v>
      </c>
      <c r="L2336">
        <v>166</v>
      </c>
      <c r="M2336">
        <v>92</v>
      </c>
      <c r="N2336" s="2">
        <v>0.35</v>
      </c>
      <c r="O2336">
        <v>88</v>
      </c>
      <c r="P2336">
        <v>15.55</v>
      </c>
      <c r="Q2336">
        <v>7.77</v>
      </c>
      <c r="R2336">
        <v>205</v>
      </c>
    </row>
    <row r="2337" spans="1:18" x14ac:dyDescent="0.25">
      <c r="A2337" t="s">
        <v>3398</v>
      </c>
      <c r="B2337" s="1">
        <v>44490</v>
      </c>
      <c r="C2337" t="s">
        <v>3399</v>
      </c>
      <c r="D2337" t="s">
        <v>32</v>
      </c>
      <c r="E2337" t="s">
        <v>24</v>
      </c>
      <c r="F2337" t="s">
        <v>323</v>
      </c>
      <c r="G2337">
        <v>5</v>
      </c>
      <c r="H2337" t="s">
        <v>49</v>
      </c>
      <c r="I2337" t="s">
        <v>50</v>
      </c>
      <c r="J2337" t="s">
        <v>51</v>
      </c>
      <c r="K2337" t="s">
        <v>2791</v>
      </c>
      <c r="R2337">
        <v>11</v>
      </c>
    </row>
    <row r="2338" spans="1:18" x14ac:dyDescent="0.25">
      <c r="A2338" t="s">
        <v>3433</v>
      </c>
      <c r="B2338" s="1">
        <v>44497</v>
      </c>
      <c r="C2338" t="s">
        <v>418</v>
      </c>
      <c r="D2338" t="s">
        <v>32</v>
      </c>
      <c r="E2338" t="s">
        <v>24</v>
      </c>
      <c r="F2338" t="s">
        <v>215</v>
      </c>
      <c r="G2338">
        <v>20</v>
      </c>
      <c r="H2338" t="s">
        <v>188</v>
      </c>
      <c r="I2338" t="s">
        <v>189</v>
      </c>
      <c r="J2338" t="s">
        <v>3434</v>
      </c>
      <c r="K2338" t="s">
        <v>3435</v>
      </c>
      <c r="R2338">
        <v>65</v>
      </c>
    </row>
    <row r="2339" spans="1:18" x14ac:dyDescent="0.25">
      <c r="A2339" t="s">
        <v>3436</v>
      </c>
      <c r="B2339" s="1">
        <v>44497</v>
      </c>
      <c r="C2339" t="s">
        <v>3437</v>
      </c>
      <c r="D2339" t="s">
        <v>32</v>
      </c>
      <c r="E2339" t="s">
        <v>24</v>
      </c>
      <c r="F2339" t="s">
        <v>323</v>
      </c>
      <c r="G2339">
        <v>45</v>
      </c>
      <c r="H2339" t="s">
        <v>26</v>
      </c>
      <c r="I2339" t="s">
        <v>370</v>
      </c>
      <c r="J2339" t="s">
        <v>479</v>
      </c>
      <c r="K2339" t="s">
        <v>3438</v>
      </c>
      <c r="L2339">
        <v>277</v>
      </c>
      <c r="M2339">
        <v>103</v>
      </c>
      <c r="N2339" s="2">
        <v>0.36</v>
      </c>
      <c r="O2339">
        <v>86</v>
      </c>
      <c r="P2339">
        <v>16</v>
      </c>
      <c r="Q2339">
        <v>12</v>
      </c>
      <c r="R2339">
        <v>341</v>
      </c>
    </row>
    <row r="2340" spans="1:18" x14ac:dyDescent="0.25">
      <c r="A2340" t="s">
        <v>3439</v>
      </c>
      <c r="B2340" s="1">
        <v>44497</v>
      </c>
      <c r="C2340" t="s">
        <v>2334</v>
      </c>
      <c r="D2340" t="s">
        <v>32</v>
      </c>
      <c r="E2340" t="s">
        <v>24</v>
      </c>
      <c r="F2340" t="s">
        <v>323</v>
      </c>
      <c r="G2340">
        <v>5</v>
      </c>
      <c r="H2340" t="s">
        <v>49</v>
      </c>
      <c r="I2340" t="s">
        <v>50</v>
      </c>
      <c r="J2340" t="s">
        <v>51</v>
      </c>
      <c r="K2340" t="s">
        <v>2791</v>
      </c>
      <c r="R2340">
        <v>12</v>
      </c>
    </row>
    <row r="2341" spans="1:18" x14ac:dyDescent="0.25">
      <c r="A2341" t="s">
        <v>3440</v>
      </c>
      <c r="B2341" s="1">
        <v>44497</v>
      </c>
      <c r="C2341" t="s">
        <v>985</v>
      </c>
      <c r="D2341" t="s">
        <v>32</v>
      </c>
      <c r="E2341" t="s">
        <v>24</v>
      </c>
      <c r="F2341" t="s">
        <v>215</v>
      </c>
      <c r="G2341">
        <v>10</v>
      </c>
      <c r="H2341" t="s">
        <v>464</v>
      </c>
      <c r="I2341" t="s">
        <v>103</v>
      </c>
      <c r="J2341" t="s">
        <v>3441</v>
      </c>
      <c r="K2341" t="s">
        <v>3442</v>
      </c>
    </row>
    <row r="2342" spans="1:18" x14ac:dyDescent="0.25">
      <c r="A2342" t="s">
        <v>3480</v>
      </c>
      <c r="B2342" s="1">
        <v>44504</v>
      </c>
      <c r="C2342" t="s">
        <v>3481</v>
      </c>
      <c r="D2342" t="s">
        <v>32</v>
      </c>
      <c r="E2342" t="s">
        <v>24</v>
      </c>
      <c r="F2342" t="s">
        <v>208</v>
      </c>
      <c r="G2342">
        <v>10</v>
      </c>
      <c r="H2342" t="s">
        <v>464</v>
      </c>
      <c r="I2342" t="s">
        <v>579</v>
      </c>
      <c r="J2342" t="s">
        <v>1820</v>
      </c>
      <c r="K2342" t="s">
        <v>3482</v>
      </c>
    </row>
    <row r="2343" spans="1:18" x14ac:dyDescent="0.25">
      <c r="A2343" t="s">
        <v>3483</v>
      </c>
      <c r="B2343" s="1">
        <v>44504</v>
      </c>
      <c r="C2343" t="s">
        <v>1248</v>
      </c>
      <c r="D2343" t="s">
        <v>32</v>
      </c>
      <c r="E2343" t="s">
        <v>24</v>
      </c>
      <c r="F2343" t="s">
        <v>459</v>
      </c>
      <c r="G2343">
        <v>15</v>
      </c>
      <c r="H2343" t="s">
        <v>464</v>
      </c>
      <c r="I2343" t="s">
        <v>763</v>
      </c>
      <c r="J2343" t="s">
        <v>2508</v>
      </c>
      <c r="K2343" t="s">
        <v>3484</v>
      </c>
    </row>
    <row r="2344" spans="1:18" x14ac:dyDescent="0.25">
      <c r="A2344" t="s">
        <v>3560</v>
      </c>
      <c r="B2344" s="1">
        <v>44511</v>
      </c>
      <c r="C2344" t="s">
        <v>1107</v>
      </c>
      <c r="D2344" t="s">
        <v>32</v>
      </c>
      <c r="E2344" t="s">
        <v>24</v>
      </c>
      <c r="F2344" t="s">
        <v>215</v>
      </c>
      <c r="G2344">
        <v>30</v>
      </c>
      <c r="H2344" t="s">
        <v>188</v>
      </c>
      <c r="I2344" t="s">
        <v>189</v>
      </c>
      <c r="J2344" t="s">
        <v>3149</v>
      </c>
      <c r="K2344" t="s">
        <v>3561</v>
      </c>
      <c r="R2344">
        <v>98</v>
      </c>
    </row>
    <row r="2345" spans="1:18" x14ac:dyDescent="0.25">
      <c r="A2345" t="s">
        <v>3562</v>
      </c>
      <c r="B2345" s="1">
        <v>44511</v>
      </c>
      <c r="C2345" t="s">
        <v>1113</v>
      </c>
      <c r="D2345" t="s">
        <v>32</v>
      </c>
      <c r="E2345" t="s">
        <v>24</v>
      </c>
      <c r="F2345" t="s">
        <v>305</v>
      </c>
      <c r="G2345">
        <v>5</v>
      </c>
      <c r="H2345" t="s">
        <v>194</v>
      </c>
      <c r="I2345" t="s">
        <v>195</v>
      </c>
      <c r="J2345" t="s">
        <v>196</v>
      </c>
      <c r="K2345" t="s">
        <v>3563</v>
      </c>
      <c r="R2345">
        <v>23</v>
      </c>
    </row>
    <row r="2346" spans="1:18" x14ac:dyDescent="0.25">
      <c r="A2346" t="s">
        <v>3564</v>
      </c>
      <c r="B2346" s="1">
        <v>44511</v>
      </c>
      <c r="C2346" t="s">
        <v>3565</v>
      </c>
      <c r="D2346" t="s">
        <v>32</v>
      </c>
      <c r="E2346" t="s">
        <v>24</v>
      </c>
      <c r="F2346" t="s">
        <v>323</v>
      </c>
      <c r="G2346">
        <v>45</v>
      </c>
      <c r="H2346" t="s">
        <v>26</v>
      </c>
      <c r="I2346" t="s">
        <v>370</v>
      </c>
      <c r="J2346" t="s">
        <v>439</v>
      </c>
      <c r="K2346" t="s">
        <v>3566</v>
      </c>
      <c r="L2346">
        <v>261</v>
      </c>
      <c r="M2346">
        <v>97</v>
      </c>
      <c r="N2346" s="2">
        <v>0.37</v>
      </c>
      <c r="O2346">
        <v>83</v>
      </c>
      <c r="P2346">
        <v>15.89</v>
      </c>
      <c r="Q2346">
        <v>11.92</v>
      </c>
      <c r="R2346">
        <v>322</v>
      </c>
    </row>
    <row r="2347" spans="1:18" x14ac:dyDescent="0.25">
      <c r="A2347" t="s">
        <v>3567</v>
      </c>
      <c r="B2347" s="1">
        <v>44511</v>
      </c>
      <c r="C2347" t="s">
        <v>3568</v>
      </c>
      <c r="D2347" t="s">
        <v>32</v>
      </c>
      <c r="E2347" t="s">
        <v>24</v>
      </c>
      <c r="F2347" t="s">
        <v>292</v>
      </c>
      <c r="G2347">
        <v>15</v>
      </c>
      <c r="H2347" t="s">
        <v>194</v>
      </c>
      <c r="I2347" t="s">
        <v>232</v>
      </c>
      <c r="J2347" t="s">
        <v>993</v>
      </c>
      <c r="K2347" t="s">
        <v>3569</v>
      </c>
      <c r="R2347">
        <v>69</v>
      </c>
    </row>
    <row r="2348" spans="1:18" x14ac:dyDescent="0.25">
      <c r="A2348" t="s">
        <v>3570</v>
      </c>
      <c r="B2348" s="1">
        <v>44511</v>
      </c>
      <c r="C2348" t="s">
        <v>3571</v>
      </c>
      <c r="D2348" t="s">
        <v>32</v>
      </c>
      <c r="E2348" t="s">
        <v>24</v>
      </c>
      <c r="F2348" t="s">
        <v>170</v>
      </c>
      <c r="G2348">
        <v>5</v>
      </c>
      <c r="H2348" t="s">
        <v>49</v>
      </c>
      <c r="I2348" t="s">
        <v>50</v>
      </c>
      <c r="J2348" t="s">
        <v>51</v>
      </c>
      <c r="K2348" t="s">
        <v>3572</v>
      </c>
      <c r="R2348">
        <v>11</v>
      </c>
    </row>
    <row r="2349" spans="1:18" x14ac:dyDescent="0.25">
      <c r="A2349" t="s">
        <v>3573</v>
      </c>
      <c r="B2349" s="1">
        <v>44511</v>
      </c>
      <c r="C2349" t="s">
        <v>401</v>
      </c>
      <c r="D2349" t="s">
        <v>32</v>
      </c>
      <c r="E2349" t="s">
        <v>24</v>
      </c>
      <c r="F2349" t="s">
        <v>237</v>
      </c>
      <c r="G2349">
        <v>10</v>
      </c>
      <c r="H2349" t="s">
        <v>188</v>
      </c>
      <c r="I2349" t="s">
        <v>238</v>
      </c>
      <c r="J2349" t="s">
        <v>674</v>
      </c>
      <c r="K2349" t="s">
        <v>3574</v>
      </c>
      <c r="R2349">
        <v>36</v>
      </c>
    </row>
    <row r="2350" spans="1:18" x14ac:dyDescent="0.25">
      <c r="A2350" t="s">
        <v>3575</v>
      </c>
      <c r="B2350" s="1">
        <v>44511</v>
      </c>
      <c r="C2350" t="s">
        <v>1398</v>
      </c>
      <c r="D2350" t="s">
        <v>32</v>
      </c>
      <c r="E2350" t="s">
        <v>24</v>
      </c>
      <c r="F2350" t="s">
        <v>459</v>
      </c>
      <c r="G2350">
        <v>15</v>
      </c>
      <c r="H2350" t="s">
        <v>464</v>
      </c>
      <c r="I2350" t="s">
        <v>943</v>
      </c>
      <c r="J2350" t="s">
        <v>1709</v>
      </c>
      <c r="K2350" t="s">
        <v>3576</v>
      </c>
    </row>
    <row r="2351" spans="1:18" x14ac:dyDescent="0.25">
      <c r="A2351" t="s">
        <v>3657</v>
      </c>
      <c r="B2351" s="1">
        <v>44518</v>
      </c>
      <c r="C2351" t="s">
        <v>652</v>
      </c>
      <c r="D2351" t="s">
        <v>32</v>
      </c>
      <c r="E2351" t="s">
        <v>24</v>
      </c>
      <c r="F2351" t="s">
        <v>215</v>
      </c>
      <c r="G2351">
        <v>30</v>
      </c>
      <c r="H2351" t="s">
        <v>188</v>
      </c>
      <c r="I2351" t="s">
        <v>189</v>
      </c>
      <c r="J2351" t="s">
        <v>898</v>
      </c>
      <c r="K2351" t="s">
        <v>3658</v>
      </c>
      <c r="R2351">
        <v>102</v>
      </c>
    </row>
    <row r="2352" spans="1:18" x14ac:dyDescent="0.25">
      <c r="A2352" t="s">
        <v>3659</v>
      </c>
      <c r="B2352" s="1">
        <v>44518</v>
      </c>
      <c r="C2352" t="s">
        <v>3660</v>
      </c>
      <c r="D2352" t="s">
        <v>32</v>
      </c>
      <c r="E2352" t="s">
        <v>24</v>
      </c>
      <c r="F2352" t="s">
        <v>180</v>
      </c>
      <c r="G2352">
        <v>5</v>
      </c>
      <c r="H2352" t="s">
        <v>194</v>
      </c>
      <c r="I2352" t="s">
        <v>195</v>
      </c>
      <c r="J2352" t="s">
        <v>196</v>
      </c>
      <c r="K2352" t="s">
        <v>205</v>
      </c>
      <c r="R2352">
        <v>23</v>
      </c>
    </row>
    <row r="2353" spans="1:18" x14ac:dyDescent="0.25">
      <c r="A2353" t="s">
        <v>3661</v>
      </c>
      <c r="B2353" s="1">
        <v>44518</v>
      </c>
      <c r="C2353" t="s">
        <v>3662</v>
      </c>
      <c r="D2353" t="s">
        <v>32</v>
      </c>
      <c r="E2353" t="s">
        <v>24</v>
      </c>
      <c r="F2353" t="s">
        <v>237</v>
      </c>
      <c r="G2353">
        <v>10</v>
      </c>
      <c r="H2353" t="s">
        <v>188</v>
      </c>
      <c r="I2353" t="s">
        <v>238</v>
      </c>
      <c r="J2353" t="s">
        <v>731</v>
      </c>
      <c r="K2353" t="s">
        <v>3663</v>
      </c>
      <c r="R2353">
        <v>34</v>
      </c>
    </row>
    <row r="2354" spans="1:18" x14ac:dyDescent="0.25">
      <c r="A2354" t="s">
        <v>3664</v>
      </c>
      <c r="B2354" s="1">
        <v>44518</v>
      </c>
      <c r="C2354" t="s">
        <v>930</v>
      </c>
      <c r="D2354" t="s">
        <v>32</v>
      </c>
      <c r="E2354" t="s">
        <v>24</v>
      </c>
      <c r="F2354" t="s">
        <v>747</v>
      </c>
      <c r="G2354">
        <v>10</v>
      </c>
      <c r="H2354" t="s">
        <v>26</v>
      </c>
      <c r="I2354" t="s">
        <v>423</v>
      </c>
      <c r="J2354" t="s">
        <v>3665</v>
      </c>
      <c r="K2354" t="s">
        <v>3666</v>
      </c>
      <c r="L2354">
        <v>57</v>
      </c>
      <c r="M2354">
        <v>96</v>
      </c>
      <c r="N2354" s="2">
        <v>0.35</v>
      </c>
      <c r="O2354">
        <v>88</v>
      </c>
      <c r="P2354">
        <v>15.76</v>
      </c>
      <c r="Q2354">
        <v>2.63</v>
      </c>
      <c r="R2354">
        <v>71</v>
      </c>
    </row>
    <row r="2355" spans="1:18" x14ac:dyDescent="0.25">
      <c r="A2355" t="s">
        <v>3667</v>
      </c>
      <c r="B2355" s="1">
        <v>44518</v>
      </c>
      <c r="C2355" t="s">
        <v>3668</v>
      </c>
      <c r="D2355" t="s">
        <v>32</v>
      </c>
      <c r="E2355" t="s">
        <v>24</v>
      </c>
      <c r="F2355" t="s">
        <v>243</v>
      </c>
      <c r="G2355">
        <v>45</v>
      </c>
      <c r="H2355" t="s">
        <v>26</v>
      </c>
      <c r="I2355" t="s">
        <v>370</v>
      </c>
      <c r="J2355" t="s">
        <v>439</v>
      </c>
      <c r="K2355" t="s">
        <v>3669</v>
      </c>
      <c r="L2355">
        <v>265</v>
      </c>
      <c r="M2355">
        <v>98</v>
      </c>
      <c r="N2355" s="2">
        <v>0.36</v>
      </c>
      <c r="O2355">
        <v>87</v>
      </c>
      <c r="P2355">
        <v>16.010000000000002</v>
      </c>
      <c r="Q2355">
        <v>12.01</v>
      </c>
      <c r="R2355">
        <v>327</v>
      </c>
    </row>
    <row r="2356" spans="1:18" x14ac:dyDescent="0.25">
      <c r="A2356" t="s">
        <v>3670</v>
      </c>
      <c r="B2356" s="1">
        <v>44518</v>
      </c>
      <c r="C2356" t="s">
        <v>3671</v>
      </c>
      <c r="D2356" t="s">
        <v>32</v>
      </c>
      <c r="E2356" t="s">
        <v>24</v>
      </c>
      <c r="F2356" t="s">
        <v>243</v>
      </c>
      <c r="G2356">
        <v>5</v>
      </c>
      <c r="H2356" t="s">
        <v>26</v>
      </c>
      <c r="I2356" t="s">
        <v>358</v>
      </c>
      <c r="J2356" t="s">
        <v>359</v>
      </c>
      <c r="K2356" t="s">
        <v>3648</v>
      </c>
      <c r="L2356">
        <v>23</v>
      </c>
      <c r="M2356">
        <v>76</v>
      </c>
      <c r="N2356" s="2">
        <v>0.31</v>
      </c>
      <c r="O2356">
        <v>90</v>
      </c>
      <c r="P2356">
        <v>14.31</v>
      </c>
      <c r="Q2356">
        <v>1.19</v>
      </c>
      <c r="R2356">
        <v>28</v>
      </c>
    </row>
    <row r="2357" spans="1:18" x14ac:dyDescent="0.25">
      <c r="A2357" t="s">
        <v>3672</v>
      </c>
      <c r="B2357" s="1">
        <v>44518</v>
      </c>
      <c r="C2357" t="s">
        <v>3673</v>
      </c>
      <c r="D2357" t="s">
        <v>32</v>
      </c>
      <c r="E2357" t="s">
        <v>24</v>
      </c>
      <c r="F2357" t="s">
        <v>25</v>
      </c>
      <c r="G2357">
        <v>5</v>
      </c>
      <c r="H2357" t="s">
        <v>49</v>
      </c>
      <c r="I2357" t="s">
        <v>50</v>
      </c>
      <c r="J2357" t="s">
        <v>51</v>
      </c>
      <c r="K2357" t="s">
        <v>3674</v>
      </c>
      <c r="R2357">
        <v>12</v>
      </c>
    </row>
    <row r="2358" spans="1:18" x14ac:dyDescent="0.25">
      <c r="A2358" t="s">
        <v>3675</v>
      </c>
      <c r="B2358" s="1">
        <v>44518</v>
      </c>
      <c r="C2358" t="s">
        <v>1801</v>
      </c>
      <c r="D2358" t="s">
        <v>32</v>
      </c>
      <c r="E2358" t="s">
        <v>24</v>
      </c>
      <c r="F2358" t="s">
        <v>200</v>
      </c>
      <c r="G2358">
        <v>10</v>
      </c>
      <c r="H2358" t="s">
        <v>464</v>
      </c>
      <c r="I2358" t="s">
        <v>579</v>
      </c>
      <c r="J2358" t="s">
        <v>1820</v>
      </c>
      <c r="K2358" t="s">
        <v>3676</v>
      </c>
    </row>
    <row r="2359" spans="1:18" x14ac:dyDescent="0.25">
      <c r="A2359" t="s">
        <v>3765</v>
      </c>
      <c r="B2359" s="1">
        <v>44525</v>
      </c>
      <c r="C2359" t="s">
        <v>3766</v>
      </c>
      <c r="D2359" t="s">
        <v>32</v>
      </c>
      <c r="E2359" t="s">
        <v>24</v>
      </c>
      <c r="F2359" t="s">
        <v>323</v>
      </c>
      <c r="G2359">
        <v>90</v>
      </c>
      <c r="H2359" t="s">
        <v>26</v>
      </c>
      <c r="I2359" t="s">
        <v>370</v>
      </c>
      <c r="J2359" t="s">
        <v>1278</v>
      </c>
      <c r="K2359" t="s">
        <v>3767</v>
      </c>
      <c r="L2359">
        <v>551</v>
      </c>
      <c r="M2359">
        <v>102</v>
      </c>
      <c r="N2359" s="2">
        <v>0.37</v>
      </c>
      <c r="O2359">
        <v>85</v>
      </c>
      <c r="P2359">
        <v>16.28</v>
      </c>
      <c r="Q2359">
        <v>24.42</v>
      </c>
      <c r="R2359">
        <v>679</v>
      </c>
    </row>
    <row r="2360" spans="1:18" x14ac:dyDescent="0.25">
      <c r="A2360" t="s">
        <v>3768</v>
      </c>
      <c r="B2360" s="1">
        <v>44525</v>
      </c>
      <c r="C2360" t="s">
        <v>3769</v>
      </c>
      <c r="D2360" t="s">
        <v>32</v>
      </c>
      <c r="E2360" t="s">
        <v>24</v>
      </c>
      <c r="F2360" t="s">
        <v>323</v>
      </c>
      <c r="G2360">
        <v>5</v>
      </c>
      <c r="H2360" t="s">
        <v>26</v>
      </c>
      <c r="I2360" t="s">
        <v>358</v>
      </c>
      <c r="J2360" t="s">
        <v>359</v>
      </c>
      <c r="K2360" t="s">
        <v>3597</v>
      </c>
      <c r="L2360">
        <v>13</v>
      </c>
      <c r="M2360">
        <v>44</v>
      </c>
      <c r="N2360" s="2">
        <v>0.24</v>
      </c>
      <c r="O2360">
        <v>91</v>
      </c>
      <c r="P2360">
        <v>11.26</v>
      </c>
      <c r="Q2360">
        <v>0.94</v>
      </c>
      <c r="R2360">
        <v>16</v>
      </c>
    </row>
    <row r="2361" spans="1:18" x14ac:dyDescent="0.25">
      <c r="A2361" t="s">
        <v>3770</v>
      </c>
      <c r="B2361" s="1">
        <v>44525</v>
      </c>
      <c r="C2361" t="s">
        <v>3771</v>
      </c>
      <c r="D2361" t="s">
        <v>32</v>
      </c>
      <c r="E2361" t="s">
        <v>24</v>
      </c>
      <c r="F2361" t="s">
        <v>200</v>
      </c>
      <c r="G2361">
        <v>20</v>
      </c>
      <c r="H2361" t="s">
        <v>188</v>
      </c>
      <c r="I2361" t="s">
        <v>238</v>
      </c>
      <c r="J2361" t="s">
        <v>796</v>
      </c>
      <c r="K2361" t="s">
        <v>3772</v>
      </c>
      <c r="R2361">
        <v>60</v>
      </c>
    </row>
    <row r="2362" spans="1:18" x14ac:dyDescent="0.25">
      <c r="A2362" t="s">
        <v>3825</v>
      </c>
      <c r="B2362" s="1">
        <v>44532</v>
      </c>
      <c r="C2362" t="s">
        <v>3826</v>
      </c>
      <c r="D2362" t="s">
        <v>32</v>
      </c>
      <c r="E2362" t="s">
        <v>24</v>
      </c>
      <c r="F2362" t="s">
        <v>215</v>
      </c>
      <c r="G2362">
        <v>30</v>
      </c>
      <c r="H2362" t="s">
        <v>188</v>
      </c>
      <c r="I2362" t="s">
        <v>189</v>
      </c>
      <c r="J2362" t="s">
        <v>3149</v>
      </c>
      <c r="K2362" t="s">
        <v>3827</v>
      </c>
      <c r="R2362">
        <v>99</v>
      </c>
    </row>
    <row r="2363" spans="1:18" x14ac:dyDescent="0.25">
      <c r="A2363" t="s">
        <v>3828</v>
      </c>
      <c r="B2363" s="1">
        <v>44532</v>
      </c>
      <c r="C2363" t="s">
        <v>3829</v>
      </c>
      <c r="D2363" t="s">
        <v>32</v>
      </c>
      <c r="E2363" t="s">
        <v>24</v>
      </c>
      <c r="F2363" t="s">
        <v>180</v>
      </c>
      <c r="G2363">
        <v>10</v>
      </c>
      <c r="H2363" t="s">
        <v>194</v>
      </c>
      <c r="I2363" t="s">
        <v>195</v>
      </c>
      <c r="J2363" t="s">
        <v>211</v>
      </c>
      <c r="K2363" t="s">
        <v>212</v>
      </c>
      <c r="R2363">
        <v>46</v>
      </c>
    </row>
    <row r="2364" spans="1:18" x14ac:dyDescent="0.25">
      <c r="A2364" t="s">
        <v>3830</v>
      </c>
      <c r="B2364" s="1">
        <v>44532</v>
      </c>
      <c r="C2364" t="s">
        <v>3831</v>
      </c>
      <c r="D2364" t="s">
        <v>32</v>
      </c>
      <c r="E2364" t="s">
        <v>24</v>
      </c>
      <c r="F2364" t="s">
        <v>335</v>
      </c>
      <c r="G2364">
        <v>30</v>
      </c>
      <c r="H2364" t="s">
        <v>26</v>
      </c>
      <c r="I2364" t="s">
        <v>370</v>
      </c>
      <c r="J2364" t="s">
        <v>3832</v>
      </c>
      <c r="K2364" t="s">
        <v>3833</v>
      </c>
      <c r="L2364">
        <v>170</v>
      </c>
      <c r="M2364">
        <v>94</v>
      </c>
      <c r="N2364" s="2">
        <v>0.36</v>
      </c>
      <c r="O2364">
        <v>84</v>
      </c>
      <c r="P2364">
        <v>15.68</v>
      </c>
      <c r="Q2364">
        <v>7.84</v>
      </c>
      <c r="R2364">
        <v>209</v>
      </c>
    </row>
    <row r="2365" spans="1:18" x14ac:dyDescent="0.25">
      <c r="A2365" t="s">
        <v>3834</v>
      </c>
      <c r="B2365" s="1">
        <v>44532</v>
      </c>
      <c r="C2365" t="s">
        <v>3835</v>
      </c>
      <c r="D2365" t="s">
        <v>32</v>
      </c>
      <c r="E2365" t="s">
        <v>24</v>
      </c>
      <c r="F2365" t="s">
        <v>170</v>
      </c>
      <c r="G2365">
        <v>5</v>
      </c>
      <c r="H2365" t="s">
        <v>26</v>
      </c>
      <c r="I2365" t="s">
        <v>358</v>
      </c>
      <c r="J2365" t="s">
        <v>359</v>
      </c>
      <c r="K2365" t="s">
        <v>3836</v>
      </c>
      <c r="L2365">
        <v>22</v>
      </c>
      <c r="M2365">
        <v>72</v>
      </c>
      <c r="N2365" s="2">
        <v>0.34</v>
      </c>
      <c r="O2365">
        <v>79</v>
      </c>
      <c r="P2365">
        <v>13.86</v>
      </c>
      <c r="Q2365">
        <v>1.1499999999999999</v>
      </c>
      <c r="R2365">
        <v>27</v>
      </c>
    </row>
    <row r="2366" spans="1:18" x14ac:dyDescent="0.25">
      <c r="A2366" t="s">
        <v>3837</v>
      </c>
      <c r="B2366" s="1">
        <v>44532</v>
      </c>
      <c r="C2366" t="s">
        <v>3838</v>
      </c>
      <c r="D2366" t="s">
        <v>32</v>
      </c>
      <c r="E2366" t="s">
        <v>24</v>
      </c>
      <c r="F2366" t="s">
        <v>170</v>
      </c>
      <c r="G2366">
        <v>5</v>
      </c>
      <c r="H2366" t="s">
        <v>49</v>
      </c>
      <c r="I2366" t="s">
        <v>50</v>
      </c>
      <c r="J2366" t="s">
        <v>51</v>
      </c>
      <c r="K2366" t="s">
        <v>3741</v>
      </c>
      <c r="R2366">
        <v>12</v>
      </c>
    </row>
    <row r="2367" spans="1:18" x14ac:dyDescent="0.25">
      <c r="A2367" t="s">
        <v>3839</v>
      </c>
      <c r="B2367" s="1">
        <v>44532</v>
      </c>
      <c r="C2367" t="s">
        <v>1909</v>
      </c>
      <c r="D2367" t="s">
        <v>32</v>
      </c>
      <c r="E2367" t="s">
        <v>24</v>
      </c>
      <c r="F2367" t="s">
        <v>208</v>
      </c>
      <c r="G2367">
        <v>10</v>
      </c>
      <c r="H2367" t="s">
        <v>464</v>
      </c>
      <c r="I2367" t="s">
        <v>579</v>
      </c>
      <c r="J2367" t="s">
        <v>580</v>
      </c>
      <c r="K2367" t="s">
        <v>3840</v>
      </c>
    </row>
    <row r="2368" spans="1:18" x14ac:dyDescent="0.25">
      <c r="A2368" t="s">
        <v>3949</v>
      </c>
      <c r="B2368" s="1">
        <v>44539</v>
      </c>
      <c r="C2368" t="s">
        <v>3950</v>
      </c>
      <c r="D2368" t="s">
        <v>32</v>
      </c>
      <c r="E2368" t="s">
        <v>24</v>
      </c>
      <c r="F2368" t="s">
        <v>243</v>
      </c>
      <c r="G2368">
        <v>30</v>
      </c>
      <c r="H2368" t="s">
        <v>188</v>
      </c>
      <c r="I2368" t="s">
        <v>189</v>
      </c>
      <c r="J2368" t="s">
        <v>3951</v>
      </c>
      <c r="K2368" t="s">
        <v>3952</v>
      </c>
      <c r="R2368">
        <v>96</v>
      </c>
    </row>
    <row r="2369" spans="1:19" x14ac:dyDescent="0.25">
      <c r="A2369" t="s">
        <v>3953</v>
      </c>
      <c r="B2369" s="1">
        <v>44539</v>
      </c>
      <c r="C2369" t="s">
        <v>3954</v>
      </c>
      <c r="D2369" t="s">
        <v>32</v>
      </c>
      <c r="E2369" t="s">
        <v>24</v>
      </c>
      <c r="F2369" t="s">
        <v>3955</v>
      </c>
      <c r="G2369">
        <v>20</v>
      </c>
      <c r="H2369" t="s">
        <v>1856</v>
      </c>
      <c r="I2369" t="s">
        <v>1857</v>
      </c>
      <c r="J2369" t="s">
        <v>3956</v>
      </c>
      <c r="K2369" t="s">
        <v>3957</v>
      </c>
      <c r="L2369">
        <v>0</v>
      </c>
      <c r="P2369">
        <v>0</v>
      </c>
      <c r="Q2369">
        <v>0</v>
      </c>
      <c r="R2369">
        <v>133</v>
      </c>
      <c r="S2369">
        <v>126.91</v>
      </c>
    </row>
    <row r="2370" spans="1:19" x14ac:dyDescent="0.25">
      <c r="A2370" t="s">
        <v>3958</v>
      </c>
      <c r="B2370" s="1">
        <v>44539</v>
      </c>
      <c r="C2370" t="s">
        <v>3959</v>
      </c>
      <c r="D2370" t="s">
        <v>32</v>
      </c>
      <c r="E2370" t="s">
        <v>24</v>
      </c>
      <c r="F2370" t="s">
        <v>323</v>
      </c>
      <c r="G2370">
        <v>45</v>
      </c>
      <c r="H2370" t="s">
        <v>26</v>
      </c>
      <c r="I2370" t="s">
        <v>370</v>
      </c>
      <c r="J2370" t="s">
        <v>479</v>
      </c>
      <c r="K2370" t="s">
        <v>3960</v>
      </c>
      <c r="L2370">
        <v>279</v>
      </c>
      <c r="M2370">
        <v>103</v>
      </c>
      <c r="N2370" s="2">
        <v>0.37</v>
      </c>
      <c r="O2370">
        <v>85</v>
      </c>
      <c r="P2370">
        <v>16.05</v>
      </c>
      <c r="Q2370">
        <v>12.04</v>
      </c>
      <c r="R2370">
        <v>344</v>
      </c>
    </row>
    <row r="2371" spans="1:19" x14ac:dyDescent="0.25">
      <c r="A2371" t="s">
        <v>3961</v>
      </c>
      <c r="B2371" s="1">
        <v>44539</v>
      </c>
      <c r="C2371" t="s">
        <v>3962</v>
      </c>
      <c r="D2371" t="s">
        <v>32</v>
      </c>
      <c r="E2371" t="s">
        <v>24</v>
      </c>
      <c r="F2371" t="s">
        <v>323</v>
      </c>
      <c r="G2371">
        <v>5</v>
      </c>
      <c r="H2371" t="s">
        <v>26</v>
      </c>
      <c r="I2371" t="s">
        <v>358</v>
      </c>
      <c r="J2371" t="s">
        <v>359</v>
      </c>
      <c r="K2371" t="s">
        <v>3597</v>
      </c>
      <c r="L2371">
        <v>16</v>
      </c>
      <c r="M2371">
        <v>55</v>
      </c>
      <c r="N2371" s="2">
        <v>0.28000000000000003</v>
      </c>
      <c r="O2371">
        <v>84</v>
      </c>
      <c r="P2371">
        <v>12.46</v>
      </c>
      <c r="Q2371">
        <v>1.03</v>
      </c>
      <c r="R2371">
        <v>20</v>
      </c>
    </row>
    <row r="2372" spans="1:19" x14ac:dyDescent="0.25">
      <c r="A2372" t="s">
        <v>3963</v>
      </c>
      <c r="B2372" s="1">
        <v>44539</v>
      </c>
      <c r="C2372" t="s">
        <v>3926</v>
      </c>
      <c r="D2372" t="s">
        <v>32</v>
      </c>
      <c r="E2372" t="s">
        <v>24</v>
      </c>
      <c r="F2372" t="s">
        <v>323</v>
      </c>
      <c r="G2372">
        <v>5</v>
      </c>
      <c r="H2372" t="s">
        <v>49</v>
      </c>
      <c r="I2372" t="s">
        <v>50</v>
      </c>
      <c r="J2372" t="s">
        <v>51</v>
      </c>
      <c r="K2372" t="s">
        <v>3597</v>
      </c>
      <c r="R2372">
        <v>11</v>
      </c>
    </row>
    <row r="2373" spans="1:19" x14ac:dyDescent="0.25">
      <c r="A2373" t="s">
        <v>3964</v>
      </c>
      <c r="B2373" s="1">
        <v>44539</v>
      </c>
      <c r="C2373" t="s">
        <v>1637</v>
      </c>
      <c r="D2373" t="s">
        <v>32</v>
      </c>
      <c r="E2373" t="s">
        <v>24</v>
      </c>
      <c r="F2373" t="s">
        <v>237</v>
      </c>
      <c r="G2373">
        <v>10</v>
      </c>
      <c r="H2373" t="s">
        <v>464</v>
      </c>
      <c r="I2373" t="s">
        <v>763</v>
      </c>
      <c r="J2373" t="s">
        <v>914</v>
      </c>
      <c r="K2373" t="s">
        <v>3965</v>
      </c>
    </row>
    <row r="2374" spans="1:19" x14ac:dyDescent="0.25">
      <c r="A2374" t="s">
        <v>4042</v>
      </c>
      <c r="B2374" s="1">
        <v>44546</v>
      </c>
      <c r="C2374" t="s">
        <v>1105</v>
      </c>
      <c r="D2374" t="s">
        <v>32</v>
      </c>
      <c r="E2374" t="s">
        <v>24</v>
      </c>
      <c r="F2374" t="s">
        <v>243</v>
      </c>
      <c r="G2374">
        <v>30</v>
      </c>
      <c r="H2374" t="s">
        <v>188</v>
      </c>
      <c r="I2374" t="s">
        <v>189</v>
      </c>
      <c r="J2374" t="s">
        <v>201</v>
      </c>
      <c r="K2374" t="s">
        <v>4043</v>
      </c>
      <c r="R2374">
        <v>98</v>
      </c>
    </row>
    <row r="2375" spans="1:19" x14ac:dyDescent="0.25">
      <c r="A2375" t="s">
        <v>4044</v>
      </c>
      <c r="B2375" s="1">
        <v>44546</v>
      </c>
      <c r="C2375" t="s">
        <v>4045</v>
      </c>
      <c r="D2375" t="s">
        <v>32</v>
      </c>
      <c r="E2375" t="s">
        <v>24</v>
      </c>
      <c r="F2375" t="s">
        <v>170</v>
      </c>
      <c r="G2375">
        <v>5</v>
      </c>
      <c r="H2375" t="s">
        <v>26</v>
      </c>
      <c r="I2375" t="s">
        <v>423</v>
      </c>
      <c r="J2375" t="s">
        <v>505</v>
      </c>
      <c r="K2375" t="s">
        <v>4046</v>
      </c>
      <c r="L2375">
        <v>24</v>
      </c>
      <c r="M2375">
        <v>81</v>
      </c>
      <c r="N2375" s="2">
        <v>0.34</v>
      </c>
      <c r="O2375">
        <v>85</v>
      </c>
      <c r="P2375">
        <v>14.65</v>
      </c>
      <c r="Q2375">
        <v>1.22</v>
      </c>
      <c r="R2375">
        <v>30</v>
      </c>
    </row>
    <row r="2376" spans="1:19" x14ac:dyDescent="0.25">
      <c r="A2376" t="s">
        <v>4047</v>
      </c>
      <c r="B2376" s="1">
        <v>44546</v>
      </c>
      <c r="C2376" t="s">
        <v>3668</v>
      </c>
      <c r="D2376" t="s">
        <v>32</v>
      </c>
      <c r="E2376" t="s">
        <v>24</v>
      </c>
      <c r="F2376" t="s">
        <v>243</v>
      </c>
      <c r="G2376">
        <v>45</v>
      </c>
      <c r="H2376" t="s">
        <v>26</v>
      </c>
      <c r="I2376" t="s">
        <v>370</v>
      </c>
      <c r="J2376" t="s">
        <v>479</v>
      </c>
      <c r="K2376" t="s">
        <v>4048</v>
      </c>
      <c r="L2376">
        <v>274</v>
      </c>
      <c r="M2376">
        <v>101</v>
      </c>
      <c r="N2376" s="2">
        <v>0.37</v>
      </c>
      <c r="O2376">
        <v>83</v>
      </c>
      <c r="P2376">
        <v>15.98</v>
      </c>
      <c r="Q2376">
        <v>11.99</v>
      </c>
      <c r="R2376">
        <v>338</v>
      </c>
    </row>
    <row r="2377" spans="1:19" x14ac:dyDescent="0.25">
      <c r="A2377" t="s">
        <v>4049</v>
      </c>
      <c r="B2377" s="1">
        <v>44546</v>
      </c>
      <c r="C2377" t="s">
        <v>3557</v>
      </c>
      <c r="D2377" t="s">
        <v>32</v>
      </c>
      <c r="E2377" t="s">
        <v>24</v>
      </c>
      <c r="F2377" t="s">
        <v>660</v>
      </c>
      <c r="G2377">
        <v>10</v>
      </c>
      <c r="H2377" t="s">
        <v>26</v>
      </c>
      <c r="I2377" t="s">
        <v>358</v>
      </c>
      <c r="J2377" t="s">
        <v>389</v>
      </c>
      <c r="K2377" t="s">
        <v>4050</v>
      </c>
      <c r="L2377">
        <v>50</v>
      </c>
      <c r="M2377">
        <v>83</v>
      </c>
      <c r="N2377" s="2">
        <v>0.36</v>
      </c>
      <c r="O2377">
        <v>78</v>
      </c>
      <c r="P2377">
        <v>14.87</v>
      </c>
      <c r="Q2377">
        <v>2.48</v>
      </c>
      <c r="R2377">
        <v>61</v>
      </c>
    </row>
    <row r="2378" spans="1:19" x14ac:dyDescent="0.25">
      <c r="A2378" t="s">
        <v>4051</v>
      </c>
      <c r="B2378" s="1">
        <v>44546</v>
      </c>
      <c r="C2378" t="s">
        <v>4052</v>
      </c>
      <c r="D2378" t="s">
        <v>32</v>
      </c>
      <c r="E2378" t="s">
        <v>24</v>
      </c>
      <c r="F2378" t="s">
        <v>180</v>
      </c>
      <c r="G2378">
        <v>10</v>
      </c>
      <c r="H2378" t="s">
        <v>194</v>
      </c>
      <c r="I2378" t="s">
        <v>195</v>
      </c>
      <c r="J2378" t="s">
        <v>211</v>
      </c>
      <c r="K2378" t="s">
        <v>4053</v>
      </c>
      <c r="R2378">
        <v>46</v>
      </c>
    </row>
    <row r="2379" spans="1:19" x14ac:dyDescent="0.25">
      <c r="A2379" t="s">
        <v>4054</v>
      </c>
      <c r="B2379" s="1">
        <v>44546</v>
      </c>
      <c r="C2379" t="s">
        <v>1496</v>
      </c>
      <c r="D2379" t="s">
        <v>32</v>
      </c>
      <c r="E2379" t="s">
        <v>24</v>
      </c>
      <c r="F2379" t="s">
        <v>237</v>
      </c>
      <c r="G2379">
        <v>10</v>
      </c>
      <c r="H2379" t="s">
        <v>464</v>
      </c>
      <c r="I2379" t="s">
        <v>943</v>
      </c>
      <c r="J2379" t="s">
        <v>944</v>
      </c>
      <c r="K2379" t="s">
        <v>4055</v>
      </c>
    </row>
    <row r="2380" spans="1:19" x14ac:dyDescent="0.25">
      <c r="A2380" t="s">
        <v>4133</v>
      </c>
      <c r="B2380" s="1">
        <v>44553</v>
      </c>
      <c r="C2380" t="s">
        <v>4134</v>
      </c>
      <c r="D2380" t="s">
        <v>32</v>
      </c>
      <c r="E2380" t="s">
        <v>24</v>
      </c>
      <c r="F2380" t="s">
        <v>215</v>
      </c>
      <c r="G2380">
        <v>30</v>
      </c>
      <c r="H2380" t="s">
        <v>188</v>
      </c>
      <c r="I2380" t="s">
        <v>3255</v>
      </c>
      <c r="J2380" t="s">
        <v>4135</v>
      </c>
      <c r="K2380" t="s">
        <v>4136</v>
      </c>
      <c r="R2380">
        <v>87</v>
      </c>
    </row>
    <row r="2381" spans="1:19" x14ac:dyDescent="0.25">
      <c r="A2381" t="s">
        <v>4137</v>
      </c>
      <c r="B2381" s="1">
        <v>44553</v>
      </c>
      <c r="C2381" t="s">
        <v>4138</v>
      </c>
      <c r="D2381" t="s">
        <v>32</v>
      </c>
      <c r="E2381" t="s">
        <v>24</v>
      </c>
      <c r="F2381" t="s">
        <v>200</v>
      </c>
      <c r="G2381">
        <v>10</v>
      </c>
      <c r="H2381" t="s">
        <v>464</v>
      </c>
      <c r="I2381" t="s">
        <v>1571</v>
      </c>
      <c r="J2381" t="s">
        <v>2704</v>
      </c>
      <c r="K2381" t="s">
        <v>4139</v>
      </c>
    </row>
    <row r="2382" spans="1:19" x14ac:dyDescent="0.25">
      <c r="A2382" t="s">
        <v>4221</v>
      </c>
      <c r="B2382" s="1">
        <v>44560</v>
      </c>
      <c r="C2382" t="s">
        <v>374</v>
      </c>
      <c r="D2382" t="s">
        <v>32</v>
      </c>
      <c r="E2382" t="s">
        <v>24</v>
      </c>
      <c r="F2382" t="s">
        <v>237</v>
      </c>
      <c r="G2382">
        <v>30</v>
      </c>
      <c r="H2382" t="s">
        <v>188</v>
      </c>
      <c r="I2382" t="s">
        <v>189</v>
      </c>
      <c r="J2382" t="s">
        <v>3149</v>
      </c>
      <c r="K2382" t="s">
        <v>4222</v>
      </c>
      <c r="R2382">
        <v>102</v>
      </c>
    </row>
    <row r="2383" spans="1:19" x14ac:dyDescent="0.25">
      <c r="A2383" t="s">
        <v>4223</v>
      </c>
      <c r="B2383" s="1">
        <v>44560</v>
      </c>
      <c r="C2383" t="s">
        <v>102</v>
      </c>
      <c r="D2383" t="s">
        <v>32</v>
      </c>
      <c r="E2383" t="s">
        <v>24</v>
      </c>
      <c r="F2383" t="s">
        <v>180</v>
      </c>
      <c r="G2383">
        <v>30</v>
      </c>
      <c r="H2383" t="s">
        <v>194</v>
      </c>
      <c r="I2383" t="s">
        <v>195</v>
      </c>
      <c r="J2383" t="s">
        <v>4224</v>
      </c>
      <c r="K2383" t="s">
        <v>4225</v>
      </c>
      <c r="R2383">
        <v>137</v>
      </c>
    </row>
    <row r="2384" spans="1:19" x14ac:dyDescent="0.25">
      <c r="A2384" t="s">
        <v>4226</v>
      </c>
      <c r="B2384" s="1">
        <v>44560</v>
      </c>
      <c r="C2384" t="s">
        <v>4227</v>
      </c>
      <c r="D2384" t="s">
        <v>32</v>
      </c>
      <c r="E2384" t="s">
        <v>24</v>
      </c>
      <c r="F2384" t="s">
        <v>323</v>
      </c>
      <c r="G2384">
        <v>10</v>
      </c>
      <c r="H2384" t="s">
        <v>26</v>
      </c>
      <c r="I2384" t="s">
        <v>370</v>
      </c>
      <c r="J2384" t="s">
        <v>381</v>
      </c>
      <c r="K2384" t="s">
        <v>4228</v>
      </c>
      <c r="L2384">
        <v>58</v>
      </c>
      <c r="M2384">
        <v>97</v>
      </c>
      <c r="N2384" s="2">
        <v>0.33</v>
      </c>
      <c r="O2384">
        <v>95</v>
      </c>
      <c r="P2384">
        <v>15.73</v>
      </c>
      <c r="Q2384">
        <v>2.62</v>
      </c>
      <c r="R2384">
        <v>72</v>
      </c>
    </row>
    <row r="2385" spans="1:19" x14ac:dyDescent="0.25">
      <c r="A2385" t="s">
        <v>4229</v>
      </c>
      <c r="B2385" s="1">
        <v>44560</v>
      </c>
      <c r="C2385" t="s">
        <v>4230</v>
      </c>
      <c r="D2385" t="s">
        <v>32</v>
      </c>
      <c r="E2385" t="s">
        <v>24</v>
      </c>
      <c r="F2385" t="s">
        <v>323</v>
      </c>
      <c r="G2385">
        <v>20</v>
      </c>
      <c r="H2385" t="s">
        <v>26</v>
      </c>
      <c r="I2385" t="s">
        <v>370</v>
      </c>
      <c r="J2385" t="s">
        <v>385</v>
      </c>
      <c r="K2385" t="s">
        <v>4231</v>
      </c>
      <c r="L2385">
        <v>157</v>
      </c>
      <c r="M2385">
        <v>176</v>
      </c>
      <c r="N2385" s="2">
        <v>0.47</v>
      </c>
      <c r="O2385">
        <v>85</v>
      </c>
      <c r="P2385">
        <v>20.09</v>
      </c>
      <c r="Q2385">
        <v>5.43</v>
      </c>
      <c r="R2385">
        <v>192</v>
      </c>
    </row>
    <row r="2386" spans="1:19" x14ac:dyDescent="0.25">
      <c r="A2386" t="s">
        <v>4232</v>
      </c>
      <c r="B2386" s="1">
        <v>44560</v>
      </c>
      <c r="C2386" t="s">
        <v>4233</v>
      </c>
      <c r="D2386" t="s">
        <v>32</v>
      </c>
      <c r="E2386" t="s">
        <v>24</v>
      </c>
      <c r="F2386" t="s">
        <v>747</v>
      </c>
      <c r="G2386">
        <v>10</v>
      </c>
      <c r="H2386" t="s">
        <v>26</v>
      </c>
      <c r="I2386" t="s">
        <v>358</v>
      </c>
      <c r="J2386" t="s">
        <v>389</v>
      </c>
      <c r="K2386" t="s">
        <v>4234</v>
      </c>
      <c r="L2386">
        <v>46</v>
      </c>
      <c r="M2386">
        <v>77</v>
      </c>
      <c r="N2386" s="2">
        <v>0.34</v>
      </c>
      <c r="O2386">
        <v>81</v>
      </c>
      <c r="P2386">
        <v>14.47</v>
      </c>
      <c r="Q2386">
        <v>2.41</v>
      </c>
      <c r="R2386">
        <v>57</v>
      </c>
    </row>
    <row r="2387" spans="1:19" x14ac:dyDescent="0.25">
      <c r="A2387" t="s">
        <v>4235</v>
      </c>
      <c r="B2387" s="1">
        <v>44560</v>
      </c>
      <c r="C2387" t="s">
        <v>784</v>
      </c>
      <c r="D2387" t="s">
        <v>32</v>
      </c>
      <c r="E2387" t="s">
        <v>24</v>
      </c>
      <c r="F2387" t="s">
        <v>237</v>
      </c>
      <c r="G2387">
        <v>10</v>
      </c>
      <c r="H2387" t="s">
        <v>188</v>
      </c>
      <c r="I2387" t="s">
        <v>238</v>
      </c>
      <c r="J2387" t="s">
        <v>674</v>
      </c>
      <c r="K2387" t="s">
        <v>4236</v>
      </c>
      <c r="R2387">
        <v>35</v>
      </c>
    </row>
    <row r="2388" spans="1:19" x14ac:dyDescent="0.25">
      <c r="A2388" t="s">
        <v>4237</v>
      </c>
      <c r="B2388" s="1">
        <v>44560</v>
      </c>
      <c r="C2388" t="s">
        <v>1737</v>
      </c>
      <c r="D2388" t="s">
        <v>32</v>
      </c>
      <c r="E2388" t="s">
        <v>24</v>
      </c>
      <c r="F2388" t="s">
        <v>237</v>
      </c>
      <c r="G2388">
        <v>10</v>
      </c>
      <c r="H2388" t="s">
        <v>464</v>
      </c>
      <c r="I2388" t="s">
        <v>579</v>
      </c>
      <c r="J2388" t="s">
        <v>1975</v>
      </c>
      <c r="K2388" t="s">
        <v>4238</v>
      </c>
    </row>
    <row r="2389" spans="1:19" x14ac:dyDescent="0.25">
      <c r="A2389" t="s">
        <v>4323</v>
      </c>
      <c r="B2389" s="1">
        <v>44567</v>
      </c>
      <c r="C2389" t="s">
        <v>630</v>
      </c>
      <c r="D2389" t="s">
        <v>32</v>
      </c>
      <c r="E2389" t="s">
        <v>24</v>
      </c>
      <c r="F2389" t="s">
        <v>200</v>
      </c>
      <c r="G2389">
        <v>30</v>
      </c>
      <c r="H2389" t="s">
        <v>188</v>
      </c>
      <c r="I2389" t="s">
        <v>254</v>
      </c>
      <c r="J2389" t="s">
        <v>255</v>
      </c>
      <c r="K2389" t="s">
        <v>4324</v>
      </c>
      <c r="R2389">
        <v>99</v>
      </c>
    </row>
    <row r="2390" spans="1:19" x14ac:dyDescent="0.25">
      <c r="A2390" t="s">
        <v>4325</v>
      </c>
      <c r="B2390" s="1">
        <v>44567</v>
      </c>
      <c r="C2390" t="s">
        <v>4326</v>
      </c>
      <c r="D2390" t="s">
        <v>32</v>
      </c>
      <c r="E2390" t="s">
        <v>24</v>
      </c>
      <c r="F2390" t="s">
        <v>323</v>
      </c>
      <c r="G2390">
        <v>60</v>
      </c>
      <c r="H2390" t="s">
        <v>26</v>
      </c>
      <c r="I2390" t="s">
        <v>370</v>
      </c>
      <c r="J2390" t="s">
        <v>498</v>
      </c>
      <c r="K2390" t="s">
        <v>4327</v>
      </c>
      <c r="L2390">
        <v>365</v>
      </c>
      <c r="M2390">
        <v>101</v>
      </c>
      <c r="N2390" s="2">
        <v>0.37</v>
      </c>
      <c r="O2390">
        <v>85</v>
      </c>
      <c r="P2390">
        <v>16.23</v>
      </c>
      <c r="Q2390">
        <v>16.239999999999998</v>
      </c>
      <c r="R2390">
        <v>450</v>
      </c>
    </row>
    <row r="2391" spans="1:19" x14ac:dyDescent="0.25">
      <c r="A2391" t="s">
        <v>4328</v>
      </c>
      <c r="B2391" s="1">
        <v>44567</v>
      </c>
      <c r="C2391" t="s">
        <v>3596</v>
      </c>
      <c r="D2391" t="s">
        <v>32</v>
      </c>
      <c r="E2391" t="s">
        <v>24</v>
      </c>
      <c r="F2391" t="s">
        <v>328</v>
      </c>
      <c r="G2391">
        <v>5</v>
      </c>
      <c r="H2391" t="s">
        <v>194</v>
      </c>
      <c r="I2391" t="s">
        <v>195</v>
      </c>
      <c r="J2391" t="s">
        <v>196</v>
      </c>
      <c r="K2391" t="s">
        <v>4329</v>
      </c>
      <c r="R2391">
        <v>23</v>
      </c>
    </row>
    <row r="2392" spans="1:19" x14ac:dyDescent="0.25">
      <c r="A2392" t="s">
        <v>4330</v>
      </c>
      <c r="B2392" s="1">
        <v>44567</v>
      </c>
      <c r="C2392" t="s">
        <v>4331</v>
      </c>
      <c r="D2392" t="s">
        <v>32</v>
      </c>
      <c r="E2392" t="s">
        <v>24</v>
      </c>
      <c r="F2392" t="s">
        <v>323</v>
      </c>
      <c r="G2392">
        <v>5</v>
      </c>
      <c r="H2392" t="s">
        <v>49</v>
      </c>
      <c r="I2392" t="s">
        <v>50</v>
      </c>
      <c r="J2392" t="s">
        <v>51</v>
      </c>
      <c r="K2392" t="s">
        <v>4332</v>
      </c>
      <c r="R2392">
        <v>12</v>
      </c>
    </row>
    <row r="2393" spans="1:19" x14ac:dyDescent="0.25">
      <c r="A2393" t="s">
        <v>4333</v>
      </c>
      <c r="B2393" s="1">
        <v>44567</v>
      </c>
      <c r="C2393" t="s">
        <v>253</v>
      </c>
      <c r="D2393" t="s">
        <v>32</v>
      </c>
      <c r="E2393" t="s">
        <v>24</v>
      </c>
      <c r="F2393" t="s">
        <v>215</v>
      </c>
      <c r="G2393">
        <v>10</v>
      </c>
      <c r="H2393" t="s">
        <v>464</v>
      </c>
      <c r="I2393" t="s">
        <v>1571</v>
      </c>
      <c r="J2393" t="s">
        <v>2704</v>
      </c>
      <c r="K2393" t="s">
        <v>4334</v>
      </c>
    </row>
    <row r="2394" spans="1:19" x14ac:dyDescent="0.25">
      <c r="A2394" t="s">
        <v>4406</v>
      </c>
      <c r="B2394" s="1">
        <v>44574</v>
      </c>
      <c r="C2394" t="s">
        <v>377</v>
      </c>
      <c r="D2394" t="s">
        <v>32</v>
      </c>
      <c r="E2394" t="s">
        <v>24</v>
      </c>
      <c r="F2394" t="s">
        <v>215</v>
      </c>
      <c r="G2394">
        <v>30</v>
      </c>
      <c r="H2394" t="s">
        <v>188</v>
      </c>
      <c r="I2394" t="s">
        <v>254</v>
      </c>
      <c r="J2394" t="s">
        <v>255</v>
      </c>
      <c r="K2394" t="s">
        <v>4407</v>
      </c>
      <c r="R2394">
        <v>98</v>
      </c>
    </row>
    <row r="2395" spans="1:19" x14ac:dyDescent="0.25">
      <c r="A2395" t="s">
        <v>4408</v>
      </c>
      <c r="B2395" s="1">
        <v>44574</v>
      </c>
      <c r="C2395" t="s">
        <v>4409</v>
      </c>
      <c r="D2395" t="s">
        <v>32</v>
      </c>
      <c r="E2395" t="s">
        <v>24</v>
      </c>
      <c r="F2395" t="s">
        <v>292</v>
      </c>
      <c r="G2395">
        <v>30</v>
      </c>
      <c r="H2395" t="s">
        <v>1856</v>
      </c>
      <c r="I2395" t="s">
        <v>1857</v>
      </c>
      <c r="J2395" t="s">
        <v>3799</v>
      </c>
      <c r="K2395" t="s">
        <v>4410</v>
      </c>
      <c r="L2395">
        <v>0</v>
      </c>
      <c r="P2395">
        <v>0</v>
      </c>
      <c r="Q2395">
        <v>0</v>
      </c>
      <c r="R2395">
        <v>114</v>
      </c>
      <c r="S2395">
        <v>127.1</v>
      </c>
    </row>
    <row r="2396" spans="1:19" x14ac:dyDescent="0.25">
      <c r="A2396" t="s">
        <v>4411</v>
      </c>
      <c r="B2396" s="1">
        <v>44574</v>
      </c>
      <c r="C2396" t="s">
        <v>4412</v>
      </c>
      <c r="D2396" t="s">
        <v>32</v>
      </c>
      <c r="E2396" t="s">
        <v>24</v>
      </c>
      <c r="F2396" t="s">
        <v>180</v>
      </c>
      <c r="G2396">
        <v>5</v>
      </c>
      <c r="H2396" t="s">
        <v>26</v>
      </c>
      <c r="I2396" t="s">
        <v>423</v>
      </c>
      <c r="J2396" t="s">
        <v>505</v>
      </c>
      <c r="K2396" t="s">
        <v>4413</v>
      </c>
      <c r="L2396">
        <v>24</v>
      </c>
      <c r="M2396">
        <v>78</v>
      </c>
      <c r="N2396" s="2">
        <v>0.3</v>
      </c>
      <c r="O2396">
        <v>95</v>
      </c>
      <c r="P2396">
        <v>14.41</v>
      </c>
      <c r="Q2396">
        <v>1.2</v>
      </c>
      <c r="R2396">
        <v>29</v>
      </c>
    </row>
    <row r="2397" spans="1:19" x14ac:dyDescent="0.25">
      <c r="A2397" t="s">
        <v>4414</v>
      </c>
      <c r="B2397" s="1">
        <v>44574</v>
      </c>
      <c r="C2397" t="s">
        <v>4415</v>
      </c>
      <c r="D2397" t="s">
        <v>32</v>
      </c>
      <c r="E2397" t="s">
        <v>24</v>
      </c>
      <c r="F2397" t="s">
        <v>335</v>
      </c>
      <c r="G2397">
        <v>45</v>
      </c>
      <c r="H2397" t="s">
        <v>26</v>
      </c>
      <c r="I2397" t="s">
        <v>370</v>
      </c>
      <c r="J2397" t="s">
        <v>4416</v>
      </c>
      <c r="K2397" t="s">
        <v>4417</v>
      </c>
      <c r="L2397">
        <v>270</v>
      </c>
      <c r="M2397">
        <v>100</v>
      </c>
      <c r="N2397" s="2">
        <v>0.37</v>
      </c>
      <c r="O2397">
        <v>84</v>
      </c>
      <c r="P2397">
        <v>16.13</v>
      </c>
      <c r="Q2397">
        <v>12.1</v>
      </c>
      <c r="R2397">
        <v>333</v>
      </c>
    </row>
    <row r="2398" spans="1:19" x14ac:dyDescent="0.25">
      <c r="A2398" t="s">
        <v>4418</v>
      </c>
      <c r="B2398" s="1">
        <v>44574</v>
      </c>
      <c r="C2398" t="s">
        <v>3593</v>
      </c>
      <c r="D2398" t="s">
        <v>32</v>
      </c>
      <c r="E2398" t="s">
        <v>24</v>
      </c>
      <c r="F2398" t="s">
        <v>905</v>
      </c>
      <c r="G2398">
        <v>5</v>
      </c>
      <c r="H2398" t="s">
        <v>26</v>
      </c>
      <c r="I2398" t="s">
        <v>358</v>
      </c>
      <c r="J2398" t="s">
        <v>359</v>
      </c>
      <c r="K2398" t="s">
        <v>4419</v>
      </c>
      <c r="L2398">
        <v>16</v>
      </c>
      <c r="M2398">
        <v>52</v>
      </c>
      <c r="N2398" s="2">
        <v>0.27</v>
      </c>
      <c r="O2398">
        <v>85</v>
      </c>
      <c r="P2398">
        <v>12.18</v>
      </c>
      <c r="Q2398">
        <v>1.02</v>
      </c>
      <c r="R2398">
        <v>19</v>
      </c>
    </row>
    <row r="2399" spans="1:19" x14ac:dyDescent="0.25">
      <c r="A2399" t="s">
        <v>4420</v>
      </c>
      <c r="B2399" s="1">
        <v>44574</v>
      </c>
      <c r="C2399" t="s">
        <v>3835</v>
      </c>
      <c r="D2399" t="s">
        <v>32</v>
      </c>
      <c r="E2399" t="s">
        <v>24</v>
      </c>
      <c r="F2399" t="s">
        <v>323</v>
      </c>
      <c r="G2399">
        <v>5</v>
      </c>
      <c r="H2399" t="s">
        <v>49</v>
      </c>
      <c r="I2399" t="s">
        <v>50</v>
      </c>
      <c r="J2399" t="s">
        <v>51</v>
      </c>
      <c r="K2399" t="s">
        <v>4332</v>
      </c>
      <c r="R2399">
        <v>11</v>
      </c>
    </row>
    <row r="2400" spans="1:19" x14ac:dyDescent="0.25">
      <c r="A2400" t="s">
        <v>4421</v>
      </c>
      <c r="B2400" s="1">
        <v>44574</v>
      </c>
      <c r="C2400" t="s">
        <v>1496</v>
      </c>
      <c r="D2400" t="s">
        <v>32</v>
      </c>
      <c r="E2400" t="s">
        <v>24</v>
      </c>
      <c r="F2400" t="s">
        <v>237</v>
      </c>
      <c r="G2400">
        <v>20</v>
      </c>
      <c r="H2400" t="s">
        <v>464</v>
      </c>
      <c r="I2400" t="s">
        <v>943</v>
      </c>
      <c r="J2400" t="s">
        <v>1347</v>
      </c>
      <c r="K2400" t="s">
        <v>4422</v>
      </c>
    </row>
    <row r="2401" spans="1:19" x14ac:dyDescent="0.25">
      <c r="A2401" t="s">
        <v>4497</v>
      </c>
      <c r="B2401" s="1">
        <v>44581</v>
      </c>
      <c r="C2401" t="s">
        <v>4498</v>
      </c>
      <c r="D2401" t="s">
        <v>32</v>
      </c>
      <c r="E2401" t="s">
        <v>24</v>
      </c>
      <c r="F2401" t="s">
        <v>243</v>
      </c>
      <c r="G2401">
        <v>30</v>
      </c>
      <c r="H2401" t="s">
        <v>188</v>
      </c>
      <c r="I2401" t="s">
        <v>189</v>
      </c>
      <c r="J2401" t="s">
        <v>4499</v>
      </c>
      <c r="K2401" t="s">
        <v>4500</v>
      </c>
      <c r="R2401">
        <v>95</v>
      </c>
    </row>
    <row r="2402" spans="1:19" x14ac:dyDescent="0.25">
      <c r="A2402" t="s">
        <v>4501</v>
      </c>
      <c r="B2402" s="1">
        <v>44581</v>
      </c>
      <c r="C2402" t="s">
        <v>4502</v>
      </c>
      <c r="D2402" t="s">
        <v>32</v>
      </c>
      <c r="E2402" t="s">
        <v>24</v>
      </c>
      <c r="F2402" t="s">
        <v>328</v>
      </c>
      <c r="G2402">
        <v>30</v>
      </c>
      <c r="H2402" t="s">
        <v>1856</v>
      </c>
      <c r="I2402" t="s">
        <v>1857</v>
      </c>
      <c r="J2402" t="s">
        <v>4503</v>
      </c>
      <c r="K2402" t="s">
        <v>4504</v>
      </c>
      <c r="L2402">
        <v>0</v>
      </c>
      <c r="P2402">
        <v>0</v>
      </c>
      <c r="Q2402">
        <v>0</v>
      </c>
      <c r="R2402">
        <v>110</v>
      </c>
      <c r="S2402">
        <v>127.69</v>
      </c>
    </row>
    <row r="2403" spans="1:19" x14ac:dyDescent="0.25">
      <c r="A2403" t="s">
        <v>4505</v>
      </c>
      <c r="B2403" s="1">
        <v>44581</v>
      </c>
      <c r="C2403" t="s">
        <v>4506</v>
      </c>
      <c r="D2403" t="s">
        <v>32</v>
      </c>
      <c r="E2403" t="s">
        <v>24</v>
      </c>
      <c r="F2403" t="s">
        <v>328</v>
      </c>
      <c r="G2403">
        <v>30</v>
      </c>
      <c r="H2403" t="s">
        <v>26</v>
      </c>
      <c r="I2403" t="s">
        <v>370</v>
      </c>
      <c r="J2403" t="s">
        <v>396</v>
      </c>
      <c r="K2403" t="s">
        <v>4507</v>
      </c>
      <c r="L2403">
        <v>173</v>
      </c>
      <c r="M2403">
        <v>96</v>
      </c>
      <c r="N2403" s="2">
        <v>0.36</v>
      </c>
      <c r="O2403">
        <v>85</v>
      </c>
      <c r="P2403">
        <v>15.76</v>
      </c>
      <c r="Q2403">
        <v>7.88</v>
      </c>
      <c r="R2403">
        <v>213</v>
      </c>
    </row>
    <row r="2404" spans="1:19" x14ac:dyDescent="0.25">
      <c r="A2404" t="s">
        <v>4508</v>
      </c>
      <c r="B2404" s="1">
        <v>44581</v>
      </c>
      <c r="C2404" t="s">
        <v>4509</v>
      </c>
      <c r="D2404" t="s">
        <v>32</v>
      </c>
      <c r="E2404" t="s">
        <v>24</v>
      </c>
      <c r="F2404" t="s">
        <v>25</v>
      </c>
      <c r="G2404">
        <v>5</v>
      </c>
      <c r="H2404" t="s">
        <v>49</v>
      </c>
      <c r="I2404" t="s">
        <v>50</v>
      </c>
      <c r="J2404" t="s">
        <v>51</v>
      </c>
      <c r="K2404" t="s">
        <v>4510</v>
      </c>
      <c r="R2404">
        <v>12</v>
      </c>
    </row>
    <row r="2405" spans="1:19" x14ac:dyDescent="0.25">
      <c r="A2405" t="s">
        <v>4511</v>
      </c>
      <c r="B2405" s="1">
        <v>44581</v>
      </c>
      <c r="C2405" t="s">
        <v>1491</v>
      </c>
      <c r="D2405" t="s">
        <v>32</v>
      </c>
      <c r="E2405" t="s">
        <v>24</v>
      </c>
      <c r="F2405" t="s">
        <v>200</v>
      </c>
      <c r="G2405">
        <v>20</v>
      </c>
      <c r="H2405" t="s">
        <v>464</v>
      </c>
      <c r="I2405" t="s">
        <v>943</v>
      </c>
      <c r="J2405" t="s">
        <v>1347</v>
      </c>
      <c r="K2405" t="s">
        <v>4512</v>
      </c>
    </row>
    <row r="2406" spans="1:19" x14ac:dyDescent="0.25">
      <c r="A2406" t="s">
        <v>4582</v>
      </c>
      <c r="B2406" s="1">
        <v>44588</v>
      </c>
      <c r="C2406" t="s">
        <v>2929</v>
      </c>
      <c r="D2406" t="s">
        <v>32</v>
      </c>
      <c r="E2406" t="s">
        <v>24</v>
      </c>
      <c r="F2406" t="s">
        <v>237</v>
      </c>
      <c r="G2406">
        <v>30</v>
      </c>
      <c r="H2406" t="s">
        <v>188</v>
      </c>
      <c r="I2406" t="s">
        <v>254</v>
      </c>
      <c r="J2406" t="s">
        <v>255</v>
      </c>
      <c r="K2406" t="s">
        <v>4583</v>
      </c>
      <c r="R2406">
        <v>99</v>
      </c>
    </row>
    <row r="2407" spans="1:19" x14ac:dyDescent="0.25">
      <c r="A2407" t="s">
        <v>4584</v>
      </c>
      <c r="B2407" s="1">
        <v>44588</v>
      </c>
      <c r="C2407" t="s">
        <v>4585</v>
      </c>
      <c r="D2407" t="s">
        <v>32</v>
      </c>
      <c r="E2407" t="s">
        <v>24</v>
      </c>
      <c r="F2407" t="s">
        <v>554</v>
      </c>
      <c r="G2407">
        <v>15</v>
      </c>
      <c r="H2407" t="s">
        <v>49</v>
      </c>
      <c r="I2407" t="s">
        <v>1960</v>
      </c>
      <c r="J2407" t="s">
        <v>3349</v>
      </c>
      <c r="K2407" t="s">
        <v>2862</v>
      </c>
      <c r="R2407">
        <v>67</v>
      </c>
    </row>
    <row r="2408" spans="1:19" x14ac:dyDescent="0.25">
      <c r="A2408" t="s">
        <v>4586</v>
      </c>
      <c r="B2408" s="1">
        <v>44588</v>
      </c>
      <c r="C2408" t="s">
        <v>3168</v>
      </c>
      <c r="D2408" t="s">
        <v>32</v>
      </c>
      <c r="E2408" t="s">
        <v>24</v>
      </c>
      <c r="F2408" t="s">
        <v>1203</v>
      </c>
      <c r="G2408">
        <v>45</v>
      </c>
      <c r="H2408" t="s">
        <v>1856</v>
      </c>
      <c r="I2408" t="s">
        <v>2096</v>
      </c>
      <c r="J2408" t="s">
        <v>4587</v>
      </c>
      <c r="K2408" t="s">
        <v>4588</v>
      </c>
      <c r="L2408">
        <v>0</v>
      </c>
      <c r="P2408">
        <v>0</v>
      </c>
      <c r="Q2408">
        <v>0</v>
      </c>
      <c r="R2408">
        <v>147</v>
      </c>
    </row>
    <row r="2409" spans="1:19" x14ac:dyDescent="0.25">
      <c r="A2409" t="s">
        <v>4589</v>
      </c>
      <c r="B2409" s="1">
        <v>44588</v>
      </c>
      <c r="C2409" t="s">
        <v>4577</v>
      </c>
      <c r="D2409" t="s">
        <v>32</v>
      </c>
      <c r="E2409" t="s">
        <v>24</v>
      </c>
      <c r="F2409" t="s">
        <v>180</v>
      </c>
      <c r="G2409">
        <v>20</v>
      </c>
      <c r="H2409" t="s">
        <v>26</v>
      </c>
      <c r="I2409" t="s">
        <v>39</v>
      </c>
      <c r="J2409" t="s">
        <v>870</v>
      </c>
      <c r="K2409" t="s">
        <v>4575</v>
      </c>
      <c r="L2409">
        <v>100</v>
      </c>
      <c r="M2409">
        <v>84</v>
      </c>
      <c r="N2409" s="2">
        <v>0.34</v>
      </c>
      <c r="O2409">
        <v>85</v>
      </c>
      <c r="P2409">
        <v>14.96</v>
      </c>
      <c r="Q2409">
        <v>4.99</v>
      </c>
      <c r="R2409">
        <v>124</v>
      </c>
    </row>
    <row r="2410" spans="1:19" x14ac:dyDescent="0.25">
      <c r="A2410" t="s">
        <v>4590</v>
      </c>
      <c r="B2410" s="1">
        <v>44588</v>
      </c>
      <c r="C2410" t="s">
        <v>1292</v>
      </c>
      <c r="D2410" t="s">
        <v>32</v>
      </c>
      <c r="E2410" t="s">
        <v>24</v>
      </c>
      <c r="F2410" t="s">
        <v>208</v>
      </c>
      <c r="G2410">
        <v>20</v>
      </c>
      <c r="H2410" t="s">
        <v>464</v>
      </c>
      <c r="I2410" t="s">
        <v>1617</v>
      </c>
      <c r="J2410" t="s">
        <v>1618</v>
      </c>
      <c r="K2410" t="s">
        <v>4591</v>
      </c>
    </row>
    <row r="2411" spans="1:19" x14ac:dyDescent="0.25">
      <c r="A2411" t="s">
        <v>4663</v>
      </c>
      <c r="B2411" s="1">
        <v>44595</v>
      </c>
      <c r="C2411" t="s">
        <v>4664</v>
      </c>
      <c r="D2411" t="s">
        <v>32</v>
      </c>
      <c r="E2411" t="s">
        <v>24</v>
      </c>
      <c r="F2411" t="s">
        <v>459</v>
      </c>
      <c r="G2411">
        <v>10</v>
      </c>
      <c r="H2411" t="s">
        <v>464</v>
      </c>
      <c r="I2411" t="s">
        <v>943</v>
      </c>
      <c r="J2411" t="s">
        <v>944</v>
      </c>
      <c r="K2411" t="s">
        <v>4665</v>
      </c>
    </row>
    <row r="2412" spans="1:19" x14ac:dyDescent="0.25">
      <c r="A2412" t="s">
        <v>4666</v>
      </c>
      <c r="B2412" s="1">
        <v>44595</v>
      </c>
      <c r="C2412" t="s">
        <v>659</v>
      </c>
      <c r="D2412" t="s">
        <v>32</v>
      </c>
      <c r="E2412" t="s">
        <v>24</v>
      </c>
      <c r="F2412" t="s">
        <v>215</v>
      </c>
      <c r="G2412">
        <v>30</v>
      </c>
      <c r="H2412" t="s">
        <v>188</v>
      </c>
      <c r="I2412" t="s">
        <v>189</v>
      </c>
      <c r="J2412" t="s">
        <v>201</v>
      </c>
      <c r="K2412" t="s">
        <v>4667</v>
      </c>
      <c r="R2412">
        <v>100</v>
      </c>
    </row>
    <row r="2413" spans="1:19" x14ac:dyDescent="0.25">
      <c r="A2413" t="s">
        <v>4668</v>
      </c>
      <c r="B2413" s="1">
        <v>44595</v>
      </c>
      <c r="C2413" t="s">
        <v>917</v>
      </c>
      <c r="D2413" t="s">
        <v>32</v>
      </c>
      <c r="E2413" t="s">
        <v>24</v>
      </c>
      <c r="F2413" t="s">
        <v>895</v>
      </c>
      <c r="G2413">
        <v>30</v>
      </c>
      <c r="H2413" t="s">
        <v>1856</v>
      </c>
      <c r="I2413" t="s">
        <v>2096</v>
      </c>
      <c r="J2413" t="s">
        <v>4039</v>
      </c>
      <c r="K2413" t="s">
        <v>4669</v>
      </c>
      <c r="L2413">
        <v>0</v>
      </c>
      <c r="P2413">
        <v>0</v>
      </c>
      <c r="Q2413">
        <v>0</v>
      </c>
      <c r="R2413">
        <v>110</v>
      </c>
    </row>
    <row r="2414" spans="1:19" x14ac:dyDescent="0.25">
      <c r="A2414" t="s">
        <v>4670</v>
      </c>
      <c r="B2414" s="1">
        <v>44595</v>
      </c>
      <c r="C2414" t="s">
        <v>2049</v>
      </c>
      <c r="D2414" t="s">
        <v>32</v>
      </c>
      <c r="E2414" t="s">
        <v>24</v>
      </c>
      <c r="F2414" t="s">
        <v>208</v>
      </c>
      <c r="G2414">
        <v>20</v>
      </c>
      <c r="H2414" t="s">
        <v>464</v>
      </c>
      <c r="I2414" t="s">
        <v>763</v>
      </c>
      <c r="J2414" t="s">
        <v>1335</v>
      </c>
      <c r="K2414" t="s">
        <v>4671</v>
      </c>
    </row>
    <row r="2415" spans="1:19" x14ac:dyDescent="0.25">
      <c r="A2415" t="s">
        <v>4746</v>
      </c>
      <c r="B2415" s="1">
        <v>44602</v>
      </c>
      <c r="C2415" t="s">
        <v>3165</v>
      </c>
      <c r="D2415" t="s">
        <v>32</v>
      </c>
      <c r="E2415" t="s">
        <v>24</v>
      </c>
      <c r="F2415" t="s">
        <v>243</v>
      </c>
      <c r="G2415">
        <v>30</v>
      </c>
      <c r="H2415" t="s">
        <v>188</v>
      </c>
      <c r="I2415" t="s">
        <v>254</v>
      </c>
      <c r="J2415" t="s">
        <v>255</v>
      </c>
      <c r="K2415" t="s">
        <v>4747</v>
      </c>
      <c r="R2415">
        <v>95</v>
      </c>
    </row>
    <row r="2416" spans="1:19" x14ac:dyDescent="0.25">
      <c r="A2416" t="s">
        <v>4748</v>
      </c>
      <c r="B2416" s="1">
        <v>44602</v>
      </c>
      <c r="C2416" t="s">
        <v>4749</v>
      </c>
      <c r="D2416" t="s">
        <v>32</v>
      </c>
      <c r="E2416" t="s">
        <v>24</v>
      </c>
      <c r="F2416" t="s">
        <v>180</v>
      </c>
      <c r="G2416">
        <v>10</v>
      </c>
      <c r="H2416" t="s">
        <v>194</v>
      </c>
      <c r="I2416" t="s">
        <v>195</v>
      </c>
      <c r="J2416" t="s">
        <v>211</v>
      </c>
      <c r="K2416" t="s">
        <v>4524</v>
      </c>
      <c r="R2416">
        <v>46</v>
      </c>
    </row>
    <row r="2417" spans="1:18" x14ac:dyDescent="0.25">
      <c r="A2417" t="s">
        <v>4750</v>
      </c>
      <c r="B2417" s="1">
        <v>44602</v>
      </c>
      <c r="C2417" t="s">
        <v>4285</v>
      </c>
      <c r="D2417" t="s">
        <v>32</v>
      </c>
      <c r="E2417" t="s">
        <v>24</v>
      </c>
      <c r="F2417" t="s">
        <v>554</v>
      </c>
      <c r="G2417">
        <v>30</v>
      </c>
      <c r="H2417" t="s">
        <v>26</v>
      </c>
      <c r="I2417" t="s">
        <v>39</v>
      </c>
      <c r="J2417" t="s">
        <v>407</v>
      </c>
      <c r="K2417" t="s">
        <v>4751</v>
      </c>
      <c r="L2417">
        <v>138</v>
      </c>
      <c r="M2417">
        <v>77</v>
      </c>
      <c r="N2417" s="2">
        <v>0.34</v>
      </c>
      <c r="O2417">
        <v>81</v>
      </c>
      <c r="P2417">
        <v>14.48</v>
      </c>
      <c r="Q2417">
        <v>7.24</v>
      </c>
      <c r="R2417">
        <v>170</v>
      </c>
    </row>
    <row r="2418" spans="1:18" x14ac:dyDescent="0.25">
      <c r="A2418" t="s">
        <v>4752</v>
      </c>
      <c r="B2418" s="1">
        <v>44602</v>
      </c>
      <c r="C2418" t="s">
        <v>2010</v>
      </c>
      <c r="D2418" t="s">
        <v>32</v>
      </c>
      <c r="E2418" t="s">
        <v>24</v>
      </c>
      <c r="F2418" t="s">
        <v>208</v>
      </c>
      <c r="G2418">
        <v>20</v>
      </c>
      <c r="H2418" t="s">
        <v>464</v>
      </c>
      <c r="I2418" t="s">
        <v>763</v>
      </c>
      <c r="J2418" t="s">
        <v>1385</v>
      </c>
      <c r="K2418" t="s">
        <v>4753</v>
      </c>
    </row>
    <row r="2419" spans="1:18" x14ac:dyDescent="0.25">
      <c r="A2419" t="s">
        <v>4832</v>
      </c>
      <c r="B2419" s="1">
        <v>44609</v>
      </c>
      <c r="C2419" t="s">
        <v>4833</v>
      </c>
      <c r="D2419" t="s">
        <v>32</v>
      </c>
      <c r="G2419">
        <v>10</v>
      </c>
      <c r="H2419" t="s">
        <v>26</v>
      </c>
      <c r="J2419" t="s">
        <v>4834</v>
      </c>
      <c r="L2419">
        <v>48</v>
      </c>
      <c r="M2419">
        <v>80</v>
      </c>
      <c r="N2419" s="2">
        <v>0.32</v>
      </c>
      <c r="O2419">
        <v>89</v>
      </c>
      <c r="P2419">
        <v>14.57</v>
      </c>
      <c r="Q2419">
        <v>2.4500000000000002</v>
      </c>
      <c r="R2419">
        <v>59</v>
      </c>
    </row>
    <row r="2420" spans="1:18" x14ac:dyDescent="0.25">
      <c r="A2420" t="s">
        <v>4835</v>
      </c>
      <c r="B2420" s="1">
        <v>44609</v>
      </c>
      <c r="C2420" t="s">
        <v>930</v>
      </c>
      <c r="D2420" t="s">
        <v>32</v>
      </c>
      <c r="E2420" t="s">
        <v>24</v>
      </c>
      <c r="F2420" t="s">
        <v>323</v>
      </c>
      <c r="G2420">
        <v>45</v>
      </c>
      <c r="H2420" t="s">
        <v>26</v>
      </c>
      <c r="I2420" t="s">
        <v>370</v>
      </c>
      <c r="J2420" t="s">
        <v>439</v>
      </c>
      <c r="K2420" t="s">
        <v>4836</v>
      </c>
      <c r="L2420">
        <v>281</v>
      </c>
      <c r="M2420">
        <v>104</v>
      </c>
      <c r="N2420" s="2">
        <v>0.37</v>
      </c>
      <c r="O2420">
        <v>88</v>
      </c>
      <c r="P2420">
        <v>16.41</v>
      </c>
      <c r="Q2420">
        <v>12.31</v>
      </c>
      <c r="R2420">
        <v>347</v>
      </c>
    </row>
    <row r="2421" spans="1:18" x14ac:dyDescent="0.25">
      <c r="A2421" t="s">
        <v>4837</v>
      </c>
      <c r="B2421" s="1">
        <v>44609</v>
      </c>
      <c r="C2421" t="s">
        <v>2483</v>
      </c>
      <c r="D2421" t="s">
        <v>32</v>
      </c>
      <c r="E2421" t="s">
        <v>24</v>
      </c>
      <c r="F2421" t="s">
        <v>215</v>
      </c>
      <c r="G2421">
        <v>20</v>
      </c>
      <c r="H2421" t="s">
        <v>464</v>
      </c>
      <c r="I2421" t="s">
        <v>943</v>
      </c>
      <c r="J2421" t="s">
        <v>1347</v>
      </c>
      <c r="K2421" t="s">
        <v>4831</v>
      </c>
    </row>
    <row r="2422" spans="1:18" x14ac:dyDescent="0.25">
      <c r="A2422" t="s">
        <v>4901</v>
      </c>
      <c r="B2422" s="1">
        <v>44616</v>
      </c>
      <c r="C2422" t="s">
        <v>4506</v>
      </c>
      <c r="D2422" t="s">
        <v>32</v>
      </c>
      <c r="E2422" t="s">
        <v>24</v>
      </c>
      <c r="F2422" t="s">
        <v>323</v>
      </c>
      <c r="G2422">
        <v>45</v>
      </c>
      <c r="H2422" t="s">
        <v>26</v>
      </c>
      <c r="I2422" t="s">
        <v>370</v>
      </c>
      <c r="J2422" t="s">
        <v>439</v>
      </c>
      <c r="K2422" t="s">
        <v>4902</v>
      </c>
      <c r="L2422">
        <v>275</v>
      </c>
      <c r="M2422">
        <v>101</v>
      </c>
      <c r="N2422" s="2">
        <v>0.36</v>
      </c>
      <c r="O2422">
        <v>87</v>
      </c>
      <c r="P2422">
        <v>16.13</v>
      </c>
      <c r="Q2422">
        <v>12.16</v>
      </c>
      <c r="R2422">
        <v>338</v>
      </c>
    </row>
    <row r="2423" spans="1:18" x14ac:dyDescent="0.25">
      <c r="A2423" t="s">
        <v>4903</v>
      </c>
      <c r="B2423" s="1">
        <v>44616</v>
      </c>
      <c r="C2423" t="s">
        <v>3590</v>
      </c>
      <c r="D2423" t="s">
        <v>32</v>
      </c>
      <c r="E2423" t="s">
        <v>24</v>
      </c>
      <c r="F2423" t="s">
        <v>323</v>
      </c>
      <c r="G2423">
        <v>5</v>
      </c>
      <c r="H2423" t="s">
        <v>49</v>
      </c>
      <c r="I2423" t="s">
        <v>50</v>
      </c>
      <c r="J2423" t="s">
        <v>51</v>
      </c>
      <c r="K2423" t="s">
        <v>4332</v>
      </c>
      <c r="R2423">
        <v>12</v>
      </c>
    </row>
    <row r="2424" spans="1:18" x14ac:dyDescent="0.25">
      <c r="A2424" t="s">
        <v>4904</v>
      </c>
      <c r="B2424" s="1">
        <v>44616</v>
      </c>
      <c r="C2424" t="s">
        <v>1469</v>
      </c>
      <c r="D2424" t="s">
        <v>32</v>
      </c>
      <c r="E2424" t="s">
        <v>24</v>
      </c>
      <c r="F2424" t="s">
        <v>215</v>
      </c>
      <c r="G2424">
        <v>20</v>
      </c>
      <c r="H2424" t="s">
        <v>464</v>
      </c>
      <c r="I2424" t="s">
        <v>763</v>
      </c>
      <c r="J2424" t="s">
        <v>1385</v>
      </c>
      <c r="K2424" t="s">
        <v>4905</v>
      </c>
    </row>
    <row r="2425" spans="1:18" x14ac:dyDescent="0.25">
      <c r="A2425" t="s">
        <v>4992</v>
      </c>
      <c r="B2425" s="1">
        <v>44623</v>
      </c>
      <c r="C2425" t="s">
        <v>472</v>
      </c>
      <c r="D2425" t="s">
        <v>32</v>
      </c>
      <c r="E2425" t="s">
        <v>24</v>
      </c>
      <c r="F2425" t="s">
        <v>215</v>
      </c>
      <c r="G2425">
        <v>30</v>
      </c>
      <c r="H2425" t="s">
        <v>188</v>
      </c>
      <c r="I2425" t="s">
        <v>189</v>
      </c>
      <c r="J2425" t="s">
        <v>3149</v>
      </c>
      <c r="K2425" t="s">
        <v>4993</v>
      </c>
      <c r="R2425">
        <v>98</v>
      </c>
    </row>
    <row r="2426" spans="1:18" x14ac:dyDescent="0.25">
      <c r="A2426" t="s">
        <v>4994</v>
      </c>
      <c r="B2426" s="1">
        <v>44623</v>
      </c>
      <c r="C2426" t="s">
        <v>4995</v>
      </c>
      <c r="D2426" t="s">
        <v>32</v>
      </c>
      <c r="E2426" t="s">
        <v>24</v>
      </c>
      <c r="F2426" t="s">
        <v>208</v>
      </c>
      <c r="G2426">
        <v>5</v>
      </c>
      <c r="H2426" t="s">
        <v>464</v>
      </c>
      <c r="I2426" t="s">
        <v>579</v>
      </c>
      <c r="J2426" t="s">
        <v>3913</v>
      </c>
      <c r="K2426" t="s">
        <v>4996</v>
      </c>
    </row>
    <row r="2427" spans="1:18" x14ac:dyDescent="0.25">
      <c r="A2427" t="s">
        <v>4997</v>
      </c>
      <c r="B2427" s="1">
        <v>44623</v>
      </c>
      <c r="C2427" t="s">
        <v>4000</v>
      </c>
      <c r="D2427" t="s">
        <v>32</v>
      </c>
      <c r="E2427" t="s">
        <v>24</v>
      </c>
      <c r="F2427" t="s">
        <v>328</v>
      </c>
      <c r="G2427">
        <v>30</v>
      </c>
      <c r="H2427" t="s">
        <v>26</v>
      </c>
      <c r="I2427" t="s">
        <v>370</v>
      </c>
      <c r="J2427" t="s">
        <v>396</v>
      </c>
      <c r="K2427" t="s">
        <v>4998</v>
      </c>
      <c r="L2427">
        <v>180</v>
      </c>
      <c r="M2427">
        <v>100</v>
      </c>
      <c r="N2427" s="2">
        <v>0.36</v>
      </c>
      <c r="O2427">
        <v>87</v>
      </c>
      <c r="P2427">
        <v>16.05</v>
      </c>
      <c r="Q2427">
        <v>8.02</v>
      </c>
      <c r="R2427">
        <v>222</v>
      </c>
    </row>
    <row r="2428" spans="1:18" x14ac:dyDescent="0.25">
      <c r="A2428" t="s">
        <v>4999</v>
      </c>
      <c r="B2428" s="1">
        <v>44623</v>
      </c>
      <c r="C2428" t="s">
        <v>4301</v>
      </c>
      <c r="D2428" t="s">
        <v>32</v>
      </c>
      <c r="E2428" t="s">
        <v>24</v>
      </c>
      <c r="F2428" t="s">
        <v>747</v>
      </c>
      <c r="G2428">
        <v>5</v>
      </c>
      <c r="H2428" t="s">
        <v>26</v>
      </c>
      <c r="I2428" t="s">
        <v>358</v>
      </c>
      <c r="J2428" t="s">
        <v>359</v>
      </c>
      <c r="K2428" t="s">
        <v>5000</v>
      </c>
      <c r="L2428">
        <v>21</v>
      </c>
      <c r="M2428">
        <v>69</v>
      </c>
      <c r="N2428" s="2">
        <v>0.35</v>
      </c>
      <c r="O2428">
        <v>72</v>
      </c>
      <c r="P2428">
        <v>13.67</v>
      </c>
      <c r="Q2428">
        <v>1.1399999999999999</v>
      </c>
      <c r="R2428">
        <v>25</v>
      </c>
    </row>
    <row r="2429" spans="1:18" x14ac:dyDescent="0.25">
      <c r="A2429" t="s">
        <v>5001</v>
      </c>
      <c r="B2429" s="1">
        <v>44623</v>
      </c>
      <c r="C2429" t="s">
        <v>4326</v>
      </c>
      <c r="D2429" t="s">
        <v>32</v>
      </c>
      <c r="E2429" t="s">
        <v>24</v>
      </c>
      <c r="F2429" t="s">
        <v>490</v>
      </c>
      <c r="G2429">
        <v>5</v>
      </c>
      <c r="H2429" t="s">
        <v>49</v>
      </c>
      <c r="I2429" t="s">
        <v>50</v>
      </c>
      <c r="J2429" t="s">
        <v>51</v>
      </c>
      <c r="K2429" t="s">
        <v>5002</v>
      </c>
      <c r="R2429">
        <v>11</v>
      </c>
    </row>
    <row r="2430" spans="1:18" x14ac:dyDescent="0.25">
      <c r="A2430" t="s">
        <v>5003</v>
      </c>
      <c r="B2430" s="1">
        <v>44623</v>
      </c>
      <c r="C2430" t="s">
        <v>913</v>
      </c>
      <c r="D2430" t="s">
        <v>32</v>
      </c>
      <c r="E2430" t="s">
        <v>24</v>
      </c>
      <c r="F2430" t="s">
        <v>237</v>
      </c>
      <c r="G2430">
        <v>10</v>
      </c>
      <c r="H2430" t="s">
        <v>464</v>
      </c>
      <c r="I2430" t="s">
        <v>943</v>
      </c>
      <c r="J2430" t="s">
        <v>944</v>
      </c>
      <c r="K2430" t="s">
        <v>5004</v>
      </c>
    </row>
    <row r="2431" spans="1:18" x14ac:dyDescent="0.25">
      <c r="A2431" t="s">
        <v>5069</v>
      </c>
      <c r="B2431" s="1">
        <v>44630</v>
      </c>
      <c r="C2431" t="s">
        <v>5070</v>
      </c>
      <c r="D2431" t="s">
        <v>32</v>
      </c>
      <c r="E2431" t="s">
        <v>24</v>
      </c>
      <c r="F2431" t="s">
        <v>895</v>
      </c>
      <c r="G2431">
        <v>45</v>
      </c>
      <c r="H2431" t="s">
        <v>1856</v>
      </c>
      <c r="I2431" t="s">
        <v>2096</v>
      </c>
      <c r="J2431" t="s">
        <v>4587</v>
      </c>
      <c r="K2431" t="s">
        <v>5071</v>
      </c>
      <c r="L2431">
        <v>0</v>
      </c>
      <c r="P2431">
        <v>0</v>
      </c>
      <c r="Q2431">
        <v>0</v>
      </c>
      <c r="R2431">
        <v>166</v>
      </c>
    </row>
    <row r="2432" spans="1:18" x14ac:dyDescent="0.25">
      <c r="A2432" t="s">
        <v>5072</v>
      </c>
      <c r="B2432" s="1">
        <v>44630</v>
      </c>
      <c r="C2432" t="s">
        <v>4609</v>
      </c>
      <c r="D2432" t="s">
        <v>32</v>
      </c>
      <c r="E2432" t="s">
        <v>24</v>
      </c>
      <c r="F2432" t="s">
        <v>215</v>
      </c>
      <c r="G2432">
        <v>30</v>
      </c>
      <c r="H2432" t="s">
        <v>464</v>
      </c>
      <c r="I2432" t="s">
        <v>943</v>
      </c>
      <c r="J2432" t="s">
        <v>1621</v>
      </c>
      <c r="K2432" t="s">
        <v>5073</v>
      </c>
    </row>
    <row r="2433" spans="1:19" x14ac:dyDescent="0.25">
      <c r="A2433" t="s">
        <v>5164</v>
      </c>
      <c r="B2433" s="1">
        <v>44637</v>
      </c>
      <c r="C2433" t="s">
        <v>5165</v>
      </c>
      <c r="D2433" t="s">
        <v>32</v>
      </c>
      <c r="E2433" t="s">
        <v>24</v>
      </c>
      <c r="F2433" t="s">
        <v>237</v>
      </c>
      <c r="G2433">
        <v>10</v>
      </c>
      <c r="H2433" t="s">
        <v>188</v>
      </c>
      <c r="I2433" t="s">
        <v>238</v>
      </c>
      <c r="J2433" t="s">
        <v>731</v>
      </c>
      <c r="K2433" t="s">
        <v>5166</v>
      </c>
      <c r="R2433">
        <v>34</v>
      </c>
    </row>
    <row r="2434" spans="1:19" x14ac:dyDescent="0.25">
      <c r="A2434" t="s">
        <v>5167</v>
      </c>
      <c r="B2434" s="1">
        <v>44637</v>
      </c>
      <c r="C2434" t="s">
        <v>589</v>
      </c>
      <c r="D2434" t="s">
        <v>32</v>
      </c>
      <c r="E2434" t="s">
        <v>24</v>
      </c>
      <c r="F2434" t="s">
        <v>243</v>
      </c>
      <c r="G2434">
        <v>20</v>
      </c>
      <c r="H2434" t="s">
        <v>188</v>
      </c>
      <c r="I2434" t="s">
        <v>238</v>
      </c>
      <c r="J2434" t="s">
        <v>796</v>
      </c>
      <c r="K2434" t="s">
        <v>5168</v>
      </c>
      <c r="R2434">
        <v>62</v>
      </c>
    </row>
    <row r="2435" spans="1:19" x14ac:dyDescent="0.25">
      <c r="A2435" t="s">
        <v>5169</v>
      </c>
      <c r="B2435" s="1">
        <v>44637</v>
      </c>
      <c r="C2435" t="s">
        <v>2353</v>
      </c>
      <c r="D2435" t="s">
        <v>32</v>
      </c>
      <c r="E2435" t="s">
        <v>24</v>
      </c>
      <c r="F2435" t="s">
        <v>215</v>
      </c>
      <c r="G2435">
        <v>10</v>
      </c>
      <c r="H2435" t="s">
        <v>464</v>
      </c>
      <c r="I2435" t="s">
        <v>579</v>
      </c>
      <c r="J2435" t="s">
        <v>1820</v>
      </c>
      <c r="K2435" t="s">
        <v>5170</v>
      </c>
    </row>
    <row r="2436" spans="1:19" x14ac:dyDescent="0.25">
      <c r="A2436" t="s">
        <v>5252</v>
      </c>
      <c r="B2436" s="1">
        <v>44644</v>
      </c>
      <c r="C2436" t="s">
        <v>4498</v>
      </c>
      <c r="D2436" t="s">
        <v>32</v>
      </c>
      <c r="E2436" t="s">
        <v>24</v>
      </c>
      <c r="F2436" t="s">
        <v>5253</v>
      </c>
      <c r="G2436">
        <v>30</v>
      </c>
      <c r="H2436" t="s">
        <v>188</v>
      </c>
      <c r="I2436" t="s">
        <v>103</v>
      </c>
      <c r="J2436" t="s">
        <v>5254</v>
      </c>
      <c r="K2436" t="s">
        <v>5255</v>
      </c>
      <c r="R2436">
        <v>99</v>
      </c>
    </row>
    <row r="2437" spans="1:19" x14ac:dyDescent="0.25">
      <c r="A2437" t="s">
        <v>5256</v>
      </c>
      <c r="B2437" s="1">
        <v>44644</v>
      </c>
      <c r="C2437" t="s">
        <v>4595</v>
      </c>
      <c r="D2437" t="s">
        <v>32</v>
      </c>
      <c r="E2437" t="s">
        <v>24</v>
      </c>
      <c r="F2437" t="s">
        <v>297</v>
      </c>
      <c r="G2437">
        <v>10</v>
      </c>
      <c r="H2437" t="s">
        <v>194</v>
      </c>
      <c r="I2437" t="s">
        <v>195</v>
      </c>
      <c r="J2437" t="s">
        <v>211</v>
      </c>
      <c r="K2437" t="s">
        <v>5257</v>
      </c>
      <c r="R2437">
        <v>45</v>
      </c>
    </row>
    <row r="2438" spans="1:19" x14ac:dyDescent="0.25">
      <c r="A2438" t="s">
        <v>5258</v>
      </c>
      <c r="B2438" s="1">
        <v>44644</v>
      </c>
      <c r="C2438" t="s">
        <v>5259</v>
      </c>
      <c r="D2438" t="s">
        <v>32</v>
      </c>
      <c r="E2438" t="s">
        <v>24</v>
      </c>
      <c r="F2438" t="s">
        <v>297</v>
      </c>
      <c r="G2438">
        <v>30</v>
      </c>
      <c r="H2438" t="s">
        <v>1856</v>
      </c>
      <c r="I2438" t="s">
        <v>5177</v>
      </c>
      <c r="J2438" t="s">
        <v>5260</v>
      </c>
      <c r="K2438" t="s">
        <v>5261</v>
      </c>
      <c r="L2438">
        <v>0</v>
      </c>
      <c r="P2438">
        <v>3.65</v>
      </c>
      <c r="Q2438">
        <v>1.91</v>
      </c>
      <c r="R2438">
        <v>202</v>
      </c>
      <c r="S2438">
        <v>126.08</v>
      </c>
    </row>
    <row r="2439" spans="1:19" x14ac:dyDescent="0.25">
      <c r="A2439" t="s">
        <v>5262</v>
      </c>
      <c r="B2439" s="1">
        <v>44644</v>
      </c>
      <c r="C2439" t="s">
        <v>1819</v>
      </c>
      <c r="D2439" t="s">
        <v>32</v>
      </c>
      <c r="E2439" t="s">
        <v>24</v>
      </c>
      <c r="F2439" t="s">
        <v>215</v>
      </c>
      <c r="G2439">
        <v>10</v>
      </c>
      <c r="H2439" t="s">
        <v>464</v>
      </c>
      <c r="I2439" t="s">
        <v>763</v>
      </c>
      <c r="J2439" t="s">
        <v>914</v>
      </c>
      <c r="K2439" t="s">
        <v>5263</v>
      </c>
    </row>
    <row r="2440" spans="1:19" x14ac:dyDescent="0.25">
      <c r="A2440" t="s">
        <v>5330</v>
      </c>
      <c r="B2440" s="1">
        <v>44651</v>
      </c>
      <c r="C2440" t="s">
        <v>1295</v>
      </c>
      <c r="D2440" t="s">
        <v>32</v>
      </c>
      <c r="E2440" t="s">
        <v>24</v>
      </c>
      <c r="F2440" t="s">
        <v>215</v>
      </c>
      <c r="G2440">
        <v>30</v>
      </c>
      <c r="H2440" t="s">
        <v>188</v>
      </c>
      <c r="I2440" t="s">
        <v>189</v>
      </c>
      <c r="J2440" t="s">
        <v>4152</v>
      </c>
      <c r="K2440" t="s">
        <v>5331</v>
      </c>
      <c r="R2440">
        <v>99</v>
      </c>
    </row>
    <row r="2441" spans="1:19" x14ac:dyDescent="0.25">
      <c r="A2441" t="s">
        <v>5332</v>
      </c>
      <c r="B2441" s="1">
        <v>44651</v>
      </c>
      <c r="C2441" t="s">
        <v>5333</v>
      </c>
      <c r="D2441" t="s">
        <v>32</v>
      </c>
      <c r="E2441" t="s">
        <v>24</v>
      </c>
      <c r="F2441" t="s">
        <v>1203</v>
      </c>
      <c r="G2441">
        <v>30</v>
      </c>
      <c r="H2441" t="s">
        <v>1856</v>
      </c>
      <c r="I2441" t="s">
        <v>44</v>
      </c>
      <c r="J2441" t="s">
        <v>5334</v>
      </c>
      <c r="K2441" t="s">
        <v>5335</v>
      </c>
      <c r="L2441">
        <v>0</v>
      </c>
      <c r="P2441">
        <v>3.4</v>
      </c>
      <c r="Q2441">
        <v>1.28</v>
      </c>
      <c r="R2441">
        <v>170</v>
      </c>
      <c r="S2441">
        <v>122.52</v>
      </c>
    </row>
    <row r="2442" spans="1:19" x14ac:dyDescent="0.25">
      <c r="A2442" t="s">
        <v>5336</v>
      </c>
      <c r="B2442" s="1">
        <v>44651</v>
      </c>
      <c r="C2442" t="s">
        <v>3712</v>
      </c>
      <c r="D2442" t="s">
        <v>32</v>
      </c>
      <c r="E2442" t="s">
        <v>24</v>
      </c>
      <c r="F2442" t="s">
        <v>459</v>
      </c>
      <c r="G2442">
        <v>10</v>
      </c>
      <c r="H2442" t="s">
        <v>464</v>
      </c>
      <c r="I2442" t="s">
        <v>943</v>
      </c>
      <c r="J2442" t="s">
        <v>944</v>
      </c>
      <c r="K2442" t="s">
        <v>5337</v>
      </c>
    </row>
    <row r="2443" spans="1:19" x14ac:dyDescent="0.25">
      <c r="A2443" t="s">
        <v>5398</v>
      </c>
      <c r="B2443" s="1">
        <v>44658</v>
      </c>
      <c r="C2443" t="s">
        <v>5399</v>
      </c>
      <c r="D2443" t="s">
        <v>32</v>
      </c>
      <c r="E2443" t="s">
        <v>24</v>
      </c>
      <c r="F2443" t="s">
        <v>459</v>
      </c>
      <c r="G2443">
        <v>10</v>
      </c>
      <c r="H2443" t="s">
        <v>464</v>
      </c>
      <c r="I2443" t="s">
        <v>763</v>
      </c>
      <c r="J2443" t="s">
        <v>914</v>
      </c>
      <c r="K2443" t="s">
        <v>5400</v>
      </c>
    </row>
    <row r="2444" spans="1:19" x14ac:dyDescent="0.25">
      <c r="A2444" t="s">
        <v>5401</v>
      </c>
      <c r="B2444" s="1">
        <v>44658</v>
      </c>
      <c r="C2444" t="s">
        <v>5402</v>
      </c>
      <c r="D2444" t="s">
        <v>32</v>
      </c>
      <c r="E2444" t="s">
        <v>24</v>
      </c>
      <c r="F2444" t="s">
        <v>459</v>
      </c>
      <c r="G2444">
        <v>10</v>
      </c>
      <c r="H2444" t="s">
        <v>464</v>
      </c>
      <c r="I2444" t="s">
        <v>763</v>
      </c>
      <c r="J2444" t="s">
        <v>914</v>
      </c>
      <c r="K2444" t="s">
        <v>5400</v>
      </c>
    </row>
    <row r="2445" spans="1:19" x14ac:dyDescent="0.25">
      <c r="A2445" t="s">
        <v>5403</v>
      </c>
      <c r="B2445" s="1">
        <v>44658</v>
      </c>
      <c r="C2445" t="s">
        <v>5107</v>
      </c>
      <c r="D2445" t="s">
        <v>32</v>
      </c>
      <c r="E2445" t="s">
        <v>24</v>
      </c>
      <c r="F2445" t="s">
        <v>292</v>
      </c>
      <c r="G2445">
        <v>10</v>
      </c>
      <c r="H2445" t="s">
        <v>194</v>
      </c>
      <c r="I2445" t="s">
        <v>1445</v>
      </c>
      <c r="J2445" t="s">
        <v>5404</v>
      </c>
      <c r="K2445" t="s">
        <v>5405</v>
      </c>
      <c r="R2445">
        <v>56</v>
      </c>
      <c r="S2445">
        <v>121.08</v>
      </c>
    </row>
    <row r="2446" spans="1:19" x14ac:dyDescent="0.25">
      <c r="A2446" t="s">
        <v>5406</v>
      </c>
      <c r="B2446" s="1">
        <v>44658</v>
      </c>
      <c r="C2446" t="s">
        <v>5407</v>
      </c>
      <c r="D2446" t="s">
        <v>32</v>
      </c>
      <c r="E2446" t="s">
        <v>24</v>
      </c>
      <c r="F2446" t="s">
        <v>2876</v>
      </c>
      <c r="G2446">
        <v>5</v>
      </c>
      <c r="H2446" t="s">
        <v>26</v>
      </c>
      <c r="I2446" t="s">
        <v>423</v>
      </c>
      <c r="J2446" t="s">
        <v>505</v>
      </c>
      <c r="K2446" t="s">
        <v>5408</v>
      </c>
      <c r="L2446">
        <v>28</v>
      </c>
      <c r="M2446">
        <v>93</v>
      </c>
      <c r="N2446" s="2">
        <v>0.37</v>
      </c>
      <c r="O2446">
        <v>82</v>
      </c>
      <c r="P2446">
        <v>15.7</v>
      </c>
      <c r="Q2446">
        <v>1.3</v>
      </c>
      <c r="R2446">
        <v>43</v>
      </c>
      <c r="S2446">
        <v>146.5</v>
      </c>
    </row>
    <row r="2447" spans="1:19" x14ac:dyDescent="0.25">
      <c r="A2447" t="s">
        <v>5409</v>
      </c>
      <c r="B2447" s="1">
        <v>44658</v>
      </c>
      <c r="C2447" t="s">
        <v>2967</v>
      </c>
      <c r="D2447" t="s">
        <v>32</v>
      </c>
      <c r="E2447" t="s">
        <v>24</v>
      </c>
      <c r="F2447" t="s">
        <v>243</v>
      </c>
      <c r="G2447">
        <v>45</v>
      </c>
      <c r="H2447" t="s">
        <v>26</v>
      </c>
      <c r="I2447" t="s">
        <v>370</v>
      </c>
      <c r="J2447" t="s">
        <v>439</v>
      </c>
      <c r="K2447" t="s">
        <v>5410</v>
      </c>
      <c r="L2447">
        <v>264</v>
      </c>
      <c r="M2447">
        <v>98</v>
      </c>
      <c r="N2447" s="2">
        <v>0.37</v>
      </c>
      <c r="O2447">
        <v>84</v>
      </c>
      <c r="P2447">
        <v>15.92</v>
      </c>
      <c r="Q2447">
        <v>11.94</v>
      </c>
      <c r="R2447">
        <v>397</v>
      </c>
      <c r="S2447">
        <v>150.30000000000001</v>
      </c>
    </row>
    <row r="2448" spans="1:19" x14ac:dyDescent="0.25">
      <c r="A2448" t="s">
        <v>5411</v>
      </c>
      <c r="B2448" s="1">
        <v>44658</v>
      </c>
      <c r="C2448" t="s">
        <v>3446</v>
      </c>
      <c r="D2448" t="s">
        <v>32</v>
      </c>
      <c r="E2448" t="s">
        <v>24</v>
      </c>
      <c r="F2448" t="s">
        <v>590</v>
      </c>
      <c r="G2448">
        <v>10</v>
      </c>
      <c r="H2448" t="s">
        <v>26</v>
      </c>
      <c r="I2448" t="s">
        <v>358</v>
      </c>
      <c r="J2448" t="s">
        <v>389</v>
      </c>
      <c r="K2448" t="s">
        <v>5412</v>
      </c>
      <c r="L2448">
        <v>40</v>
      </c>
      <c r="M2448">
        <v>66</v>
      </c>
      <c r="N2448" s="2">
        <v>0.32</v>
      </c>
      <c r="O2448">
        <v>80</v>
      </c>
      <c r="P2448">
        <v>13.51</v>
      </c>
      <c r="Q2448">
        <v>2.25</v>
      </c>
      <c r="R2448">
        <v>69</v>
      </c>
      <c r="S2448">
        <v>126.96</v>
      </c>
    </row>
    <row r="2449" spans="1:19" x14ac:dyDescent="0.25">
      <c r="A2449" t="s">
        <v>5413</v>
      </c>
      <c r="B2449" s="1">
        <v>44658</v>
      </c>
      <c r="C2449" t="s">
        <v>5414</v>
      </c>
      <c r="D2449" t="s">
        <v>32</v>
      </c>
      <c r="E2449" t="s">
        <v>24</v>
      </c>
      <c r="F2449" t="s">
        <v>2876</v>
      </c>
      <c r="G2449">
        <v>5</v>
      </c>
      <c r="H2449" t="s">
        <v>49</v>
      </c>
      <c r="I2449" t="s">
        <v>50</v>
      </c>
      <c r="J2449" t="s">
        <v>51</v>
      </c>
      <c r="K2449" t="s">
        <v>5408</v>
      </c>
      <c r="R2449">
        <v>18</v>
      </c>
      <c r="S2449">
        <v>103.76</v>
      </c>
    </row>
    <row r="2450" spans="1:19" x14ac:dyDescent="0.25">
      <c r="A2450" t="s">
        <v>5415</v>
      </c>
      <c r="B2450" s="1">
        <v>44658</v>
      </c>
      <c r="C2450" t="s">
        <v>1298</v>
      </c>
      <c r="D2450" t="s">
        <v>32</v>
      </c>
      <c r="E2450" t="s">
        <v>24</v>
      </c>
      <c r="F2450" t="s">
        <v>459</v>
      </c>
      <c r="G2450">
        <v>10</v>
      </c>
      <c r="H2450" t="s">
        <v>464</v>
      </c>
      <c r="I2450" t="s">
        <v>763</v>
      </c>
      <c r="J2450" t="s">
        <v>914</v>
      </c>
      <c r="K2450" t="s">
        <v>5416</v>
      </c>
    </row>
    <row r="2451" spans="1:19" x14ac:dyDescent="0.25">
      <c r="A2451" t="s">
        <v>5502</v>
      </c>
      <c r="B2451" s="1">
        <v>44665</v>
      </c>
      <c r="C2451" t="s">
        <v>4673</v>
      </c>
      <c r="D2451" t="s">
        <v>32</v>
      </c>
      <c r="E2451" t="s">
        <v>24</v>
      </c>
      <c r="F2451" t="s">
        <v>459</v>
      </c>
      <c r="G2451">
        <v>5</v>
      </c>
      <c r="H2451" t="s">
        <v>464</v>
      </c>
      <c r="I2451" t="s">
        <v>943</v>
      </c>
      <c r="J2451" t="s">
        <v>2205</v>
      </c>
      <c r="K2451" t="s">
        <v>5503</v>
      </c>
    </row>
    <row r="2452" spans="1:19" x14ac:dyDescent="0.25">
      <c r="A2452" t="s">
        <v>5504</v>
      </c>
      <c r="B2452" s="1">
        <v>44665</v>
      </c>
      <c r="C2452" t="s">
        <v>5505</v>
      </c>
      <c r="D2452" t="s">
        <v>32</v>
      </c>
      <c r="E2452" t="s">
        <v>24</v>
      </c>
      <c r="F2452" t="s">
        <v>297</v>
      </c>
      <c r="G2452">
        <v>10</v>
      </c>
      <c r="H2452" t="s">
        <v>194</v>
      </c>
      <c r="I2452" t="s">
        <v>195</v>
      </c>
      <c r="J2452" t="s">
        <v>211</v>
      </c>
      <c r="K2452" t="s">
        <v>5506</v>
      </c>
      <c r="R2452">
        <v>46</v>
      </c>
    </row>
    <row r="2453" spans="1:19" x14ac:dyDescent="0.25">
      <c r="A2453" t="s">
        <v>5507</v>
      </c>
      <c r="B2453" s="1">
        <v>44665</v>
      </c>
      <c r="C2453" t="s">
        <v>5508</v>
      </c>
      <c r="D2453" t="s">
        <v>32</v>
      </c>
      <c r="E2453" t="s">
        <v>24</v>
      </c>
      <c r="F2453" t="s">
        <v>2833</v>
      </c>
      <c r="G2453">
        <v>5</v>
      </c>
      <c r="H2453" t="s">
        <v>26</v>
      </c>
      <c r="I2453" t="s">
        <v>423</v>
      </c>
      <c r="J2453" t="s">
        <v>505</v>
      </c>
      <c r="K2453" t="s">
        <v>5509</v>
      </c>
      <c r="L2453">
        <v>20</v>
      </c>
      <c r="M2453">
        <v>67</v>
      </c>
      <c r="N2453" s="2">
        <v>0.28999999999999998</v>
      </c>
      <c r="O2453">
        <v>94</v>
      </c>
      <c r="P2453">
        <v>13.66</v>
      </c>
      <c r="Q2453">
        <v>1.1299999999999999</v>
      </c>
      <c r="R2453">
        <v>38</v>
      </c>
      <c r="S2453">
        <v>137.57</v>
      </c>
    </row>
    <row r="2454" spans="1:19" x14ac:dyDescent="0.25">
      <c r="A2454" t="s">
        <v>5510</v>
      </c>
      <c r="B2454" s="1">
        <v>44665</v>
      </c>
      <c r="C2454" t="s">
        <v>5511</v>
      </c>
      <c r="D2454" t="s">
        <v>32</v>
      </c>
      <c r="E2454" t="s">
        <v>24</v>
      </c>
      <c r="F2454" t="s">
        <v>243</v>
      </c>
      <c r="G2454">
        <v>45</v>
      </c>
      <c r="H2454" t="s">
        <v>26</v>
      </c>
      <c r="I2454" t="s">
        <v>370</v>
      </c>
      <c r="J2454" t="s">
        <v>479</v>
      </c>
      <c r="K2454" t="s">
        <v>5512</v>
      </c>
      <c r="L2454">
        <v>286</v>
      </c>
      <c r="M2454">
        <v>106</v>
      </c>
      <c r="N2454" s="2">
        <v>0.37</v>
      </c>
      <c r="O2454">
        <v>85</v>
      </c>
      <c r="P2454">
        <v>16.25</v>
      </c>
      <c r="Q2454">
        <v>12.19</v>
      </c>
      <c r="R2454">
        <v>485</v>
      </c>
      <c r="S2454">
        <v>160.61000000000001</v>
      </c>
    </row>
    <row r="2455" spans="1:19" x14ac:dyDescent="0.25">
      <c r="A2455" t="s">
        <v>5513</v>
      </c>
      <c r="B2455" s="1">
        <v>44665</v>
      </c>
      <c r="C2455" t="s">
        <v>3086</v>
      </c>
      <c r="D2455" t="s">
        <v>32</v>
      </c>
      <c r="E2455" t="s">
        <v>24</v>
      </c>
      <c r="F2455" t="s">
        <v>2833</v>
      </c>
      <c r="G2455">
        <v>10</v>
      </c>
      <c r="H2455" t="s">
        <v>26</v>
      </c>
      <c r="I2455" t="s">
        <v>39</v>
      </c>
      <c r="J2455" t="s">
        <v>431</v>
      </c>
      <c r="K2455" t="s">
        <v>5514</v>
      </c>
      <c r="L2455">
        <v>34</v>
      </c>
      <c r="M2455">
        <v>56</v>
      </c>
      <c r="N2455" s="2">
        <v>0.28999999999999998</v>
      </c>
      <c r="O2455">
        <v>82</v>
      </c>
      <c r="P2455">
        <v>12.64</v>
      </c>
      <c r="Q2455">
        <v>2.11</v>
      </c>
      <c r="R2455">
        <v>76</v>
      </c>
      <c r="S2455">
        <v>133.16999999999999</v>
      </c>
    </row>
    <row r="2456" spans="1:19" x14ac:dyDescent="0.25">
      <c r="A2456" t="s">
        <v>5515</v>
      </c>
      <c r="B2456" s="1">
        <v>44665</v>
      </c>
      <c r="C2456" t="s">
        <v>3173</v>
      </c>
      <c r="D2456" t="s">
        <v>32</v>
      </c>
      <c r="E2456" t="s">
        <v>24</v>
      </c>
      <c r="F2456" t="s">
        <v>314</v>
      </c>
      <c r="G2456">
        <v>10</v>
      </c>
      <c r="H2456" t="s">
        <v>49</v>
      </c>
      <c r="I2456" t="s">
        <v>298</v>
      </c>
      <c r="J2456" t="s">
        <v>315</v>
      </c>
      <c r="K2456" t="s">
        <v>5516</v>
      </c>
      <c r="R2456">
        <v>41</v>
      </c>
      <c r="S2456">
        <v>103.64</v>
      </c>
    </row>
    <row r="2457" spans="1:19" x14ac:dyDescent="0.25">
      <c r="A2457" t="s">
        <v>5517</v>
      </c>
      <c r="B2457" s="1">
        <v>44665</v>
      </c>
      <c r="C2457" t="s">
        <v>1367</v>
      </c>
      <c r="D2457" t="s">
        <v>32</v>
      </c>
      <c r="E2457" t="s">
        <v>24</v>
      </c>
      <c r="F2457" t="s">
        <v>200</v>
      </c>
      <c r="G2457">
        <v>10</v>
      </c>
      <c r="H2457" t="s">
        <v>464</v>
      </c>
      <c r="I2457" t="s">
        <v>763</v>
      </c>
      <c r="J2457" t="s">
        <v>764</v>
      </c>
      <c r="K2457" t="s">
        <v>5518</v>
      </c>
    </row>
    <row r="2458" spans="1:19" x14ac:dyDescent="0.25">
      <c r="A2458" t="s">
        <v>5587</v>
      </c>
      <c r="B2458" s="1">
        <v>44672</v>
      </c>
      <c r="C2458" t="s">
        <v>3222</v>
      </c>
      <c r="D2458" t="s">
        <v>32</v>
      </c>
      <c r="E2458" t="s">
        <v>24</v>
      </c>
      <c r="F2458" t="s">
        <v>208</v>
      </c>
      <c r="G2458">
        <v>30</v>
      </c>
      <c r="H2458" t="s">
        <v>188</v>
      </c>
      <c r="I2458" t="s">
        <v>238</v>
      </c>
      <c r="J2458" t="s">
        <v>1956</v>
      </c>
      <c r="K2458" t="s">
        <v>5588</v>
      </c>
      <c r="R2458">
        <v>89</v>
      </c>
    </row>
    <row r="2459" spans="1:19" x14ac:dyDescent="0.25">
      <c r="A2459" t="s">
        <v>5589</v>
      </c>
      <c r="B2459" s="1">
        <v>44672</v>
      </c>
      <c r="C2459" t="s">
        <v>222</v>
      </c>
      <c r="D2459" t="s">
        <v>32</v>
      </c>
      <c r="E2459" t="s">
        <v>24</v>
      </c>
      <c r="F2459" t="s">
        <v>305</v>
      </c>
      <c r="G2459">
        <v>20</v>
      </c>
      <c r="H2459" t="s">
        <v>1856</v>
      </c>
      <c r="I2459" t="s">
        <v>1857</v>
      </c>
      <c r="J2459" t="s">
        <v>5590</v>
      </c>
      <c r="K2459" t="s">
        <v>5591</v>
      </c>
      <c r="L2459">
        <v>0</v>
      </c>
      <c r="P2459">
        <v>2.59</v>
      </c>
      <c r="Q2459">
        <v>1</v>
      </c>
      <c r="R2459">
        <v>127</v>
      </c>
      <c r="S2459">
        <v>128.18</v>
      </c>
    </row>
    <row r="2460" spans="1:19" x14ac:dyDescent="0.25">
      <c r="A2460" t="s">
        <v>5592</v>
      </c>
      <c r="B2460" s="1">
        <v>44672</v>
      </c>
      <c r="C2460" t="s">
        <v>5593</v>
      </c>
      <c r="D2460" t="s">
        <v>32</v>
      </c>
      <c r="E2460" t="s">
        <v>24</v>
      </c>
      <c r="F2460" t="s">
        <v>231</v>
      </c>
      <c r="G2460">
        <v>15</v>
      </c>
      <c r="H2460" t="s">
        <v>194</v>
      </c>
      <c r="I2460" t="s">
        <v>195</v>
      </c>
      <c r="J2460" t="s">
        <v>1217</v>
      </c>
      <c r="K2460" t="s">
        <v>5594</v>
      </c>
      <c r="R2460">
        <v>59</v>
      </c>
      <c r="S2460">
        <v>94.13</v>
      </c>
    </row>
    <row r="2461" spans="1:19" x14ac:dyDescent="0.25">
      <c r="A2461" t="s">
        <v>5595</v>
      </c>
      <c r="B2461" s="1">
        <v>44672</v>
      </c>
      <c r="C2461" t="s">
        <v>3225</v>
      </c>
      <c r="D2461" t="s">
        <v>32</v>
      </c>
      <c r="E2461" t="s">
        <v>24</v>
      </c>
      <c r="F2461" t="s">
        <v>25</v>
      </c>
      <c r="G2461">
        <v>20</v>
      </c>
      <c r="H2461" t="s">
        <v>194</v>
      </c>
      <c r="I2461" t="s">
        <v>5421</v>
      </c>
      <c r="J2461" t="s">
        <v>5596</v>
      </c>
      <c r="K2461" t="s">
        <v>5597</v>
      </c>
      <c r="R2461">
        <v>77</v>
      </c>
      <c r="S2461">
        <v>100.27</v>
      </c>
    </row>
    <row r="2462" spans="1:19" x14ac:dyDescent="0.25">
      <c r="A2462" t="s">
        <v>5598</v>
      </c>
      <c r="B2462" s="1">
        <v>44672</v>
      </c>
      <c r="C2462" t="s">
        <v>1588</v>
      </c>
      <c r="D2462" t="s">
        <v>32</v>
      </c>
      <c r="E2462" t="s">
        <v>24</v>
      </c>
      <c r="F2462" t="s">
        <v>200</v>
      </c>
      <c r="G2462">
        <v>15</v>
      </c>
      <c r="H2462" t="s">
        <v>464</v>
      </c>
      <c r="I2462" t="s">
        <v>1571</v>
      </c>
      <c r="J2462" t="s">
        <v>2322</v>
      </c>
      <c r="K2462" t="s">
        <v>5599</v>
      </c>
    </row>
    <row r="2463" spans="1:19" x14ac:dyDescent="0.25">
      <c r="A2463" t="s">
        <v>5663</v>
      </c>
      <c r="B2463" s="1">
        <v>44679</v>
      </c>
      <c r="C2463" t="s">
        <v>2166</v>
      </c>
      <c r="D2463" t="s">
        <v>32</v>
      </c>
      <c r="E2463" t="s">
        <v>24</v>
      </c>
      <c r="F2463" t="s">
        <v>200</v>
      </c>
      <c r="G2463">
        <v>30</v>
      </c>
      <c r="H2463" t="s">
        <v>188</v>
      </c>
      <c r="I2463" t="s">
        <v>189</v>
      </c>
      <c r="J2463" t="s">
        <v>4627</v>
      </c>
      <c r="K2463" t="s">
        <v>5664</v>
      </c>
      <c r="R2463">
        <v>97</v>
      </c>
    </row>
    <row r="2464" spans="1:19" x14ac:dyDescent="0.25">
      <c r="A2464" t="s">
        <v>5665</v>
      </c>
      <c r="B2464" s="1">
        <v>44679</v>
      </c>
      <c r="C2464" t="s">
        <v>165</v>
      </c>
      <c r="D2464" t="s">
        <v>32</v>
      </c>
      <c r="E2464" t="s">
        <v>24</v>
      </c>
      <c r="F2464" t="s">
        <v>5666</v>
      </c>
      <c r="G2464">
        <v>30</v>
      </c>
      <c r="H2464" t="s">
        <v>1856</v>
      </c>
      <c r="I2464" t="s">
        <v>5043</v>
      </c>
      <c r="J2464" t="s">
        <v>5667</v>
      </c>
      <c r="K2464" t="s">
        <v>5668</v>
      </c>
      <c r="L2464">
        <v>0</v>
      </c>
      <c r="P2464">
        <v>2.2400000000000002</v>
      </c>
      <c r="Q2464">
        <v>1.06</v>
      </c>
      <c r="R2464">
        <v>116</v>
      </c>
    </row>
    <row r="2465" spans="1:19" x14ac:dyDescent="0.25">
      <c r="A2465" t="s">
        <v>5669</v>
      </c>
      <c r="B2465" s="1">
        <v>44679</v>
      </c>
      <c r="C2465" t="s">
        <v>5670</v>
      </c>
      <c r="D2465" t="s">
        <v>32</v>
      </c>
      <c r="E2465" t="s">
        <v>24</v>
      </c>
      <c r="F2465" t="s">
        <v>2256</v>
      </c>
      <c r="G2465">
        <v>10</v>
      </c>
      <c r="H2465" t="s">
        <v>194</v>
      </c>
      <c r="I2465" t="s">
        <v>195</v>
      </c>
      <c r="J2465" t="s">
        <v>211</v>
      </c>
      <c r="K2465" t="s">
        <v>5671</v>
      </c>
      <c r="R2465">
        <v>44</v>
      </c>
    </row>
    <row r="2466" spans="1:19" x14ac:dyDescent="0.25">
      <c r="A2466" t="s">
        <v>5672</v>
      </c>
      <c r="B2466" s="1">
        <v>44679</v>
      </c>
      <c r="C2466" t="s">
        <v>5673</v>
      </c>
      <c r="D2466" t="s">
        <v>32</v>
      </c>
      <c r="E2466" t="s">
        <v>24</v>
      </c>
      <c r="F2466" t="s">
        <v>554</v>
      </c>
      <c r="G2466">
        <v>10</v>
      </c>
      <c r="H2466" t="s">
        <v>194</v>
      </c>
      <c r="I2466" t="s">
        <v>5421</v>
      </c>
      <c r="J2466" t="s">
        <v>5464</v>
      </c>
      <c r="K2466" t="s">
        <v>5674</v>
      </c>
      <c r="R2466">
        <v>45</v>
      </c>
    </row>
    <row r="2467" spans="1:19" x14ac:dyDescent="0.25">
      <c r="A2467" t="s">
        <v>5675</v>
      </c>
      <c r="B2467" s="1">
        <v>44679</v>
      </c>
      <c r="C2467" t="s">
        <v>5659</v>
      </c>
      <c r="D2467" t="s">
        <v>32</v>
      </c>
      <c r="E2467" t="s">
        <v>24</v>
      </c>
      <c r="F2467" t="s">
        <v>231</v>
      </c>
      <c r="G2467">
        <v>20</v>
      </c>
      <c r="H2467" t="s">
        <v>194</v>
      </c>
      <c r="I2467" t="s">
        <v>1445</v>
      </c>
      <c r="J2467" t="s">
        <v>5676</v>
      </c>
      <c r="K2467" t="s">
        <v>5619</v>
      </c>
      <c r="R2467">
        <v>99</v>
      </c>
      <c r="S2467">
        <v>108.92</v>
      </c>
    </row>
    <row r="2468" spans="1:19" x14ac:dyDescent="0.25">
      <c r="A2468" t="s">
        <v>5677</v>
      </c>
      <c r="B2468" s="1">
        <v>44679</v>
      </c>
      <c r="C2468" t="s">
        <v>5678</v>
      </c>
      <c r="D2468" t="s">
        <v>32</v>
      </c>
      <c r="E2468" t="s">
        <v>24</v>
      </c>
      <c r="F2468" t="s">
        <v>215</v>
      </c>
      <c r="G2468">
        <v>15</v>
      </c>
      <c r="H2468" t="s">
        <v>464</v>
      </c>
      <c r="I2468" t="s">
        <v>943</v>
      </c>
      <c r="J2468" t="s">
        <v>1709</v>
      </c>
      <c r="K2468" t="s">
        <v>5679</v>
      </c>
    </row>
    <row r="2469" spans="1:19" x14ac:dyDescent="0.25">
      <c r="A2469" t="s">
        <v>5726</v>
      </c>
      <c r="B2469" s="1">
        <v>44686</v>
      </c>
      <c r="C2469" t="s">
        <v>384</v>
      </c>
      <c r="D2469" t="s">
        <v>32</v>
      </c>
      <c r="E2469" t="s">
        <v>24</v>
      </c>
      <c r="F2469" t="s">
        <v>1203</v>
      </c>
      <c r="G2469">
        <v>10</v>
      </c>
      <c r="H2469" t="s">
        <v>194</v>
      </c>
      <c r="I2469" t="s">
        <v>195</v>
      </c>
      <c r="J2469" t="s">
        <v>5727</v>
      </c>
      <c r="K2469" t="s">
        <v>5728</v>
      </c>
      <c r="R2469">
        <v>45</v>
      </c>
    </row>
    <row r="2470" spans="1:19" x14ac:dyDescent="0.25">
      <c r="A2470" t="s">
        <v>5729</v>
      </c>
      <c r="B2470" s="1">
        <v>44686</v>
      </c>
      <c r="C2470" t="s">
        <v>399</v>
      </c>
      <c r="D2470" t="s">
        <v>32</v>
      </c>
      <c r="E2470" t="s">
        <v>24</v>
      </c>
      <c r="F2470" t="s">
        <v>25</v>
      </c>
      <c r="G2470">
        <v>10</v>
      </c>
      <c r="H2470" t="s">
        <v>194</v>
      </c>
      <c r="I2470" t="s">
        <v>5421</v>
      </c>
      <c r="J2470" t="s">
        <v>5730</v>
      </c>
      <c r="K2470" t="s">
        <v>4872</v>
      </c>
      <c r="R2470">
        <v>46</v>
      </c>
    </row>
    <row r="2471" spans="1:19" x14ac:dyDescent="0.25">
      <c r="A2471" t="s">
        <v>5731</v>
      </c>
      <c r="B2471" s="1">
        <v>44686</v>
      </c>
      <c r="C2471" t="s">
        <v>536</v>
      </c>
      <c r="D2471" t="s">
        <v>32</v>
      </c>
      <c r="E2471" t="s">
        <v>24</v>
      </c>
      <c r="F2471" t="s">
        <v>215</v>
      </c>
      <c r="G2471">
        <v>30</v>
      </c>
      <c r="H2471" t="s">
        <v>188</v>
      </c>
      <c r="I2471" t="s">
        <v>189</v>
      </c>
      <c r="J2471" t="s">
        <v>3149</v>
      </c>
      <c r="K2471" t="s">
        <v>5732</v>
      </c>
      <c r="R2471">
        <v>94</v>
      </c>
    </row>
    <row r="2472" spans="1:19" x14ac:dyDescent="0.25">
      <c r="A2472" t="s">
        <v>5733</v>
      </c>
      <c r="B2472" s="1">
        <v>44686</v>
      </c>
      <c r="C2472" t="s">
        <v>3464</v>
      </c>
      <c r="D2472" t="s">
        <v>32</v>
      </c>
      <c r="E2472" t="s">
        <v>24</v>
      </c>
      <c r="F2472" t="s">
        <v>200</v>
      </c>
      <c r="G2472">
        <v>10</v>
      </c>
      <c r="H2472" t="s">
        <v>464</v>
      </c>
      <c r="I2472" t="s">
        <v>943</v>
      </c>
      <c r="J2472" t="s">
        <v>944</v>
      </c>
      <c r="K2472" t="s">
        <v>5734</v>
      </c>
    </row>
    <row r="2473" spans="1:19" x14ac:dyDescent="0.25">
      <c r="A2473" t="s">
        <v>5804</v>
      </c>
      <c r="B2473" s="1">
        <v>44693</v>
      </c>
      <c r="C2473" t="s">
        <v>285</v>
      </c>
      <c r="D2473" t="s">
        <v>32</v>
      </c>
      <c r="E2473" t="s">
        <v>24</v>
      </c>
      <c r="F2473" t="s">
        <v>200</v>
      </c>
      <c r="G2473">
        <v>60</v>
      </c>
      <c r="H2473" t="s">
        <v>188</v>
      </c>
      <c r="I2473" t="s">
        <v>254</v>
      </c>
      <c r="J2473" t="s">
        <v>5805</v>
      </c>
      <c r="K2473" t="s">
        <v>5806</v>
      </c>
      <c r="R2473">
        <v>185</v>
      </c>
    </row>
    <row r="2474" spans="1:19" x14ac:dyDescent="0.25">
      <c r="A2474" t="s">
        <v>5807</v>
      </c>
      <c r="B2474" s="1">
        <v>44693</v>
      </c>
      <c r="C2474" t="s">
        <v>1361</v>
      </c>
      <c r="D2474" t="s">
        <v>32</v>
      </c>
      <c r="E2474" t="s">
        <v>24</v>
      </c>
      <c r="F2474" t="s">
        <v>200</v>
      </c>
      <c r="G2474">
        <v>10</v>
      </c>
      <c r="H2474" t="s">
        <v>464</v>
      </c>
      <c r="I2474" t="s">
        <v>579</v>
      </c>
      <c r="J2474" t="s">
        <v>580</v>
      </c>
      <c r="K2474" t="s">
        <v>5808</v>
      </c>
    </row>
    <row r="2475" spans="1:19" x14ac:dyDescent="0.25">
      <c r="A2475" t="s">
        <v>5881</v>
      </c>
      <c r="B2475" s="1">
        <v>44700</v>
      </c>
      <c r="C2475" t="s">
        <v>5882</v>
      </c>
      <c r="D2475" t="s">
        <v>32</v>
      </c>
      <c r="E2475" t="s">
        <v>24</v>
      </c>
      <c r="F2475" t="s">
        <v>459</v>
      </c>
      <c r="G2475">
        <v>15</v>
      </c>
      <c r="H2475" t="s">
        <v>464</v>
      </c>
      <c r="I2475" t="s">
        <v>1571</v>
      </c>
      <c r="J2475" t="s">
        <v>2322</v>
      </c>
      <c r="K2475" t="s">
        <v>5796</v>
      </c>
    </row>
    <row r="2476" spans="1:19" x14ac:dyDescent="0.25">
      <c r="A2476" t="s">
        <v>5883</v>
      </c>
      <c r="B2476" s="1">
        <v>44700</v>
      </c>
      <c r="C2476" t="s">
        <v>1444</v>
      </c>
      <c r="D2476" t="s">
        <v>32</v>
      </c>
      <c r="E2476" t="s">
        <v>24</v>
      </c>
      <c r="F2476" t="s">
        <v>231</v>
      </c>
      <c r="G2476">
        <v>10</v>
      </c>
      <c r="H2476" t="s">
        <v>194</v>
      </c>
      <c r="I2476" t="s">
        <v>195</v>
      </c>
      <c r="J2476" t="s">
        <v>211</v>
      </c>
      <c r="K2476" t="s">
        <v>5884</v>
      </c>
      <c r="R2476">
        <v>39</v>
      </c>
      <c r="S2476">
        <v>96.53</v>
      </c>
    </row>
    <row r="2477" spans="1:19" x14ac:dyDescent="0.25">
      <c r="A2477" t="s">
        <v>5885</v>
      </c>
      <c r="B2477" s="1">
        <v>44700</v>
      </c>
      <c r="C2477" t="s">
        <v>5886</v>
      </c>
      <c r="D2477" t="s">
        <v>32</v>
      </c>
      <c r="E2477" t="s">
        <v>24</v>
      </c>
      <c r="F2477" t="s">
        <v>768</v>
      </c>
      <c r="G2477">
        <v>10</v>
      </c>
      <c r="H2477" t="s">
        <v>194</v>
      </c>
      <c r="I2477" t="s">
        <v>700</v>
      </c>
      <c r="J2477" t="s">
        <v>1282</v>
      </c>
      <c r="K2477" t="s">
        <v>5887</v>
      </c>
      <c r="R2477">
        <v>55</v>
      </c>
      <c r="S2477">
        <v>114.62</v>
      </c>
    </row>
    <row r="2478" spans="1:19" x14ac:dyDescent="0.25">
      <c r="A2478" t="s">
        <v>5888</v>
      </c>
      <c r="B2478" s="1">
        <v>44700</v>
      </c>
      <c r="C2478" t="s">
        <v>5889</v>
      </c>
      <c r="D2478" t="s">
        <v>32</v>
      </c>
      <c r="E2478" t="s">
        <v>24</v>
      </c>
      <c r="F2478" t="s">
        <v>354</v>
      </c>
      <c r="G2478">
        <v>20</v>
      </c>
      <c r="H2478" t="s">
        <v>26</v>
      </c>
      <c r="I2478" t="s">
        <v>44</v>
      </c>
      <c r="J2478" t="s">
        <v>5890</v>
      </c>
      <c r="K2478" t="s">
        <v>5891</v>
      </c>
      <c r="L2478">
        <v>112</v>
      </c>
      <c r="M2478">
        <v>94</v>
      </c>
      <c r="N2478" s="2">
        <v>0.38</v>
      </c>
      <c r="O2478">
        <v>80</v>
      </c>
      <c r="P2478">
        <v>15.53</v>
      </c>
      <c r="Q2478">
        <v>5.18</v>
      </c>
      <c r="R2478">
        <v>202</v>
      </c>
      <c r="S2478">
        <v>154.32</v>
      </c>
    </row>
    <row r="2479" spans="1:19" x14ac:dyDescent="0.25">
      <c r="A2479" t="s">
        <v>5892</v>
      </c>
      <c r="B2479" s="1">
        <v>44700</v>
      </c>
      <c r="C2479" t="s">
        <v>5471</v>
      </c>
      <c r="D2479" t="s">
        <v>32</v>
      </c>
      <c r="E2479" t="s">
        <v>24</v>
      </c>
      <c r="F2479" t="s">
        <v>215</v>
      </c>
      <c r="G2479">
        <v>10</v>
      </c>
      <c r="H2479" t="s">
        <v>188</v>
      </c>
      <c r="I2479" t="s">
        <v>238</v>
      </c>
      <c r="J2479" t="s">
        <v>874</v>
      </c>
      <c r="K2479" t="s">
        <v>5893</v>
      </c>
      <c r="R2479">
        <v>40</v>
      </c>
      <c r="S2479">
        <v>99.19</v>
      </c>
    </row>
    <row r="2480" spans="1:19" x14ac:dyDescent="0.25">
      <c r="A2480" t="s">
        <v>5894</v>
      </c>
      <c r="B2480" s="1">
        <v>44700</v>
      </c>
      <c r="C2480" t="s">
        <v>251</v>
      </c>
      <c r="D2480" t="s">
        <v>32</v>
      </c>
      <c r="E2480" t="s">
        <v>24</v>
      </c>
      <c r="F2480" t="s">
        <v>200</v>
      </c>
      <c r="G2480">
        <v>15</v>
      </c>
      <c r="H2480" t="s">
        <v>464</v>
      </c>
      <c r="I2480" t="s">
        <v>579</v>
      </c>
      <c r="J2480" t="s">
        <v>4321</v>
      </c>
      <c r="K2480" t="s">
        <v>5895</v>
      </c>
    </row>
    <row r="2481" spans="1:19" x14ac:dyDescent="0.25">
      <c r="A2481" t="s">
        <v>5948</v>
      </c>
      <c r="B2481" s="1">
        <v>44707</v>
      </c>
      <c r="C2481" t="s">
        <v>536</v>
      </c>
      <c r="D2481" t="s">
        <v>32</v>
      </c>
      <c r="E2481" t="s">
        <v>24</v>
      </c>
      <c r="F2481" t="s">
        <v>208</v>
      </c>
      <c r="G2481">
        <v>30</v>
      </c>
      <c r="H2481" t="s">
        <v>188</v>
      </c>
      <c r="I2481" t="s">
        <v>238</v>
      </c>
      <c r="J2481" t="s">
        <v>1956</v>
      </c>
      <c r="K2481" t="s">
        <v>5949</v>
      </c>
      <c r="R2481">
        <v>89</v>
      </c>
    </row>
    <row r="2482" spans="1:19" x14ac:dyDescent="0.25">
      <c r="A2482" t="s">
        <v>5950</v>
      </c>
      <c r="B2482" s="1">
        <v>44707</v>
      </c>
      <c r="C2482" t="s">
        <v>54</v>
      </c>
      <c r="D2482" t="s">
        <v>32</v>
      </c>
      <c r="E2482" t="s">
        <v>24</v>
      </c>
      <c r="F2482" t="s">
        <v>328</v>
      </c>
      <c r="G2482">
        <v>20</v>
      </c>
      <c r="H2482" t="s">
        <v>1856</v>
      </c>
      <c r="I2482" t="s">
        <v>1857</v>
      </c>
      <c r="J2482" t="s">
        <v>5951</v>
      </c>
      <c r="K2482" t="s">
        <v>5032</v>
      </c>
      <c r="L2482">
        <v>0</v>
      </c>
      <c r="P2482">
        <v>3.68</v>
      </c>
      <c r="Q2482">
        <v>1.22</v>
      </c>
      <c r="R2482">
        <v>73</v>
      </c>
    </row>
    <row r="2483" spans="1:19" x14ac:dyDescent="0.25">
      <c r="A2483" t="s">
        <v>5952</v>
      </c>
      <c r="B2483" s="1">
        <v>44707</v>
      </c>
      <c r="C2483" t="s">
        <v>5953</v>
      </c>
      <c r="D2483" t="s">
        <v>32</v>
      </c>
      <c r="E2483" t="s">
        <v>24</v>
      </c>
      <c r="F2483" t="s">
        <v>231</v>
      </c>
      <c r="G2483">
        <v>20</v>
      </c>
      <c r="H2483" t="s">
        <v>1856</v>
      </c>
      <c r="I2483" t="s">
        <v>2096</v>
      </c>
      <c r="J2483" t="s">
        <v>2097</v>
      </c>
      <c r="K2483" t="s">
        <v>5954</v>
      </c>
      <c r="L2483">
        <v>0</v>
      </c>
      <c r="P2483">
        <v>3.45</v>
      </c>
      <c r="Q2483">
        <v>1</v>
      </c>
      <c r="R2483">
        <v>64</v>
      </c>
    </row>
    <row r="2484" spans="1:19" x14ac:dyDescent="0.25">
      <c r="A2484" t="s">
        <v>5955</v>
      </c>
      <c r="B2484" s="1">
        <v>44707</v>
      </c>
      <c r="C2484" t="s">
        <v>5313</v>
      </c>
      <c r="D2484" t="s">
        <v>32</v>
      </c>
      <c r="E2484" t="s">
        <v>24</v>
      </c>
      <c r="F2484" t="s">
        <v>314</v>
      </c>
      <c r="G2484">
        <v>10</v>
      </c>
      <c r="H2484" t="s">
        <v>194</v>
      </c>
      <c r="I2484" t="s">
        <v>195</v>
      </c>
      <c r="J2484" t="s">
        <v>211</v>
      </c>
      <c r="K2484" t="s">
        <v>5956</v>
      </c>
      <c r="R2484">
        <v>45</v>
      </c>
      <c r="S2484">
        <v>106.94</v>
      </c>
    </row>
    <row r="2485" spans="1:19" x14ac:dyDescent="0.25">
      <c r="A2485" t="s">
        <v>5957</v>
      </c>
      <c r="B2485" s="1">
        <v>44707</v>
      </c>
      <c r="C2485" t="s">
        <v>5958</v>
      </c>
      <c r="D2485" t="s">
        <v>32</v>
      </c>
      <c r="E2485" t="s">
        <v>24</v>
      </c>
      <c r="F2485" t="s">
        <v>554</v>
      </c>
      <c r="G2485">
        <v>10</v>
      </c>
      <c r="H2485" t="s">
        <v>194</v>
      </c>
      <c r="I2485" t="s">
        <v>5421</v>
      </c>
      <c r="J2485" t="s">
        <v>5486</v>
      </c>
      <c r="K2485" t="s">
        <v>5959</v>
      </c>
      <c r="R2485">
        <v>46</v>
      </c>
    </row>
    <row r="2486" spans="1:19" x14ac:dyDescent="0.25">
      <c r="A2486" t="s">
        <v>5960</v>
      </c>
      <c r="B2486" s="1">
        <v>44707</v>
      </c>
      <c r="C2486" t="s">
        <v>5961</v>
      </c>
      <c r="D2486" t="s">
        <v>32</v>
      </c>
      <c r="E2486" t="s">
        <v>24</v>
      </c>
      <c r="F2486" t="s">
        <v>2256</v>
      </c>
      <c r="G2486">
        <v>20</v>
      </c>
      <c r="H2486" t="s">
        <v>194</v>
      </c>
      <c r="I2486" t="s">
        <v>1445</v>
      </c>
      <c r="J2486" t="s">
        <v>3191</v>
      </c>
      <c r="K2486" t="s">
        <v>5956</v>
      </c>
      <c r="R2486">
        <v>112</v>
      </c>
      <c r="S2486">
        <v>114.55</v>
      </c>
    </row>
    <row r="2487" spans="1:19" x14ac:dyDescent="0.25">
      <c r="A2487" t="s">
        <v>5962</v>
      </c>
      <c r="B2487" s="1">
        <v>44707</v>
      </c>
      <c r="C2487" t="s">
        <v>2307</v>
      </c>
      <c r="D2487" t="s">
        <v>32</v>
      </c>
      <c r="E2487" t="s">
        <v>24</v>
      </c>
      <c r="F2487" t="s">
        <v>2708</v>
      </c>
      <c r="G2487">
        <v>20</v>
      </c>
      <c r="H2487" t="s">
        <v>464</v>
      </c>
      <c r="I2487" t="s">
        <v>943</v>
      </c>
      <c r="J2487" t="s">
        <v>1347</v>
      </c>
      <c r="K2487" t="s">
        <v>5963</v>
      </c>
    </row>
    <row r="2488" spans="1:19" x14ac:dyDescent="0.25">
      <c r="A2488" t="s">
        <v>6018</v>
      </c>
      <c r="B2488" s="1">
        <v>44714</v>
      </c>
      <c r="C2488" t="s">
        <v>399</v>
      </c>
      <c r="D2488" t="s">
        <v>32</v>
      </c>
      <c r="E2488" t="s">
        <v>24</v>
      </c>
      <c r="F2488" t="s">
        <v>459</v>
      </c>
      <c r="G2488">
        <v>30</v>
      </c>
      <c r="H2488" t="s">
        <v>188</v>
      </c>
      <c r="I2488" t="s">
        <v>254</v>
      </c>
      <c r="J2488" t="s">
        <v>6019</v>
      </c>
      <c r="K2488" t="s">
        <v>6020</v>
      </c>
      <c r="R2488">
        <v>84</v>
      </c>
    </row>
    <row r="2489" spans="1:19" x14ac:dyDescent="0.25">
      <c r="A2489" t="s">
        <v>6021</v>
      </c>
      <c r="B2489" s="1">
        <v>44714</v>
      </c>
      <c r="C2489" t="s">
        <v>4888</v>
      </c>
      <c r="D2489" t="s">
        <v>32</v>
      </c>
      <c r="G2489">
        <v>31</v>
      </c>
      <c r="H2489" t="s">
        <v>1856</v>
      </c>
      <c r="J2489" t="s">
        <v>6022</v>
      </c>
      <c r="L2489">
        <v>0</v>
      </c>
      <c r="P2489">
        <v>3.83</v>
      </c>
      <c r="Q2489">
        <v>2</v>
      </c>
      <c r="R2489">
        <v>29</v>
      </c>
    </row>
    <row r="2490" spans="1:19" x14ac:dyDescent="0.25">
      <c r="A2490" t="s">
        <v>6023</v>
      </c>
      <c r="B2490" s="1">
        <v>44714</v>
      </c>
      <c r="C2490" t="s">
        <v>6024</v>
      </c>
      <c r="D2490" t="s">
        <v>32</v>
      </c>
      <c r="E2490" t="s">
        <v>24</v>
      </c>
      <c r="F2490" t="s">
        <v>323</v>
      </c>
      <c r="G2490">
        <v>30</v>
      </c>
      <c r="H2490" t="s">
        <v>26</v>
      </c>
      <c r="I2490" t="s">
        <v>370</v>
      </c>
      <c r="J2490" t="s">
        <v>2588</v>
      </c>
      <c r="K2490" t="s">
        <v>6025</v>
      </c>
      <c r="L2490">
        <v>190</v>
      </c>
      <c r="M2490">
        <v>106</v>
      </c>
      <c r="N2490" s="2">
        <v>0.37</v>
      </c>
      <c r="O2490">
        <v>88</v>
      </c>
      <c r="P2490">
        <v>16.48</v>
      </c>
      <c r="Q2490">
        <v>8.24</v>
      </c>
      <c r="R2490">
        <v>234</v>
      </c>
    </row>
    <row r="2491" spans="1:19" x14ac:dyDescent="0.25">
      <c r="A2491" t="s">
        <v>6026</v>
      </c>
      <c r="B2491" s="1">
        <v>44714</v>
      </c>
      <c r="C2491" t="s">
        <v>1690</v>
      </c>
      <c r="D2491" t="s">
        <v>32</v>
      </c>
      <c r="E2491" t="s">
        <v>24</v>
      </c>
      <c r="F2491" t="s">
        <v>768</v>
      </c>
      <c r="G2491">
        <v>10</v>
      </c>
      <c r="H2491" t="s">
        <v>194</v>
      </c>
      <c r="I2491" t="s">
        <v>700</v>
      </c>
      <c r="J2491" t="s">
        <v>1282</v>
      </c>
      <c r="K2491" t="s">
        <v>6027</v>
      </c>
      <c r="R2491">
        <v>46</v>
      </c>
    </row>
    <row r="2492" spans="1:19" x14ac:dyDescent="0.25">
      <c r="A2492" t="s">
        <v>6028</v>
      </c>
      <c r="B2492" s="1">
        <v>44714</v>
      </c>
      <c r="C2492" t="s">
        <v>6029</v>
      </c>
      <c r="D2492" t="s">
        <v>32</v>
      </c>
      <c r="E2492" t="s">
        <v>24</v>
      </c>
      <c r="F2492" t="s">
        <v>6030</v>
      </c>
      <c r="G2492">
        <v>10</v>
      </c>
      <c r="H2492" t="s">
        <v>194</v>
      </c>
      <c r="I2492" t="s">
        <v>195</v>
      </c>
      <c r="J2492" t="s">
        <v>211</v>
      </c>
      <c r="K2492" t="s">
        <v>6031</v>
      </c>
      <c r="R2492">
        <v>46</v>
      </c>
    </row>
    <row r="2493" spans="1:19" x14ac:dyDescent="0.25">
      <c r="A2493" t="s">
        <v>6032</v>
      </c>
      <c r="B2493" s="1">
        <v>44714</v>
      </c>
      <c r="C2493" t="s">
        <v>913</v>
      </c>
      <c r="D2493" t="s">
        <v>32</v>
      </c>
      <c r="E2493" t="s">
        <v>24</v>
      </c>
      <c r="F2493" t="s">
        <v>2708</v>
      </c>
      <c r="G2493">
        <v>10</v>
      </c>
      <c r="H2493" t="s">
        <v>464</v>
      </c>
      <c r="I2493" t="s">
        <v>579</v>
      </c>
      <c r="J2493" t="s">
        <v>986</v>
      </c>
      <c r="K2493" t="s">
        <v>6033</v>
      </c>
    </row>
    <row r="2494" spans="1:19" x14ac:dyDescent="0.25">
      <c r="A2494" t="s">
        <v>6087</v>
      </c>
      <c r="B2494" s="1">
        <v>44721</v>
      </c>
      <c r="C2494" t="s">
        <v>478</v>
      </c>
      <c r="D2494" t="s">
        <v>32</v>
      </c>
      <c r="E2494" t="s">
        <v>24</v>
      </c>
      <c r="F2494" t="s">
        <v>305</v>
      </c>
      <c r="G2494">
        <v>10</v>
      </c>
      <c r="H2494" t="s">
        <v>194</v>
      </c>
      <c r="I2494" t="s">
        <v>195</v>
      </c>
      <c r="J2494" t="s">
        <v>211</v>
      </c>
      <c r="K2494" t="s">
        <v>6005</v>
      </c>
      <c r="R2494">
        <v>43</v>
      </c>
    </row>
    <row r="2495" spans="1:19" x14ac:dyDescent="0.25">
      <c r="A2495" t="s">
        <v>6088</v>
      </c>
      <c r="B2495" s="1">
        <v>44721</v>
      </c>
      <c r="C2495" t="s">
        <v>527</v>
      </c>
      <c r="D2495" t="s">
        <v>32</v>
      </c>
      <c r="E2495" t="s">
        <v>24</v>
      </c>
      <c r="F2495" t="s">
        <v>215</v>
      </c>
      <c r="G2495">
        <v>30</v>
      </c>
      <c r="H2495" t="s">
        <v>188</v>
      </c>
      <c r="I2495" t="s">
        <v>254</v>
      </c>
      <c r="J2495" t="s">
        <v>6089</v>
      </c>
      <c r="K2495" t="s">
        <v>6090</v>
      </c>
      <c r="R2495">
        <v>88</v>
      </c>
    </row>
    <row r="2496" spans="1:19" x14ac:dyDescent="0.25">
      <c r="A2496" t="s">
        <v>6091</v>
      </c>
      <c r="B2496" s="1">
        <v>44721</v>
      </c>
      <c r="C2496" t="s">
        <v>6092</v>
      </c>
      <c r="D2496" t="s">
        <v>32</v>
      </c>
      <c r="E2496" t="s">
        <v>24</v>
      </c>
      <c r="F2496" t="s">
        <v>323</v>
      </c>
      <c r="G2496">
        <v>45</v>
      </c>
      <c r="H2496" t="s">
        <v>26</v>
      </c>
      <c r="I2496" t="s">
        <v>370</v>
      </c>
      <c r="J2496" t="s">
        <v>479</v>
      </c>
      <c r="K2496" t="s">
        <v>6093</v>
      </c>
      <c r="L2496">
        <v>304</v>
      </c>
      <c r="M2496">
        <v>112</v>
      </c>
      <c r="N2496" s="2">
        <v>0.37</v>
      </c>
      <c r="O2496">
        <v>87</v>
      </c>
      <c r="P2496">
        <v>16.45</v>
      </c>
      <c r="Q2496">
        <v>12.34</v>
      </c>
      <c r="R2496">
        <v>500</v>
      </c>
      <c r="S2496">
        <v>163.09</v>
      </c>
    </row>
    <row r="2497" spans="1:19" x14ac:dyDescent="0.25">
      <c r="A2497" t="s">
        <v>6094</v>
      </c>
      <c r="B2497" s="1">
        <v>44721</v>
      </c>
      <c r="C2497" t="s">
        <v>6095</v>
      </c>
      <c r="D2497" t="s">
        <v>32</v>
      </c>
      <c r="E2497" t="s">
        <v>24</v>
      </c>
      <c r="F2497" t="s">
        <v>180</v>
      </c>
      <c r="G2497">
        <v>5</v>
      </c>
      <c r="H2497" t="s">
        <v>26</v>
      </c>
      <c r="I2497" t="s">
        <v>358</v>
      </c>
      <c r="J2497" t="s">
        <v>359</v>
      </c>
      <c r="K2497" t="s">
        <v>5995</v>
      </c>
      <c r="L2497">
        <v>17</v>
      </c>
      <c r="M2497">
        <v>57</v>
      </c>
      <c r="N2497" s="2">
        <v>0.28999999999999998</v>
      </c>
      <c r="O2497">
        <v>82</v>
      </c>
      <c r="P2497">
        <v>12.69</v>
      </c>
      <c r="Q2497">
        <v>1.06</v>
      </c>
      <c r="R2497">
        <v>21</v>
      </c>
    </row>
    <row r="2498" spans="1:19" x14ac:dyDescent="0.25">
      <c r="A2498" t="s">
        <v>6096</v>
      </c>
      <c r="B2498" s="1">
        <v>44721</v>
      </c>
      <c r="C2498" t="s">
        <v>5107</v>
      </c>
      <c r="D2498" t="s">
        <v>32</v>
      </c>
      <c r="E2498" t="s">
        <v>24</v>
      </c>
      <c r="F2498" t="s">
        <v>354</v>
      </c>
      <c r="G2498">
        <v>5</v>
      </c>
      <c r="H2498" t="s">
        <v>49</v>
      </c>
      <c r="I2498" t="s">
        <v>50</v>
      </c>
      <c r="J2498" t="s">
        <v>51</v>
      </c>
      <c r="K2498" t="s">
        <v>6097</v>
      </c>
      <c r="R2498">
        <v>11</v>
      </c>
    </row>
    <row r="2499" spans="1:19" x14ac:dyDescent="0.25">
      <c r="A2499" t="s">
        <v>6098</v>
      </c>
      <c r="B2499" s="1">
        <v>44721</v>
      </c>
      <c r="C2499" t="s">
        <v>1398</v>
      </c>
      <c r="D2499" t="s">
        <v>32</v>
      </c>
      <c r="E2499" t="s">
        <v>24</v>
      </c>
      <c r="F2499" t="s">
        <v>237</v>
      </c>
      <c r="G2499">
        <v>10</v>
      </c>
      <c r="H2499" t="s">
        <v>464</v>
      </c>
      <c r="I2499" t="s">
        <v>1571</v>
      </c>
      <c r="J2499" t="s">
        <v>2704</v>
      </c>
      <c r="K2499" t="s">
        <v>6099</v>
      </c>
    </row>
    <row r="2500" spans="1:19" x14ac:dyDescent="0.25">
      <c r="A2500" t="s">
        <v>6159</v>
      </c>
      <c r="B2500" s="1">
        <v>44728</v>
      </c>
      <c r="C2500" t="s">
        <v>475</v>
      </c>
      <c r="D2500" t="s">
        <v>32</v>
      </c>
      <c r="E2500" t="s">
        <v>24</v>
      </c>
      <c r="F2500" t="s">
        <v>215</v>
      </c>
      <c r="G2500">
        <v>30</v>
      </c>
      <c r="H2500" t="s">
        <v>188</v>
      </c>
      <c r="I2500" t="s">
        <v>254</v>
      </c>
      <c r="J2500" t="s">
        <v>6160</v>
      </c>
      <c r="K2500" t="s">
        <v>6161</v>
      </c>
      <c r="R2500">
        <v>90</v>
      </c>
    </row>
    <row r="2501" spans="1:19" x14ac:dyDescent="0.25">
      <c r="A2501" t="s">
        <v>6162</v>
      </c>
      <c r="B2501" s="1">
        <v>44728</v>
      </c>
      <c r="C2501" t="s">
        <v>6163</v>
      </c>
      <c r="D2501" t="s">
        <v>32</v>
      </c>
      <c r="E2501" t="s">
        <v>24</v>
      </c>
      <c r="F2501" t="s">
        <v>200</v>
      </c>
      <c r="G2501">
        <v>5</v>
      </c>
      <c r="H2501" t="s">
        <v>464</v>
      </c>
      <c r="I2501" t="s">
        <v>579</v>
      </c>
      <c r="J2501" t="s">
        <v>2457</v>
      </c>
      <c r="K2501" t="s">
        <v>6158</v>
      </c>
    </row>
    <row r="2502" spans="1:19" x14ac:dyDescent="0.25">
      <c r="A2502" t="s">
        <v>6221</v>
      </c>
      <c r="B2502" s="1">
        <v>44735</v>
      </c>
      <c r="C2502" t="s">
        <v>2279</v>
      </c>
      <c r="D2502" t="s">
        <v>32</v>
      </c>
      <c r="E2502" t="s">
        <v>24</v>
      </c>
      <c r="F2502" t="s">
        <v>200</v>
      </c>
      <c r="G2502">
        <v>5</v>
      </c>
      <c r="H2502" t="s">
        <v>464</v>
      </c>
      <c r="I2502" t="s">
        <v>763</v>
      </c>
      <c r="J2502" t="s">
        <v>4184</v>
      </c>
      <c r="K2502" t="s">
        <v>6222</v>
      </c>
    </row>
    <row r="2503" spans="1:19" x14ac:dyDescent="0.25">
      <c r="A2503" t="s">
        <v>6272</v>
      </c>
      <c r="B2503" s="1">
        <v>44742</v>
      </c>
      <c r="C2503" t="s">
        <v>140</v>
      </c>
      <c r="D2503" t="s">
        <v>32</v>
      </c>
      <c r="E2503" t="s">
        <v>24</v>
      </c>
      <c r="F2503" t="s">
        <v>1203</v>
      </c>
      <c r="G2503">
        <v>20</v>
      </c>
      <c r="H2503" t="s">
        <v>1856</v>
      </c>
      <c r="I2503" t="s">
        <v>1857</v>
      </c>
      <c r="J2503" t="s">
        <v>4727</v>
      </c>
      <c r="K2503" t="s">
        <v>6273</v>
      </c>
      <c r="L2503">
        <v>0</v>
      </c>
      <c r="P2503">
        <v>3.58</v>
      </c>
      <c r="Q2503">
        <v>1.19</v>
      </c>
      <c r="R2503">
        <v>73</v>
      </c>
    </row>
    <row r="2504" spans="1:19" x14ac:dyDescent="0.25">
      <c r="A2504" t="s">
        <v>6274</v>
      </c>
      <c r="B2504" s="1">
        <v>44742</v>
      </c>
      <c r="C2504" t="s">
        <v>6275</v>
      </c>
      <c r="D2504" t="s">
        <v>32</v>
      </c>
      <c r="E2504" t="s">
        <v>24</v>
      </c>
      <c r="F2504" t="s">
        <v>6276</v>
      </c>
      <c r="G2504">
        <v>20</v>
      </c>
      <c r="H2504" t="s">
        <v>1856</v>
      </c>
      <c r="I2504" t="s">
        <v>1857</v>
      </c>
      <c r="J2504" t="s">
        <v>6277</v>
      </c>
      <c r="K2504" t="s">
        <v>6278</v>
      </c>
      <c r="L2504">
        <v>0</v>
      </c>
      <c r="P2504">
        <v>3.78</v>
      </c>
      <c r="Q2504">
        <v>0.94</v>
      </c>
      <c r="R2504">
        <v>55</v>
      </c>
    </row>
    <row r="2505" spans="1:19" x14ac:dyDescent="0.25">
      <c r="A2505" t="s">
        <v>6279</v>
      </c>
      <c r="B2505" s="1">
        <v>44742</v>
      </c>
      <c r="C2505" t="s">
        <v>5656</v>
      </c>
      <c r="D2505" t="s">
        <v>32</v>
      </c>
      <c r="E2505" t="s">
        <v>24</v>
      </c>
      <c r="F2505" t="s">
        <v>554</v>
      </c>
      <c r="G2505">
        <v>10</v>
      </c>
      <c r="H2505" t="s">
        <v>194</v>
      </c>
      <c r="I2505" t="s">
        <v>5421</v>
      </c>
      <c r="J2505" t="s">
        <v>5486</v>
      </c>
      <c r="K2505" t="s">
        <v>6280</v>
      </c>
      <c r="R2505">
        <v>50</v>
      </c>
      <c r="S2505">
        <v>107.6</v>
      </c>
    </row>
    <row r="2506" spans="1:19" x14ac:dyDescent="0.25">
      <c r="A2506" t="s">
        <v>6281</v>
      </c>
      <c r="B2506" s="1">
        <v>44742</v>
      </c>
      <c r="C2506" t="s">
        <v>2790</v>
      </c>
      <c r="D2506" t="s">
        <v>32</v>
      </c>
      <c r="E2506" t="s">
        <v>24</v>
      </c>
      <c r="F2506" t="s">
        <v>2256</v>
      </c>
      <c r="G2506">
        <v>5</v>
      </c>
      <c r="H2506" t="s">
        <v>194</v>
      </c>
      <c r="I2506" t="s">
        <v>195</v>
      </c>
      <c r="J2506" t="s">
        <v>196</v>
      </c>
      <c r="K2506" t="s">
        <v>6282</v>
      </c>
      <c r="R2506">
        <v>24</v>
      </c>
      <c r="S2506">
        <v>109.25</v>
      </c>
    </row>
    <row r="2507" spans="1:19" x14ac:dyDescent="0.25">
      <c r="A2507" t="s">
        <v>6283</v>
      </c>
      <c r="B2507" s="1">
        <v>44742</v>
      </c>
      <c r="C2507" t="s">
        <v>2486</v>
      </c>
      <c r="D2507" t="s">
        <v>32</v>
      </c>
      <c r="E2507" t="s">
        <v>24</v>
      </c>
      <c r="F2507" t="s">
        <v>292</v>
      </c>
      <c r="G2507">
        <v>30</v>
      </c>
      <c r="H2507" t="s">
        <v>194</v>
      </c>
      <c r="I2507" t="s">
        <v>232</v>
      </c>
      <c r="J2507" t="s">
        <v>233</v>
      </c>
      <c r="K2507" t="s">
        <v>6284</v>
      </c>
      <c r="R2507">
        <v>250</v>
      </c>
      <c r="S2507">
        <v>139.29</v>
      </c>
    </row>
    <row r="2508" spans="1:19" x14ac:dyDescent="0.25">
      <c r="A2508" t="s">
        <v>6285</v>
      </c>
      <c r="B2508" s="1">
        <v>44742</v>
      </c>
      <c r="C2508" t="s">
        <v>854</v>
      </c>
      <c r="D2508" t="s">
        <v>32</v>
      </c>
      <c r="E2508" t="s">
        <v>24</v>
      </c>
      <c r="F2508" t="s">
        <v>2708</v>
      </c>
      <c r="G2508">
        <v>30</v>
      </c>
      <c r="H2508" t="s">
        <v>188</v>
      </c>
      <c r="I2508" t="s">
        <v>254</v>
      </c>
      <c r="J2508" t="s">
        <v>255</v>
      </c>
      <c r="K2508" t="s">
        <v>6286</v>
      </c>
      <c r="R2508">
        <v>89</v>
      </c>
      <c r="S2508">
        <v>85.92</v>
      </c>
    </row>
    <row r="2509" spans="1:19" x14ac:dyDescent="0.25">
      <c r="A2509" t="s">
        <v>6287</v>
      </c>
      <c r="B2509" s="1">
        <v>44742</v>
      </c>
      <c r="C2509" t="s">
        <v>1784</v>
      </c>
      <c r="D2509" t="s">
        <v>32</v>
      </c>
      <c r="E2509" t="s">
        <v>24</v>
      </c>
      <c r="F2509" t="s">
        <v>208</v>
      </c>
      <c r="G2509">
        <v>10</v>
      </c>
      <c r="H2509" t="s">
        <v>464</v>
      </c>
      <c r="I2509" t="s">
        <v>103</v>
      </c>
      <c r="J2509" t="s">
        <v>6288</v>
      </c>
      <c r="K2509" t="s">
        <v>6289</v>
      </c>
    </row>
    <row r="2510" spans="1:19" x14ac:dyDescent="0.25">
      <c r="A2510" t="s">
        <v>6349</v>
      </c>
      <c r="B2510" s="1">
        <v>44749</v>
      </c>
      <c r="C2510" t="s">
        <v>399</v>
      </c>
      <c r="D2510" t="s">
        <v>32</v>
      </c>
      <c r="E2510" t="s">
        <v>24</v>
      </c>
      <c r="F2510" t="s">
        <v>243</v>
      </c>
      <c r="G2510">
        <v>30</v>
      </c>
      <c r="H2510" t="s">
        <v>188</v>
      </c>
      <c r="I2510" t="s">
        <v>103</v>
      </c>
      <c r="J2510" t="s">
        <v>6350</v>
      </c>
      <c r="K2510" t="s">
        <v>6351</v>
      </c>
      <c r="R2510">
        <v>89</v>
      </c>
    </row>
    <row r="2511" spans="1:19" x14ac:dyDescent="0.25">
      <c r="A2511" t="s">
        <v>6352</v>
      </c>
      <c r="B2511" s="1">
        <v>44749</v>
      </c>
      <c r="C2511" t="s">
        <v>6353</v>
      </c>
      <c r="D2511" t="s">
        <v>32</v>
      </c>
      <c r="E2511" t="s">
        <v>24</v>
      </c>
      <c r="F2511" t="s">
        <v>323</v>
      </c>
      <c r="G2511">
        <v>45</v>
      </c>
      <c r="H2511" t="s">
        <v>26</v>
      </c>
      <c r="I2511" t="s">
        <v>370</v>
      </c>
      <c r="J2511" t="s">
        <v>479</v>
      </c>
      <c r="K2511" t="s">
        <v>6354</v>
      </c>
      <c r="L2511">
        <v>293</v>
      </c>
      <c r="M2511">
        <v>109</v>
      </c>
      <c r="N2511" s="2">
        <v>0.36</v>
      </c>
      <c r="O2511">
        <v>88</v>
      </c>
      <c r="P2511">
        <v>16.04</v>
      </c>
      <c r="Q2511">
        <v>12.03</v>
      </c>
      <c r="R2511">
        <v>475</v>
      </c>
      <c r="S2511">
        <v>158.4</v>
      </c>
    </row>
    <row r="2512" spans="1:19" x14ac:dyDescent="0.25">
      <c r="A2512" t="s">
        <v>6355</v>
      </c>
      <c r="B2512" s="1">
        <v>44749</v>
      </c>
      <c r="C2512" t="s">
        <v>2142</v>
      </c>
      <c r="D2512" t="s">
        <v>32</v>
      </c>
      <c r="E2512" t="s">
        <v>24</v>
      </c>
      <c r="F2512" t="s">
        <v>354</v>
      </c>
      <c r="G2512">
        <v>5</v>
      </c>
      <c r="H2512" t="s">
        <v>26</v>
      </c>
      <c r="I2512" t="s">
        <v>358</v>
      </c>
      <c r="J2512" t="s">
        <v>359</v>
      </c>
      <c r="K2512" t="s">
        <v>6097</v>
      </c>
      <c r="L2512">
        <v>19</v>
      </c>
      <c r="M2512">
        <v>64</v>
      </c>
      <c r="N2512" s="2">
        <v>0.3</v>
      </c>
      <c r="O2512">
        <v>87</v>
      </c>
      <c r="P2512">
        <v>13.38</v>
      </c>
      <c r="Q2512">
        <v>1.1200000000000001</v>
      </c>
      <c r="R2512">
        <v>24</v>
      </c>
    </row>
    <row r="2513" spans="1:21" x14ac:dyDescent="0.25">
      <c r="A2513" t="s">
        <v>6356</v>
      </c>
      <c r="B2513" s="1">
        <v>44749</v>
      </c>
      <c r="C2513" t="s">
        <v>5372</v>
      </c>
      <c r="D2513" t="s">
        <v>32</v>
      </c>
      <c r="E2513" t="s">
        <v>24</v>
      </c>
      <c r="F2513" t="s">
        <v>354</v>
      </c>
      <c r="G2513">
        <v>10</v>
      </c>
      <c r="H2513" t="s">
        <v>194</v>
      </c>
      <c r="I2513" t="s">
        <v>700</v>
      </c>
      <c r="J2513" t="s">
        <v>1282</v>
      </c>
      <c r="K2513" t="s">
        <v>6357</v>
      </c>
      <c r="R2513">
        <v>60</v>
      </c>
      <c r="S2513">
        <v>117.58</v>
      </c>
    </row>
    <row r="2514" spans="1:21" x14ac:dyDescent="0.25">
      <c r="A2514" t="s">
        <v>6358</v>
      </c>
      <c r="B2514" s="1">
        <v>44749</v>
      </c>
      <c r="C2514" t="s">
        <v>3190</v>
      </c>
      <c r="D2514" t="s">
        <v>32</v>
      </c>
      <c r="E2514" t="s">
        <v>24</v>
      </c>
      <c r="F2514" t="s">
        <v>180</v>
      </c>
      <c r="G2514">
        <v>5</v>
      </c>
      <c r="H2514" t="s">
        <v>194</v>
      </c>
      <c r="I2514" t="s">
        <v>195</v>
      </c>
      <c r="J2514" t="s">
        <v>196</v>
      </c>
      <c r="K2514" t="s">
        <v>6359</v>
      </c>
      <c r="R2514">
        <v>24</v>
      </c>
      <c r="S2514">
        <v>106.35</v>
      </c>
    </row>
    <row r="2515" spans="1:21" x14ac:dyDescent="0.25">
      <c r="A2515" t="s">
        <v>6360</v>
      </c>
      <c r="B2515" s="1">
        <v>44749</v>
      </c>
      <c r="C2515" t="s">
        <v>1969</v>
      </c>
      <c r="D2515" t="s">
        <v>32</v>
      </c>
      <c r="E2515" t="s">
        <v>24</v>
      </c>
      <c r="F2515" t="s">
        <v>1203</v>
      </c>
      <c r="G2515">
        <v>5</v>
      </c>
      <c r="H2515" t="s">
        <v>49</v>
      </c>
      <c r="I2515" t="s">
        <v>226</v>
      </c>
      <c r="J2515" t="s">
        <v>227</v>
      </c>
      <c r="K2515" t="s">
        <v>6361</v>
      </c>
      <c r="R2515">
        <v>14</v>
      </c>
      <c r="S2515">
        <v>89.91</v>
      </c>
    </row>
    <row r="2516" spans="1:21" x14ac:dyDescent="0.25">
      <c r="A2516" t="s">
        <v>6362</v>
      </c>
      <c r="B2516" s="1">
        <v>44749</v>
      </c>
      <c r="C2516" t="s">
        <v>6363</v>
      </c>
      <c r="D2516" t="s">
        <v>32</v>
      </c>
      <c r="E2516" t="s">
        <v>24</v>
      </c>
      <c r="F2516" t="s">
        <v>208</v>
      </c>
      <c r="G2516">
        <v>10</v>
      </c>
      <c r="H2516" t="s">
        <v>464</v>
      </c>
      <c r="I2516" t="s">
        <v>579</v>
      </c>
      <c r="J2516" t="s">
        <v>602</v>
      </c>
      <c r="K2516" t="s">
        <v>6364</v>
      </c>
    </row>
    <row r="2517" spans="1:21" x14ac:dyDescent="0.25">
      <c r="A2517" t="s">
        <v>6425</v>
      </c>
      <c r="B2517" s="1">
        <v>44756</v>
      </c>
      <c r="C2517" t="s">
        <v>140</v>
      </c>
      <c r="D2517" t="s">
        <v>32</v>
      </c>
      <c r="E2517" t="s">
        <v>24</v>
      </c>
      <c r="F2517" t="s">
        <v>215</v>
      </c>
      <c r="G2517">
        <v>30</v>
      </c>
      <c r="H2517" t="s">
        <v>188</v>
      </c>
      <c r="I2517" t="s">
        <v>189</v>
      </c>
      <c r="J2517" t="s">
        <v>3149</v>
      </c>
      <c r="K2517" t="s">
        <v>6426</v>
      </c>
      <c r="R2517">
        <v>94</v>
      </c>
    </row>
    <row r="2518" spans="1:21" x14ac:dyDescent="0.25">
      <c r="A2518" t="s">
        <v>6427</v>
      </c>
      <c r="B2518" s="1">
        <v>44756</v>
      </c>
      <c r="C2518" t="s">
        <v>6428</v>
      </c>
      <c r="D2518" t="s">
        <v>32</v>
      </c>
      <c r="E2518" t="s">
        <v>24</v>
      </c>
      <c r="F2518" t="s">
        <v>231</v>
      </c>
      <c r="G2518">
        <v>20</v>
      </c>
      <c r="H2518" t="s">
        <v>1856</v>
      </c>
      <c r="I2518" t="s">
        <v>2096</v>
      </c>
      <c r="J2518" t="s">
        <v>2097</v>
      </c>
      <c r="K2518" t="s">
        <v>6384</v>
      </c>
      <c r="L2518">
        <v>0</v>
      </c>
      <c r="P2518">
        <v>3.88</v>
      </c>
      <c r="Q2518">
        <v>1.29</v>
      </c>
      <c r="R2518">
        <v>73</v>
      </c>
      <c r="S2518">
        <v>85.4</v>
      </c>
    </row>
    <row r="2519" spans="1:21" x14ac:dyDescent="0.25">
      <c r="A2519" t="s">
        <v>6429</v>
      </c>
      <c r="B2519" s="1">
        <v>44756</v>
      </c>
      <c r="C2519" t="s">
        <v>787</v>
      </c>
      <c r="D2519" t="s">
        <v>32</v>
      </c>
      <c r="E2519" t="s">
        <v>24</v>
      </c>
      <c r="F2519" t="s">
        <v>6276</v>
      </c>
      <c r="G2519">
        <v>10</v>
      </c>
      <c r="H2519" t="s">
        <v>6420</v>
      </c>
      <c r="I2519" t="s">
        <v>6421</v>
      </c>
      <c r="J2519" t="s">
        <v>6430</v>
      </c>
      <c r="K2519" t="s">
        <v>6339</v>
      </c>
      <c r="L2519">
        <v>0</v>
      </c>
      <c r="P2519">
        <v>3.92</v>
      </c>
      <c r="Q2519">
        <v>0.65</v>
      </c>
      <c r="R2519">
        <v>59</v>
      </c>
      <c r="T2519">
        <v>0</v>
      </c>
      <c r="U2519" s="3">
        <v>0.6381944444444444</v>
      </c>
    </row>
    <row r="2520" spans="1:21" x14ac:dyDescent="0.25">
      <c r="A2520" t="s">
        <v>6431</v>
      </c>
      <c r="B2520" s="1">
        <v>44756</v>
      </c>
      <c r="C2520" t="s">
        <v>6432</v>
      </c>
      <c r="D2520" t="s">
        <v>32</v>
      </c>
      <c r="E2520" t="s">
        <v>24</v>
      </c>
      <c r="F2520" t="s">
        <v>243</v>
      </c>
      <c r="G2520">
        <v>45</v>
      </c>
      <c r="H2520" t="s">
        <v>26</v>
      </c>
      <c r="I2520" t="s">
        <v>370</v>
      </c>
      <c r="J2520" t="s">
        <v>479</v>
      </c>
      <c r="K2520" t="s">
        <v>6433</v>
      </c>
      <c r="L2520">
        <v>311</v>
      </c>
      <c r="M2520">
        <v>115</v>
      </c>
      <c r="N2520" s="2">
        <v>0.37</v>
      </c>
      <c r="O2520">
        <v>87</v>
      </c>
      <c r="P2520">
        <v>16.61</v>
      </c>
      <c r="Q2520">
        <v>12.46</v>
      </c>
      <c r="R2520">
        <v>483</v>
      </c>
      <c r="S2520">
        <v>159.97999999999999</v>
      </c>
    </row>
    <row r="2521" spans="1:21" x14ac:dyDescent="0.25">
      <c r="A2521" t="s">
        <v>6434</v>
      </c>
      <c r="B2521" s="1">
        <v>44756</v>
      </c>
      <c r="C2521" t="s">
        <v>3152</v>
      </c>
      <c r="D2521" t="s">
        <v>32</v>
      </c>
      <c r="E2521" t="s">
        <v>24</v>
      </c>
      <c r="G2521">
        <v>5</v>
      </c>
      <c r="H2521" t="s">
        <v>26</v>
      </c>
      <c r="I2521" t="s">
        <v>427</v>
      </c>
      <c r="J2521" t="s">
        <v>6435</v>
      </c>
      <c r="L2521">
        <v>14</v>
      </c>
      <c r="M2521">
        <v>46</v>
      </c>
      <c r="N2521" s="2">
        <v>0.26</v>
      </c>
      <c r="O2521">
        <v>83</v>
      </c>
      <c r="P2521">
        <v>11.46</v>
      </c>
      <c r="Q2521">
        <v>0.95</v>
      </c>
      <c r="R2521">
        <v>17</v>
      </c>
    </row>
    <row r="2522" spans="1:21" x14ac:dyDescent="0.25">
      <c r="A2522" t="s">
        <v>6436</v>
      </c>
      <c r="B2522" s="1">
        <v>44756</v>
      </c>
      <c r="C2522" t="s">
        <v>2980</v>
      </c>
      <c r="D2522" t="s">
        <v>32</v>
      </c>
      <c r="E2522" t="s">
        <v>24</v>
      </c>
      <c r="F2522" t="s">
        <v>354</v>
      </c>
      <c r="G2522">
        <v>5</v>
      </c>
      <c r="H2522" t="s">
        <v>194</v>
      </c>
      <c r="I2522" t="s">
        <v>423</v>
      </c>
      <c r="J2522" t="s">
        <v>6398</v>
      </c>
      <c r="K2522" t="s">
        <v>6399</v>
      </c>
      <c r="R2522">
        <v>23</v>
      </c>
    </row>
    <row r="2523" spans="1:21" x14ac:dyDescent="0.25">
      <c r="A2523" t="s">
        <v>6437</v>
      </c>
      <c r="B2523" s="1">
        <v>44756</v>
      </c>
      <c r="C2523" t="s">
        <v>6438</v>
      </c>
      <c r="D2523" t="s">
        <v>32</v>
      </c>
      <c r="E2523" t="s">
        <v>24</v>
      </c>
      <c r="F2523" t="s">
        <v>354</v>
      </c>
      <c r="G2523">
        <v>10</v>
      </c>
      <c r="H2523" t="s">
        <v>194</v>
      </c>
      <c r="I2523" t="s">
        <v>1445</v>
      </c>
      <c r="J2523" t="s">
        <v>2809</v>
      </c>
      <c r="K2523" t="s">
        <v>6399</v>
      </c>
      <c r="R2523">
        <v>46</v>
      </c>
    </row>
    <row r="2524" spans="1:21" x14ac:dyDescent="0.25">
      <c r="A2524" t="s">
        <v>6439</v>
      </c>
      <c r="B2524" s="1">
        <v>44756</v>
      </c>
      <c r="C2524" t="s">
        <v>5245</v>
      </c>
      <c r="D2524" t="s">
        <v>32</v>
      </c>
      <c r="E2524" t="s">
        <v>24</v>
      </c>
      <c r="F2524" t="s">
        <v>243</v>
      </c>
      <c r="G2524">
        <v>10</v>
      </c>
      <c r="H2524" t="s">
        <v>188</v>
      </c>
      <c r="I2524" t="s">
        <v>189</v>
      </c>
      <c r="J2524" t="s">
        <v>6440</v>
      </c>
      <c r="K2524" t="s">
        <v>6441</v>
      </c>
      <c r="R2524">
        <v>28</v>
      </c>
    </row>
    <row r="2525" spans="1:21" x14ac:dyDescent="0.25">
      <c r="A2525" t="s">
        <v>6442</v>
      </c>
      <c r="B2525" s="1">
        <v>44756</v>
      </c>
      <c r="C2525" t="s">
        <v>2449</v>
      </c>
      <c r="D2525" t="s">
        <v>32</v>
      </c>
      <c r="E2525" t="s">
        <v>24</v>
      </c>
      <c r="F2525" t="s">
        <v>208</v>
      </c>
      <c r="G2525">
        <v>10</v>
      </c>
      <c r="H2525" t="s">
        <v>464</v>
      </c>
      <c r="I2525" t="s">
        <v>579</v>
      </c>
      <c r="J2525" t="s">
        <v>2432</v>
      </c>
      <c r="K2525" t="s">
        <v>6443</v>
      </c>
    </row>
    <row r="2526" spans="1:21" x14ac:dyDescent="0.25">
      <c r="A2526" t="s">
        <v>6494</v>
      </c>
      <c r="B2526" s="1">
        <v>44763</v>
      </c>
      <c r="C2526" t="s">
        <v>5953</v>
      </c>
      <c r="D2526" t="s">
        <v>32</v>
      </c>
      <c r="E2526" t="s">
        <v>24</v>
      </c>
      <c r="F2526" t="s">
        <v>25</v>
      </c>
      <c r="G2526">
        <v>10</v>
      </c>
      <c r="H2526" t="s">
        <v>194</v>
      </c>
      <c r="I2526" t="s">
        <v>5421</v>
      </c>
      <c r="J2526" t="s">
        <v>6495</v>
      </c>
      <c r="K2526" t="s">
        <v>6496</v>
      </c>
      <c r="R2526">
        <v>42</v>
      </c>
    </row>
    <row r="2527" spans="1:21" x14ac:dyDescent="0.25">
      <c r="A2527" t="s">
        <v>6497</v>
      </c>
      <c r="B2527" s="1">
        <v>44763</v>
      </c>
      <c r="C2527" t="s">
        <v>285</v>
      </c>
      <c r="D2527" t="s">
        <v>32</v>
      </c>
      <c r="E2527" t="s">
        <v>24</v>
      </c>
      <c r="F2527" t="s">
        <v>2256</v>
      </c>
      <c r="G2527">
        <v>15</v>
      </c>
      <c r="H2527" t="s">
        <v>194</v>
      </c>
      <c r="I2527" t="s">
        <v>195</v>
      </c>
      <c r="J2527" t="s">
        <v>6498</v>
      </c>
      <c r="K2527" t="s">
        <v>6499</v>
      </c>
      <c r="R2527">
        <v>64</v>
      </c>
    </row>
    <row r="2528" spans="1:21" x14ac:dyDescent="0.25">
      <c r="A2528" t="s">
        <v>6500</v>
      </c>
      <c r="B2528" s="1">
        <v>44763</v>
      </c>
      <c r="C2528" t="s">
        <v>6501</v>
      </c>
      <c r="D2528" t="s">
        <v>32</v>
      </c>
      <c r="E2528" t="s">
        <v>24</v>
      </c>
      <c r="F2528" t="s">
        <v>2256</v>
      </c>
      <c r="G2528">
        <v>30</v>
      </c>
      <c r="H2528" t="s">
        <v>6502</v>
      </c>
      <c r="I2528" t="s">
        <v>6503</v>
      </c>
      <c r="J2528" t="s">
        <v>6504</v>
      </c>
      <c r="K2528" t="s">
        <v>6505</v>
      </c>
      <c r="R2528">
        <v>153</v>
      </c>
    </row>
    <row r="2529" spans="1:19" x14ac:dyDescent="0.25">
      <c r="A2529" t="s">
        <v>6506</v>
      </c>
      <c r="B2529" s="1">
        <v>44763</v>
      </c>
      <c r="C2529" t="s">
        <v>4849</v>
      </c>
      <c r="D2529" t="s">
        <v>32</v>
      </c>
      <c r="E2529" t="s">
        <v>24</v>
      </c>
      <c r="F2529" t="s">
        <v>1203</v>
      </c>
      <c r="G2529">
        <v>10</v>
      </c>
      <c r="H2529" t="s">
        <v>49</v>
      </c>
      <c r="I2529" t="s">
        <v>298</v>
      </c>
      <c r="J2529" t="s">
        <v>315</v>
      </c>
      <c r="K2529" t="s">
        <v>6507</v>
      </c>
      <c r="R2529">
        <v>21</v>
      </c>
    </row>
    <row r="2530" spans="1:19" x14ac:dyDescent="0.25">
      <c r="A2530" t="s">
        <v>6508</v>
      </c>
      <c r="B2530" s="1">
        <v>44763</v>
      </c>
      <c r="C2530" t="s">
        <v>6509</v>
      </c>
      <c r="D2530" t="s">
        <v>32</v>
      </c>
      <c r="E2530" t="s">
        <v>24</v>
      </c>
      <c r="F2530" t="s">
        <v>208</v>
      </c>
      <c r="G2530">
        <v>10</v>
      </c>
      <c r="H2530" t="s">
        <v>464</v>
      </c>
      <c r="I2530" t="s">
        <v>763</v>
      </c>
      <c r="J2530" t="s">
        <v>764</v>
      </c>
      <c r="K2530" t="s">
        <v>6510</v>
      </c>
    </row>
    <row r="2531" spans="1:19" x14ac:dyDescent="0.25">
      <c r="A2531" t="s">
        <v>6564</v>
      </c>
      <c r="B2531" s="1">
        <v>44770</v>
      </c>
      <c r="C2531" t="s">
        <v>5425</v>
      </c>
      <c r="D2531" t="s">
        <v>32</v>
      </c>
      <c r="E2531" t="s">
        <v>24</v>
      </c>
      <c r="F2531" t="s">
        <v>2256</v>
      </c>
      <c r="G2531">
        <v>10</v>
      </c>
      <c r="H2531" t="s">
        <v>194</v>
      </c>
      <c r="I2531" t="s">
        <v>195</v>
      </c>
      <c r="J2531" t="s">
        <v>211</v>
      </c>
      <c r="K2531" t="s">
        <v>6565</v>
      </c>
      <c r="R2531">
        <v>39</v>
      </c>
      <c r="S2531">
        <v>94.97</v>
      </c>
    </row>
    <row r="2532" spans="1:19" x14ac:dyDescent="0.25">
      <c r="A2532" t="s">
        <v>6566</v>
      </c>
      <c r="B2532" s="1">
        <v>44770</v>
      </c>
      <c r="C2532" t="s">
        <v>6567</v>
      </c>
      <c r="D2532" t="s">
        <v>32</v>
      </c>
      <c r="E2532" t="s">
        <v>24</v>
      </c>
      <c r="F2532" t="s">
        <v>554</v>
      </c>
      <c r="G2532">
        <v>20</v>
      </c>
      <c r="H2532" t="s">
        <v>194</v>
      </c>
      <c r="I2532" t="s">
        <v>5421</v>
      </c>
      <c r="J2532" t="s">
        <v>5536</v>
      </c>
      <c r="K2532" t="s">
        <v>6568</v>
      </c>
      <c r="R2532">
        <v>79</v>
      </c>
      <c r="S2532">
        <v>98.37</v>
      </c>
    </row>
    <row r="2533" spans="1:19" x14ac:dyDescent="0.25">
      <c r="A2533" t="s">
        <v>6569</v>
      </c>
      <c r="B2533" s="1">
        <v>44770</v>
      </c>
      <c r="C2533" t="s">
        <v>6570</v>
      </c>
      <c r="D2533" t="s">
        <v>32</v>
      </c>
      <c r="E2533" t="s">
        <v>24</v>
      </c>
      <c r="F2533" t="s">
        <v>215</v>
      </c>
      <c r="G2533">
        <v>30</v>
      </c>
      <c r="H2533" t="s">
        <v>188</v>
      </c>
      <c r="I2533" t="s">
        <v>575</v>
      </c>
      <c r="J2533" t="s">
        <v>6571</v>
      </c>
      <c r="K2533" t="s">
        <v>6572</v>
      </c>
      <c r="R2533">
        <v>95</v>
      </c>
    </row>
    <row r="2534" spans="1:19" x14ac:dyDescent="0.25">
      <c r="A2534" t="s">
        <v>6573</v>
      </c>
      <c r="B2534" s="1">
        <v>44770</v>
      </c>
      <c r="C2534" t="s">
        <v>6363</v>
      </c>
      <c r="D2534" t="s">
        <v>32</v>
      </c>
      <c r="E2534" t="s">
        <v>24</v>
      </c>
      <c r="F2534" t="s">
        <v>2708</v>
      </c>
      <c r="G2534">
        <v>10</v>
      </c>
      <c r="H2534" t="s">
        <v>464</v>
      </c>
      <c r="I2534" t="s">
        <v>763</v>
      </c>
      <c r="J2534" t="s">
        <v>764</v>
      </c>
      <c r="K2534" t="s">
        <v>6574</v>
      </c>
    </row>
    <row r="2535" spans="1:19" x14ac:dyDescent="0.25">
      <c r="A2535" t="s">
        <v>6616</v>
      </c>
      <c r="B2535" s="1">
        <v>44777</v>
      </c>
      <c r="C2535" t="s">
        <v>6617</v>
      </c>
      <c r="D2535" t="s">
        <v>32</v>
      </c>
      <c r="E2535" t="s">
        <v>24</v>
      </c>
      <c r="F2535" t="s">
        <v>323</v>
      </c>
      <c r="G2535">
        <v>45</v>
      </c>
      <c r="H2535" t="s">
        <v>26</v>
      </c>
      <c r="I2535" t="s">
        <v>370</v>
      </c>
      <c r="J2535" t="s">
        <v>479</v>
      </c>
      <c r="K2535" t="s">
        <v>6618</v>
      </c>
      <c r="L2535">
        <v>332</v>
      </c>
      <c r="M2535">
        <v>123</v>
      </c>
      <c r="N2535" s="2">
        <v>0.4</v>
      </c>
      <c r="O2535">
        <v>85</v>
      </c>
      <c r="P2535">
        <v>17.329999999999998</v>
      </c>
      <c r="Q2535">
        <v>12.99</v>
      </c>
      <c r="R2535">
        <v>480</v>
      </c>
      <c r="S2535">
        <v>159.13999999999999</v>
      </c>
    </row>
    <row r="2536" spans="1:19" x14ac:dyDescent="0.25">
      <c r="A2536" t="s">
        <v>6619</v>
      </c>
      <c r="B2536" s="1">
        <v>44777</v>
      </c>
      <c r="C2536" t="s">
        <v>5219</v>
      </c>
      <c r="D2536" t="s">
        <v>32</v>
      </c>
      <c r="E2536" t="s">
        <v>24</v>
      </c>
      <c r="F2536" t="s">
        <v>323</v>
      </c>
      <c r="G2536">
        <v>5</v>
      </c>
      <c r="H2536" t="s">
        <v>26</v>
      </c>
      <c r="I2536" t="s">
        <v>358</v>
      </c>
      <c r="J2536" t="s">
        <v>359</v>
      </c>
      <c r="K2536" t="s">
        <v>6620</v>
      </c>
      <c r="L2536">
        <v>17</v>
      </c>
      <c r="M2536">
        <v>58</v>
      </c>
      <c r="N2536" s="2">
        <v>0.27</v>
      </c>
      <c r="O2536">
        <v>91</v>
      </c>
      <c r="P2536">
        <v>12.58</v>
      </c>
      <c r="Q2536">
        <v>1.05</v>
      </c>
      <c r="R2536">
        <v>37</v>
      </c>
      <c r="S2536">
        <v>133.85</v>
      </c>
    </row>
    <row r="2537" spans="1:19" x14ac:dyDescent="0.25">
      <c r="A2537" t="s">
        <v>6621</v>
      </c>
      <c r="B2537" s="1">
        <v>44777</v>
      </c>
      <c r="C2537" t="s">
        <v>5889</v>
      </c>
      <c r="D2537" t="s">
        <v>32</v>
      </c>
      <c r="E2537" t="s">
        <v>24</v>
      </c>
      <c r="F2537" t="s">
        <v>354</v>
      </c>
      <c r="G2537">
        <v>5</v>
      </c>
      <c r="H2537" t="s">
        <v>194</v>
      </c>
      <c r="I2537" t="s">
        <v>423</v>
      </c>
      <c r="J2537" t="s">
        <v>6398</v>
      </c>
      <c r="K2537" t="s">
        <v>6399</v>
      </c>
      <c r="R2537">
        <v>11</v>
      </c>
    </row>
    <row r="2538" spans="1:19" x14ac:dyDescent="0.25">
      <c r="A2538" t="s">
        <v>6622</v>
      </c>
      <c r="B2538" s="1">
        <v>44777</v>
      </c>
      <c r="C2538" t="s">
        <v>2790</v>
      </c>
      <c r="D2538" t="s">
        <v>32</v>
      </c>
      <c r="E2538" t="s">
        <v>24</v>
      </c>
      <c r="F2538" t="s">
        <v>354</v>
      </c>
      <c r="G2538">
        <v>10</v>
      </c>
      <c r="H2538" t="s">
        <v>194</v>
      </c>
      <c r="I2538" t="s">
        <v>1445</v>
      </c>
      <c r="J2538" t="s">
        <v>2809</v>
      </c>
      <c r="K2538" t="s">
        <v>6399</v>
      </c>
      <c r="R2538">
        <v>58</v>
      </c>
      <c r="S2538">
        <v>118.66</v>
      </c>
    </row>
    <row r="2539" spans="1:19" x14ac:dyDescent="0.25">
      <c r="A2539" t="s">
        <v>6623</v>
      </c>
      <c r="B2539" s="1">
        <v>44777</v>
      </c>
      <c r="C2539" t="s">
        <v>3034</v>
      </c>
      <c r="D2539" t="s">
        <v>32</v>
      </c>
      <c r="E2539" t="s">
        <v>24</v>
      </c>
      <c r="F2539" t="s">
        <v>231</v>
      </c>
      <c r="G2539">
        <v>10</v>
      </c>
      <c r="H2539" t="s">
        <v>194</v>
      </c>
      <c r="I2539" t="s">
        <v>195</v>
      </c>
      <c r="J2539" t="s">
        <v>211</v>
      </c>
      <c r="K2539" t="s">
        <v>6624</v>
      </c>
      <c r="R2539">
        <v>50</v>
      </c>
      <c r="S2539">
        <v>109.63</v>
      </c>
    </row>
    <row r="2540" spans="1:19" x14ac:dyDescent="0.25">
      <c r="A2540" t="s">
        <v>6625</v>
      </c>
      <c r="B2540" s="1">
        <v>44777</v>
      </c>
      <c r="C2540" t="s">
        <v>1690</v>
      </c>
      <c r="D2540" t="s">
        <v>32</v>
      </c>
      <c r="E2540" t="s">
        <v>24</v>
      </c>
      <c r="F2540" t="s">
        <v>1987</v>
      </c>
      <c r="G2540">
        <v>10</v>
      </c>
      <c r="H2540" t="s">
        <v>188</v>
      </c>
      <c r="I2540" t="s">
        <v>238</v>
      </c>
      <c r="J2540" t="s">
        <v>731</v>
      </c>
      <c r="K2540" t="s">
        <v>6626</v>
      </c>
      <c r="R2540">
        <v>37</v>
      </c>
    </row>
    <row r="2541" spans="1:19" x14ac:dyDescent="0.25">
      <c r="A2541" t="s">
        <v>6627</v>
      </c>
      <c r="B2541" s="1">
        <v>44777</v>
      </c>
      <c r="C2541" t="s">
        <v>3351</v>
      </c>
      <c r="D2541" t="s">
        <v>32</v>
      </c>
      <c r="E2541" t="s">
        <v>24</v>
      </c>
      <c r="F2541" t="s">
        <v>237</v>
      </c>
      <c r="G2541">
        <v>10</v>
      </c>
      <c r="H2541" t="s">
        <v>464</v>
      </c>
      <c r="I2541" t="s">
        <v>579</v>
      </c>
      <c r="J2541" t="s">
        <v>1975</v>
      </c>
      <c r="K2541" t="s">
        <v>6628</v>
      </c>
    </row>
    <row r="2542" spans="1:19" x14ac:dyDescent="0.25">
      <c r="A2542" t="s">
        <v>6654</v>
      </c>
      <c r="B2542" s="1">
        <v>44784</v>
      </c>
      <c r="C2542" t="s">
        <v>6655</v>
      </c>
      <c r="D2542" t="s">
        <v>32</v>
      </c>
      <c r="G2542">
        <v>36</v>
      </c>
      <c r="H2542" t="s">
        <v>1856</v>
      </c>
      <c r="J2542" t="s">
        <v>6656</v>
      </c>
      <c r="L2542">
        <v>0</v>
      </c>
      <c r="P2542">
        <v>3.28</v>
      </c>
      <c r="Q2542">
        <v>1.87</v>
      </c>
      <c r="R2542">
        <v>133</v>
      </c>
    </row>
    <row r="2543" spans="1:19" x14ac:dyDescent="0.25">
      <c r="A2543" t="s">
        <v>6657</v>
      </c>
      <c r="B2543" s="1">
        <v>44784</v>
      </c>
      <c r="C2543" t="s">
        <v>6658</v>
      </c>
      <c r="D2543" t="s">
        <v>32</v>
      </c>
      <c r="E2543" t="s">
        <v>24</v>
      </c>
      <c r="F2543" t="s">
        <v>323</v>
      </c>
      <c r="G2543">
        <v>60</v>
      </c>
      <c r="H2543" t="s">
        <v>26</v>
      </c>
      <c r="I2543" t="s">
        <v>370</v>
      </c>
      <c r="J2543" t="s">
        <v>498</v>
      </c>
      <c r="K2543" t="s">
        <v>6659</v>
      </c>
      <c r="L2543">
        <v>429</v>
      </c>
      <c r="M2543">
        <v>119</v>
      </c>
      <c r="N2543" s="2">
        <v>0.4</v>
      </c>
      <c r="O2543">
        <v>83</v>
      </c>
      <c r="P2543">
        <v>17.34</v>
      </c>
      <c r="Q2543">
        <v>17.34</v>
      </c>
      <c r="R2543">
        <v>570</v>
      </c>
      <c r="S2543">
        <v>149.26</v>
      </c>
    </row>
    <row r="2544" spans="1:19" x14ac:dyDescent="0.25">
      <c r="A2544" t="s">
        <v>6660</v>
      </c>
      <c r="B2544" s="1">
        <v>44784</v>
      </c>
      <c r="C2544" t="s">
        <v>6661</v>
      </c>
      <c r="D2544" t="s">
        <v>32</v>
      </c>
      <c r="E2544" t="s">
        <v>24</v>
      </c>
      <c r="F2544" t="s">
        <v>354</v>
      </c>
      <c r="G2544">
        <v>20</v>
      </c>
      <c r="H2544" t="s">
        <v>194</v>
      </c>
      <c r="I2544" t="s">
        <v>1445</v>
      </c>
      <c r="J2544" t="s">
        <v>4217</v>
      </c>
      <c r="K2544" t="s">
        <v>6399</v>
      </c>
      <c r="R2544">
        <v>118</v>
      </c>
      <c r="S2544">
        <v>118.46</v>
      </c>
    </row>
    <row r="2545" spans="1:19" x14ac:dyDescent="0.25">
      <c r="A2545" t="s">
        <v>6662</v>
      </c>
      <c r="B2545" s="1">
        <v>44784</v>
      </c>
      <c r="C2545" t="s">
        <v>3190</v>
      </c>
      <c r="D2545" t="s">
        <v>32</v>
      </c>
      <c r="E2545" t="s">
        <v>24</v>
      </c>
      <c r="F2545" t="s">
        <v>6030</v>
      </c>
      <c r="G2545">
        <v>10</v>
      </c>
      <c r="H2545" t="s">
        <v>194</v>
      </c>
      <c r="I2545" t="s">
        <v>195</v>
      </c>
      <c r="J2545" t="s">
        <v>211</v>
      </c>
      <c r="K2545" t="s">
        <v>6663</v>
      </c>
      <c r="R2545">
        <v>39</v>
      </c>
    </row>
    <row r="2546" spans="1:19" x14ac:dyDescent="0.25">
      <c r="A2546" t="s">
        <v>6664</v>
      </c>
      <c r="B2546" s="1">
        <v>44784</v>
      </c>
      <c r="C2546" t="s">
        <v>5961</v>
      </c>
      <c r="D2546" t="s">
        <v>32</v>
      </c>
      <c r="E2546" t="s">
        <v>24</v>
      </c>
      <c r="F2546" t="s">
        <v>237</v>
      </c>
      <c r="G2546">
        <v>10</v>
      </c>
      <c r="H2546" t="s">
        <v>188</v>
      </c>
      <c r="I2546" t="s">
        <v>238</v>
      </c>
      <c r="J2546" t="s">
        <v>6665</v>
      </c>
      <c r="K2546" t="s">
        <v>6666</v>
      </c>
      <c r="R2546">
        <v>37</v>
      </c>
      <c r="S2546">
        <v>98.54</v>
      </c>
    </row>
    <row r="2547" spans="1:19" x14ac:dyDescent="0.25">
      <c r="A2547" t="s">
        <v>6667</v>
      </c>
      <c r="B2547" s="1">
        <v>44784</v>
      </c>
      <c r="C2547" t="s">
        <v>1669</v>
      </c>
      <c r="D2547" t="s">
        <v>32</v>
      </c>
      <c r="E2547" t="s">
        <v>24</v>
      </c>
      <c r="F2547" t="s">
        <v>2708</v>
      </c>
      <c r="G2547">
        <v>10</v>
      </c>
      <c r="H2547" t="s">
        <v>464</v>
      </c>
      <c r="I2547" t="s">
        <v>1571</v>
      </c>
      <c r="J2547" t="s">
        <v>2704</v>
      </c>
      <c r="K2547" t="s">
        <v>6668</v>
      </c>
    </row>
    <row r="2548" spans="1:19" x14ac:dyDescent="0.25">
      <c r="A2548" t="s">
        <v>6706</v>
      </c>
      <c r="B2548" s="1">
        <v>44791</v>
      </c>
      <c r="C2548" t="s">
        <v>711</v>
      </c>
      <c r="D2548" t="s">
        <v>32</v>
      </c>
      <c r="E2548" t="s">
        <v>24</v>
      </c>
      <c r="F2548" t="s">
        <v>215</v>
      </c>
      <c r="G2548">
        <v>30</v>
      </c>
      <c r="H2548" t="s">
        <v>188</v>
      </c>
      <c r="I2548" t="s">
        <v>189</v>
      </c>
      <c r="J2548" t="s">
        <v>201</v>
      </c>
      <c r="K2548" t="s">
        <v>6707</v>
      </c>
      <c r="R2548">
        <v>96</v>
      </c>
    </row>
    <row r="2549" spans="1:19" x14ac:dyDescent="0.25">
      <c r="A2549" t="s">
        <v>6708</v>
      </c>
      <c r="B2549" s="1">
        <v>44791</v>
      </c>
      <c r="C2549" t="s">
        <v>6709</v>
      </c>
      <c r="D2549" t="s">
        <v>32</v>
      </c>
      <c r="E2549" t="s">
        <v>24</v>
      </c>
      <c r="F2549" t="s">
        <v>2256</v>
      </c>
      <c r="G2549">
        <v>10</v>
      </c>
      <c r="H2549" t="s">
        <v>194</v>
      </c>
      <c r="I2549" t="s">
        <v>195</v>
      </c>
      <c r="J2549" t="s">
        <v>5762</v>
      </c>
      <c r="K2549" t="s">
        <v>6710</v>
      </c>
      <c r="R2549">
        <v>54</v>
      </c>
      <c r="S2549">
        <v>112.29</v>
      </c>
    </row>
    <row r="2550" spans="1:19" x14ac:dyDescent="0.25">
      <c r="A2550" t="s">
        <v>6711</v>
      </c>
      <c r="B2550" s="1">
        <v>44791</v>
      </c>
      <c r="C2550" t="s">
        <v>6712</v>
      </c>
      <c r="D2550" t="s">
        <v>32</v>
      </c>
      <c r="E2550" t="s">
        <v>24</v>
      </c>
      <c r="F2550" t="s">
        <v>323</v>
      </c>
      <c r="G2550">
        <v>60</v>
      </c>
      <c r="H2550" t="s">
        <v>26</v>
      </c>
      <c r="I2550" t="s">
        <v>370</v>
      </c>
      <c r="J2550" t="s">
        <v>498</v>
      </c>
      <c r="K2550" t="s">
        <v>6713</v>
      </c>
      <c r="L2550">
        <v>420</v>
      </c>
      <c r="M2550">
        <v>117</v>
      </c>
      <c r="N2550" s="2">
        <v>0.39</v>
      </c>
      <c r="O2550">
        <v>85</v>
      </c>
      <c r="P2550">
        <v>17.13</v>
      </c>
      <c r="Q2550">
        <v>17.13</v>
      </c>
      <c r="R2550">
        <v>649</v>
      </c>
      <c r="S2550">
        <v>160.72</v>
      </c>
    </row>
    <row r="2551" spans="1:19" x14ac:dyDescent="0.25">
      <c r="A2551" t="s">
        <v>6714</v>
      </c>
      <c r="B2551" s="1">
        <v>44791</v>
      </c>
      <c r="C2551" t="s">
        <v>3001</v>
      </c>
      <c r="D2551" t="s">
        <v>32</v>
      </c>
      <c r="E2551" t="s">
        <v>24</v>
      </c>
      <c r="F2551" t="s">
        <v>660</v>
      </c>
      <c r="G2551">
        <v>5</v>
      </c>
      <c r="H2551" t="s">
        <v>49</v>
      </c>
      <c r="I2551" t="s">
        <v>50</v>
      </c>
      <c r="J2551" t="s">
        <v>51</v>
      </c>
      <c r="K2551" t="s">
        <v>6715</v>
      </c>
      <c r="R2551">
        <v>24</v>
      </c>
      <c r="S2551">
        <v>111.67</v>
      </c>
    </row>
    <row r="2552" spans="1:19" x14ac:dyDescent="0.25">
      <c r="A2552" t="s">
        <v>6716</v>
      </c>
      <c r="B2552" s="1">
        <v>44791</v>
      </c>
      <c r="C2552" t="s">
        <v>6717</v>
      </c>
      <c r="D2552" t="s">
        <v>32</v>
      </c>
      <c r="E2552" t="s">
        <v>24</v>
      </c>
      <c r="F2552" t="s">
        <v>459</v>
      </c>
      <c r="G2552">
        <v>5</v>
      </c>
      <c r="H2552" t="s">
        <v>464</v>
      </c>
      <c r="I2552" t="s">
        <v>943</v>
      </c>
      <c r="J2552" t="s">
        <v>2205</v>
      </c>
      <c r="K2552" t="s">
        <v>6718</v>
      </c>
    </row>
    <row r="2553" spans="1:19" x14ac:dyDescent="0.25">
      <c r="A2553" t="s">
        <v>6779</v>
      </c>
      <c r="B2553" s="1">
        <v>44798</v>
      </c>
      <c r="C2553" t="s">
        <v>1740</v>
      </c>
      <c r="D2553" t="s">
        <v>32</v>
      </c>
      <c r="E2553" t="s">
        <v>24</v>
      </c>
      <c r="F2553" t="s">
        <v>215</v>
      </c>
      <c r="G2553">
        <v>30</v>
      </c>
      <c r="H2553" t="s">
        <v>188</v>
      </c>
      <c r="I2553" t="s">
        <v>254</v>
      </c>
      <c r="J2553" t="s">
        <v>5574</v>
      </c>
      <c r="K2553" t="s">
        <v>6780</v>
      </c>
      <c r="R2553">
        <v>93</v>
      </c>
    </row>
    <row r="2554" spans="1:19" x14ac:dyDescent="0.25">
      <c r="A2554" t="s">
        <v>6781</v>
      </c>
      <c r="B2554" s="1">
        <v>44798</v>
      </c>
      <c r="C2554" t="s">
        <v>6782</v>
      </c>
      <c r="D2554" t="s">
        <v>32</v>
      </c>
      <c r="E2554" t="s">
        <v>24</v>
      </c>
      <c r="F2554" t="s">
        <v>6276</v>
      </c>
      <c r="G2554">
        <v>30</v>
      </c>
      <c r="H2554" t="s">
        <v>1856</v>
      </c>
      <c r="I2554" t="s">
        <v>2096</v>
      </c>
      <c r="J2554" t="s">
        <v>4039</v>
      </c>
      <c r="K2554" t="s">
        <v>6783</v>
      </c>
      <c r="L2554">
        <v>0</v>
      </c>
      <c r="P2554">
        <v>3.46</v>
      </c>
      <c r="Q2554">
        <v>1.76</v>
      </c>
      <c r="R2554">
        <v>181</v>
      </c>
      <c r="S2554">
        <v>132.47</v>
      </c>
    </row>
    <row r="2555" spans="1:19" x14ac:dyDescent="0.25">
      <c r="A2555" t="s">
        <v>6784</v>
      </c>
      <c r="B2555" s="1">
        <v>44798</v>
      </c>
      <c r="C2555" t="s">
        <v>1649</v>
      </c>
      <c r="D2555" t="s">
        <v>32</v>
      </c>
      <c r="E2555" t="s">
        <v>24</v>
      </c>
      <c r="F2555" t="s">
        <v>208</v>
      </c>
      <c r="G2555">
        <v>15</v>
      </c>
      <c r="H2555" t="s">
        <v>464</v>
      </c>
      <c r="I2555" t="s">
        <v>943</v>
      </c>
      <c r="J2555" t="s">
        <v>1709</v>
      </c>
      <c r="K2555" t="s">
        <v>6785</v>
      </c>
    </row>
    <row r="2556" spans="1:19" x14ac:dyDescent="0.25">
      <c r="A2556" t="s">
        <v>6833</v>
      </c>
      <c r="B2556" s="1">
        <v>44805</v>
      </c>
      <c r="C2556" t="s">
        <v>652</v>
      </c>
      <c r="D2556" t="s">
        <v>32</v>
      </c>
      <c r="E2556" t="s">
        <v>24</v>
      </c>
      <c r="F2556" t="s">
        <v>243</v>
      </c>
      <c r="G2556">
        <v>30</v>
      </c>
      <c r="H2556" t="s">
        <v>188</v>
      </c>
      <c r="I2556" t="s">
        <v>189</v>
      </c>
      <c r="J2556" t="s">
        <v>201</v>
      </c>
      <c r="K2556" t="s">
        <v>6834</v>
      </c>
      <c r="R2556">
        <v>94</v>
      </c>
    </row>
    <row r="2557" spans="1:19" x14ac:dyDescent="0.25">
      <c r="A2557" t="s">
        <v>6835</v>
      </c>
      <c r="B2557" s="1">
        <v>44805</v>
      </c>
      <c r="C2557" t="s">
        <v>3004</v>
      </c>
      <c r="D2557" t="s">
        <v>32</v>
      </c>
      <c r="E2557" t="s">
        <v>24</v>
      </c>
      <c r="F2557" t="s">
        <v>231</v>
      </c>
      <c r="G2557">
        <v>10</v>
      </c>
      <c r="H2557" t="s">
        <v>194</v>
      </c>
      <c r="I2557" t="s">
        <v>195</v>
      </c>
      <c r="J2557" t="s">
        <v>211</v>
      </c>
      <c r="K2557" t="s">
        <v>6836</v>
      </c>
      <c r="R2557">
        <v>56</v>
      </c>
      <c r="S2557">
        <v>127.43</v>
      </c>
    </row>
    <row r="2558" spans="1:19" x14ac:dyDescent="0.25">
      <c r="A2558" t="s">
        <v>6837</v>
      </c>
      <c r="B2558" s="1">
        <v>44805</v>
      </c>
      <c r="C2558" t="s">
        <v>2208</v>
      </c>
      <c r="D2558" t="s">
        <v>32</v>
      </c>
      <c r="E2558" t="s">
        <v>24</v>
      </c>
      <c r="F2558" t="s">
        <v>292</v>
      </c>
      <c r="G2558">
        <v>30</v>
      </c>
      <c r="H2558" t="s">
        <v>194</v>
      </c>
      <c r="I2558" t="s">
        <v>232</v>
      </c>
      <c r="J2558" t="s">
        <v>233</v>
      </c>
      <c r="K2558" t="s">
        <v>6838</v>
      </c>
      <c r="R2558">
        <v>290</v>
      </c>
      <c r="S2558">
        <v>151.04</v>
      </c>
    </row>
    <row r="2559" spans="1:19" x14ac:dyDescent="0.25">
      <c r="A2559" t="s">
        <v>6839</v>
      </c>
      <c r="B2559" s="1">
        <v>44805</v>
      </c>
      <c r="C2559" t="s">
        <v>3154</v>
      </c>
      <c r="D2559" t="s">
        <v>32</v>
      </c>
      <c r="E2559" t="s">
        <v>24</v>
      </c>
      <c r="F2559" t="s">
        <v>243</v>
      </c>
      <c r="G2559">
        <v>30</v>
      </c>
      <c r="H2559" t="s">
        <v>26</v>
      </c>
      <c r="I2559" t="s">
        <v>370</v>
      </c>
      <c r="J2559" t="s">
        <v>2585</v>
      </c>
      <c r="K2559" t="s">
        <v>6840</v>
      </c>
      <c r="L2559">
        <v>196</v>
      </c>
      <c r="M2559">
        <v>109</v>
      </c>
      <c r="N2559" s="2">
        <v>0.38</v>
      </c>
      <c r="O2559">
        <v>85</v>
      </c>
      <c r="P2559">
        <v>16.59</v>
      </c>
      <c r="Q2559">
        <v>8.2899999999999991</v>
      </c>
      <c r="R2559">
        <v>296</v>
      </c>
      <c r="S2559">
        <v>152.05000000000001</v>
      </c>
    </row>
    <row r="2560" spans="1:19" x14ac:dyDescent="0.25">
      <c r="A2560" t="s">
        <v>6841</v>
      </c>
      <c r="B2560" s="1">
        <v>44805</v>
      </c>
      <c r="C2560" t="s">
        <v>3203</v>
      </c>
      <c r="D2560" t="s">
        <v>32</v>
      </c>
      <c r="E2560" t="s">
        <v>24</v>
      </c>
      <c r="F2560" t="s">
        <v>243</v>
      </c>
      <c r="G2560">
        <v>5</v>
      </c>
      <c r="H2560" t="s">
        <v>49</v>
      </c>
      <c r="I2560" t="s">
        <v>50</v>
      </c>
      <c r="J2560" t="s">
        <v>51</v>
      </c>
      <c r="K2560" t="s">
        <v>2042</v>
      </c>
      <c r="R2560">
        <v>23</v>
      </c>
      <c r="S2560">
        <v>110.71</v>
      </c>
    </row>
    <row r="2561" spans="1:19" x14ac:dyDescent="0.25">
      <c r="A2561" t="s">
        <v>6842</v>
      </c>
      <c r="B2561" s="1">
        <v>44805</v>
      </c>
      <c r="C2561" t="s">
        <v>1367</v>
      </c>
      <c r="D2561" t="s">
        <v>32</v>
      </c>
      <c r="E2561" t="s">
        <v>24</v>
      </c>
      <c r="F2561" t="s">
        <v>200</v>
      </c>
      <c r="G2561">
        <v>5</v>
      </c>
      <c r="H2561" t="s">
        <v>464</v>
      </c>
      <c r="I2561" t="s">
        <v>1617</v>
      </c>
      <c r="J2561" t="s">
        <v>5844</v>
      </c>
      <c r="K2561" t="s">
        <v>6843</v>
      </c>
    </row>
    <row r="2562" spans="1:19" x14ac:dyDescent="0.25">
      <c r="A2562" t="s">
        <v>6894</v>
      </c>
      <c r="B2562" s="1">
        <v>44812</v>
      </c>
      <c r="C2562" t="s">
        <v>917</v>
      </c>
      <c r="D2562" t="s">
        <v>32</v>
      </c>
      <c r="E2562" t="s">
        <v>24</v>
      </c>
      <c r="F2562" t="s">
        <v>305</v>
      </c>
      <c r="G2562">
        <v>45</v>
      </c>
      <c r="H2562" t="s">
        <v>1856</v>
      </c>
      <c r="I2562" t="s">
        <v>1857</v>
      </c>
      <c r="J2562" t="s">
        <v>6895</v>
      </c>
      <c r="K2562" t="s">
        <v>6339</v>
      </c>
      <c r="L2562">
        <v>0</v>
      </c>
      <c r="P2562">
        <v>3.31</v>
      </c>
      <c r="Q2562">
        <v>0.14000000000000001</v>
      </c>
      <c r="R2562">
        <v>9</v>
      </c>
      <c r="S2562">
        <v>64</v>
      </c>
    </row>
    <row r="2563" spans="1:19" x14ac:dyDescent="0.25">
      <c r="A2563" t="s">
        <v>6896</v>
      </c>
      <c r="B2563" s="1">
        <v>44812</v>
      </c>
      <c r="C2563" t="s">
        <v>3211</v>
      </c>
      <c r="D2563" t="s">
        <v>32</v>
      </c>
      <c r="E2563" t="s">
        <v>24</v>
      </c>
      <c r="F2563" t="s">
        <v>323</v>
      </c>
      <c r="G2563">
        <v>60</v>
      </c>
      <c r="H2563" t="s">
        <v>26</v>
      </c>
      <c r="I2563" t="s">
        <v>370</v>
      </c>
      <c r="J2563" t="s">
        <v>498</v>
      </c>
      <c r="K2563" t="s">
        <v>6897</v>
      </c>
      <c r="L2563">
        <v>418</v>
      </c>
      <c r="M2563">
        <v>116</v>
      </c>
      <c r="N2563" s="2">
        <v>0.39</v>
      </c>
      <c r="O2563">
        <v>85</v>
      </c>
      <c r="P2563">
        <v>17.14</v>
      </c>
      <c r="Q2563">
        <v>17.14</v>
      </c>
      <c r="R2563">
        <v>574</v>
      </c>
      <c r="S2563">
        <v>149.66</v>
      </c>
    </row>
    <row r="2564" spans="1:19" x14ac:dyDescent="0.25">
      <c r="A2564" t="s">
        <v>6898</v>
      </c>
      <c r="B2564" s="1">
        <v>44812</v>
      </c>
      <c r="C2564" t="s">
        <v>3190</v>
      </c>
      <c r="D2564" t="s">
        <v>32</v>
      </c>
      <c r="E2564" t="s">
        <v>24</v>
      </c>
      <c r="F2564" t="s">
        <v>170</v>
      </c>
      <c r="G2564">
        <v>10</v>
      </c>
      <c r="H2564" t="s">
        <v>194</v>
      </c>
      <c r="I2564" t="s">
        <v>195</v>
      </c>
      <c r="J2564" t="s">
        <v>211</v>
      </c>
      <c r="K2564" t="s">
        <v>6899</v>
      </c>
      <c r="R2564">
        <v>52</v>
      </c>
      <c r="S2564">
        <v>112.1</v>
      </c>
    </row>
    <row r="2565" spans="1:19" x14ac:dyDescent="0.25">
      <c r="A2565" t="s">
        <v>6900</v>
      </c>
      <c r="B2565" s="1">
        <v>44812</v>
      </c>
      <c r="C2565" t="s">
        <v>2279</v>
      </c>
      <c r="D2565" t="s">
        <v>32</v>
      </c>
      <c r="E2565" t="s">
        <v>24</v>
      </c>
      <c r="F2565" t="s">
        <v>215</v>
      </c>
      <c r="G2565">
        <v>5</v>
      </c>
      <c r="H2565" t="s">
        <v>464</v>
      </c>
      <c r="I2565" t="s">
        <v>763</v>
      </c>
      <c r="J2565" t="s">
        <v>4184</v>
      </c>
      <c r="K2565" t="s">
        <v>6901</v>
      </c>
    </row>
    <row r="2566" spans="1:19" x14ac:dyDescent="0.25">
      <c r="A2566" t="s">
        <v>6935</v>
      </c>
      <c r="B2566" s="1">
        <v>44819</v>
      </c>
      <c r="C2566" t="s">
        <v>5920</v>
      </c>
      <c r="D2566" t="s">
        <v>32</v>
      </c>
      <c r="E2566" t="s">
        <v>24</v>
      </c>
      <c r="F2566" t="s">
        <v>1203</v>
      </c>
      <c r="G2566">
        <v>20</v>
      </c>
      <c r="H2566" t="s">
        <v>1856</v>
      </c>
      <c r="I2566" t="s">
        <v>1857</v>
      </c>
      <c r="J2566" t="s">
        <v>6936</v>
      </c>
      <c r="K2566" t="s">
        <v>6937</v>
      </c>
      <c r="L2566">
        <v>0</v>
      </c>
      <c r="P2566">
        <v>3.5</v>
      </c>
      <c r="Q2566">
        <v>1.19</v>
      </c>
      <c r="R2566">
        <v>73</v>
      </c>
    </row>
    <row r="2567" spans="1:19" x14ac:dyDescent="0.25">
      <c r="A2567" t="s">
        <v>6938</v>
      </c>
      <c r="B2567" s="1">
        <v>44819</v>
      </c>
      <c r="C2567" t="s">
        <v>6939</v>
      </c>
      <c r="D2567" t="s">
        <v>32</v>
      </c>
      <c r="E2567" t="s">
        <v>24</v>
      </c>
      <c r="F2567" t="s">
        <v>5394</v>
      </c>
      <c r="G2567">
        <v>10</v>
      </c>
      <c r="H2567" t="s">
        <v>1856</v>
      </c>
      <c r="I2567" t="s">
        <v>6604</v>
      </c>
      <c r="J2567" t="s">
        <v>4916</v>
      </c>
      <c r="K2567" t="s">
        <v>6940</v>
      </c>
      <c r="L2567">
        <v>0</v>
      </c>
      <c r="P2567">
        <v>3.65</v>
      </c>
      <c r="Q2567">
        <v>0.59</v>
      </c>
      <c r="R2567">
        <v>77</v>
      </c>
      <c r="S2567">
        <v>134.66</v>
      </c>
    </row>
    <row r="2568" spans="1:19" x14ac:dyDescent="0.25">
      <c r="A2568" t="s">
        <v>6941</v>
      </c>
      <c r="B2568" s="1">
        <v>44819</v>
      </c>
      <c r="C2568" t="s">
        <v>6024</v>
      </c>
      <c r="D2568" t="s">
        <v>32</v>
      </c>
      <c r="E2568" t="s">
        <v>24</v>
      </c>
      <c r="F2568" t="s">
        <v>292</v>
      </c>
      <c r="G2568">
        <v>30</v>
      </c>
      <c r="H2568" t="s">
        <v>194</v>
      </c>
      <c r="I2568" t="s">
        <v>232</v>
      </c>
      <c r="J2568" t="s">
        <v>6886</v>
      </c>
      <c r="K2568" t="s">
        <v>6942</v>
      </c>
      <c r="R2568">
        <v>271</v>
      </c>
      <c r="S2568">
        <v>148.34</v>
      </c>
    </row>
    <row r="2569" spans="1:19" x14ac:dyDescent="0.25">
      <c r="A2569" t="s">
        <v>6943</v>
      </c>
      <c r="B2569" s="1">
        <v>44819</v>
      </c>
      <c r="C2569" t="s">
        <v>1692</v>
      </c>
      <c r="D2569" t="s">
        <v>32</v>
      </c>
      <c r="E2569" t="s">
        <v>24</v>
      </c>
      <c r="F2569" t="s">
        <v>243</v>
      </c>
      <c r="G2569">
        <v>30</v>
      </c>
      <c r="H2569" t="s">
        <v>26</v>
      </c>
      <c r="I2569" t="s">
        <v>370</v>
      </c>
      <c r="J2569" t="s">
        <v>1392</v>
      </c>
      <c r="K2569" t="s">
        <v>1393</v>
      </c>
      <c r="L2569">
        <v>199</v>
      </c>
      <c r="M2569">
        <v>110</v>
      </c>
      <c r="N2569" s="2">
        <v>0.38</v>
      </c>
      <c r="O2569">
        <v>86</v>
      </c>
      <c r="P2569">
        <v>16.66</v>
      </c>
      <c r="Q2569">
        <v>8.33</v>
      </c>
      <c r="R2569">
        <v>309</v>
      </c>
      <c r="S2569">
        <v>161.91</v>
      </c>
    </row>
    <row r="2570" spans="1:19" x14ac:dyDescent="0.25">
      <c r="A2570" t="s">
        <v>6944</v>
      </c>
      <c r="B2570" s="1">
        <v>44819</v>
      </c>
      <c r="C2570" t="s">
        <v>2148</v>
      </c>
      <c r="D2570" t="s">
        <v>32</v>
      </c>
      <c r="E2570" t="s">
        <v>24</v>
      </c>
      <c r="G2570">
        <v>5</v>
      </c>
      <c r="H2570" t="s">
        <v>26</v>
      </c>
      <c r="I2570" t="s">
        <v>427</v>
      </c>
      <c r="J2570" t="s">
        <v>6945</v>
      </c>
      <c r="L2570">
        <v>15</v>
      </c>
      <c r="M2570">
        <v>50</v>
      </c>
      <c r="N2570" s="2">
        <v>0.28000000000000003</v>
      </c>
      <c r="O2570">
        <v>81</v>
      </c>
      <c r="P2570">
        <v>11.97</v>
      </c>
      <c r="Q2570">
        <v>0.99</v>
      </c>
      <c r="R2570">
        <v>28</v>
      </c>
      <c r="S2570">
        <v>116.54</v>
      </c>
    </row>
    <row r="2571" spans="1:19" x14ac:dyDescent="0.25">
      <c r="A2571" t="s">
        <v>6946</v>
      </c>
      <c r="B2571" s="1">
        <v>44819</v>
      </c>
      <c r="C2571" t="s">
        <v>1597</v>
      </c>
      <c r="D2571" t="s">
        <v>32</v>
      </c>
      <c r="E2571" t="s">
        <v>24</v>
      </c>
      <c r="F2571" t="s">
        <v>208</v>
      </c>
      <c r="G2571">
        <v>10</v>
      </c>
      <c r="H2571" t="s">
        <v>464</v>
      </c>
      <c r="I2571" t="s">
        <v>763</v>
      </c>
      <c r="J2571" t="s">
        <v>764</v>
      </c>
      <c r="K2571" t="s">
        <v>6947</v>
      </c>
    </row>
    <row r="2572" spans="1:19" x14ac:dyDescent="0.25">
      <c r="A2572" t="s">
        <v>6974</v>
      </c>
      <c r="B2572" s="1">
        <v>44826</v>
      </c>
      <c r="C2572" t="s">
        <v>5356</v>
      </c>
      <c r="D2572" t="s">
        <v>32</v>
      </c>
      <c r="G2572">
        <v>37</v>
      </c>
      <c r="H2572" t="s">
        <v>1856</v>
      </c>
      <c r="J2572" t="s">
        <v>6975</v>
      </c>
      <c r="L2572">
        <v>0</v>
      </c>
      <c r="P2572">
        <v>3.44</v>
      </c>
      <c r="Q2572">
        <v>2.11</v>
      </c>
      <c r="R2572">
        <v>140</v>
      </c>
    </row>
    <row r="2573" spans="1:19" x14ac:dyDescent="0.25">
      <c r="A2573" t="s">
        <v>6976</v>
      </c>
      <c r="B2573" s="1">
        <v>44826</v>
      </c>
      <c r="C2573" t="s">
        <v>6977</v>
      </c>
      <c r="D2573" t="s">
        <v>32</v>
      </c>
      <c r="E2573" t="s">
        <v>24</v>
      </c>
      <c r="F2573" t="s">
        <v>335</v>
      </c>
      <c r="G2573">
        <v>45</v>
      </c>
      <c r="H2573" t="s">
        <v>26</v>
      </c>
      <c r="I2573" t="s">
        <v>370</v>
      </c>
      <c r="J2573" t="s">
        <v>479</v>
      </c>
      <c r="K2573" t="s">
        <v>6978</v>
      </c>
      <c r="L2573">
        <v>327</v>
      </c>
      <c r="M2573">
        <v>121</v>
      </c>
      <c r="N2573" s="2">
        <v>0.39</v>
      </c>
      <c r="O2573">
        <v>85</v>
      </c>
      <c r="P2573">
        <v>17.13</v>
      </c>
      <c r="Q2573">
        <v>12.85</v>
      </c>
      <c r="R2573">
        <v>501</v>
      </c>
      <c r="S2573">
        <v>163.49</v>
      </c>
    </row>
    <row r="2574" spans="1:19" x14ac:dyDescent="0.25">
      <c r="A2574" t="s">
        <v>6979</v>
      </c>
      <c r="B2574" s="1">
        <v>44826</v>
      </c>
      <c r="C2574" t="s">
        <v>5297</v>
      </c>
      <c r="D2574" t="s">
        <v>32</v>
      </c>
      <c r="E2574" t="s">
        <v>24</v>
      </c>
      <c r="F2574" t="s">
        <v>335</v>
      </c>
      <c r="G2574">
        <v>5</v>
      </c>
      <c r="H2574" t="s">
        <v>26</v>
      </c>
      <c r="I2574" t="s">
        <v>358</v>
      </c>
      <c r="J2574" t="s">
        <v>359</v>
      </c>
      <c r="K2574" t="s">
        <v>6980</v>
      </c>
      <c r="L2574">
        <v>13</v>
      </c>
      <c r="M2574">
        <v>42</v>
      </c>
      <c r="N2574" s="2">
        <v>0.25</v>
      </c>
      <c r="O2574">
        <v>82</v>
      </c>
      <c r="P2574">
        <v>11.04</v>
      </c>
      <c r="Q2574">
        <v>0.91</v>
      </c>
      <c r="R2574">
        <v>26</v>
      </c>
      <c r="S2574">
        <v>127.5</v>
      </c>
    </row>
    <row r="2575" spans="1:19" x14ac:dyDescent="0.25">
      <c r="A2575" t="s">
        <v>6981</v>
      </c>
      <c r="B2575" s="1">
        <v>44826</v>
      </c>
      <c r="C2575" t="s">
        <v>6982</v>
      </c>
      <c r="D2575" t="s">
        <v>32</v>
      </c>
      <c r="E2575" t="s">
        <v>24</v>
      </c>
      <c r="F2575" t="s">
        <v>292</v>
      </c>
      <c r="G2575">
        <v>30</v>
      </c>
      <c r="H2575" t="s">
        <v>194</v>
      </c>
      <c r="I2575" t="s">
        <v>232</v>
      </c>
      <c r="J2575" t="s">
        <v>6886</v>
      </c>
      <c r="K2575" t="s">
        <v>6983</v>
      </c>
      <c r="R2575">
        <v>183</v>
      </c>
      <c r="S2575">
        <v>120.45</v>
      </c>
    </row>
    <row r="2576" spans="1:19" x14ac:dyDescent="0.25">
      <c r="A2576" t="s">
        <v>6984</v>
      </c>
      <c r="B2576" s="1">
        <v>44826</v>
      </c>
      <c r="C2576" t="s">
        <v>5428</v>
      </c>
      <c r="D2576" t="s">
        <v>32</v>
      </c>
      <c r="E2576" t="s">
        <v>24</v>
      </c>
      <c r="F2576" t="s">
        <v>335</v>
      </c>
      <c r="G2576">
        <v>10</v>
      </c>
      <c r="H2576" t="s">
        <v>49</v>
      </c>
      <c r="I2576" t="s">
        <v>226</v>
      </c>
      <c r="J2576" t="s">
        <v>293</v>
      </c>
      <c r="K2576" t="s">
        <v>6985</v>
      </c>
      <c r="R2576">
        <v>33</v>
      </c>
      <c r="S2576">
        <v>93.48</v>
      </c>
    </row>
    <row r="2577" spans="1:19" x14ac:dyDescent="0.25">
      <c r="A2577" t="s">
        <v>6986</v>
      </c>
      <c r="B2577" s="1">
        <v>44826</v>
      </c>
      <c r="C2577" t="s">
        <v>2307</v>
      </c>
      <c r="D2577" t="s">
        <v>32</v>
      </c>
      <c r="E2577" t="s">
        <v>24</v>
      </c>
      <c r="F2577" t="s">
        <v>237</v>
      </c>
      <c r="G2577">
        <v>10</v>
      </c>
      <c r="H2577" t="s">
        <v>464</v>
      </c>
      <c r="I2577" t="s">
        <v>763</v>
      </c>
      <c r="J2577" t="s">
        <v>764</v>
      </c>
      <c r="K2577" t="s">
        <v>6987</v>
      </c>
    </row>
    <row r="2578" spans="1:19" x14ac:dyDescent="0.25">
      <c r="A2578" t="s">
        <v>7028</v>
      </c>
      <c r="B2578" s="1">
        <v>44833</v>
      </c>
      <c r="C2578" t="s">
        <v>6370</v>
      </c>
      <c r="D2578" t="s">
        <v>32</v>
      </c>
      <c r="E2578" t="s">
        <v>24</v>
      </c>
      <c r="F2578" t="s">
        <v>323</v>
      </c>
      <c r="G2578">
        <v>30</v>
      </c>
      <c r="H2578" t="s">
        <v>26</v>
      </c>
      <c r="I2578" t="s">
        <v>370</v>
      </c>
      <c r="J2578" t="s">
        <v>7029</v>
      </c>
      <c r="K2578" t="s">
        <v>7030</v>
      </c>
      <c r="L2578">
        <v>203</v>
      </c>
      <c r="M2578">
        <v>113</v>
      </c>
      <c r="N2578" s="2">
        <v>0.38</v>
      </c>
      <c r="O2578">
        <v>89</v>
      </c>
      <c r="P2578">
        <v>16.89</v>
      </c>
      <c r="Q2578">
        <v>8.44</v>
      </c>
      <c r="R2578">
        <v>330</v>
      </c>
      <c r="S2578">
        <v>162.21</v>
      </c>
    </row>
    <row r="2579" spans="1:19" x14ac:dyDescent="0.25">
      <c r="A2579" t="s">
        <v>7031</v>
      </c>
      <c r="B2579" s="1">
        <v>44833</v>
      </c>
      <c r="C2579" t="s">
        <v>7032</v>
      </c>
      <c r="D2579" t="s">
        <v>32</v>
      </c>
      <c r="E2579" t="s">
        <v>24</v>
      </c>
      <c r="F2579" t="s">
        <v>6030</v>
      </c>
      <c r="G2579">
        <v>10</v>
      </c>
      <c r="H2579" t="s">
        <v>194</v>
      </c>
      <c r="I2579" t="s">
        <v>195</v>
      </c>
      <c r="J2579" t="s">
        <v>211</v>
      </c>
      <c r="K2579" t="s">
        <v>7033</v>
      </c>
      <c r="R2579">
        <v>70</v>
      </c>
      <c r="S2579">
        <v>129.69999999999999</v>
      </c>
    </row>
    <row r="2580" spans="1:19" x14ac:dyDescent="0.25">
      <c r="A2580" t="s">
        <v>7034</v>
      </c>
      <c r="B2580" s="1">
        <v>44833</v>
      </c>
      <c r="C2580" t="s">
        <v>6373</v>
      </c>
      <c r="D2580" t="s">
        <v>32</v>
      </c>
      <c r="E2580" t="s">
        <v>24</v>
      </c>
      <c r="F2580" t="s">
        <v>354</v>
      </c>
      <c r="G2580">
        <v>20</v>
      </c>
      <c r="H2580" t="s">
        <v>194</v>
      </c>
      <c r="I2580" t="s">
        <v>1445</v>
      </c>
      <c r="J2580" t="s">
        <v>7035</v>
      </c>
      <c r="K2580" t="s">
        <v>7036</v>
      </c>
      <c r="R2580">
        <v>146</v>
      </c>
      <c r="S2580">
        <v>129.96</v>
      </c>
    </row>
    <row r="2581" spans="1:19" x14ac:dyDescent="0.25">
      <c r="A2581" t="s">
        <v>7037</v>
      </c>
      <c r="B2581" s="1">
        <v>44833</v>
      </c>
      <c r="C2581" t="s">
        <v>7038</v>
      </c>
      <c r="D2581" t="s">
        <v>32</v>
      </c>
      <c r="E2581" t="s">
        <v>24</v>
      </c>
      <c r="F2581" t="s">
        <v>237</v>
      </c>
      <c r="G2581">
        <v>30</v>
      </c>
      <c r="H2581" t="s">
        <v>188</v>
      </c>
      <c r="I2581" t="s">
        <v>189</v>
      </c>
      <c r="J2581" t="s">
        <v>7039</v>
      </c>
      <c r="K2581" t="s">
        <v>7040</v>
      </c>
      <c r="R2581">
        <v>132</v>
      </c>
      <c r="S2581">
        <v>103.88</v>
      </c>
    </row>
    <row r="2582" spans="1:19" x14ac:dyDescent="0.25">
      <c r="A2582" t="s">
        <v>7041</v>
      </c>
      <c r="B2582" s="1">
        <v>44833</v>
      </c>
      <c r="C2582" t="s">
        <v>1637</v>
      </c>
      <c r="D2582" t="s">
        <v>32</v>
      </c>
      <c r="E2582" t="s">
        <v>24</v>
      </c>
      <c r="F2582" t="s">
        <v>459</v>
      </c>
      <c r="G2582">
        <v>15</v>
      </c>
      <c r="H2582" t="s">
        <v>464</v>
      </c>
      <c r="I2582" t="s">
        <v>579</v>
      </c>
      <c r="J2582" t="s">
        <v>6831</v>
      </c>
      <c r="K2582" t="s">
        <v>7042</v>
      </c>
    </row>
    <row r="2583" spans="1:19" x14ac:dyDescent="0.25">
      <c r="A2583" t="s">
        <v>7083</v>
      </c>
      <c r="B2583" s="1">
        <v>44840</v>
      </c>
      <c r="C2583" t="s">
        <v>7084</v>
      </c>
      <c r="D2583" t="s">
        <v>32</v>
      </c>
      <c r="E2583" t="s">
        <v>24</v>
      </c>
      <c r="F2583" t="s">
        <v>323</v>
      </c>
      <c r="G2583">
        <v>45</v>
      </c>
      <c r="H2583" t="s">
        <v>26</v>
      </c>
      <c r="I2583" t="s">
        <v>370</v>
      </c>
      <c r="J2583" t="s">
        <v>439</v>
      </c>
      <c r="K2583" t="s">
        <v>7085</v>
      </c>
      <c r="L2583">
        <v>309</v>
      </c>
      <c r="M2583">
        <v>114</v>
      </c>
      <c r="N2583" s="2">
        <v>0.39</v>
      </c>
      <c r="O2583">
        <v>84</v>
      </c>
      <c r="P2583">
        <v>17</v>
      </c>
      <c r="Q2583">
        <v>12.75</v>
      </c>
      <c r="R2583">
        <v>493</v>
      </c>
      <c r="S2583">
        <v>163.86</v>
      </c>
    </row>
    <row r="2584" spans="1:19" x14ac:dyDescent="0.25">
      <c r="A2584" t="s">
        <v>7086</v>
      </c>
      <c r="B2584" s="1">
        <v>44840</v>
      </c>
      <c r="C2584" t="s">
        <v>6476</v>
      </c>
      <c r="D2584" t="s">
        <v>32</v>
      </c>
      <c r="E2584" t="s">
        <v>24</v>
      </c>
      <c r="F2584" t="s">
        <v>905</v>
      </c>
      <c r="G2584">
        <v>5</v>
      </c>
      <c r="H2584" t="s">
        <v>26</v>
      </c>
      <c r="I2584" t="s">
        <v>358</v>
      </c>
      <c r="J2584" t="s">
        <v>359</v>
      </c>
      <c r="K2584" t="s">
        <v>7087</v>
      </c>
      <c r="L2584">
        <v>17</v>
      </c>
      <c r="M2584">
        <v>57</v>
      </c>
      <c r="N2584" s="2">
        <v>0.28999999999999998</v>
      </c>
      <c r="O2584">
        <v>84</v>
      </c>
      <c r="P2584">
        <v>12.77</v>
      </c>
      <c r="Q2584">
        <v>1.06</v>
      </c>
      <c r="R2584">
        <v>41</v>
      </c>
      <c r="S2584">
        <v>140.86000000000001</v>
      </c>
    </row>
    <row r="2585" spans="1:19" x14ac:dyDescent="0.25">
      <c r="A2585" t="s">
        <v>7088</v>
      </c>
      <c r="B2585" s="1">
        <v>44840</v>
      </c>
      <c r="C2585" t="s">
        <v>6903</v>
      </c>
      <c r="D2585" t="s">
        <v>32</v>
      </c>
      <c r="E2585" t="s">
        <v>24</v>
      </c>
      <c r="F2585" t="s">
        <v>354</v>
      </c>
      <c r="G2585">
        <v>10</v>
      </c>
      <c r="H2585" t="s">
        <v>194</v>
      </c>
      <c r="I2585" t="s">
        <v>700</v>
      </c>
      <c r="J2585" t="s">
        <v>1282</v>
      </c>
      <c r="K2585" t="s">
        <v>7089</v>
      </c>
      <c r="R2585">
        <v>61</v>
      </c>
      <c r="S2585">
        <v>115.76</v>
      </c>
    </row>
    <row r="2586" spans="1:19" x14ac:dyDescent="0.25">
      <c r="A2586" t="s">
        <v>7090</v>
      </c>
      <c r="B2586" s="1">
        <v>44840</v>
      </c>
      <c r="C2586" t="s">
        <v>7091</v>
      </c>
      <c r="D2586" t="s">
        <v>32</v>
      </c>
      <c r="E2586" t="s">
        <v>24</v>
      </c>
      <c r="F2586" t="s">
        <v>180</v>
      </c>
      <c r="G2586">
        <v>15</v>
      </c>
      <c r="H2586" t="s">
        <v>194</v>
      </c>
      <c r="I2586" t="s">
        <v>195</v>
      </c>
      <c r="J2586" t="s">
        <v>1217</v>
      </c>
      <c r="K2586" t="s">
        <v>7092</v>
      </c>
      <c r="R2586">
        <v>66</v>
      </c>
    </row>
    <row r="2587" spans="1:19" x14ac:dyDescent="0.25">
      <c r="A2587" t="s">
        <v>7093</v>
      </c>
      <c r="B2587" s="1">
        <v>44840</v>
      </c>
      <c r="C2587" t="s">
        <v>1449</v>
      </c>
      <c r="D2587" t="s">
        <v>32</v>
      </c>
      <c r="E2587" t="s">
        <v>24</v>
      </c>
      <c r="F2587" t="s">
        <v>243</v>
      </c>
      <c r="G2587">
        <v>30</v>
      </c>
      <c r="H2587" t="s">
        <v>188</v>
      </c>
      <c r="I2587" t="s">
        <v>189</v>
      </c>
      <c r="J2587" t="s">
        <v>4475</v>
      </c>
      <c r="K2587" t="s">
        <v>7094</v>
      </c>
      <c r="R2587">
        <v>91</v>
      </c>
    </row>
    <row r="2588" spans="1:19" x14ac:dyDescent="0.25">
      <c r="A2588" t="s">
        <v>7095</v>
      </c>
      <c r="B2588" s="1">
        <v>44840</v>
      </c>
      <c r="C2588" t="s">
        <v>2049</v>
      </c>
      <c r="D2588" t="s">
        <v>32</v>
      </c>
      <c r="E2588" t="s">
        <v>24</v>
      </c>
      <c r="F2588" t="s">
        <v>2708</v>
      </c>
      <c r="G2588">
        <v>10</v>
      </c>
      <c r="H2588" t="s">
        <v>464</v>
      </c>
      <c r="I2588" t="s">
        <v>763</v>
      </c>
      <c r="J2588" t="s">
        <v>914</v>
      </c>
      <c r="K2588" t="s">
        <v>7096</v>
      </c>
    </row>
    <row r="2589" spans="1:19" x14ac:dyDescent="0.25">
      <c r="A2589" t="s">
        <v>7130</v>
      </c>
      <c r="B2589" s="1">
        <v>44847</v>
      </c>
      <c r="C2589" t="s">
        <v>538</v>
      </c>
      <c r="D2589" t="s">
        <v>32</v>
      </c>
      <c r="E2589" t="s">
        <v>24</v>
      </c>
      <c r="F2589" t="s">
        <v>215</v>
      </c>
      <c r="G2589">
        <v>30</v>
      </c>
      <c r="H2589" t="s">
        <v>188</v>
      </c>
      <c r="I2589" t="s">
        <v>575</v>
      </c>
      <c r="J2589" t="s">
        <v>6291</v>
      </c>
      <c r="K2589" t="s">
        <v>7131</v>
      </c>
      <c r="R2589">
        <v>81</v>
      </c>
    </row>
    <row r="2590" spans="1:19" x14ac:dyDescent="0.25">
      <c r="A2590" t="s">
        <v>7132</v>
      </c>
      <c r="B2590" s="1">
        <v>44847</v>
      </c>
      <c r="C2590" t="s">
        <v>3114</v>
      </c>
      <c r="D2590" t="s">
        <v>32</v>
      </c>
      <c r="E2590" t="s">
        <v>24</v>
      </c>
      <c r="F2590" t="s">
        <v>323</v>
      </c>
      <c r="G2590">
        <v>60</v>
      </c>
      <c r="H2590" t="s">
        <v>26</v>
      </c>
      <c r="I2590" t="s">
        <v>370</v>
      </c>
      <c r="J2590" t="s">
        <v>498</v>
      </c>
      <c r="K2590" t="s">
        <v>2437</v>
      </c>
      <c r="L2590">
        <v>424</v>
      </c>
      <c r="M2590">
        <v>118</v>
      </c>
      <c r="N2590" s="2">
        <v>0.39</v>
      </c>
      <c r="O2590">
        <v>86</v>
      </c>
      <c r="P2590">
        <v>17.22</v>
      </c>
      <c r="Q2590">
        <v>17.22</v>
      </c>
      <c r="R2590">
        <v>669</v>
      </c>
      <c r="S2590">
        <v>163.37</v>
      </c>
    </row>
    <row r="2591" spans="1:19" x14ac:dyDescent="0.25">
      <c r="A2591" t="s">
        <v>7133</v>
      </c>
      <c r="B2591" s="1">
        <v>44847</v>
      </c>
      <c r="C2591" t="s">
        <v>2198</v>
      </c>
      <c r="D2591" t="s">
        <v>32</v>
      </c>
      <c r="E2591" t="s">
        <v>24</v>
      </c>
      <c r="F2591" t="s">
        <v>354</v>
      </c>
      <c r="G2591">
        <v>10</v>
      </c>
      <c r="H2591" t="s">
        <v>194</v>
      </c>
      <c r="I2591" t="s">
        <v>700</v>
      </c>
      <c r="J2591" t="s">
        <v>1282</v>
      </c>
      <c r="K2591" t="s">
        <v>7134</v>
      </c>
      <c r="R2591">
        <v>69</v>
      </c>
      <c r="S2591">
        <v>126.05</v>
      </c>
    </row>
    <row r="2592" spans="1:19" x14ac:dyDescent="0.25">
      <c r="A2592" t="s">
        <v>7135</v>
      </c>
      <c r="B2592" s="1">
        <v>44847</v>
      </c>
      <c r="C2592" t="s">
        <v>6949</v>
      </c>
      <c r="D2592" t="s">
        <v>32</v>
      </c>
      <c r="E2592" t="s">
        <v>24</v>
      </c>
      <c r="F2592" t="s">
        <v>2833</v>
      </c>
      <c r="G2592">
        <v>5</v>
      </c>
      <c r="H2592" t="s">
        <v>49</v>
      </c>
      <c r="I2592" t="s">
        <v>50</v>
      </c>
      <c r="J2592" t="s">
        <v>51</v>
      </c>
      <c r="K2592" t="s">
        <v>7002</v>
      </c>
      <c r="R2592">
        <v>11</v>
      </c>
    </row>
    <row r="2593" spans="1:19" x14ac:dyDescent="0.25">
      <c r="A2593" t="s">
        <v>7185</v>
      </c>
      <c r="B2593" s="1">
        <v>44854</v>
      </c>
      <c r="C2593" t="s">
        <v>7186</v>
      </c>
      <c r="D2593" t="s">
        <v>32</v>
      </c>
      <c r="E2593" t="s">
        <v>24</v>
      </c>
      <c r="F2593" t="s">
        <v>215</v>
      </c>
      <c r="G2593">
        <v>30</v>
      </c>
      <c r="H2593" t="s">
        <v>188</v>
      </c>
      <c r="I2593" t="s">
        <v>238</v>
      </c>
      <c r="J2593" t="s">
        <v>982</v>
      </c>
      <c r="K2593" t="s">
        <v>7187</v>
      </c>
      <c r="R2593">
        <v>95</v>
      </c>
    </row>
    <row r="2594" spans="1:19" x14ac:dyDescent="0.25">
      <c r="A2594" t="s">
        <v>7188</v>
      </c>
      <c r="B2594" s="1">
        <v>44854</v>
      </c>
      <c r="C2594" t="s">
        <v>7189</v>
      </c>
      <c r="D2594" t="s">
        <v>32</v>
      </c>
      <c r="E2594" t="s">
        <v>24</v>
      </c>
      <c r="F2594" t="s">
        <v>2256</v>
      </c>
      <c r="G2594">
        <v>45</v>
      </c>
      <c r="H2594" t="s">
        <v>194</v>
      </c>
      <c r="I2594" t="s">
        <v>232</v>
      </c>
      <c r="J2594" t="s">
        <v>7190</v>
      </c>
      <c r="K2594" t="s">
        <v>7191</v>
      </c>
      <c r="R2594">
        <v>270</v>
      </c>
      <c r="S2594">
        <v>119.05</v>
      </c>
    </row>
    <row r="2595" spans="1:19" x14ac:dyDescent="0.25">
      <c r="A2595" t="s">
        <v>7192</v>
      </c>
      <c r="B2595" s="1">
        <v>44854</v>
      </c>
      <c r="C2595" t="s">
        <v>5549</v>
      </c>
      <c r="D2595" t="s">
        <v>32</v>
      </c>
      <c r="E2595" t="s">
        <v>24</v>
      </c>
      <c r="F2595" t="s">
        <v>180</v>
      </c>
      <c r="G2595">
        <v>30</v>
      </c>
      <c r="H2595" t="s">
        <v>26</v>
      </c>
      <c r="I2595" t="s">
        <v>39</v>
      </c>
      <c r="J2595" t="s">
        <v>7193</v>
      </c>
      <c r="K2595" t="s">
        <v>7194</v>
      </c>
      <c r="L2595">
        <v>179</v>
      </c>
      <c r="M2595">
        <v>100</v>
      </c>
      <c r="N2595" s="2">
        <v>0.39</v>
      </c>
      <c r="O2595">
        <v>80</v>
      </c>
      <c r="P2595">
        <v>16.079999999999998</v>
      </c>
      <c r="Q2595">
        <v>8.0299999999999994</v>
      </c>
      <c r="R2595">
        <v>272</v>
      </c>
      <c r="S2595">
        <v>145.19999999999999</v>
      </c>
    </row>
    <row r="2596" spans="1:19" x14ac:dyDescent="0.25">
      <c r="A2596" t="s">
        <v>7195</v>
      </c>
      <c r="B2596" s="1">
        <v>44854</v>
      </c>
      <c r="C2596" t="s">
        <v>1444</v>
      </c>
      <c r="D2596" t="s">
        <v>32</v>
      </c>
      <c r="E2596" t="s">
        <v>24</v>
      </c>
      <c r="F2596" t="s">
        <v>6030</v>
      </c>
      <c r="G2596">
        <v>10</v>
      </c>
      <c r="H2596" t="s">
        <v>49</v>
      </c>
      <c r="I2596" t="s">
        <v>226</v>
      </c>
      <c r="J2596" t="s">
        <v>293</v>
      </c>
      <c r="K2596" t="s">
        <v>7196</v>
      </c>
      <c r="R2596">
        <v>23</v>
      </c>
    </row>
    <row r="2597" spans="1:19" x14ac:dyDescent="0.25">
      <c r="A2597" t="s">
        <v>7197</v>
      </c>
      <c r="B2597" s="1">
        <v>44854</v>
      </c>
      <c r="C2597" t="s">
        <v>1637</v>
      </c>
      <c r="D2597" t="s">
        <v>32</v>
      </c>
      <c r="E2597" t="s">
        <v>24</v>
      </c>
      <c r="F2597" t="s">
        <v>215</v>
      </c>
      <c r="G2597">
        <v>10</v>
      </c>
      <c r="H2597" t="s">
        <v>464</v>
      </c>
      <c r="I2597" t="s">
        <v>579</v>
      </c>
      <c r="J2597" t="s">
        <v>602</v>
      </c>
      <c r="K2597" t="s">
        <v>7198</v>
      </c>
    </row>
    <row r="2598" spans="1:19" x14ac:dyDescent="0.25">
      <c r="A2598" t="s">
        <v>7251</v>
      </c>
      <c r="B2598" s="1">
        <v>44861</v>
      </c>
      <c r="C2598" t="s">
        <v>149</v>
      </c>
      <c r="D2598" t="s">
        <v>32</v>
      </c>
      <c r="E2598" t="s">
        <v>24</v>
      </c>
      <c r="F2598" t="s">
        <v>5394</v>
      </c>
      <c r="G2598">
        <v>20</v>
      </c>
      <c r="H2598" t="s">
        <v>1856</v>
      </c>
      <c r="I2598" t="s">
        <v>1857</v>
      </c>
      <c r="J2598" t="s">
        <v>7252</v>
      </c>
      <c r="K2598" t="s">
        <v>7253</v>
      </c>
      <c r="L2598">
        <v>0</v>
      </c>
      <c r="P2598">
        <v>3.23</v>
      </c>
      <c r="Q2598">
        <v>1.1200000000000001</v>
      </c>
      <c r="R2598">
        <v>73</v>
      </c>
    </row>
    <row r="2599" spans="1:19" x14ac:dyDescent="0.25">
      <c r="A2599" t="s">
        <v>7254</v>
      </c>
      <c r="B2599" s="1">
        <v>44861</v>
      </c>
      <c r="C2599" t="s">
        <v>6419</v>
      </c>
      <c r="D2599" t="s">
        <v>32</v>
      </c>
      <c r="E2599" t="s">
        <v>24</v>
      </c>
      <c r="F2599" t="s">
        <v>297</v>
      </c>
      <c r="G2599">
        <v>10</v>
      </c>
      <c r="H2599" t="s">
        <v>1856</v>
      </c>
      <c r="I2599" t="s">
        <v>6604</v>
      </c>
      <c r="J2599" t="s">
        <v>4916</v>
      </c>
      <c r="K2599" t="s">
        <v>7255</v>
      </c>
      <c r="L2599">
        <v>0</v>
      </c>
      <c r="P2599">
        <v>3.6</v>
      </c>
      <c r="Q2599">
        <v>0.56000000000000005</v>
      </c>
      <c r="R2599">
        <v>37</v>
      </c>
    </row>
    <row r="2600" spans="1:19" x14ac:dyDescent="0.25">
      <c r="A2600" t="s">
        <v>7256</v>
      </c>
      <c r="B2600" s="1">
        <v>44861</v>
      </c>
      <c r="C2600" t="s">
        <v>784</v>
      </c>
      <c r="D2600" t="s">
        <v>32</v>
      </c>
      <c r="G2600">
        <v>10</v>
      </c>
      <c r="H2600" t="s">
        <v>1856</v>
      </c>
      <c r="J2600" t="s">
        <v>7257</v>
      </c>
      <c r="L2600">
        <v>0</v>
      </c>
      <c r="P2600">
        <v>3.53</v>
      </c>
      <c r="Q2600">
        <v>0.56999999999999995</v>
      </c>
      <c r="R2600">
        <v>40</v>
      </c>
    </row>
    <row r="2601" spans="1:19" x14ac:dyDescent="0.25">
      <c r="A2601" t="s">
        <v>7286</v>
      </c>
      <c r="B2601" s="1">
        <v>44868</v>
      </c>
      <c r="C2601" t="s">
        <v>7287</v>
      </c>
      <c r="D2601" t="s">
        <v>32</v>
      </c>
      <c r="E2601" t="s">
        <v>24</v>
      </c>
      <c r="F2601" t="s">
        <v>305</v>
      </c>
      <c r="G2601">
        <v>20</v>
      </c>
      <c r="H2601" t="s">
        <v>194</v>
      </c>
      <c r="I2601" t="s">
        <v>631</v>
      </c>
      <c r="J2601" t="s">
        <v>2145</v>
      </c>
      <c r="K2601" t="s">
        <v>7288</v>
      </c>
      <c r="R2601">
        <v>120</v>
      </c>
      <c r="S2601">
        <v>118.68</v>
      </c>
    </row>
    <row r="2602" spans="1:19" x14ac:dyDescent="0.25">
      <c r="A2602" t="s">
        <v>7289</v>
      </c>
      <c r="B2602" s="1">
        <v>44868</v>
      </c>
      <c r="C2602" t="s">
        <v>7290</v>
      </c>
      <c r="D2602" t="s">
        <v>32</v>
      </c>
      <c r="E2602" t="s">
        <v>24</v>
      </c>
      <c r="F2602" t="s">
        <v>335</v>
      </c>
      <c r="G2602">
        <v>10</v>
      </c>
      <c r="H2602" t="s">
        <v>194</v>
      </c>
      <c r="I2602" t="s">
        <v>195</v>
      </c>
      <c r="J2602" t="s">
        <v>211</v>
      </c>
      <c r="K2602" t="s">
        <v>7291</v>
      </c>
      <c r="R2602">
        <v>56</v>
      </c>
      <c r="S2602">
        <v>114.89</v>
      </c>
    </row>
    <row r="2603" spans="1:19" x14ac:dyDescent="0.25">
      <c r="A2603" t="s">
        <v>7292</v>
      </c>
      <c r="B2603" s="1">
        <v>44868</v>
      </c>
      <c r="C2603" t="s">
        <v>7293</v>
      </c>
      <c r="D2603" t="s">
        <v>32</v>
      </c>
      <c r="E2603" t="s">
        <v>24</v>
      </c>
      <c r="F2603" t="s">
        <v>215</v>
      </c>
      <c r="G2603">
        <v>30</v>
      </c>
      <c r="H2603" t="s">
        <v>188</v>
      </c>
      <c r="I2603" t="s">
        <v>103</v>
      </c>
      <c r="J2603" t="s">
        <v>415</v>
      </c>
      <c r="K2603" t="s">
        <v>7294</v>
      </c>
      <c r="R2603">
        <v>95</v>
      </c>
      <c r="S2603">
        <v>89.34</v>
      </c>
    </row>
    <row r="2604" spans="1:19" x14ac:dyDescent="0.25">
      <c r="A2604" t="s">
        <v>7319</v>
      </c>
      <c r="B2604" s="1">
        <v>44875</v>
      </c>
      <c r="C2604" t="s">
        <v>7320</v>
      </c>
      <c r="D2604" t="s">
        <v>32</v>
      </c>
      <c r="E2604" t="s">
        <v>24</v>
      </c>
      <c r="F2604" t="s">
        <v>243</v>
      </c>
      <c r="G2604">
        <v>10</v>
      </c>
      <c r="H2604" t="s">
        <v>26</v>
      </c>
      <c r="I2604" t="s">
        <v>39</v>
      </c>
      <c r="J2604" t="s">
        <v>431</v>
      </c>
      <c r="K2604" t="s">
        <v>7321</v>
      </c>
      <c r="L2604">
        <v>47</v>
      </c>
      <c r="M2604">
        <v>77</v>
      </c>
      <c r="N2604" s="2">
        <v>0.33</v>
      </c>
      <c r="O2604">
        <v>84</v>
      </c>
      <c r="P2604">
        <v>14.41</v>
      </c>
      <c r="Q2604">
        <v>2.4</v>
      </c>
      <c r="R2604">
        <v>89</v>
      </c>
      <c r="S2604">
        <v>144.38</v>
      </c>
    </row>
    <row r="2605" spans="1:19" x14ac:dyDescent="0.25">
      <c r="A2605" t="s">
        <v>7322</v>
      </c>
      <c r="B2605" s="1">
        <v>44875</v>
      </c>
      <c r="C2605" t="s">
        <v>7323</v>
      </c>
      <c r="D2605" t="s">
        <v>32</v>
      </c>
      <c r="E2605" t="s">
        <v>24</v>
      </c>
      <c r="F2605" t="s">
        <v>335</v>
      </c>
      <c r="G2605">
        <v>30</v>
      </c>
      <c r="H2605" t="s">
        <v>26</v>
      </c>
      <c r="I2605" t="s">
        <v>370</v>
      </c>
      <c r="J2605" t="s">
        <v>7324</v>
      </c>
      <c r="K2605" t="s">
        <v>7325</v>
      </c>
      <c r="L2605">
        <v>159</v>
      </c>
      <c r="M2605">
        <v>89</v>
      </c>
      <c r="N2605" s="2">
        <v>0.34</v>
      </c>
      <c r="O2605">
        <v>86</v>
      </c>
      <c r="P2605">
        <v>15.21</v>
      </c>
      <c r="Q2605">
        <v>7.6</v>
      </c>
      <c r="R2605">
        <v>352</v>
      </c>
      <c r="S2605">
        <v>168.39</v>
      </c>
    </row>
    <row r="2606" spans="1:19" x14ac:dyDescent="0.25">
      <c r="A2606" t="s">
        <v>7326</v>
      </c>
      <c r="B2606" s="1">
        <v>44875</v>
      </c>
      <c r="C2606" t="s">
        <v>7327</v>
      </c>
      <c r="D2606" t="s">
        <v>32</v>
      </c>
      <c r="E2606" t="s">
        <v>24</v>
      </c>
      <c r="F2606" t="s">
        <v>335</v>
      </c>
      <c r="G2606">
        <v>5</v>
      </c>
      <c r="H2606" t="s">
        <v>26</v>
      </c>
      <c r="I2606" t="s">
        <v>358</v>
      </c>
      <c r="J2606" t="s">
        <v>359</v>
      </c>
      <c r="K2606" t="s">
        <v>7328</v>
      </c>
      <c r="L2606">
        <v>18</v>
      </c>
      <c r="M2606">
        <v>61</v>
      </c>
      <c r="N2606" s="2">
        <v>0.3</v>
      </c>
      <c r="O2606">
        <v>81</v>
      </c>
      <c r="P2606">
        <v>12.91</v>
      </c>
      <c r="Q2606">
        <v>1.07</v>
      </c>
      <c r="R2606">
        <v>46</v>
      </c>
      <c r="S2606">
        <v>150.63</v>
      </c>
    </row>
    <row r="2607" spans="1:19" x14ac:dyDescent="0.25">
      <c r="A2607" t="s">
        <v>7329</v>
      </c>
      <c r="B2607" s="1">
        <v>44875</v>
      </c>
      <c r="C2607" t="s">
        <v>7330</v>
      </c>
      <c r="D2607" t="s">
        <v>32</v>
      </c>
      <c r="E2607" t="s">
        <v>24</v>
      </c>
      <c r="F2607" t="s">
        <v>2256</v>
      </c>
      <c r="G2607">
        <v>10</v>
      </c>
      <c r="H2607" t="s">
        <v>194</v>
      </c>
      <c r="I2607" t="s">
        <v>195</v>
      </c>
      <c r="J2607" t="s">
        <v>5762</v>
      </c>
      <c r="K2607" t="s">
        <v>7331</v>
      </c>
      <c r="R2607">
        <v>60</v>
      </c>
      <c r="S2607">
        <v>118.95</v>
      </c>
    </row>
    <row r="2608" spans="1:19" x14ac:dyDescent="0.25">
      <c r="A2608" t="s">
        <v>7332</v>
      </c>
      <c r="B2608" s="1">
        <v>44875</v>
      </c>
      <c r="C2608" t="s">
        <v>7333</v>
      </c>
      <c r="D2608" t="s">
        <v>32</v>
      </c>
      <c r="E2608" t="s">
        <v>24</v>
      </c>
      <c r="F2608" t="s">
        <v>459</v>
      </c>
      <c r="G2608">
        <v>10</v>
      </c>
      <c r="H2608" t="s">
        <v>188</v>
      </c>
      <c r="I2608" t="s">
        <v>189</v>
      </c>
      <c r="J2608" t="s">
        <v>674</v>
      </c>
      <c r="K2608" t="s">
        <v>7334</v>
      </c>
      <c r="R2608">
        <v>38</v>
      </c>
      <c r="S2608">
        <v>97.11</v>
      </c>
    </row>
    <row r="2609" spans="1:19" x14ac:dyDescent="0.25">
      <c r="A2609" t="s">
        <v>7387</v>
      </c>
      <c r="B2609" s="1">
        <v>44882</v>
      </c>
      <c r="C2609" t="s">
        <v>7388</v>
      </c>
      <c r="D2609" t="s">
        <v>32</v>
      </c>
      <c r="E2609" t="s">
        <v>24</v>
      </c>
      <c r="F2609" t="s">
        <v>5394</v>
      </c>
      <c r="G2609">
        <v>30</v>
      </c>
      <c r="H2609" t="s">
        <v>1856</v>
      </c>
      <c r="I2609" t="s">
        <v>1857</v>
      </c>
      <c r="J2609" t="s">
        <v>3799</v>
      </c>
      <c r="K2609" t="s">
        <v>7389</v>
      </c>
      <c r="L2609">
        <v>0</v>
      </c>
      <c r="P2609">
        <v>2.74</v>
      </c>
      <c r="Q2609">
        <v>1.4</v>
      </c>
      <c r="R2609">
        <v>142</v>
      </c>
      <c r="S2609">
        <v>109.08</v>
      </c>
    </row>
    <row r="2610" spans="1:19" x14ac:dyDescent="0.25">
      <c r="A2610" t="s">
        <v>7390</v>
      </c>
      <c r="B2610" s="1">
        <v>44882</v>
      </c>
      <c r="C2610" t="s">
        <v>7391</v>
      </c>
      <c r="D2610" t="s">
        <v>32</v>
      </c>
      <c r="E2610" t="s">
        <v>24</v>
      </c>
      <c r="F2610" t="s">
        <v>297</v>
      </c>
      <c r="G2610">
        <v>30</v>
      </c>
      <c r="H2610" t="s">
        <v>1856</v>
      </c>
      <c r="I2610" t="s">
        <v>1857</v>
      </c>
      <c r="J2610" t="s">
        <v>5150</v>
      </c>
      <c r="K2610" t="s">
        <v>7392</v>
      </c>
      <c r="L2610">
        <v>0</v>
      </c>
      <c r="P2610">
        <v>2.74</v>
      </c>
      <c r="Q2610">
        <v>1.22</v>
      </c>
      <c r="R2610">
        <v>102</v>
      </c>
    </row>
    <row r="2611" spans="1:19" x14ac:dyDescent="0.25">
      <c r="A2611" t="s">
        <v>7444</v>
      </c>
      <c r="B2611" s="1">
        <v>44889</v>
      </c>
      <c r="C2611" t="s">
        <v>7445</v>
      </c>
      <c r="D2611" t="s">
        <v>32</v>
      </c>
      <c r="E2611" t="s">
        <v>24</v>
      </c>
      <c r="F2611" t="s">
        <v>237</v>
      </c>
      <c r="G2611">
        <v>10</v>
      </c>
      <c r="H2611" t="s">
        <v>464</v>
      </c>
      <c r="I2611" t="s">
        <v>579</v>
      </c>
      <c r="J2611" t="s">
        <v>602</v>
      </c>
      <c r="K2611" t="s">
        <v>7446</v>
      </c>
    </row>
    <row r="2612" spans="1:19" x14ac:dyDescent="0.25">
      <c r="A2612" t="s">
        <v>7447</v>
      </c>
      <c r="B2612" s="1">
        <v>44889</v>
      </c>
      <c r="C2612" t="s">
        <v>7448</v>
      </c>
      <c r="D2612" t="s">
        <v>32</v>
      </c>
      <c r="E2612" t="s">
        <v>24</v>
      </c>
      <c r="F2612" t="s">
        <v>323</v>
      </c>
      <c r="G2612">
        <v>45</v>
      </c>
      <c r="H2612" t="s">
        <v>26</v>
      </c>
      <c r="I2612" t="s">
        <v>370</v>
      </c>
      <c r="J2612" t="s">
        <v>479</v>
      </c>
      <c r="K2612" t="s">
        <v>7449</v>
      </c>
      <c r="L2612">
        <v>289</v>
      </c>
      <c r="M2612">
        <v>107</v>
      </c>
      <c r="N2612" s="2">
        <v>0.38</v>
      </c>
      <c r="O2612">
        <v>85</v>
      </c>
      <c r="P2612">
        <v>16.48</v>
      </c>
      <c r="Q2612">
        <v>12.36</v>
      </c>
      <c r="R2612">
        <v>512</v>
      </c>
      <c r="S2612">
        <v>165.44</v>
      </c>
    </row>
    <row r="2613" spans="1:19" x14ac:dyDescent="0.25">
      <c r="A2613" t="s">
        <v>7450</v>
      </c>
      <c r="B2613" s="1">
        <v>44889</v>
      </c>
      <c r="C2613" t="s">
        <v>4262</v>
      </c>
      <c r="D2613" t="s">
        <v>32</v>
      </c>
      <c r="E2613" t="s">
        <v>24</v>
      </c>
      <c r="G2613">
        <v>5</v>
      </c>
      <c r="H2613" t="s">
        <v>26</v>
      </c>
      <c r="I2613" t="s">
        <v>427</v>
      </c>
      <c r="J2613" t="s">
        <v>7451</v>
      </c>
      <c r="L2613">
        <v>17</v>
      </c>
      <c r="M2613">
        <v>56</v>
      </c>
      <c r="N2613" s="2">
        <v>0.28999999999999998</v>
      </c>
      <c r="O2613">
        <v>83</v>
      </c>
      <c r="P2613">
        <v>12.56</v>
      </c>
      <c r="Q2613">
        <v>1.04</v>
      </c>
      <c r="R2613">
        <v>21</v>
      </c>
    </row>
    <row r="2614" spans="1:19" x14ac:dyDescent="0.25">
      <c r="A2614" t="s">
        <v>7452</v>
      </c>
      <c r="B2614" s="1">
        <v>44889</v>
      </c>
      <c r="C2614" t="s">
        <v>4076</v>
      </c>
      <c r="D2614" t="s">
        <v>32</v>
      </c>
      <c r="E2614" t="s">
        <v>24</v>
      </c>
      <c r="F2614" t="s">
        <v>6030</v>
      </c>
      <c r="G2614">
        <v>10</v>
      </c>
      <c r="H2614" t="s">
        <v>194</v>
      </c>
      <c r="I2614" t="s">
        <v>195</v>
      </c>
      <c r="J2614" t="s">
        <v>211</v>
      </c>
      <c r="K2614" t="s">
        <v>7453</v>
      </c>
      <c r="R2614">
        <v>46</v>
      </c>
    </row>
    <row r="2615" spans="1:19" x14ac:dyDescent="0.25">
      <c r="A2615" t="s">
        <v>7482</v>
      </c>
      <c r="B2615" s="1">
        <v>44896</v>
      </c>
      <c r="C2615" t="s">
        <v>2166</v>
      </c>
      <c r="D2615" t="s">
        <v>32</v>
      </c>
      <c r="E2615" t="s">
        <v>24</v>
      </c>
      <c r="F2615" t="s">
        <v>215</v>
      </c>
      <c r="G2615">
        <v>30</v>
      </c>
      <c r="H2615" t="s">
        <v>188</v>
      </c>
      <c r="I2615" t="s">
        <v>189</v>
      </c>
      <c r="J2615" t="s">
        <v>3354</v>
      </c>
      <c r="K2615" t="s">
        <v>7483</v>
      </c>
      <c r="R2615">
        <v>98</v>
      </c>
    </row>
    <row r="2616" spans="1:19" x14ac:dyDescent="0.25">
      <c r="A2616" t="s">
        <v>7484</v>
      </c>
      <c r="B2616" s="1">
        <v>44896</v>
      </c>
      <c r="C2616" t="s">
        <v>7485</v>
      </c>
      <c r="D2616" t="s">
        <v>32</v>
      </c>
      <c r="E2616" t="s">
        <v>24</v>
      </c>
      <c r="F2616" t="s">
        <v>2256</v>
      </c>
      <c r="G2616">
        <v>10</v>
      </c>
      <c r="H2616" t="s">
        <v>194</v>
      </c>
      <c r="I2616" t="s">
        <v>195</v>
      </c>
      <c r="J2616" t="s">
        <v>5762</v>
      </c>
      <c r="K2616" t="s">
        <v>7486</v>
      </c>
      <c r="R2616">
        <v>45</v>
      </c>
      <c r="S2616">
        <v>104.36</v>
      </c>
    </row>
    <row r="2617" spans="1:19" x14ac:dyDescent="0.25">
      <c r="A2617" t="s">
        <v>7487</v>
      </c>
      <c r="B2617" s="1">
        <v>44896</v>
      </c>
      <c r="C2617" t="s">
        <v>4577</v>
      </c>
      <c r="D2617" t="s">
        <v>32</v>
      </c>
      <c r="E2617" t="s">
        <v>24</v>
      </c>
      <c r="F2617" t="s">
        <v>323</v>
      </c>
      <c r="G2617">
        <v>60</v>
      </c>
      <c r="H2617" t="s">
        <v>26</v>
      </c>
      <c r="I2617" t="s">
        <v>370</v>
      </c>
      <c r="J2617" t="s">
        <v>498</v>
      </c>
      <c r="K2617" t="s">
        <v>4929</v>
      </c>
      <c r="L2617">
        <v>353</v>
      </c>
      <c r="M2617">
        <v>98</v>
      </c>
      <c r="N2617" s="2">
        <v>0.36</v>
      </c>
      <c r="O2617">
        <v>85</v>
      </c>
      <c r="P2617">
        <v>16.010000000000002</v>
      </c>
      <c r="Q2617">
        <v>16</v>
      </c>
      <c r="R2617">
        <v>643</v>
      </c>
      <c r="S2617">
        <v>159.38</v>
      </c>
    </row>
    <row r="2618" spans="1:19" x14ac:dyDescent="0.25">
      <c r="A2618" t="s">
        <v>7488</v>
      </c>
      <c r="B2618" s="1">
        <v>44896</v>
      </c>
      <c r="C2618" t="s">
        <v>3726</v>
      </c>
      <c r="D2618" t="s">
        <v>32</v>
      </c>
      <c r="E2618" t="s">
        <v>24</v>
      </c>
      <c r="F2618" t="s">
        <v>323</v>
      </c>
      <c r="G2618">
        <v>5</v>
      </c>
      <c r="H2618" t="s">
        <v>49</v>
      </c>
      <c r="I2618" t="s">
        <v>50</v>
      </c>
      <c r="J2618" t="s">
        <v>51</v>
      </c>
      <c r="K2618" t="s">
        <v>7489</v>
      </c>
      <c r="R2618">
        <v>30</v>
      </c>
      <c r="S2618">
        <v>118.56</v>
      </c>
    </row>
    <row r="2619" spans="1:19" x14ac:dyDescent="0.25">
      <c r="A2619" t="s">
        <v>7490</v>
      </c>
      <c r="B2619" s="1">
        <v>44896</v>
      </c>
      <c r="C2619" t="s">
        <v>1964</v>
      </c>
      <c r="D2619" t="s">
        <v>32</v>
      </c>
      <c r="E2619" t="s">
        <v>24</v>
      </c>
      <c r="F2619" t="s">
        <v>208</v>
      </c>
      <c r="G2619">
        <v>10</v>
      </c>
      <c r="H2619" t="s">
        <v>464</v>
      </c>
      <c r="I2619" t="s">
        <v>1249</v>
      </c>
      <c r="J2619" t="s">
        <v>3629</v>
      </c>
      <c r="K2619" t="s">
        <v>7491</v>
      </c>
    </row>
    <row r="2620" spans="1:19" x14ac:dyDescent="0.25">
      <c r="A2620" t="s">
        <v>7557</v>
      </c>
      <c r="B2620" s="1">
        <v>44903</v>
      </c>
      <c r="C2620" t="s">
        <v>7558</v>
      </c>
      <c r="D2620" t="s">
        <v>32</v>
      </c>
      <c r="E2620" t="s">
        <v>24</v>
      </c>
      <c r="F2620" t="s">
        <v>237</v>
      </c>
      <c r="G2620">
        <v>10</v>
      </c>
      <c r="H2620" t="s">
        <v>464</v>
      </c>
      <c r="I2620" t="s">
        <v>579</v>
      </c>
      <c r="J2620" t="s">
        <v>1000</v>
      </c>
      <c r="K2620" t="s">
        <v>7559</v>
      </c>
    </row>
    <row r="2621" spans="1:19" x14ac:dyDescent="0.25">
      <c r="A2621" t="s">
        <v>7560</v>
      </c>
      <c r="B2621" s="1">
        <v>44903</v>
      </c>
      <c r="C2621" t="s">
        <v>7561</v>
      </c>
      <c r="D2621" t="s">
        <v>32</v>
      </c>
      <c r="E2621" t="s">
        <v>24</v>
      </c>
      <c r="F2621" t="s">
        <v>323</v>
      </c>
      <c r="G2621">
        <v>20</v>
      </c>
      <c r="H2621" t="s">
        <v>7562</v>
      </c>
      <c r="I2621" t="s">
        <v>27</v>
      </c>
      <c r="J2621" t="s">
        <v>7563</v>
      </c>
      <c r="K2621" t="s">
        <v>7564</v>
      </c>
      <c r="L2621">
        <v>74</v>
      </c>
      <c r="P2621">
        <v>2.71</v>
      </c>
      <c r="Q2621">
        <v>1.85</v>
      </c>
      <c r="R2621">
        <v>184</v>
      </c>
      <c r="S2621">
        <v>146.87</v>
      </c>
    </row>
    <row r="2622" spans="1:19" x14ac:dyDescent="0.25">
      <c r="A2622" t="s">
        <v>7565</v>
      </c>
      <c r="B2622" s="1">
        <v>44903</v>
      </c>
      <c r="C2622" t="s">
        <v>7566</v>
      </c>
      <c r="D2622" t="s">
        <v>32</v>
      </c>
      <c r="E2622" t="s">
        <v>24</v>
      </c>
      <c r="F2622" t="s">
        <v>323</v>
      </c>
      <c r="G2622">
        <v>10</v>
      </c>
      <c r="H2622" t="s">
        <v>7562</v>
      </c>
      <c r="I2622" t="s">
        <v>7567</v>
      </c>
      <c r="J2622" t="s">
        <v>7568</v>
      </c>
      <c r="K2622" t="s">
        <v>7564</v>
      </c>
      <c r="L2622">
        <v>15</v>
      </c>
      <c r="P2622">
        <v>2.4500000000000002</v>
      </c>
      <c r="Q2622">
        <v>0.48</v>
      </c>
      <c r="R2622">
        <v>89</v>
      </c>
      <c r="S2622">
        <v>143.66999999999999</v>
      </c>
    </row>
    <row r="2623" spans="1:19" x14ac:dyDescent="0.25">
      <c r="A2623" t="s">
        <v>7569</v>
      </c>
      <c r="B2623" s="1">
        <v>44903</v>
      </c>
      <c r="C2623" t="s">
        <v>2353</v>
      </c>
      <c r="D2623" t="s">
        <v>32</v>
      </c>
      <c r="E2623" t="s">
        <v>24</v>
      </c>
      <c r="F2623" t="s">
        <v>215</v>
      </c>
      <c r="G2623">
        <v>5</v>
      </c>
      <c r="H2623" t="s">
        <v>464</v>
      </c>
      <c r="I2623" t="s">
        <v>579</v>
      </c>
      <c r="J2623" t="s">
        <v>7570</v>
      </c>
      <c r="K2623" t="s">
        <v>7571</v>
      </c>
    </row>
    <row r="2624" spans="1:19" x14ac:dyDescent="0.25">
      <c r="A2624" t="s">
        <v>7654</v>
      </c>
      <c r="B2624" s="1">
        <v>44910</v>
      </c>
      <c r="C2624" t="s">
        <v>7655</v>
      </c>
      <c r="D2624" t="s">
        <v>32</v>
      </c>
      <c r="E2624" t="s">
        <v>24</v>
      </c>
      <c r="F2624" t="s">
        <v>215</v>
      </c>
      <c r="G2624">
        <v>10</v>
      </c>
      <c r="H2624" t="s">
        <v>188</v>
      </c>
      <c r="I2624" t="s">
        <v>238</v>
      </c>
      <c r="J2624" t="s">
        <v>674</v>
      </c>
      <c r="K2624" t="s">
        <v>7656</v>
      </c>
      <c r="R2624">
        <v>32</v>
      </c>
      <c r="S2624">
        <v>88.89</v>
      </c>
    </row>
    <row r="2625" spans="1:19" x14ac:dyDescent="0.25">
      <c r="A2625" t="s">
        <v>7657</v>
      </c>
      <c r="B2625" s="1">
        <v>44910</v>
      </c>
      <c r="C2625" t="s">
        <v>7658</v>
      </c>
      <c r="D2625" t="s">
        <v>32</v>
      </c>
      <c r="E2625" t="s">
        <v>24</v>
      </c>
      <c r="F2625" t="s">
        <v>237</v>
      </c>
      <c r="G2625">
        <v>10</v>
      </c>
      <c r="H2625" t="s">
        <v>464</v>
      </c>
      <c r="I2625" t="s">
        <v>1617</v>
      </c>
      <c r="J2625" t="s">
        <v>3543</v>
      </c>
      <c r="K2625" t="s">
        <v>7659</v>
      </c>
    </row>
    <row r="2626" spans="1:19" x14ac:dyDescent="0.25">
      <c r="A2626" t="s">
        <v>7732</v>
      </c>
      <c r="B2626" s="1">
        <v>44917</v>
      </c>
      <c r="C2626" t="s">
        <v>7733</v>
      </c>
      <c r="D2626" t="s">
        <v>32</v>
      </c>
      <c r="E2626" t="s">
        <v>24</v>
      </c>
      <c r="F2626" t="s">
        <v>2708</v>
      </c>
      <c r="G2626">
        <v>10</v>
      </c>
      <c r="H2626" t="s">
        <v>464</v>
      </c>
      <c r="I2626" t="s">
        <v>579</v>
      </c>
      <c r="J2626" t="s">
        <v>602</v>
      </c>
      <c r="K2626" t="s">
        <v>7734</v>
      </c>
    </row>
    <row r="2627" spans="1:19" x14ac:dyDescent="0.25">
      <c r="A2627" t="s">
        <v>7735</v>
      </c>
      <c r="B2627" s="1">
        <v>44917</v>
      </c>
      <c r="C2627" t="s">
        <v>5393</v>
      </c>
      <c r="D2627" t="s">
        <v>32</v>
      </c>
      <c r="E2627" t="s">
        <v>24</v>
      </c>
      <c r="F2627" t="s">
        <v>215</v>
      </c>
      <c r="G2627">
        <v>10</v>
      </c>
      <c r="H2627" t="s">
        <v>188</v>
      </c>
      <c r="I2627" t="s">
        <v>2479</v>
      </c>
      <c r="J2627" t="s">
        <v>2480</v>
      </c>
      <c r="K2627" t="s">
        <v>7736</v>
      </c>
      <c r="R2627">
        <v>37</v>
      </c>
      <c r="S2627">
        <v>97.63</v>
      </c>
    </row>
    <row r="2628" spans="1:19" x14ac:dyDescent="0.25">
      <c r="A2628" t="s">
        <v>7737</v>
      </c>
      <c r="B2628" s="1">
        <v>44917</v>
      </c>
      <c r="C2628" t="s">
        <v>7738</v>
      </c>
      <c r="D2628" t="s">
        <v>32</v>
      </c>
      <c r="E2628" t="s">
        <v>24</v>
      </c>
      <c r="F2628" t="s">
        <v>2708</v>
      </c>
      <c r="G2628">
        <v>10</v>
      </c>
      <c r="H2628" t="s">
        <v>464</v>
      </c>
      <c r="I2628" t="s">
        <v>579</v>
      </c>
      <c r="J2628" t="s">
        <v>602</v>
      </c>
      <c r="K2628" t="s">
        <v>7739</v>
      </c>
    </row>
    <row r="2629" spans="1:19" x14ac:dyDescent="0.25">
      <c r="A2629" t="s">
        <v>7798</v>
      </c>
      <c r="B2629" s="1">
        <v>44924</v>
      </c>
      <c r="C2629" t="s">
        <v>7799</v>
      </c>
      <c r="D2629" t="s">
        <v>32</v>
      </c>
      <c r="E2629" t="s">
        <v>24</v>
      </c>
      <c r="F2629" t="s">
        <v>554</v>
      </c>
      <c r="G2629">
        <v>15</v>
      </c>
      <c r="H2629" t="s">
        <v>49</v>
      </c>
      <c r="I2629" t="s">
        <v>1960</v>
      </c>
      <c r="J2629" t="s">
        <v>7800</v>
      </c>
      <c r="K2629" t="s">
        <v>7801</v>
      </c>
      <c r="R2629">
        <v>34</v>
      </c>
    </row>
    <row r="2630" spans="1:19" x14ac:dyDescent="0.25">
      <c r="A2630" t="s">
        <v>7802</v>
      </c>
      <c r="B2630" s="1">
        <v>44924</v>
      </c>
      <c r="C2630" t="s">
        <v>7803</v>
      </c>
      <c r="D2630" t="s">
        <v>32</v>
      </c>
      <c r="E2630" t="s">
        <v>24</v>
      </c>
      <c r="F2630" t="s">
        <v>215</v>
      </c>
      <c r="G2630">
        <v>30</v>
      </c>
      <c r="H2630" t="s">
        <v>188</v>
      </c>
      <c r="I2630" t="s">
        <v>103</v>
      </c>
      <c r="J2630" t="s">
        <v>415</v>
      </c>
      <c r="K2630" t="s">
        <v>7804</v>
      </c>
      <c r="R2630">
        <v>79</v>
      </c>
    </row>
    <row r="2631" spans="1:19" x14ac:dyDescent="0.25">
      <c r="A2631" t="s">
        <v>7805</v>
      </c>
      <c r="B2631" s="1">
        <v>44924</v>
      </c>
      <c r="C2631" t="s">
        <v>7806</v>
      </c>
      <c r="D2631" t="s">
        <v>32</v>
      </c>
      <c r="E2631" t="s">
        <v>24</v>
      </c>
      <c r="F2631" t="s">
        <v>6812</v>
      </c>
      <c r="G2631">
        <v>30</v>
      </c>
      <c r="H2631" t="s">
        <v>1856</v>
      </c>
      <c r="I2631" t="s">
        <v>2096</v>
      </c>
      <c r="J2631" t="s">
        <v>7807</v>
      </c>
      <c r="K2631" t="s">
        <v>7808</v>
      </c>
      <c r="L2631">
        <v>0</v>
      </c>
      <c r="P2631">
        <v>2.85</v>
      </c>
      <c r="Q2631">
        <v>1.39</v>
      </c>
      <c r="R2631">
        <v>222</v>
      </c>
      <c r="S2631">
        <v>149.72</v>
      </c>
    </row>
    <row r="2632" spans="1:19" x14ac:dyDescent="0.25">
      <c r="A2632" t="s">
        <v>7809</v>
      </c>
      <c r="B2632" s="1">
        <v>44924</v>
      </c>
      <c r="C2632" t="s">
        <v>7810</v>
      </c>
      <c r="D2632" t="s">
        <v>32</v>
      </c>
      <c r="G2632">
        <v>48</v>
      </c>
      <c r="H2632" t="s">
        <v>1856</v>
      </c>
      <c r="J2632" t="s">
        <v>7811</v>
      </c>
      <c r="L2632">
        <v>0</v>
      </c>
      <c r="P2632">
        <v>3.14</v>
      </c>
      <c r="Q2632">
        <v>2.58</v>
      </c>
      <c r="R2632">
        <v>302</v>
      </c>
      <c r="S2632">
        <v>120.44</v>
      </c>
    </row>
    <row r="2633" spans="1:19" x14ac:dyDescent="0.25">
      <c r="A2633" t="s">
        <v>7812</v>
      </c>
      <c r="B2633" s="1">
        <v>44924</v>
      </c>
      <c r="C2633" t="s">
        <v>7813</v>
      </c>
      <c r="D2633" t="s">
        <v>32</v>
      </c>
      <c r="E2633" t="s">
        <v>24</v>
      </c>
      <c r="F2633" t="s">
        <v>2708</v>
      </c>
      <c r="G2633">
        <v>10</v>
      </c>
      <c r="H2633" t="s">
        <v>464</v>
      </c>
      <c r="I2633" t="s">
        <v>1571</v>
      </c>
      <c r="J2633" t="s">
        <v>6921</v>
      </c>
      <c r="K2633" t="s">
        <v>7814</v>
      </c>
    </row>
    <row r="2634" spans="1:19" x14ac:dyDescent="0.25">
      <c r="A2634" t="s">
        <v>7877</v>
      </c>
      <c r="B2634" s="1">
        <v>44931</v>
      </c>
      <c r="C2634" t="s">
        <v>2166</v>
      </c>
      <c r="D2634" t="s">
        <v>32</v>
      </c>
      <c r="E2634" t="s">
        <v>24</v>
      </c>
      <c r="F2634" t="s">
        <v>243</v>
      </c>
      <c r="G2634">
        <v>30</v>
      </c>
      <c r="H2634" t="s">
        <v>188</v>
      </c>
      <c r="I2634" t="s">
        <v>575</v>
      </c>
      <c r="J2634" t="s">
        <v>3967</v>
      </c>
      <c r="K2634" t="s">
        <v>7878</v>
      </c>
      <c r="R2634">
        <v>96</v>
      </c>
    </row>
    <row r="2635" spans="1:19" x14ac:dyDescent="0.25">
      <c r="A2635" t="s">
        <v>7879</v>
      </c>
      <c r="B2635" s="1">
        <v>44931</v>
      </c>
      <c r="C2635" t="s">
        <v>7880</v>
      </c>
      <c r="D2635" t="s">
        <v>32</v>
      </c>
      <c r="E2635" t="s">
        <v>24</v>
      </c>
      <c r="F2635" t="s">
        <v>292</v>
      </c>
      <c r="G2635">
        <v>30</v>
      </c>
      <c r="H2635" t="s">
        <v>194</v>
      </c>
      <c r="I2635" t="s">
        <v>232</v>
      </c>
      <c r="J2635" t="s">
        <v>233</v>
      </c>
      <c r="K2635" t="s">
        <v>7881</v>
      </c>
      <c r="R2635">
        <v>248</v>
      </c>
      <c r="S2635">
        <v>138.15</v>
      </c>
    </row>
    <row r="2636" spans="1:19" x14ac:dyDescent="0.25">
      <c r="A2636" t="s">
        <v>7882</v>
      </c>
      <c r="B2636" s="1">
        <v>44931</v>
      </c>
      <c r="C2636" t="s">
        <v>3668</v>
      </c>
      <c r="D2636" t="s">
        <v>32</v>
      </c>
      <c r="E2636" t="s">
        <v>24</v>
      </c>
      <c r="F2636" t="s">
        <v>180</v>
      </c>
      <c r="G2636">
        <v>20</v>
      </c>
      <c r="H2636" t="s">
        <v>194</v>
      </c>
      <c r="I2636" t="s">
        <v>195</v>
      </c>
      <c r="J2636" t="s">
        <v>7883</v>
      </c>
      <c r="K2636" t="s">
        <v>7884</v>
      </c>
      <c r="R2636">
        <v>107</v>
      </c>
      <c r="S2636">
        <v>111.8</v>
      </c>
    </row>
    <row r="2637" spans="1:19" x14ac:dyDescent="0.25">
      <c r="A2637" t="s">
        <v>7885</v>
      </c>
      <c r="B2637" s="1">
        <v>44931</v>
      </c>
      <c r="C2637" t="s">
        <v>1909</v>
      </c>
      <c r="D2637" t="s">
        <v>32</v>
      </c>
      <c r="E2637" t="s">
        <v>24</v>
      </c>
      <c r="F2637" t="s">
        <v>2708</v>
      </c>
      <c r="G2637">
        <v>5</v>
      </c>
      <c r="H2637" t="s">
        <v>464</v>
      </c>
      <c r="I2637" t="s">
        <v>1617</v>
      </c>
      <c r="J2637" t="s">
        <v>5844</v>
      </c>
      <c r="K2637" t="s">
        <v>7886</v>
      </c>
    </row>
    <row r="2638" spans="1:19" x14ac:dyDescent="0.25">
      <c r="A2638" t="s">
        <v>7947</v>
      </c>
      <c r="B2638" s="1">
        <v>44938</v>
      </c>
      <c r="C2638" t="s">
        <v>7948</v>
      </c>
      <c r="D2638" t="s">
        <v>32</v>
      </c>
      <c r="E2638" t="s">
        <v>24</v>
      </c>
      <c r="F2638" t="s">
        <v>459</v>
      </c>
      <c r="G2638">
        <v>5</v>
      </c>
      <c r="H2638" t="s">
        <v>464</v>
      </c>
      <c r="I2638" t="s">
        <v>763</v>
      </c>
      <c r="J2638" t="s">
        <v>2354</v>
      </c>
      <c r="K2638" t="s">
        <v>4512</v>
      </c>
    </row>
    <row r="2639" spans="1:19" x14ac:dyDescent="0.25">
      <c r="A2639" t="s">
        <v>7949</v>
      </c>
      <c r="B2639" s="1">
        <v>44938</v>
      </c>
      <c r="C2639" t="s">
        <v>750</v>
      </c>
      <c r="D2639" t="s">
        <v>32</v>
      </c>
      <c r="E2639" t="s">
        <v>24</v>
      </c>
      <c r="F2639" t="s">
        <v>200</v>
      </c>
      <c r="G2639">
        <v>30</v>
      </c>
      <c r="H2639" t="s">
        <v>188</v>
      </c>
      <c r="I2639" t="s">
        <v>254</v>
      </c>
      <c r="J2639" t="s">
        <v>255</v>
      </c>
      <c r="K2639" t="s">
        <v>7950</v>
      </c>
      <c r="R2639">
        <v>90</v>
      </c>
    </row>
    <row r="2640" spans="1:19" x14ac:dyDescent="0.25">
      <c r="A2640" t="s">
        <v>7951</v>
      </c>
      <c r="B2640" s="1">
        <v>44938</v>
      </c>
      <c r="C2640" t="s">
        <v>7952</v>
      </c>
      <c r="D2640" t="s">
        <v>32</v>
      </c>
      <c r="G2640">
        <v>34</v>
      </c>
      <c r="H2640" t="s">
        <v>1856</v>
      </c>
      <c r="J2640" t="s">
        <v>7953</v>
      </c>
      <c r="L2640">
        <v>0</v>
      </c>
      <c r="P2640">
        <v>3.27</v>
      </c>
      <c r="Q2640">
        <v>1.89</v>
      </c>
      <c r="R2640">
        <v>131</v>
      </c>
    </row>
    <row r="2641" spans="1:19" x14ac:dyDescent="0.25">
      <c r="A2641" t="s">
        <v>7995</v>
      </c>
      <c r="B2641" s="1">
        <v>44945</v>
      </c>
      <c r="C2641" t="s">
        <v>2059</v>
      </c>
      <c r="D2641" t="s">
        <v>32</v>
      </c>
      <c r="E2641" t="s">
        <v>24</v>
      </c>
      <c r="F2641" t="s">
        <v>237</v>
      </c>
      <c r="G2641">
        <v>10</v>
      </c>
      <c r="H2641" t="s">
        <v>464</v>
      </c>
      <c r="I2641" t="s">
        <v>579</v>
      </c>
      <c r="J2641" t="s">
        <v>1820</v>
      </c>
      <c r="K2641" t="s">
        <v>7996</v>
      </c>
    </row>
    <row r="2642" spans="1:19" x14ac:dyDescent="0.25">
      <c r="A2642" t="s">
        <v>8047</v>
      </c>
      <c r="B2642" s="1">
        <v>44952</v>
      </c>
      <c r="C2642" t="s">
        <v>2929</v>
      </c>
      <c r="D2642" t="s">
        <v>32</v>
      </c>
      <c r="E2642" t="s">
        <v>24</v>
      </c>
      <c r="F2642" t="s">
        <v>215</v>
      </c>
      <c r="G2642">
        <v>30</v>
      </c>
      <c r="H2642" t="s">
        <v>188</v>
      </c>
      <c r="I2642" t="s">
        <v>254</v>
      </c>
      <c r="J2642" t="s">
        <v>5574</v>
      </c>
      <c r="K2642" t="s">
        <v>8048</v>
      </c>
      <c r="R2642">
        <v>95</v>
      </c>
    </row>
    <row r="2643" spans="1:19" x14ac:dyDescent="0.25">
      <c r="A2643" t="s">
        <v>8049</v>
      </c>
      <c r="B2643" s="1">
        <v>44952</v>
      </c>
      <c r="C2643" t="s">
        <v>3777</v>
      </c>
      <c r="D2643" t="s">
        <v>32</v>
      </c>
      <c r="E2643" t="s">
        <v>24</v>
      </c>
      <c r="F2643" t="s">
        <v>243</v>
      </c>
      <c r="G2643">
        <v>45</v>
      </c>
      <c r="H2643" t="s">
        <v>26</v>
      </c>
      <c r="I2643" t="s">
        <v>370</v>
      </c>
      <c r="J2643" t="s">
        <v>479</v>
      </c>
      <c r="K2643" t="s">
        <v>1059</v>
      </c>
      <c r="L2643">
        <v>283</v>
      </c>
      <c r="M2643">
        <v>105</v>
      </c>
      <c r="N2643" s="2">
        <v>0.37</v>
      </c>
      <c r="O2643">
        <v>85</v>
      </c>
      <c r="P2643">
        <v>16.350000000000001</v>
      </c>
      <c r="Q2643">
        <v>12.26</v>
      </c>
      <c r="R2643">
        <v>503</v>
      </c>
      <c r="S2643">
        <v>163.19</v>
      </c>
    </row>
    <row r="2644" spans="1:19" x14ac:dyDescent="0.25">
      <c r="A2644" t="s">
        <v>8050</v>
      </c>
      <c r="B2644" s="1">
        <v>44952</v>
      </c>
      <c r="C2644" t="s">
        <v>3971</v>
      </c>
      <c r="D2644" t="s">
        <v>32</v>
      </c>
      <c r="E2644" t="s">
        <v>24</v>
      </c>
      <c r="F2644" t="s">
        <v>33</v>
      </c>
      <c r="G2644">
        <v>10</v>
      </c>
      <c r="H2644" t="s">
        <v>26</v>
      </c>
      <c r="I2644" t="s">
        <v>39</v>
      </c>
      <c r="J2644" t="s">
        <v>7372</v>
      </c>
      <c r="K2644" t="s">
        <v>8051</v>
      </c>
      <c r="L2644">
        <v>36</v>
      </c>
      <c r="M2644">
        <v>60</v>
      </c>
      <c r="N2644" s="2">
        <v>0.28999999999999998</v>
      </c>
      <c r="O2644">
        <v>83</v>
      </c>
      <c r="P2644">
        <v>13.03</v>
      </c>
      <c r="Q2644">
        <v>2.17</v>
      </c>
      <c r="R2644">
        <v>90</v>
      </c>
      <c r="S2644">
        <v>144.83000000000001</v>
      </c>
    </row>
    <row r="2645" spans="1:19" x14ac:dyDescent="0.25">
      <c r="A2645" t="s">
        <v>8052</v>
      </c>
      <c r="B2645" s="1">
        <v>44952</v>
      </c>
      <c r="C2645" t="s">
        <v>8053</v>
      </c>
      <c r="D2645" t="s">
        <v>32</v>
      </c>
      <c r="E2645" t="s">
        <v>24</v>
      </c>
      <c r="F2645" t="s">
        <v>747</v>
      </c>
      <c r="G2645">
        <v>5</v>
      </c>
      <c r="H2645" t="s">
        <v>26</v>
      </c>
      <c r="I2645" t="s">
        <v>358</v>
      </c>
      <c r="J2645" t="s">
        <v>359</v>
      </c>
      <c r="K2645" t="s">
        <v>8054</v>
      </c>
      <c r="L2645">
        <v>15</v>
      </c>
      <c r="M2645">
        <v>50</v>
      </c>
      <c r="N2645" s="2">
        <v>0.27</v>
      </c>
      <c r="O2645">
        <v>84</v>
      </c>
      <c r="P2645">
        <v>11.89</v>
      </c>
      <c r="Q2645">
        <v>0.99</v>
      </c>
      <c r="R2645">
        <v>38</v>
      </c>
      <c r="S2645">
        <v>133.86000000000001</v>
      </c>
    </row>
    <row r="2646" spans="1:19" x14ac:dyDescent="0.25">
      <c r="A2646" t="s">
        <v>8055</v>
      </c>
      <c r="B2646" s="1">
        <v>44952</v>
      </c>
      <c r="C2646" t="s">
        <v>3786</v>
      </c>
      <c r="D2646" t="s">
        <v>32</v>
      </c>
      <c r="E2646" t="s">
        <v>24</v>
      </c>
      <c r="F2646" t="s">
        <v>170</v>
      </c>
      <c r="G2646">
        <v>10</v>
      </c>
      <c r="H2646" t="s">
        <v>194</v>
      </c>
      <c r="I2646" t="s">
        <v>1445</v>
      </c>
      <c r="J2646" t="s">
        <v>1446</v>
      </c>
      <c r="K2646" t="s">
        <v>8056</v>
      </c>
      <c r="R2646">
        <v>67</v>
      </c>
      <c r="S2646">
        <v>123.47</v>
      </c>
    </row>
    <row r="2647" spans="1:19" x14ac:dyDescent="0.25">
      <c r="A2647" t="s">
        <v>8057</v>
      </c>
      <c r="B2647" s="1">
        <v>44952</v>
      </c>
      <c r="C2647" t="s">
        <v>4412</v>
      </c>
      <c r="D2647" t="s">
        <v>32</v>
      </c>
      <c r="E2647" t="s">
        <v>24</v>
      </c>
      <c r="F2647" t="s">
        <v>170</v>
      </c>
      <c r="G2647">
        <v>20</v>
      </c>
      <c r="H2647" t="s">
        <v>194</v>
      </c>
      <c r="I2647" t="s">
        <v>195</v>
      </c>
      <c r="J2647" t="s">
        <v>2247</v>
      </c>
      <c r="K2647" t="s">
        <v>8058</v>
      </c>
      <c r="R2647">
        <v>114</v>
      </c>
      <c r="S2647">
        <v>115.34</v>
      </c>
    </row>
    <row r="2648" spans="1:19" x14ac:dyDescent="0.25">
      <c r="A2648" t="s">
        <v>8112</v>
      </c>
      <c r="B2648" s="1">
        <v>44959</v>
      </c>
      <c r="C2648" t="s">
        <v>8113</v>
      </c>
      <c r="D2648" t="s">
        <v>32</v>
      </c>
      <c r="E2648" t="s">
        <v>24</v>
      </c>
      <c r="F2648" t="s">
        <v>335</v>
      </c>
      <c r="G2648">
        <v>45</v>
      </c>
      <c r="H2648" t="s">
        <v>26</v>
      </c>
      <c r="I2648" t="s">
        <v>370</v>
      </c>
      <c r="J2648" t="s">
        <v>5246</v>
      </c>
      <c r="K2648" t="s">
        <v>8114</v>
      </c>
      <c r="L2648">
        <v>195</v>
      </c>
      <c r="M2648">
        <v>72</v>
      </c>
      <c r="N2648" s="2">
        <v>0.31</v>
      </c>
      <c r="O2648">
        <v>88</v>
      </c>
      <c r="P2648">
        <v>13.97</v>
      </c>
      <c r="Q2648">
        <v>10.47</v>
      </c>
      <c r="R2648">
        <v>484</v>
      </c>
      <c r="S2648">
        <v>159.06</v>
      </c>
    </row>
    <row r="2649" spans="1:19" x14ac:dyDescent="0.25">
      <c r="A2649" t="s">
        <v>8115</v>
      </c>
      <c r="B2649" s="1">
        <v>44959</v>
      </c>
      <c r="C2649" t="s">
        <v>8116</v>
      </c>
      <c r="D2649" t="s">
        <v>32</v>
      </c>
      <c r="E2649" t="s">
        <v>24</v>
      </c>
      <c r="F2649" t="s">
        <v>660</v>
      </c>
      <c r="G2649">
        <v>5</v>
      </c>
      <c r="H2649" t="s">
        <v>26</v>
      </c>
      <c r="I2649" t="s">
        <v>358</v>
      </c>
      <c r="J2649" t="s">
        <v>359</v>
      </c>
      <c r="K2649" t="s">
        <v>8117</v>
      </c>
      <c r="L2649">
        <v>8</v>
      </c>
      <c r="M2649">
        <v>26</v>
      </c>
      <c r="N2649" s="2">
        <v>0.2</v>
      </c>
      <c r="O2649">
        <v>76</v>
      </c>
      <c r="P2649">
        <v>8.52</v>
      </c>
      <c r="Q2649">
        <v>0.71</v>
      </c>
      <c r="R2649">
        <v>33</v>
      </c>
      <c r="S2649">
        <v>125.26</v>
      </c>
    </row>
    <row r="2650" spans="1:19" x14ac:dyDescent="0.25">
      <c r="A2650" t="s">
        <v>8118</v>
      </c>
      <c r="B2650" s="1">
        <v>44959</v>
      </c>
      <c r="C2650" t="s">
        <v>8119</v>
      </c>
      <c r="D2650" t="s">
        <v>32</v>
      </c>
      <c r="E2650" t="s">
        <v>24</v>
      </c>
      <c r="F2650" t="s">
        <v>170</v>
      </c>
      <c r="G2650">
        <v>10</v>
      </c>
      <c r="H2650" t="s">
        <v>194</v>
      </c>
      <c r="I2650" t="s">
        <v>195</v>
      </c>
      <c r="J2650" t="s">
        <v>211</v>
      </c>
      <c r="K2650" t="s">
        <v>8120</v>
      </c>
      <c r="R2650">
        <v>55</v>
      </c>
      <c r="S2650">
        <v>113.25</v>
      </c>
    </row>
    <row r="2651" spans="1:19" x14ac:dyDescent="0.25">
      <c r="A2651" t="s">
        <v>8121</v>
      </c>
      <c r="B2651" s="1">
        <v>44959</v>
      </c>
      <c r="C2651" t="s">
        <v>8122</v>
      </c>
      <c r="D2651" t="s">
        <v>32</v>
      </c>
      <c r="E2651" t="s">
        <v>24</v>
      </c>
      <c r="F2651" t="s">
        <v>25</v>
      </c>
      <c r="G2651">
        <v>10</v>
      </c>
      <c r="H2651" t="s">
        <v>194</v>
      </c>
      <c r="I2651" t="s">
        <v>5421</v>
      </c>
      <c r="J2651" t="s">
        <v>7425</v>
      </c>
      <c r="K2651" t="s">
        <v>8123</v>
      </c>
      <c r="R2651">
        <v>47</v>
      </c>
    </row>
    <row r="2652" spans="1:19" x14ac:dyDescent="0.25">
      <c r="A2652" t="s">
        <v>8124</v>
      </c>
      <c r="B2652" s="1">
        <v>44959</v>
      </c>
      <c r="C2652" t="s">
        <v>8125</v>
      </c>
      <c r="D2652" t="s">
        <v>32</v>
      </c>
      <c r="E2652" t="s">
        <v>24</v>
      </c>
      <c r="F2652" t="s">
        <v>215</v>
      </c>
      <c r="G2652">
        <v>20</v>
      </c>
      <c r="H2652" t="s">
        <v>188</v>
      </c>
      <c r="I2652" t="s">
        <v>189</v>
      </c>
      <c r="J2652" t="s">
        <v>248</v>
      </c>
      <c r="K2652" t="s">
        <v>8126</v>
      </c>
      <c r="R2652">
        <v>85</v>
      </c>
      <c r="S2652">
        <v>101.99</v>
      </c>
    </row>
    <row r="2653" spans="1:19" x14ac:dyDescent="0.25">
      <c r="A2653" t="s">
        <v>8127</v>
      </c>
      <c r="B2653" s="1">
        <v>44959</v>
      </c>
      <c r="C2653" t="s">
        <v>7730</v>
      </c>
      <c r="D2653" t="s">
        <v>32</v>
      </c>
      <c r="E2653" t="s">
        <v>24</v>
      </c>
      <c r="F2653" t="s">
        <v>200</v>
      </c>
      <c r="G2653">
        <v>10</v>
      </c>
      <c r="H2653" t="s">
        <v>464</v>
      </c>
      <c r="I2653" t="s">
        <v>579</v>
      </c>
      <c r="J2653" t="s">
        <v>602</v>
      </c>
      <c r="K2653" t="s">
        <v>8128</v>
      </c>
    </row>
    <row r="2654" spans="1:19" x14ac:dyDescent="0.25">
      <c r="A2654" t="s">
        <v>8188</v>
      </c>
      <c r="B2654" s="1">
        <v>44966</v>
      </c>
      <c r="C2654" t="s">
        <v>1552</v>
      </c>
      <c r="D2654" t="s">
        <v>32</v>
      </c>
      <c r="E2654" t="s">
        <v>24</v>
      </c>
      <c r="F2654" t="s">
        <v>200</v>
      </c>
      <c r="G2654">
        <v>10</v>
      </c>
      <c r="H2654" t="s">
        <v>464</v>
      </c>
      <c r="I2654" t="s">
        <v>943</v>
      </c>
      <c r="J2654" t="s">
        <v>944</v>
      </c>
      <c r="K2654" t="s">
        <v>8189</v>
      </c>
    </row>
    <row r="2655" spans="1:19" x14ac:dyDescent="0.25">
      <c r="A2655" t="s">
        <v>8242</v>
      </c>
      <c r="B2655" s="1">
        <v>44973</v>
      </c>
      <c r="C2655" t="s">
        <v>5929</v>
      </c>
      <c r="D2655" t="s">
        <v>32</v>
      </c>
      <c r="E2655" t="s">
        <v>24</v>
      </c>
      <c r="F2655" t="s">
        <v>237</v>
      </c>
      <c r="G2655">
        <v>30</v>
      </c>
      <c r="H2655" t="s">
        <v>188</v>
      </c>
      <c r="I2655" t="s">
        <v>189</v>
      </c>
      <c r="J2655" t="s">
        <v>201</v>
      </c>
      <c r="K2655" t="s">
        <v>8243</v>
      </c>
      <c r="R2655">
        <v>99</v>
      </c>
    </row>
    <row r="2656" spans="1:19" x14ac:dyDescent="0.25">
      <c r="A2656" t="s">
        <v>8244</v>
      </c>
      <c r="B2656" s="1">
        <v>44973</v>
      </c>
      <c r="C2656" t="s">
        <v>8245</v>
      </c>
      <c r="D2656" t="s">
        <v>32</v>
      </c>
      <c r="G2656">
        <v>37</v>
      </c>
      <c r="H2656" t="s">
        <v>1856</v>
      </c>
      <c r="J2656" t="s">
        <v>8246</v>
      </c>
      <c r="L2656">
        <v>0</v>
      </c>
      <c r="P2656">
        <v>3.25</v>
      </c>
      <c r="Q2656">
        <v>1.99</v>
      </c>
      <c r="R2656">
        <v>302</v>
      </c>
      <c r="S2656">
        <v>137.78</v>
      </c>
    </row>
    <row r="2657" spans="1:19" x14ac:dyDescent="0.25">
      <c r="A2657" t="s">
        <v>8296</v>
      </c>
      <c r="B2657" s="1">
        <v>44980</v>
      </c>
      <c r="C2657" t="s">
        <v>1801</v>
      </c>
      <c r="D2657" t="s">
        <v>32</v>
      </c>
      <c r="E2657" t="s">
        <v>24</v>
      </c>
      <c r="F2657" t="s">
        <v>208</v>
      </c>
      <c r="G2657">
        <v>20</v>
      </c>
      <c r="H2657" t="s">
        <v>464</v>
      </c>
      <c r="I2657" t="s">
        <v>943</v>
      </c>
      <c r="J2657" t="s">
        <v>1347</v>
      </c>
      <c r="K2657" t="s">
        <v>8297</v>
      </c>
    </row>
    <row r="2658" spans="1:19" x14ac:dyDescent="0.25">
      <c r="A2658" t="s">
        <v>8358</v>
      </c>
      <c r="B2658" s="1">
        <v>44987</v>
      </c>
      <c r="C2658" t="s">
        <v>8359</v>
      </c>
      <c r="D2658" t="s">
        <v>32</v>
      </c>
      <c r="E2658" t="s">
        <v>24</v>
      </c>
      <c r="F2658" t="s">
        <v>237</v>
      </c>
      <c r="G2658">
        <v>30</v>
      </c>
      <c r="H2658" t="s">
        <v>188</v>
      </c>
      <c r="I2658" t="s">
        <v>238</v>
      </c>
      <c r="J2658" t="s">
        <v>8360</v>
      </c>
      <c r="K2658" t="s">
        <v>8361</v>
      </c>
      <c r="R2658">
        <v>99</v>
      </c>
    </row>
    <row r="2659" spans="1:19" x14ac:dyDescent="0.25">
      <c r="A2659" t="s">
        <v>8362</v>
      </c>
      <c r="B2659" s="1">
        <v>44987</v>
      </c>
      <c r="C2659" t="s">
        <v>345</v>
      </c>
      <c r="D2659" t="s">
        <v>32</v>
      </c>
      <c r="E2659" t="s">
        <v>24</v>
      </c>
      <c r="F2659" t="s">
        <v>231</v>
      </c>
      <c r="G2659">
        <v>10</v>
      </c>
      <c r="H2659" t="s">
        <v>194</v>
      </c>
      <c r="I2659" t="s">
        <v>195</v>
      </c>
      <c r="J2659" t="s">
        <v>7340</v>
      </c>
      <c r="K2659" t="s">
        <v>8363</v>
      </c>
      <c r="R2659">
        <v>45</v>
      </c>
    </row>
    <row r="2660" spans="1:19" x14ac:dyDescent="0.25">
      <c r="A2660" t="s">
        <v>8364</v>
      </c>
      <c r="B2660" s="1">
        <v>44987</v>
      </c>
      <c r="C2660" t="s">
        <v>3777</v>
      </c>
      <c r="D2660" t="s">
        <v>32</v>
      </c>
      <c r="E2660" t="s">
        <v>24</v>
      </c>
      <c r="F2660" t="s">
        <v>323</v>
      </c>
      <c r="G2660">
        <v>20</v>
      </c>
      <c r="H2660" t="s">
        <v>7562</v>
      </c>
      <c r="I2660" t="s">
        <v>7989</v>
      </c>
      <c r="J2660" t="s">
        <v>8365</v>
      </c>
      <c r="K2660" t="s">
        <v>7564</v>
      </c>
      <c r="L2660">
        <v>30</v>
      </c>
      <c r="P2660">
        <v>2.2000000000000002</v>
      </c>
      <c r="Q2660">
        <v>1.0900000000000001</v>
      </c>
      <c r="R2660">
        <v>110</v>
      </c>
      <c r="S2660">
        <v>94.74</v>
      </c>
    </row>
    <row r="2661" spans="1:19" x14ac:dyDescent="0.25">
      <c r="A2661" t="s">
        <v>8366</v>
      </c>
      <c r="B2661" s="1">
        <v>44987</v>
      </c>
      <c r="C2661" t="s">
        <v>8367</v>
      </c>
      <c r="D2661" t="s">
        <v>32</v>
      </c>
      <c r="E2661" t="s">
        <v>24</v>
      </c>
      <c r="F2661" t="s">
        <v>292</v>
      </c>
      <c r="G2661">
        <v>45</v>
      </c>
      <c r="H2661" t="s">
        <v>194</v>
      </c>
      <c r="I2661" t="s">
        <v>232</v>
      </c>
      <c r="J2661" t="s">
        <v>1813</v>
      </c>
      <c r="K2661" t="s">
        <v>8368</v>
      </c>
      <c r="R2661">
        <v>320</v>
      </c>
      <c r="S2661">
        <v>127.86</v>
      </c>
    </row>
    <row r="2662" spans="1:19" x14ac:dyDescent="0.25">
      <c r="A2662" t="s">
        <v>8369</v>
      </c>
      <c r="B2662" s="1">
        <v>44987</v>
      </c>
      <c r="C2662" t="s">
        <v>4687</v>
      </c>
      <c r="D2662" t="s">
        <v>32</v>
      </c>
      <c r="E2662" t="s">
        <v>24</v>
      </c>
      <c r="F2662" t="s">
        <v>208</v>
      </c>
      <c r="G2662">
        <v>15</v>
      </c>
      <c r="H2662" t="s">
        <v>464</v>
      </c>
      <c r="I2662" t="s">
        <v>1571</v>
      </c>
      <c r="J2662" t="s">
        <v>8370</v>
      </c>
      <c r="K2662" t="s">
        <v>8371</v>
      </c>
    </row>
    <row r="2663" spans="1:19" x14ac:dyDescent="0.25">
      <c r="A2663" t="s">
        <v>8429</v>
      </c>
      <c r="B2663" s="1">
        <v>44994</v>
      </c>
      <c r="C2663" t="s">
        <v>133</v>
      </c>
      <c r="D2663" t="s">
        <v>32</v>
      </c>
      <c r="E2663" t="s">
        <v>24</v>
      </c>
      <c r="F2663" t="s">
        <v>200</v>
      </c>
      <c r="G2663">
        <v>45</v>
      </c>
      <c r="H2663" t="s">
        <v>188</v>
      </c>
      <c r="I2663" t="s">
        <v>189</v>
      </c>
      <c r="J2663" t="s">
        <v>8430</v>
      </c>
      <c r="K2663" t="s">
        <v>8431</v>
      </c>
      <c r="R2663">
        <v>148</v>
      </c>
    </row>
    <row r="2664" spans="1:19" x14ac:dyDescent="0.25">
      <c r="A2664" t="s">
        <v>8432</v>
      </c>
      <c r="B2664" s="1">
        <v>44994</v>
      </c>
      <c r="C2664" t="s">
        <v>8433</v>
      </c>
      <c r="D2664" t="s">
        <v>32</v>
      </c>
      <c r="E2664" t="s">
        <v>24</v>
      </c>
      <c r="F2664" t="s">
        <v>231</v>
      </c>
      <c r="G2664">
        <v>10</v>
      </c>
      <c r="H2664" t="s">
        <v>194</v>
      </c>
      <c r="I2664" t="s">
        <v>195</v>
      </c>
      <c r="J2664" t="s">
        <v>211</v>
      </c>
      <c r="K2664" t="s">
        <v>7961</v>
      </c>
      <c r="R2664">
        <v>53</v>
      </c>
      <c r="S2664">
        <v>113.27</v>
      </c>
    </row>
    <row r="2665" spans="1:19" x14ac:dyDescent="0.25">
      <c r="A2665" t="s">
        <v>8434</v>
      </c>
      <c r="B2665" s="1">
        <v>44994</v>
      </c>
      <c r="C2665" t="s">
        <v>4506</v>
      </c>
      <c r="D2665" t="s">
        <v>32</v>
      </c>
      <c r="E2665" t="s">
        <v>24</v>
      </c>
      <c r="F2665" t="s">
        <v>33</v>
      </c>
      <c r="G2665">
        <v>45</v>
      </c>
      <c r="H2665" t="s">
        <v>26</v>
      </c>
      <c r="I2665" t="s">
        <v>370</v>
      </c>
      <c r="J2665" t="s">
        <v>439</v>
      </c>
      <c r="K2665" t="s">
        <v>8435</v>
      </c>
      <c r="L2665">
        <v>260</v>
      </c>
      <c r="M2665">
        <v>96</v>
      </c>
      <c r="N2665" s="2">
        <v>0.35</v>
      </c>
      <c r="O2665">
        <v>87</v>
      </c>
      <c r="P2665">
        <v>15.86</v>
      </c>
      <c r="Q2665">
        <v>11.9</v>
      </c>
      <c r="R2665">
        <v>430</v>
      </c>
      <c r="S2665">
        <v>148.63</v>
      </c>
    </row>
    <row r="2666" spans="1:19" x14ac:dyDescent="0.25">
      <c r="A2666" t="s">
        <v>8436</v>
      </c>
      <c r="B2666" s="1">
        <v>44994</v>
      </c>
      <c r="C2666" t="s">
        <v>4559</v>
      </c>
      <c r="D2666" t="s">
        <v>32</v>
      </c>
      <c r="E2666" t="s">
        <v>24</v>
      </c>
      <c r="F2666" t="s">
        <v>170</v>
      </c>
      <c r="G2666">
        <v>10</v>
      </c>
      <c r="H2666" t="s">
        <v>194</v>
      </c>
      <c r="I2666" t="s">
        <v>700</v>
      </c>
      <c r="J2666" t="s">
        <v>1282</v>
      </c>
      <c r="K2666" t="s">
        <v>8437</v>
      </c>
      <c r="R2666">
        <v>56</v>
      </c>
      <c r="S2666">
        <v>114.37</v>
      </c>
    </row>
    <row r="2667" spans="1:19" x14ac:dyDescent="0.25">
      <c r="A2667" t="s">
        <v>8438</v>
      </c>
      <c r="B2667" s="1">
        <v>44994</v>
      </c>
      <c r="C2667" t="s">
        <v>3835</v>
      </c>
      <c r="D2667" t="s">
        <v>32</v>
      </c>
      <c r="E2667" t="s">
        <v>24</v>
      </c>
      <c r="F2667" t="s">
        <v>323</v>
      </c>
      <c r="G2667">
        <v>5</v>
      </c>
      <c r="H2667" t="s">
        <v>49</v>
      </c>
      <c r="I2667" t="s">
        <v>50</v>
      </c>
      <c r="J2667" t="s">
        <v>51</v>
      </c>
      <c r="K2667" t="s">
        <v>7747</v>
      </c>
      <c r="R2667">
        <v>20</v>
      </c>
      <c r="S2667">
        <v>100.03</v>
      </c>
    </row>
    <row r="2668" spans="1:19" x14ac:dyDescent="0.25">
      <c r="A2668" t="s">
        <v>8476</v>
      </c>
      <c r="B2668" s="1">
        <v>45001</v>
      </c>
      <c r="C2668" t="s">
        <v>3746</v>
      </c>
      <c r="D2668" t="s">
        <v>32</v>
      </c>
      <c r="E2668" t="s">
        <v>24</v>
      </c>
      <c r="F2668" t="s">
        <v>200</v>
      </c>
      <c r="G2668">
        <v>30</v>
      </c>
      <c r="H2668" t="s">
        <v>188</v>
      </c>
      <c r="I2668" t="s">
        <v>254</v>
      </c>
      <c r="J2668" t="s">
        <v>7649</v>
      </c>
      <c r="K2668" t="s">
        <v>8477</v>
      </c>
      <c r="R2668">
        <v>92</v>
      </c>
    </row>
    <row r="2669" spans="1:19" x14ac:dyDescent="0.25">
      <c r="A2669" t="s">
        <v>8478</v>
      </c>
      <c r="B2669" s="1">
        <v>45001</v>
      </c>
      <c r="C2669" t="s">
        <v>8479</v>
      </c>
      <c r="D2669" t="s">
        <v>32</v>
      </c>
      <c r="G2669">
        <v>40</v>
      </c>
      <c r="H2669" t="s">
        <v>1856</v>
      </c>
      <c r="J2669" t="s">
        <v>8480</v>
      </c>
      <c r="L2669">
        <v>0</v>
      </c>
      <c r="P2669">
        <v>3.32</v>
      </c>
      <c r="Q2669">
        <v>2.06</v>
      </c>
      <c r="R2669">
        <v>319</v>
      </c>
      <c r="S2669">
        <v>135.24</v>
      </c>
    </row>
    <row r="2670" spans="1:19" x14ac:dyDescent="0.25">
      <c r="A2670" t="s">
        <v>8481</v>
      </c>
      <c r="B2670" s="1">
        <v>45001</v>
      </c>
      <c r="C2670" t="s">
        <v>8482</v>
      </c>
      <c r="D2670" t="s">
        <v>32</v>
      </c>
      <c r="E2670" t="s">
        <v>24</v>
      </c>
      <c r="F2670" t="s">
        <v>335</v>
      </c>
      <c r="G2670">
        <v>10</v>
      </c>
      <c r="H2670" t="s">
        <v>26</v>
      </c>
      <c r="I2670" t="s">
        <v>370</v>
      </c>
      <c r="J2670" t="s">
        <v>381</v>
      </c>
      <c r="K2670" t="s">
        <v>8483</v>
      </c>
      <c r="L2670">
        <v>58</v>
      </c>
      <c r="M2670">
        <v>97</v>
      </c>
      <c r="N2670" s="2">
        <v>0.34</v>
      </c>
      <c r="O2670">
        <v>89</v>
      </c>
      <c r="P2670">
        <v>15.69</v>
      </c>
      <c r="Q2670">
        <v>2.62</v>
      </c>
      <c r="R2670">
        <v>90</v>
      </c>
      <c r="S2670">
        <v>144.37</v>
      </c>
    </row>
    <row r="2671" spans="1:19" x14ac:dyDescent="0.25">
      <c r="A2671" t="s">
        <v>8484</v>
      </c>
      <c r="B2671" s="1">
        <v>45001</v>
      </c>
      <c r="C2671" t="s">
        <v>8485</v>
      </c>
      <c r="D2671" t="s">
        <v>32</v>
      </c>
      <c r="E2671" t="s">
        <v>24</v>
      </c>
      <c r="F2671" t="s">
        <v>335</v>
      </c>
      <c r="G2671">
        <v>20</v>
      </c>
      <c r="H2671" t="s">
        <v>26</v>
      </c>
      <c r="I2671" t="s">
        <v>370</v>
      </c>
      <c r="J2671" t="s">
        <v>385</v>
      </c>
      <c r="K2671" t="s">
        <v>8483</v>
      </c>
      <c r="L2671">
        <v>196</v>
      </c>
      <c r="M2671">
        <v>163</v>
      </c>
      <c r="N2671" s="2">
        <v>0.46</v>
      </c>
      <c r="O2671">
        <v>82</v>
      </c>
      <c r="P2671">
        <v>19.73</v>
      </c>
      <c r="Q2671">
        <v>6.58</v>
      </c>
      <c r="R2671">
        <v>251</v>
      </c>
      <c r="S2671">
        <v>175.04</v>
      </c>
    </row>
    <row r="2672" spans="1:19" x14ac:dyDescent="0.25">
      <c r="A2672" t="s">
        <v>8486</v>
      </c>
      <c r="B2672" s="1">
        <v>45001</v>
      </c>
      <c r="C2672" t="s">
        <v>8487</v>
      </c>
      <c r="D2672" t="s">
        <v>32</v>
      </c>
      <c r="E2672" t="s">
        <v>24</v>
      </c>
      <c r="G2672">
        <v>5</v>
      </c>
      <c r="H2672" t="s">
        <v>26</v>
      </c>
      <c r="I2672" t="s">
        <v>427</v>
      </c>
      <c r="J2672" t="s">
        <v>8488</v>
      </c>
      <c r="L2672">
        <v>19</v>
      </c>
      <c r="M2672">
        <v>65</v>
      </c>
      <c r="N2672" s="2">
        <v>0.33</v>
      </c>
      <c r="O2672">
        <v>78</v>
      </c>
      <c r="P2672">
        <v>13.46</v>
      </c>
      <c r="Q2672">
        <v>1.1000000000000001</v>
      </c>
      <c r="R2672">
        <v>44</v>
      </c>
      <c r="S2672">
        <v>143.05000000000001</v>
      </c>
    </row>
    <row r="2673" spans="1:19" x14ac:dyDescent="0.25">
      <c r="A2673" t="s">
        <v>8489</v>
      </c>
      <c r="B2673" s="1">
        <v>45001</v>
      </c>
      <c r="C2673" t="s">
        <v>8490</v>
      </c>
      <c r="D2673" t="s">
        <v>32</v>
      </c>
      <c r="E2673" t="s">
        <v>24</v>
      </c>
      <c r="F2673" t="s">
        <v>231</v>
      </c>
      <c r="G2673">
        <v>15</v>
      </c>
      <c r="H2673" t="s">
        <v>194</v>
      </c>
      <c r="I2673" t="s">
        <v>195</v>
      </c>
      <c r="J2673" t="s">
        <v>8491</v>
      </c>
      <c r="K2673" t="s">
        <v>8452</v>
      </c>
      <c r="R2673">
        <v>127</v>
      </c>
      <c r="S2673">
        <v>138.85</v>
      </c>
    </row>
    <row r="2674" spans="1:19" x14ac:dyDescent="0.25">
      <c r="A2674" t="s">
        <v>8492</v>
      </c>
      <c r="B2674" s="1">
        <v>45001</v>
      </c>
      <c r="C2674" t="s">
        <v>8493</v>
      </c>
      <c r="D2674" t="s">
        <v>32</v>
      </c>
      <c r="E2674" t="s">
        <v>24</v>
      </c>
      <c r="F2674" t="s">
        <v>747</v>
      </c>
      <c r="G2674">
        <v>5</v>
      </c>
      <c r="H2674" t="s">
        <v>49</v>
      </c>
      <c r="I2674" t="s">
        <v>50</v>
      </c>
      <c r="J2674" t="s">
        <v>51</v>
      </c>
      <c r="K2674" t="s">
        <v>8458</v>
      </c>
      <c r="R2674">
        <v>27</v>
      </c>
      <c r="S2674">
        <v>116.02</v>
      </c>
    </row>
    <row r="2675" spans="1:19" x14ac:dyDescent="0.25">
      <c r="A2675" t="s">
        <v>8494</v>
      </c>
      <c r="B2675" s="1">
        <v>45001</v>
      </c>
      <c r="C2675" t="s">
        <v>1784</v>
      </c>
      <c r="D2675" t="s">
        <v>32</v>
      </c>
      <c r="E2675" t="s">
        <v>24</v>
      </c>
      <c r="F2675" t="s">
        <v>2708</v>
      </c>
      <c r="G2675">
        <v>10</v>
      </c>
      <c r="H2675" t="s">
        <v>464</v>
      </c>
      <c r="I2675" t="s">
        <v>763</v>
      </c>
      <c r="J2675" t="s">
        <v>764</v>
      </c>
      <c r="K2675" t="s">
        <v>8495</v>
      </c>
    </row>
    <row r="2676" spans="1:19" x14ac:dyDescent="0.25">
      <c r="A2676" t="s">
        <v>8536</v>
      </c>
      <c r="B2676" s="1">
        <v>45008</v>
      </c>
      <c r="C2676" t="s">
        <v>8537</v>
      </c>
      <c r="D2676" t="s">
        <v>32</v>
      </c>
      <c r="E2676" t="s">
        <v>24</v>
      </c>
      <c r="F2676" t="s">
        <v>243</v>
      </c>
      <c r="G2676">
        <v>45</v>
      </c>
      <c r="H2676" t="s">
        <v>26</v>
      </c>
      <c r="I2676" t="s">
        <v>370</v>
      </c>
      <c r="J2676" t="s">
        <v>439</v>
      </c>
      <c r="K2676" t="s">
        <v>8538</v>
      </c>
      <c r="L2676">
        <v>214</v>
      </c>
      <c r="M2676">
        <v>79</v>
      </c>
      <c r="N2676" s="2">
        <v>0.32</v>
      </c>
      <c r="O2676">
        <v>87</v>
      </c>
      <c r="P2676">
        <v>14.53</v>
      </c>
      <c r="Q2676">
        <v>10.93</v>
      </c>
      <c r="R2676">
        <v>528</v>
      </c>
      <c r="S2676">
        <v>167.27</v>
      </c>
    </row>
    <row r="2677" spans="1:19" x14ac:dyDescent="0.25">
      <c r="A2677" t="s">
        <v>8539</v>
      </c>
      <c r="B2677" s="1">
        <v>45008</v>
      </c>
      <c r="C2677" t="s">
        <v>8540</v>
      </c>
      <c r="D2677" t="s">
        <v>32</v>
      </c>
      <c r="E2677" t="s">
        <v>24</v>
      </c>
      <c r="F2677" t="s">
        <v>231</v>
      </c>
      <c r="G2677">
        <v>15</v>
      </c>
      <c r="H2677" t="s">
        <v>194</v>
      </c>
      <c r="I2677" t="s">
        <v>195</v>
      </c>
      <c r="J2677" t="s">
        <v>1217</v>
      </c>
      <c r="K2677" t="s">
        <v>8525</v>
      </c>
      <c r="R2677">
        <v>107</v>
      </c>
      <c r="S2677">
        <v>127.74</v>
      </c>
    </row>
    <row r="2678" spans="1:19" x14ac:dyDescent="0.25">
      <c r="A2678" t="s">
        <v>8541</v>
      </c>
      <c r="B2678" s="1">
        <v>45008</v>
      </c>
      <c r="C2678" t="s">
        <v>8542</v>
      </c>
      <c r="D2678" t="s">
        <v>32</v>
      </c>
      <c r="E2678" t="s">
        <v>24</v>
      </c>
      <c r="F2678" t="s">
        <v>768</v>
      </c>
      <c r="G2678">
        <v>10</v>
      </c>
      <c r="H2678" t="s">
        <v>194</v>
      </c>
      <c r="I2678" t="s">
        <v>700</v>
      </c>
      <c r="J2678" t="s">
        <v>1282</v>
      </c>
      <c r="K2678" t="s">
        <v>8543</v>
      </c>
      <c r="R2678">
        <v>73</v>
      </c>
      <c r="S2678">
        <v>129.08000000000001</v>
      </c>
    </row>
    <row r="2679" spans="1:19" x14ac:dyDescent="0.25">
      <c r="A2679" t="s">
        <v>8544</v>
      </c>
      <c r="B2679" s="1">
        <v>45008</v>
      </c>
      <c r="C2679" t="s">
        <v>8545</v>
      </c>
      <c r="D2679" t="s">
        <v>32</v>
      </c>
      <c r="E2679" t="s">
        <v>24</v>
      </c>
      <c r="F2679" t="s">
        <v>208</v>
      </c>
      <c r="G2679">
        <v>10</v>
      </c>
      <c r="H2679" t="s">
        <v>464</v>
      </c>
      <c r="I2679" t="s">
        <v>579</v>
      </c>
      <c r="J2679" t="s">
        <v>1000</v>
      </c>
      <c r="K2679" t="s">
        <v>8546</v>
      </c>
    </row>
    <row r="2680" spans="1:19" x14ac:dyDescent="0.25">
      <c r="A2680" t="s">
        <v>8599</v>
      </c>
      <c r="B2680" s="1">
        <v>45015</v>
      </c>
      <c r="C2680" t="s">
        <v>8600</v>
      </c>
      <c r="D2680" t="s">
        <v>32</v>
      </c>
      <c r="E2680" t="s">
        <v>24</v>
      </c>
      <c r="F2680" t="s">
        <v>2708</v>
      </c>
      <c r="G2680">
        <v>10</v>
      </c>
      <c r="H2680" t="s">
        <v>464</v>
      </c>
      <c r="I2680" t="s">
        <v>579</v>
      </c>
      <c r="J2680" t="s">
        <v>808</v>
      </c>
      <c r="K2680" t="s">
        <v>8601</v>
      </c>
    </row>
    <row r="2681" spans="1:19" x14ac:dyDescent="0.25">
      <c r="A2681" t="s">
        <v>8602</v>
      </c>
      <c r="B2681" s="1">
        <v>45015</v>
      </c>
      <c r="C2681" t="s">
        <v>5265</v>
      </c>
      <c r="D2681" t="s">
        <v>32</v>
      </c>
      <c r="E2681" t="s">
        <v>24</v>
      </c>
      <c r="F2681" t="s">
        <v>215</v>
      </c>
      <c r="G2681">
        <v>30</v>
      </c>
      <c r="H2681" t="s">
        <v>188</v>
      </c>
      <c r="I2681" t="s">
        <v>254</v>
      </c>
      <c r="J2681" t="s">
        <v>5574</v>
      </c>
      <c r="K2681" t="s">
        <v>8603</v>
      </c>
      <c r="R2681">
        <v>85</v>
      </c>
    </row>
    <row r="2682" spans="1:19" x14ac:dyDescent="0.25">
      <c r="A2682" t="s">
        <v>8604</v>
      </c>
      <c r="B2682" s="1">
        <v>45015</v>
      </c>
      <c r="C2682" t="s">
        <v>8605</v>
      </c>
      <c r="D2682" t="s">
        <v>32</v>
      </c>
      <c r="G2682">
        <v>101</v>
      </c>
      <c r="H2682" t="s">
        <v>26</v>
      </c>
      <c r="J2682" t="s">
        <v>8606</v>
      </c>
      <c r="L2682">
        <v>0</v>
      </c>
      <c r="M2682">
        <v>0</v>
      </c>
      <c r="N2682" s="2">
        <v>0</v>
      </c>
      <c r="O2682">
        <v>0</v>
      </c>
      <c r="P2682">
        <v>12.99</v>
      </c>
      <c r="Q2682">
        <v>18.350000000000001</v>
      </c>
      <c r="R2682">
        <v>1002</v>
      </c>
      <c r="S2682">
        <v>153.9</v>
      </c>
    </row>
    <row r="2683" spans="1:19" x14ac:dyDescent="0.25">
      <c r="A2683" t="s">
        <v>8607</v>
      </c>
      <c r="B2683" s="1">
        <v>45015</v>
      </c>
      <c r="C2683" t="s">
        <v>1882</v>
      </c>
      <c r="D2683" t="s">
        <v>32</v>
      </c>
      <c r="E2683" t="s">
        <v>24</v>
      </c>
      <c r="F2683" t="s">
        <v>459</v>
      </c>
      <c r="G2683">
        <v>15</v>
      </c>
      <c r="H2683" t="s">
        <v>464</v>
      </c>
      <c r="I2683" t="s">
        <v>763</v>
      </c>
      <c r="J2683" t="s">
        <v>2229</v>
      </c>
      <c r="K2683" t="s">
        <v>8608</v>
      </c>
    </row>
    <row r="2684" spans="1:19" x14ac:dyDescent="0.25">
      <c r="A2684" t="s">
        <v>8651</v>
      </c>
      <c r="B2684" s="1">
        <v>45022</v>
      </c>
      <c r="C2684" t="s">
        <v>2198</v>
      </c>
      <c r="D2684" t="s">
        <v>32</v>
      </c>
      <c r="E2684" t="s">
        <v>24</v>
      </c>
      <c r="F2684" t="s">
        <v>180</v>
      </c>
      <c r="G2684">
        <v>10</v>
      </c>
      <c r="H2684" t="s">
        <v>194</v>
      </c>
      <c r="I2684" t="s">
        <v>195</v>
      </c>
      <c r="J2684" t="s">
        <v>211</v>
      </c>
      <c r="K2684" t="s">
        <v>8652</v>
      </c>
      <c r="R2684">
        <v>53</v>
      </c>
      <c r="S2684">
        <v>108.35</v>
      </c>
    </row>
    <row r="2685" spans="1:19" x14ac:dyDescent="0.25">
      <c r="A2685" t="s">
        <v>8653</v>
      </c>
      <c r="B2685" s="1">
        <v>45022</v>
      </c>
      <c r="C2685" t="s">
        <v>8654</v>
      </c>
      <c r="D2685" t="s">
        <v>32</v>
      </c>
      <c r="E2685" t="s">
        <v>24</v>
      </c>
      <c r="F2685" t="s">
        <v>323</v>
      </c>
      <c r="G2685">
        <v>45</v>
      </c>
      <c r="H2685" t="s">
        <v>26</v>
      </c>
      <c r="I2685" t="s">
        <v>370</v>
      </c>
      <c r="J2685" t="s">
        <v>4001</v>
      </c>
      <c r="K2685" t="s">
        <v>8655</v>
      </c>
      <c r="L2685">
        <v>0</v>
      </c>
      <c r="M2685">
        <v>0</v>
      </c>
      <c r="N2685" s="2">
        <v>0</v>
      </c>
      <c r="O2685">
        <v>0</v>
      </c>
      <c r="P2685">
        <v>0</v>
      </c>
      <c r="Q2685">
        <v>0</v>
      </c>
      <c r="R2685">
        <v>0</v>
      </c>
    </row>
    <row r="2686" spans="1:19" x14ac:dyDescent="0.25">
      <c r="A2686" t="s">
        <v>8656</v>
      </c>
      <c r="B2686" s="1">
        <v>45022</v>
      </c>
      <c r="C2686" t="s">
        <v>8657</v>
      </c>
      <c r="D2686" t="s">
        <v>32</v>
      </c>
      <c r="E2686" t="s">
        <v>24</v>
      </c>
      <c r="F2686" t="s">
        <v>490</v>
      </c>
      <c r="G2686">
        <v>15</v>
      </c>
      <c r="H2686" t="s">
        <v>26</v>
      </c>
      <c r="I2686" t="s">
        <v>39</v>
      </c>
      <c r="J2686" t="s">
        <v>366</v>
      </c>
      <c r="K2686" t="s">
        <v>8658</v>
      </c>
      <c r="L2686">
        <v>74</v>
      </c>
      <c r="M2686">
        <v>83</v>
      </c>
      <c r="N2686" s="2">
        <v>0.33</v>
      </c>
      <c r="O2686">
        <v>84</v>
      </c>
      <c r="P2686">
        <v>14.74</v>
      </c>
      <c r="Q2686">
        <v>3.68</v>
      </c>
      <c r="R2686">
        <v>136</v>
      </c>
      <c r="S2686">
        <v>140.94</v>
      </c>
    </row>
    <row r="2687" spans="1:19" x14ac:dyDescent="0.25">
      <c r="A2687" t="s">
        <v>8659</v>
      </c>
      <c r="B2687" s="1">
        <v>45022</v>
      </c>
      <c r="C2687" t="s">
        <v>8485</v>
      </c>
      <c r="D2687" t="s">
        <v>32</v>
      </c>
      <c r="E2687" t="s">
        <v>24</v>
      </c>
      <c r="F2687" t="s">
        <v>354</v>
      </c>
      <c r="G2687">
        <v>5</v>
      </c>
      <c r="H2687" t="s">
        <v>49</v>
      </c>
      <c r="I2687" t="s">
        <v>50</v>
      </c>
      <c r="J2687" t="s">
        <v>51</v>
      </c>
      <c r="K2687" t="s">
        <v>8660</v>
      </c>
      <c r="R2687">
        <v>12</v>
      </c>
    </row>
    <row r="2688" spans="1:19" x14ac:dyDescent="0.25">
      <c r="A2688" t="s">
        <v>8661</v>
      </c>
      <c r="B2688" s="1">
        <v>45022</v>
      </c>
      <c r="C2688" t="s">
        <v>1616</v>
      </c>
      <c r="D2688" t="s">
        <v>32</v>
      </c>
      <c r="E2688" t="s">
        <v>24</v>
      </c>
      <c r="F2688" t="s">
        <v>208</v>
      </c>
      <c r="G2688">
        <v>10</v>
      </c>
      <c r="H2688" t="s">
        <v>464</v>
      </c>
      <c r="I2688" t="s">
        <v>579</v>
      </c>
      <c r="J2688" t="s">
        <v>580</v>
      </c>
      <c r="K2688" t="s">
        <v>8662</v>
      </c>
    </row>
    <row r="2689" spans="1:19" x14ac:dyDescent="0.25">
      <c r="A2689" t="s">
        <v>8711</v>
      </c>
      <c r="B2689" s="1">
        <v>45029</v>
      </c>
      <c r="C2689" t="s">
        <v>8712</v>
      </c>
      <c r="D2689" t="s">
        <v>32</v>
      </c>
      <c r="G2689">
        <v>38</v>
      </c>
      <c r="H2689" t="s">
        <v>1856</v>
      </c>
      <c r="J2689" t="s">
        <v>8713</v>
      </c>
      <c r="L2689">
        <v>0</v>
      </c>
      <c r="P2689">
        <v>3.02</v>
      </c>
      <c r="Q2689">
        <v>1.96</v>
      </c>
      <c r="R2689">
        <v>240</v>
      </c>
      <c r="S2689">
        <v>120.76</v>
      </c>
    </row>
    <row r="2690" spans="1:19" x14ac:dyDescent="0.25">
      <c r="A2690" t="s">
        <v>8714</v>
      </c>
      <c r="B2690" s="1">
        <v>45029</v>
      </c>
      <c r="C2690" t="s">
        <v>1384</v>
      </c>
      <c r="D2690" t="s">
        <v>32</v>
      </c>
      <c r="E2690" t="s">
        <v>24</v>
      </c>
      <c r="F2690" t="s">
        <v>237</v>
      </c>
      <c r="G2690">
        <v>10</v>
      </c>
      <c r="H2690" t="s">
        <v>464</v>
      </c>
      <c r="I2690" t="s">
        <v>579</v>
      </c>
      <c r="J2690" t="s">
        <v>1975</v>
      </c>
      <c r="K2690" t="s">
        <v>8715</v>
      </c>
    </row>
    <row r="2691" spans="1:19" x14ac:dyDescent="0.25">
      <c r="A2691" t="s">
        <v>8771</v>
      </c>
      <c r="B2691" s="1">
        <v>45036</v>
      </c>
      <c r="C2691" t="s">
        <v>8772</v>
      </c>
      <c r="D2691" t="s">
        <v>32</v>
      </c>
      <c r="E2691" t="s">
        <v>24</v>
      </c>
      <c r="F2691" t="s">
        <v>208</v>
      </c>
      <c r="G2691">
        <v>10</v>
      </c>
      <c r="H2691" t="s">
        <v>464</v>
      </c>
      <c r="I2691" t="s">
        <v>579</v>
      </c>
      <c r="J2691" t="s">
        <v>986</v>
      </c>
      <c r="K2691" t="s">
        <v>8773</v>
      </c>
    </row>
    <row r="2692" spans="1:19" x14ac:dyDescent="0.25">
      <c r="A2692" t="s">
        <v>8822</v>
      </c>
      <c r="B2692" s="1">
        <v>45043</v>
      </c>
      <c r="C2692" t="s">
        <v>5549</v>
      </c>
      <c r="D2692" t="s">
        <v>32</v>
      </c>
      <c r="E2692" t="s">
        <v>24</v>
      </c>
      <c r="F2692" t="s">
        <v>33</v>
      </c>
      <c r="G2692">
        <v>45</v>
      </c>
      <c r="H2692" t="s">
        <v>26</v>
      </c>
      <c r="I2692" t="s">
        <v>370</v>
      </c>
      <c r="J2692" t="s">
        <v>479</v>
      </c>
      <c r="K2692" t="s">
        <v>8823</v>
      </c>
      <c r="L2692">
        <v>329</v>
      </c>
      <c r="M2692">
        <v>122</v>
      </c>
      <c r="N2692" s="2">
        <v>0.4</v>
      </c>
      <c r="O2692">
        <v>84</v>
      </c>
      <c r="P2692">
        <v>17.3</v>
      </c>
      <c r="Q2692">
        <v>12.97</v>
      </c>
      <c r="R2692">
        <v>475</v>
      </c>
      <c r="S2692">
        <v>157.58000000000001</v>
      </c>
    </row>
    <row r="2693" spans="1:19" x14ac:dyDescent="0.25">
      <c r="A2693" t="s">
        <v>8824</v>
      </c>
      <c r="B2693" s="1">
        <v>45043</v>
      </c>
      <c r="C2693" t="s">
        <v>5886</v>
      </c>
      <c r="D2693" t="s">
        <v>32</v>
      </c>
      <c r="E2693" t="s">
        <v>24</v>
      </c>
      <c r="F2693" t="s">
        <v>323</v>
      </c>
      <c r="G2693">
        <v>10</v>
      </c>
      <c r="H2693" t="s">
        <v>26</v>
      </c>
      <c r="I2693" t="s">
        <v>39</v>
      </c>
      <c r="J2693" t="s">
        <v>7372</v>
      </c>
      <c r="K2693" t="s">
        <v>8825</v>
      </c>
      <c r="L2693">
        <v>40</v>
      </c>
      <c r="M2693">
        <v>67</v>
      </c>
      <c r="N2693" s="2">
        <v>0.28999999999999998</v>
      </c>
      <c r="O2693">
        <v>88</v>
      </c>
      <c r="P2693">
        <v>13.55</v>
      </c>
      <c r="Q2693">
        <v>2.2599999999999998</v>
      </c>
      <c r="R2693">
        <v>78</v>
      </c>
      <c r="S2693">
        <v>133.19</v>
      </c>
    </row>
    <row r="2694" spans="1:19" x14ac:dyDescent="0.25">
      <c r="A2694" t="s">
        <v>8826</v>
      </c>
      <c r="B2694" s="1">
        <v>45043</v>
      </c>
      <c r="C2694" t="s">
        <v>2584</v>
      </c>
      <c r="D2694" t="s">
        <v>32</v>
      </c>
      <c r="E2694" t="s">
        <v>24</v>
      </c>
      <c r="F2694" t="s">
        <v>180</v>
      </c>
      <c r="G2694">
        <v>5</v>
      </c>
      <c r="H2694" t="s">
        <v>194</v>
      </c>
      <c r="I2694" t="s">
        <v>195</v>
      </c>
      <c r="J2694" t="s">
        <v>196</v>
      </c>
      <c r="K2694" t="s">
        <v>8827</v>
      </c>
      <c r="R2694">
        <v>23</v>
      </c>
      <c r="S2694">
        <v>106.22</v>
      </c>
    </row>
    <row r="2695" spans="1:19" x14ac:dyDescent="0.25">
      <c r="A2695" t="s">
        <v>8828</v>
      </c>
      <c r="B2695" s="1">
        <v>45043</v>
      </c>
      <c r="C2695" t="s">
        <v>2790</v>
      </c>
      <c r="D2695" t="s">
        <v>32</v>
      </c>
      <c r="E2695" t="s">
        <v>24</v>
      </c>
      <c r="F2695" t="s">
        <v>335</v>
      </c>
      <c r="G2695">
        <v>5</v>
      </c>
      <c r="H2695" t="s">
        <v>49</v>
      </c>
      <c r="I2695" t="s">
        <v>50</v>
      </c>
      <c r="J2695" t="s">
        <v>51</v>
      </c>
      <c r="K2695" t="s">
        <v>8829</v>
      </c>
      <c r="R2695">
        <v>21</v>
      </c>
      <c r="S2695">
        <v>102.63</v>
      </c>
    </row>
    <row r="2696" spans="1:19" x14ac:dyDescent="0.25">
      <c r="A2696" t="s">
        <v>8861</v>
      </c>
      <c r="B2696" s="1">
        <v>45050</v>
      </c>
      <c r="C2696" t="s">
        <v>3208</v>
      </c>
      <c r="D2696" t="s">
        <v>32</v>
      </c>
      <c r="E2696" t="s">
        <v>24</v>
      </c>
      <c r="F2696" t="s">
        <v>1203</v>
      </c>
      <c r="G2696">
        <v>10</v>
      </c>
      <c r="H2696" t="s">
        <v>194</v>
      </c>
      <c r="I2696" t="s">
        <v>195</v>
      </c>
      <c r="J2696" t="s">
        <v>211</v>
      </c>
      <c r="K2696" t="s">
        <v>8862</v>
      </c>
      <c r="R2696">
        <v>38</v>
      </c>
      <c r="S2696">
        <v>96.95</v>
      </c>
    </row>
    <row r="2697" spans="1:19" x14ac:dyDescent="0.25">
      <c r="A2697" t="s">
        <v>8863</v>
      </c>
      <c r="B2697" s="1">
        <v>45050</v>
      </c>
      <c r="C2697" t="s">
        <v>2943</v>
      </c>
      <c r="D2697" t="s">
        <v>32</v>
      </c>
      <c r="E2697" t="s">
        <v>24</v>
      </c>
      <c r="F2697" t="s">
        <v>323</v>
      </c>
      <c r="G2697">
        <v>45</v>
      </c>
      <c r="H2697" t="s">
        <v>26</v>
      </c>
      <c r="I2697" t="s">
        <v>370</v>
      </c>
      <c r="J2697" t="s">
        <v>479</v>
      </c>
      <c r="K2697" t="s">
        <v>6093</v>
      </c>
      <c r="L2697">
        <v>324</v>
      </c>
      <c r="M2697">
        <v>120</v>
      </c>
      <c r="N2697" s="2">
        <v>0.38</v>
      </c>
      <c r="O2697">
        <v>86</v>
      </c>
      <c r="P2697">
        <v>16.78</v>
      </c>
      <c r="Q2697">
        <v>12.58</v>
      </c>
      <c r="R2697">
        <v>482</v>
      </c>
      <c r="S2697">
        <v>158.66</v>
      </c>
    </row>
    <row r="2698" spans="1:19" x14ac:dyDescent="0.25">
      <c r="A2698" t="s">
        <v>8864</v>
      </c>
      <c r="B2698" s="1">
        <v>45050</v>
      </c>
      <c r="C2698" t="s">
        <v>7174</v>
      </c>
      <c r="D2698" t="s">
        <v>32</v>
      </c>
      <c r="E2698" t="s">
        <v>24</v>
      </c>
      <c r="F2698" t="s">
        <v>490</v>
      </c>
      <c r="G2698">
        <v>5</v>
      </c>
      <c r="H2698" t="s">
        <v>26</v>
      </c>
      <c r="I2698" t="s">
        <v>358</v>
      </c>
      <c r="J2698" t="s">
        <v>359</v>
      </c>
      <c r="K2698" t="s">
        <v>8865</v>
      </c>
      <c r="L2698">
        <v>20</v>
      </c>
      <c r="M2698">
        <v>66</v>
      </c>
      <c r="N2698" s="2">
        <v>0.31</v>
      </c>
      <c r="O2698">
        <v>84</v>
      </c>
      <c r="P2698">
        <v>13.38</v>
      </c>
      <c r="Q2698">
        <v>1.1100000000000001</v>
      </c>
      <c r="R2698">
        <v>37</v>
      </c>
      <c r="S2698">
        <v>131.47</v>
      </c>
    </row>
    <row r="2699" spans="1:19" x14ac:dyDescent="0.25">
      <c r="A2699" t="s">
        <v>8866</v>
      </c>
      <c r="B2699" s="1">
        <v>45050</v>
      </c>
      <c r="C2699" t="s">
        <v>5886</v>
      </c>
      <c r="D2699" t="s">
        <v>32</v>
      </c>
      <c r="E2699" t="s">
        <v>24</v>
      </c>
      <c r="F2699" t="s">
        <v>335</v>
      </c>
      <c r="G2699">
        <v>5</v>
      </c>
      <c r="H2699" t="s">
        <v>49</v>
      </c>
      <c r="I2699" t="s">
        <v>50</v>
      </c>
      <c r="J2699" t="s">
        <v>51</v>
      </c>
      <c r="K2699" t="s">
        <v>8867</v>
      </c>
      <c r="R2699">
        <v>24</v>
      </c>
      <c r="S2699">
        <v>109.14</v>
      </c>
    </row>
    <row r="2700" spans="1:19" x14ac:dyDescent="0.25">
      <c r="A2700" t="s">
        <v>8868</v>
      </c>
      <c r="B2700" s="1">
        <v>45050</v>
      </c>
      <c r="C2700" t="s">
        <v>1819</v>
      </c>
      <c r="D2700" t="s">
        <v>32</v>
      </c>
      <c r="E2700" t="s">
        <v>24</v>
      </c>
      <c r="F2700" t="s">
        <v>215</v>
      </c>
      <c r="G2700">
        <v>15</v>
      </c>
      <c r="H2700" t="s">
        <v>464</v>
      </c>
      <c r="I2700" t="s">
        <v>943</v>
      </c>
      <c r="J2700" t="s">
        <v>1709</v>
      </c>
      <c r="K2700" t="s">
        <v>8869</v>
      </c>
    </row>
    <row r="2701" spans="1:19" x14ac:dyDescent="0.25">
      <c r="A2701" t="s">
        <v>8904</v>
      </c>
      <c r="B2701" s="1">
        <v>45057</v>
      </c>
      <c r="C2701" t="s">
        <v>1761</v>
      </c>
      <c r="D2701" t="s">
        <v>32</v>
      </c>
      <c r="E2701" t="s">
        <v>24</v>
      </c>
      <c r="F2701" t="s">
        <v>215</v>
      </c>
      <c r="G2701">
        <v>20</v>
      </c>
      <c r="H2701" t="s">
        <v>188</v>
      </c>
      <c r="I2701" t="s">
        <v>238</v>
      </c>
      <c r="J2701" t="s">
        <v>796</v>
      </c>
      <c r="K2701" t="s">
        <v>8905</v>
      </c>
      <c r="R2701">
        <v>64</v>
      </c>
    </row>
    <row r="2702" spans="1:19" x14ac:dyDescent="0.25">
      <c r="A2702" t="s">
        <v>8906</v>
      </c>
      <c r="B2702" s="1">
        <v>45057</v>
      </c>
      <c r="C2702" t="s">
        <v>8907</v>
      </c>
      <c r="D2702" t="s">
        <v>32</v>
      </c>
      <c r="G2702">
        <v>43</v>
      </c>
      <c r="H2702" t="s">
        <v>1856</v>
      </c>
      <c r="J2702" t="s">
        <v>8908</v>
      </c>
      <c r="L2702">
        <v>0</v>
      </c>
      <c r="P2702">
        <v>2.99</v>
      </c>
      <c r="Q2702">
        <v>2.0499999999999998</v>
      </c>
      <c r="R2702">
        <v>254</v>
      </c>
      <c r="S2702">
        <v>117.25</v>
      </c>
    </row>
    <row r="2703" spans="1:19" x14ac:dyDescent="0.25">
      <c r="A2703" t="s">
        <v>8909</v>
      </c>
      <c r="B2703" s="1">
        <v>45057</v>
      </c>
      <c r="C2703" t="s">
        <v>5107</v>
      </c>
      <c r="D2703" t="s">
        <v>32</v>
      </c>
      <c r="E2703" t="s">
        <v>24</v>
      </c>
      <c r="F2703" t="s">
        <v>323</v>
      </c>
      <c r="G2703">
        <v>45</v>
      </c>
      <c r="H2703" t="s">
        <v>26</v>
      </c>
      <c r="I2703" t="s">
        <v>370</v>
      </c>
      <c r="J2703" t="s">
        <v>1256</v>
      </c>
      <c r="K2703" t="s">
        <v>8910</v>
      </c>
      <c r="L2703">
        <v>314</v>
      </c>
      <c r="M2703">
        <v>116</v>
      </c>
      <c r="N2703" s="2">
        <v>0.34</v>
      </c>
      <c r="O2703">
        <v>85</v>
      </c>
      <c r="P2703">
        <v>15.87</v>
      </c>
      <c r="Q2703">
        <v>11.9</v>
      </c>
      <c r="R2703">
        <v>423</v>
      </c>
      <c r="S2703">
        <v>146.93</v>
      </c>
    </row>
    <row r="2704" spans="1:19" x14ac:dyDescent="0.25">
      <c r="A2704" t="s">
        <v>8911</v>
      </c>
      <c r="B2704" s="1">
        <v>45057</v>
      </c>
      <c r="C2704" t="s">
        <v>5480</v>
      </c>
      <c r="D2704" t="s">
        <v>32</v>
      </c>
      <c r="E2704" t="s">
        <v>24</v>
      </c>
      <c r="F2704" t="s">
        <v>243</v>
      </c>
      <c r="G2704">
        <v>5</v>
      </c>
      <c r="H2704" t="s">
        <v>26</v>
      </c>
      <c r="I2704" t="s">
        <v>358</v>
      </c>
      <c r="J2704" t="s">
        <v>359</v>
      </c>
      <c r="K2704" t="s">
        <v>8912</v>
      </c>
      <c r="L2704">
        <v>22</v>
      </c>
      <c r="M2704">
        <v>73</v>
      </c>
      <c r="N2704" s="2">
        <v>0.31</v>
      </c>
      <c r="O2704">
        <v>86</v>
      </c>
      <c r="P2704">
        <v>13.98</v>
      </c>
      <c r="Q2704">
        <v>1.1599999999999999</v>
      </c>
      <c r="R2704">
        <v>30</v>
      </c>
      <c r="S2704">
        <v>121.1</v>
      </c>
    </row>
    <row r="2705" spans="1:19" x14ac:dyDescent="0.25">
      <c r="A2705" t="s">
        <v>8913</v>
      </c>
      <c r="B2705" s="1">
        <v>45057</v>
      </c>
      <c r="C2705" t="s">
        <v>8914</v>
      </c>
      <c r="D2705" t="s">
        <v>32</v>
      </c>
      <c r="E2705" t="s">
        <v>24</v>
      </c>
      <c r="F2705" t="s">
        <v>180</v>
      </c>
      <c r="G2705">
        <v>5</v>
      </c>
      <c r="H2705" t="s">
        <v>49</v>
      </c>
      <c r="I2705" t="s">
        <v>50</v>
      </c>
      <c r="J2705" t="s">
        <v>51</v>
      </c>
      <c r="K2705" t="s">
        <v>8915</v>
      </c>
      <c r="R2705">
        <v>12</v>
      </c>
    </row>
    <row r="2706" spans="1:19" x14ac:dyDescent="0.25">
      <c r="A2706" t="s">
        <v>8916</v>
      </c>
      <c r="B2706" s="1">
        <v>45057</v>
      </c>
      <c r="C2706" t="s">
        <v>942</v>
      </c>
      <c r="D2706" t="s">
        <v>32</v>
      </c>
      <c r="E2706" t="s">
        <v>24</v>
      </c>
      <c r="F2706" t="s">
        <v>200</v>
      </c>
      <c r="G2706">
        <v>10</v>
      </c>
      <c r="H2706" t="s">
        <v>464</v>
      </c>
      <c r="I2706" t="s">
        <v>579</v>
      </c>
      <c r="J2706" t="s">
        <v>808</v>
      </c>
      <c r="K2706" t="s">
        <v>8917</v>
      </c>
    </row>
    <row r="2707" spans="1:19" x14ac:dyDescent="0.25">
      <c r="A2707" t="s">
        <v>8945</v>
      </c>
      <c r="B2707" s="1">
        <v>45064</v>
      </c>
      <c r="C2707" t="s">
        <v>8946</v>
      </c>
      <c r="D2707" t="s">
        <v>32</v>
      </c>
      <c r="G2707">
        <v>40</v>
      </c>
      <c r="H2707" t="s">
        <v>1856</v>
      </c>
      <c r="J2707" t="s">
        <v>8947</v>
      </c>
      <c r="L2707">
        <v>0</v>
      </c>
      <c r="P2707">
        <v>3.1</v>
      </c>
      <c r="Q2707">
        <v>1.96</v>
      </c>
      <c r="R2707">
        <v>279</v>
      </c>
      <c r="S2707">
        <v>127</v>
      </c>
    </row>
    <row r="2708" spans="1:19" x14ac:dyDescent="0.25">
      <c r="A2708" t="s">
        <v>8948</v>
      </c>
      <c r="B2708" s="1">
        <v>45064</v>
      </c>
      <c r="C2708" t="s">
        <v>6191</v>
      </c>
      <c r="D2708" t="s">
        <v>32</v>
      </c>
      <c r="E2708" t="s">
        <v>24</v>
      </c>
      <c r="F2708" t="s">
        <v>180</v>
      </c>
      <c r="G2708">
        <v>20</v>
      </c>
      <c r="H2708" t="s">
        <v>194</v>
      </c>
      <c r="I2708" t="s">
        <v>195</v>
      </c>
      <c r="J2708" t="s">
        <v>2247</v>
      </c>
      <c r="K2708" t="s">
        <v>8949</v>
      </c>
      <c r="R2708">
        <v>97</v>
      </c>
      <c r="S2708">
        <v>106.83</v>
      </c>
    </row>
    <row r="2709" spans="1:19" x14ac:dyDescent="0.25">
      <c r="A2709" t="s">
        <v>8950</v>
      </c>
      <c r="B2709" s="1">
        <v>45064</v>
      </c>
      <c r="C2709" t="s">
        <v>2998</v>
      </c>
      <c r="D2709" t="s">
        <v>32</v>
      </c>
      <c r="E2709" t="s">
        <v>24</v>
      </c>
      <c r="F2709" t="s">
        <v>33</v>
      </c>
      <c r="G2709">
        <v>45</v>
      </c>
      <c r="H2709" t="s">
        <v>26</v>
      </c>
      <c r="I2709" t="s">
        <v>370</v>
      </c>
      <c r="J2709" t="s">
        <v>4001</v>
      </c>
      <c r="K2709" t="s">
        <v>8951</v>
      </c>
      <c r="L2709">
        <v>89</v>
      </c>
      <c r="M2709">
        <v>86</v>
      </c>
      <c r="N2709" s="2">
        <v>0.35</v>
      </c>
      <c r="O2709">
        <v>82</v>
      </c>
      <c r="P2709">
        <v>14.6</v>
      </c>
      <c r="Q2709">
        <v>4.1900000000000004</v>
      </c>
      <c r="R2709">
        <v>131</v>
      </c>
      <c r="S2709">
        <v>131.38999999999999</v>
      </c>
    </row>
    <row r="2710" spans="1:19" x14ac:dyDescent="0.25">
      <c r="A2710" t="s">
        <v>8991</v>
      </c>
      <c r="B2710" s="1">
        <v>45071</v>
      </c>
      <c r="C2710" t="s">
        <v>478</v>
      </c>
      <c r="D2710" t="s">
        <v>32</v>
      </c>
      <c r="E2710" t="s">
        <v>24</v>
      </c>
      <c r="F2710" t="s">
        <v>200</v>
      </c>
      <c r="G2710">
        <v>30</v>
      </c>
      <c r="H2710" t="s">
        <v>188</v>
      </c>
      <c r="I2710" t="s">
        <v>238</v>
      </c>
      <c r="J2710" t="s">
        <v>3405</v>
      </c>
      <c r="K2710" t="s">
        <v>8992</v>
      </c>
      <c r="R2710">
        <v>97</v>
      </c>
    </row>
    <row r="2711" spans="1:19" x14ac:dyDescent="0.25">
      <c r="A2711" t="s">
        <v>8993</v>
      </c>
      <c r="B2711" s="1">
        <v>45071</v>
      </c>
      <c r="C2711" t="s">
        <v>1491</v>
      </c>
      <c r="D2711" t="s">
        <v>32</v>
      </c>
      <c r="E2711" t="s">
        <v>24</v>
      </c>
      <c r="F2711" t="s">
        <v>215</v>
      </c>
      <c r="G2711">
        <v>10</v>
      </c>
      <c r="H2711" t="s">
        <v>464</v>
      </c>
      <c r="I2711" t="s">
        <v>1571</v>
      </c>
      <c r="J2711" t="s">
        <v>2704</v>
      </c>
      <c r="K2711" t="s">
        <v>8994</v>
      </c>
    </row>
    <row r="2712" spans="1:19" x14ac:dyDescent="0.25">
      <c r="A2712" t="s">
        <v>9027</v>
      </c>
      <c r="B2712" s="1">
        <v>45078</v>
      </c>
      <c r="C2712" t="s">
        <v>7806</v>
      </c>
      <c r="D2712" t="s">
        <v>32</v>
      </c>
      <c r="G2712">
        <v>41</v>
      </c>
      <c r="H2712" t="s">
        <v>1856</v>
      </c>
      <c r="J2712" t="s">
        <v>9028</v>
      </c>
      <c r="L2712">
        <v>0</v>
      </c>
      <c r="P2712">
        <v>3.16</v>
      </c>
      <c r="Q2712">
        <v>2.04</v>
      </c>
      <c r="R2712">
        <v>288</v>
      </c>
      <c r="S2712">
        <v>126.14</v>
      </c>
    </row>
    <row r="2713" spans="1:19" x14ac:dyDescent="0.25">
      <c r="A2713" t="s">
        <v>9029</v>
      </c>
      <c r="B2713" s="1">
        <v>45078</v>
      </c>
      <c r="C2713" t="s">
        <v>1367</v>
      </c>
      <c r="D2713" t="s">
        <v>32</v>
      </c>
      <c r="E2713" t="s">
        <v>24</v>
      </c>
      <c r="F2713" t="s">
        <v>2708</v>
      </c>
      <c r="G2713">
        <v>10</v>
      </c>
      <c r="H2713" t="s">
        <v>464</v>
      </c>
      <c r="I2713" t="s">
        <v>763</v>
      </c>
      <c r="J2713" t="s">
        <v>764</v>
      </c>
      <c r="K2713" t="s">
        <v>9030</v>
      </c>
    </row>
    <row r="2714" spans="1:19" x14ac:dyDescent="0.25">
      <c r="A2714" t="s">
        <v>9065</v>
      </c>
      <c r="B2714" s="1">
        <v>45085</v>
      </c>
      <c r="C2714" t="s">
        <v>8323</v>
      </c>
      <c r="D2714" t="s">
        <v>32</v>
      </c>
      <c r="E2714" t="s">
        <v>24</v>
      </c>
      <c r="F2714" t="s">
        <v>215</v>
      </c>
      <c r="G2714">
        <v>45</v>
      </c>
      <c r="H2714" t="s">
        <v>188</v>
      </c>
      <c r="I2714" t="s">
        <v>189</v>
      </c>
      <c r="J2714" t="s">
        <v>244</v>
      </c>
      <c r="K2714" t="s">
        <v>9066</v>
      </c>
      <c r="R2714">
        <v>135</v>
      </c>
    </row>
    <row r="2715" spans="1:19" x14ac:dyDescent="0.25">
      <c r="A2715" t="s">
        <v>9067</v>
      </c>
      <c r="B2715" s="1">
        <v>45085</v>
      </c>
      <c r="C2715" t="s">
        <v>5359</v>
      </c>
      <c r="D2715" t="s">
        <v>32</v>
      </c>
      <c r="E2715" t="s">
        <v>24</v>
      </c>
      <c r="F2715" t="s">
        <v>297</v>
      </c>
      <c r="G2715">
        <v>10</v>
      </c>
      <c r="H2715" t="s">
        <v>194</v>
      </c>
      <c r="I2715" t="s">
        <v>195</v>
      </c>
      <c r="J2715" t="s">
        <v>211</v>
      </c>
      <c r="K2715" t="s">
        <v>9068</v>
      </c>
      <c r="R2715">
        <v>47</v>
      </c>
      <c r="S2715">
        <v>106.65</v>
      </c>
    </row>
    <row r="2716" spans="1:19" x14ac:dyDescent="0.25">
      <c r="A2716" t="s">
        <v>9069</v>
      </c>
      <c r="B2716" s="1">
        <v>45085</v>
      </c>
      <c r="C2716" t="s">
        <v>7032</v>
      </c>
      <c r="D2716" t="s">
        <v>32</v>
      </c>
      <c r="E2716" t="s">
        <v>24</v>
      </c>
      <c r="F2716" t="s">
        <v>354</v>
      </c>
      <c r="G2716">
        <v>10</v>
      </c>
      <c r="H2716" t="s">
        <v>194</v>
      </c>
      <c r="I2716" t="s">
        <v>1445</v>
      </c>
      <c r="J2716" t="s">
        <v>2809</v>
      </c>
      <c r="K2716" t="s">
        <v>9070</v>
      </c>
      <c r="R2716">
        <v>68</v>
      </c>
      <c r="S2716">
        <v>126.55</v>
      </c>
    </row>
    <row r="2717" spans="1:19" x14ac:dyDescent="0.25">
      <c r="A2717" t="s">
        <v>9071</v>
      </c>
      <c r="B2717" s="1">
        <v>45085</v>
      </c>
      <c r="C2717" t="s">
        <v>6967</v>
      </c>
      <c r="D2717" t="s">
        <v>32</v>
      </c>
      <c r="E2717" t="s">
        <v>24</v>
      </c>
      <c r="F2717" t="s">
        <v>323</v>
      </c>
      <c r="G2717">
        <v>45</v>
      </c>
      <c r="H2717" t="s">
        <v>26</v>
      </c>
      <c r="I2717" t="s">
        <v>370</v>
      </c>
      <c r="J2717" t="s">
        <v>439</v>
      </c>
      <c r="K2717" t="s">
        <v>9072</v>
      </c>
      <c r="L2717">
        <v>263</v>
      </c>
      <c r="M2717">
        <v>97</v>
      </c>
      <c r="N2717" s="2">
        <v>0.37</v>
      </c>
      <c r="O2717">
        <v>82</v>
      </c>
      <c r="P2717">
        <v>15.94</v>
      </c>
      <c r="Q2717">
        <v>11.97</v>
      </c>
      <c r="R2717">
        <v>353</v>
      </c>
      <c r="S2717">
        <v>130.08000000000001</v>
      </c>
    </row>
    <row r="2718" spans="1:19" x14ac:dyDescent="0.25">
      <c r="A2718" t="s">
        <v>9073</v>
      </c>
      <c r="B2718" s="1">
        <v>45085</v>
      </c>
      <c r="C2718" t="s">
        <v>2790</v>
      </c>
      <c r="D2718" t="s">
        <v>32</v>
      </c>
      <c r="E2718" t="s">
        <v>24</v>
      </c>
      <c r="F2718" t="s">
        <v>590</v>
      </c>
      <c r="G2718">
        <v>5</v>
      </c>
      <c r="H2718" t="s">
        <v>49</v>
      </c>
      <c r="I2718" t="s">
        <v>50</v>
      </c>
      <c r="J2718" t="s">
        <v>51</v>
      </c>
      <c r="K2718" t="s">
        <v>9074</v>
      </c>
      <c r="R2718">
        <v>12</v>
      </c>
    </row>
    <row r="2719" spans="1:19" x14ac:dyDescent="0.25">
      <c r="A2719" t="s">
        <v>9095</v>
      </c>
      <c r="B2719" s="1">
        <v>45092</v>
      </c>
      <c r="C2719" t="s">
        <v>9096</v>
      </c>
      <c r="D2719" t="s">
        <v>32</v>
      </c>
      <c r="E2719" t="s">
        <v>24</v>
      </c>
      <c r="F2719" t="s">
        <v>237</v>
      </c>
      <c r="G2719">
        <v>30</v>
      </c>
      <c r="H2719" t="s">
        <v>188</v>
      </c>
      <c r="I2719" t="s">
        <v>238</v>
      </c>
      <c r="J2719" t="s">
        <v>6462</v>
      </c>
      <c r="K2719" t="s">
        <v>9097</v>
      </c>
      <c r="R2719">
        <v>103</v>
      </c>
    </row>
    <row r="2720" spans="1:19" x14ac:dyDescent="0.25">
      <c r="A2720" t="s">
        <v>9098</v>
      </c>
      <c r="B2720" s="1">
        <v>45092</v>
      </c>
      <c r="C2720" t="s">
        <v>365</v>
      </c>
      <c r="D2720" t="s">
        <v>32</v>
      </c>
      <c r="E2720" t="s">
        <v>24</v>
      </c>
      <c r="F2720" t="s">
        <v>2708</v>
      </c>
      <c r="G2720">
        <v>5</v>
      </c>
      <c r="H2720" t="s">
        <v>464</v>
      </c>
      <c r="I2720" t="s">
        <v>579</v>
      </c>
      <c r="J2720" t="s">
        <v>2959</v>
      </c>
      <c r="K2720" t="s">
        <v>9099</v>
      </c>
    </row>
    <row r="2721" spans="1:19" x14ac:dyDescent="0.25">
      <c r="A2721" t="s">
        <v>9100</v>
      </c>
      <c r="B2721" s="1">
        <v>45092</v>
      </c>
      <c r="C2721" t="s">
        <v>841</v>
      </c>
      <c r="D2721" t="s">
        <v>32</v>
      </c>
      <c r="E2721" t="s">
        <v>24</v>
      </c>
      <c r="F2721" t="s">
        <v>215</v>
      </c>
      <c r="G2721">
        <v>15</v>
      </c>
      <c r="H2721" t="s">
        <v>464</v>
      </c>
      <c r="I2721" t="s">
        <v>943</v>
      </c>
      <c r="J2721" t="s">
        <v>1709</v>
      </c>
      <c r="K2721" t="s">
        <v>9101</v>
      </c>
    </row>
    <row r="2722" spans="1:19" x14ac:dyDescent="0.25">
      <c r="A2722" t="s">
        <v>9128</v>
      </c>
      <c r="B2722" s="1">
        <v>45099</v>
      </c>
      <c r="C2722" t="s">
        <v>508</v>
      </c>
      <c r="D2722" t="s">
        <v>32</v>
      </c>
      <c r="G2722">
        <v>37</v>
      </c>
      <c r="H2722" t="s">
        <v>1856</v>
      </c>
      <c r="J2722" t="s">
        <v>9129</v>
      </c>
      <c r="L2722">
        <v>0</v>
      </c>
      <c r="P2722">
        <v>3.3</v>
      </c>
      <c r="Q2722">
        <v>1.91</v>
      </c>
      <c r="R2722">
        <v>289</v>
      </c>
      <c r="S2722">
        <v>132.82</v>
      </c>
    </row>
    <row r="2723" spans="1:19" x14ac:dyDescent="0.25">
      <c r="A2723" t="s">
        <v>9130</v>
      </c>
      <c r="B2723" s="1">
        <v>45099</v>
      </c>
      <c r="C2723" t="s">
        <v>7038</v>
      </c>
      <c r="D2723" t="s">
        <v>32</v>
      </c>
      <c r="E2723" t="s">
        <v>24</v>
      </c>
      <c r="F2723" t="s">
        <v>292</v>
      </c>
      <c r="G2723">
        <v>45</v>
      </c>
      <c r="H2723" t="s">
        <v>194</v>
      </c>
      <c r="I2723" t="s">
        <v>232</v>
      </c>
      <c r="J2723" t="s">
        <v>9131</v>
      </c>
      <c r="K2723" t="s">
        <v>9132</v>
      </c>
      <c r="R2723">
        <v>388</v>
      </c>
      <c r="S2723">
        <v>140.44999999999999</v>
      </c>
    </row>
    <row r="2724" spans="1:19" x14ac:dyDescent="0.25">
      <c r="A2724" t="s">
        <v>9133</v>
      </c>
      <c r="B2724" s="1">
        <v>45099</v>
      </c>
      <c r="C2724" t="s">
        <v>5480</v>
      </c>
      <c r="D2724" t="s">
        <v>32</v>
      </c>
      <c r="E2724" t="s">
        <v>24</v>
      </c>
      <c r="F2724" t="s">
        <v>170</v>
      </c>
      <c r="G2724">
        <v>10</v>
      </c>
      <c r="H2724" t="s">
        <v>49</v>
      </c>
      <c r="I2724" t="s">
        <v>226</v>
      </c>
      <c r="J2724" t="s">
        <v>293</v>
      </c>
      <c r="K2724" t="s">
        <v>8620</v>
      </c>
      <c r="R2724">
        <v>45</v>
      </c>
      <c r="S2724">
        <v>103.99</v>
      </c>
    </row>
    <row r="2725" spans="1:19" x14ac:dyDescent="0.25">
      <c r="A2725" t="s">
        <v>9162</v>
      </c>
      <c r="B2725" s="1">
        <v>45106</v>
      </c>
      <c r="C2725" t="s">
        <v>9163</v>
      </c>
      <c r="D2725" t="s">
        <v>32</v>
      </c>
      <c r="E2725" t="s">
        <v>24</v>
      </c>
      <c r="F2725" t="s">
        <v>215</v>
      </c>
      <c r="G2725">
        <v>30</v>
      </c>
      <c r="H2725" t="s">
        <v>188</v>
      </c>
      <c r="I2725" t="s">
        <v>189</v>
      </c>
      <c r="J2725" t="s">
        <v>9164</v>
      </c>
      <c r="K2725" t="s">
        <v>9165</v>
      </c>
      <c r="R2725">
        <v>95</v>
      </c>
    </row>
    <row r="2726" spans="1:19" x14ac:dyDescent="0.25">
      <c r="A2726" t="s">
        <v>9166</v>
      </c>
      <c r="B2726" s="1">
        <v>45106</v>
      </c>
      <c r="C2726" t="s">
        <v>6148</v>
      </c>
      <c r="D2726" t="s">
        <v>32</v>
      </c>
      <c r="E2726" t="s">
        <v>24</v>
      </c>
      <c r="F2726" t="s">
        <v>2256</v>
      </c>
      <c r="G2726">
        <v>20</v>
      </c>
      <c r="H2726" t="s">
        <v>194</v>
      </c>
      <c r="I2726" t="s">
        <v>195</v>
      </c>
      <c r="J2726" t="s">
        <v>7381</v>
      </c>
      <c r="K2726" t="s">
        <v>9167</v>
      </c>
      <c r="R2726">
        <v>104</v>
      </c>
      <c r="S2726">
        <v>109.6</v>
      </c>
    </row>
    <row r="2727" spans="1:19" x14ac:dyDescent="0.25">
      <c r="A2727" t="s">
        <v>9168</v>
      </c>
      <c r="B2727" s="1">
        <v>45106</v>
      </c>
      <c r="C2727" t="s">
        <v>3211</v>
      </c>
      <c r="D2727" t="s">
        <v>32</v>
      </c>
      <c r="E2727" t="s">
        <v>24</v>
      </c>
      <c r="F2727" t="s">
        <v>2256</v>
      </c>
      <c r="G2727">
        <v>30</v>
      </c>
      <c r="H2727" t="s">
        <v>194</v>
      </c>
      <c r="I2727" t="s">
        <v>1445</v>
      </c>
      <c r="J2727" t="s">
        <v>9169</v>
      </c>
      <c r="K2727" t="s">
        <v>9170</v>
      </c>
      <c r="R2727">
        <v>146</v>
      </c>
      <c r="S2727">
        <v>115.92</v>
      </c>
    </row>
    <row r="2728" spans="1:19" x14ac:dyDescent="0.25">
      <c r="A2728" t="s">
        <v>9171</v>
      </c>
      <c r="B2728" s="1">
        <v>45106</v>
      </c>
      <c r="C2728" t="s">
        <v>1597</v>
      </c>
      <c r="D2728" t="s">
        <v>32</v>
      </c>
      <c r="E2728" t="s">
        <v>24</v>
      </c>
      <c r="F2728" t="s">
        <v>208</v>
      </c>
      <c r="G2728">
        <v>15</v>
      </c>
      <c r="H2728" t="s">
        <v>464</v>
      </c>
      <c r="I2728" t="s">
        <v>1571</v>
      </c>
      <c r="J2728" t="s">
        <v>9172</v>
      </c>
      <c r="K2728" t="s">
        <v>9173</v>
      </c>
    </row>
    <row r="2729" spans="1:19" x14ac:dyDescent="0.25">
      <c r="A2729" t="s">
        <v>9210</v>
      </c>
      <c r="B2729" s="1">
        <v>45113</v>
      </c>
      <c r="C2729" t="s">
        <v>130</v>
      </c>
      <c r="D2729" t="s">
        <v>32</v>
      </c>
      <c r="E2729" t="s">
        <v>24</v>
      </c>
      <c r="F2729" t="s">
        <v>237</v>
      </c>
      <c r="G2729">
        <v>30</v>
      </c>
      <c r="H2729" t="s">
        <v>188</v>
      </c>
      <c r="I2729" t="s">
        <v>189</v>
      </c>
      <c r="J2729" t="s">
        <v>7463</v>
      </c>
      <c r="K2729" t="s">
        <v>9211</v>
      </c>
      <c r="R2729">
        <v>100</v>
      </c>
    </row>
    <row r="2730" spans="1:19" x14ac:dyDescent="0.25">
      <c r="A2730" t="s">
        <v>9212</v>
      </c>
      <c r="B2730" s="1">
        <v>45113</v>
      </c>
      <c r="C2730" t="s">
        <v>9213</v>
      </c>
      <c r="D2730" t="s">
        <v>32</v>
      </c>
      <c r="E2730" t="s">
        <v>24</v>
      </c>
      <c r="F2730" t="s">
        <v>354</v>
      </c>
      <c r="G2730">
        <v>10</v>
      </c>
      <c r="H2730" t="s">
        <v>194</v>
      </c>
      <c r="I2730" t="s">
        <v>195</v>
      </c>
      <c r="J2730" t="s">
        <v>5727</v>
      </c>
      <c r="K2730" t="s">
        <v>9214</v>
      </c>
      <c r="R2730">
        <v>51</v>
      </c>
      <c r="S2730">
        <v>109.66</v>
      </c>
    </row>
    <row r="2731" spans="1:19" x14ac:dyDescent="0.25">
      <c r="A2731" t="s">
        <v>9215</v>
      </c>
      <c r="B2731" s="1">
        <v>45113</v>
      </c>
      <c r="C2731" t="s">
        <v>6092</v>
      </c>
      <c r="D2731" t="s">
        <v>32</v>
      </c>
      <c r="E2731" t="s">
        <v>24</v>
      </c>
      <c r="F2731" t="s">
        <v>2256</v>
      </c>
      <c r="G2731">
        <v>30</v>
      </c>
      <c r="H2731" t="s">
        <v>194</v>
      </c>
      <c r="I2731" t="s">
        <v>1445</v>
      </c>
      <c r="J2731" t="s">
        <v>4124</v>
      </c>
      <c r="K2731" t="s">
        <v>9216</v>
      </c>
      <c r="R2731">
        <v>200</v>
      </c>
      <c r="S2731">
        <v>123.2</v>
      </c>
    </row>
    <row r="2732" spans="1:19" x14ac:dyDescent="0.25">
      <c r="A2732" t="s">
        <v>9217</v>
      </c>
      <c r="B2732" s="1">
        <v>45113</v>
      </c>
      <c r="C2732" t="s">
        <v>9218</v>
      </c>
      <c r="D2732" t="s">
        <v>32</v>
      </c>
      <c r="E2732" t="s">
        <v>24</v>
      </c>
      <c r="F2732" t="s">
        <v>323</v>
      </c>
      <c r="G2732">
        <v>30</v>
      </c>
      <c r="H2732" t="s">
        <v>7562</v>
      </c>
      <c r="I2732" t="s">
        <v>7989</v>
      </c>
      <c r="J2732" t="s">
        <v>7990</v>
      </c>
      <c r="K2732" t="s">
        <v>9219</v>
      </c>
      <c r="L2732">
        <v>90</v>
      </c>
      <c r="P2732">
        <v>2.5099999999999998</v>
      </c>
      <c r="Q2732">
        <v>2.8</v>
      </c>
      <c r="R2732">
        <v>243</v>
      </c>
      <c r="S2732">
        <v>135.74</v>
      </c>
    </row>
    <row r="2733" spans="1:19" x14ac:dyDescent="0.25">
      <c r="A2733" t="s">
        <v>9220</v>
      </c>
      <c r="B2733" s="1">
        <v>45113</v>
      </c>
      <c r="C2733" t="s">
        <v>1909</v>
      </c>
      <c r="D2733" t="s">
        <v>32</v>
      </c>
      <c r="E2733" t="s">
        <v>24</v>
      </c>
      <c r="F2733" t="s">
        <v>208</v>
      </c>
      <c r="G2733">
        <v>10</v>
      </c>
      <c r="H2733" t="s">
        <v>464</v>
      </c>
      <c r="I2733" t="s">
        <v>9221</v>
      </c>
      <c r="J2733" t="s">
        <v>9222</v>
      </c>
      <c r="K2733" t="s">
        <v>9223</v>
      </c>
    </row>
    <row r="2734" spans="1:19" x14ac:dyDescent="0.25">
      <c r="A2734" t="s">
        <v>9270</v>
      </c>
      <c r="B2734" s="1">
        <v>45120</v>
      </c>
      <c r="C2734" t="s">
        <v>5078</v>
      </c>
      <c r="D2734" t="s">
        <v>32</v>
      </c>
      <c r="G2734">
        <v>39</v>
      </c>
      <c r="H2734" t="s">
        <v>1856</v>
      </c>
      <c r="J2734" t="s">
        <v>9271</v>
      </c>
      <c r="L2734">
        <v>0</v>
      </c>
      <c r="P2734">
        <v>3.08</v>
      </c>
      <c r="Q2734">
        <v>1.93</v>
      </c>
      <c r="R2734">
        <v>149</v>
      </c>
    </row>
    <row r="2735" spans="1:19" x14ac:dyDescent="0.25">
      <c r="A2735" t="s">
        <v>9272</v>
      </c>
      <c r="B2735" s="1">
        <v>45120</v>
      </c>
      <c r="C2735" t="s">
        <v>1292</v>
      </c>
      <c r="D2735" t="s">
        <v>32</v>
      </c>
      <c r="E2735" t="s">
        <v>24</v>
      </c>
      <c r="F2735" t="s">
        <v>215</v>
      </c>
      <c r="G2735">
        <v>15</v>
      </c>
      <c r="H2735" t="s">
        <v>464</v>
      </c>
      <c r="I2735" t="s">
        <v>1571</v>
      </c>
      <c r="J2735" t="s">
        <v>9172</v>
      </c>
      <c r="K2735" t="s">
        <v>9273</v>
      </c>
    </row>
    <row r="2736" spans="1:19" x14ac:dyDescent="0.25">
      <c r="A2736" t="s">
        <v>9323</v>
      </c>
      <c r="B2736" s="1">
        <v>45127</v>
      </c>
      <c r="C2736" t="s">
        <v>6092</v>
      </c>
      <c r="D2736" t="s">
        <v>32</v>
      </c>
      <c r="E2736" t="s">
        <v>24</v>
      </c>
      <c r="F2736" t="s">
        <v>9324</v>
      </c>
      <c r="G2736">
        <v>30</v>
      </c>
      <c r="H2736" t="s">
        <v>7562</v>
      </c>
      <c r="I2736" t="s">
        <v>7989</v>
      </c>
      <c r="J2736" t="s">
        <v>7990</v>
      </c>
      <c r="K2736" t="s">
        <v>9325</v>
      </c>
      <c r="L2736">
        <v>112</v>
      </c>
      <c r="P2736">
        <v>2.77</v>
      </c>
      <c r="Q2736">
        <v>2.88</v>
      </c>
      <c r="R2736">
        <v>278</v>
      </c>
      <c r="S2736">
        <v>147.02000000000001</v>
      </c>
    </row>
    <row r="2737" spans="1:19" x14ac:dyDescent="0.25">
      <c r="A2737" t="s">
        <v>9326</v>
      </c>
      <c r="B2737" s="1">
        <v>45127</v>
      </c>
      <c r="C2737" t="s">
        <v>1683</v>
      </c>
      <c r="D2737" t="s">
        <v>32</v>
      </c>
      <c r="E2737" t="s">
        <v>24</v>
      </c>
      <c r="F2737" t="s">
        <v>2256</v>
      </c>
      <c r="G2737">
        <v>10</v>
      </c>
      <c r="H2737" t="s">
        <v>194</v>
      </c>
      <c r="I2737" t="s">
        <v>1445</v>
      </c>
      <c r="J2737" t="s">
        <v>2809</v>
      </c>
      <c r="K2737" t="s">
        <v>9327</v>
      </c>
      <c r="R2737">
        <v>61</v>
      </c>
      <c r="S2737">
        <v>117.76</v>
      </c>
    </row>
    <row r="2738" spans="1:19" x14ac:dyDescent="0.25">
      <c r="A2738" t="s">
        <v>9328</v>
      </c>
      <c r="B2738" s="1">
        <v>45127</v>
      </c>
      <c r="C2738" t="s">
        <v>5505</v>
      </c>
      <c r="D2738" t="s">
        <v>32</v>
      </c>
      <c r="E2738" t="s">
        <v>24</v>
      </c>
      <c r="F2738" t="s">
        <v>335</v>
      </c>
      <c r="G2738">
        <v>10</v>
      </c>
      <c r="H2738" t="s">
        <v>194</v>
      </c>
      <c r="I2738" t="s">
        <v>195</v>
      </c>
      <c r="J2738" t="s">
        <v>211</v>
      </c>
      <c r="K2738" t="s">
        <v>9329</v>
      </c>
      <c r="R2738">
        <v>50</v>
      </c>
      <c r="S2738">
        <v>107.9</v>
      </c>
    </row>
    <row r="2739" spans="1:19" x14ac:dyDescent="0.25">
      <c r="A2739" t="s">
        <v>9330</v>
      </c>
      <c r="B2739" s="1">
        <v>45127</v>
      </c>
      <c r="C2739" t="s">
        <v>5407</v>
      </c>
      <c r="D2739" t="s">
        <v>32</v>
      </c>
      <c r="E2739" t="s">
        <v>24</v>
      </c>
      <c r="F2739" t="s">
        <v>25</v>
      </c>
      <c r="G2739">
        <v>10</v>
      </c>
      <c r="H2739" t="s">
        <v>194</v>
      </c>
      <c r="I2739" t="s">
        <v>5421</v>
      </c>
      <c r="J2739" t="s">
        <v>9331</v>
      </c>
      <c r="K2739" t="s">
        <v>9332</v>
      </c>
      <c r="R2739">
        <v>45</v>
      </c>
      <c r="S2739">
        <v>103.02</v>
      </c>
    </row>
    <row r="2740" spans="1:19" x14ac:dyDescent="0.25">
      <c r="A2740" t="s">
        <v>9407</v>
      </c>
      <c r="B2740" s="1">
        <v>45141</v>
      </c>
      <c r="C2740" t="s">
        <v>4585</v>
      </c>
      <c r="D2740" t="s">
        <v>32</v>
      </c>
      <c r="E2740" t="s">
        <v>24</v>
      </c>
      <c r="F2740" t="s">
        <v>237</v>
      </c>
      <c r="G2740">
        <v>30</v>
      </c>
      <c r="H2740" t="s">
        <v>188</v>
      </c>
      <c r="I2740" t="s">
        <v>254</v>
      </c>
      <c r="J2740" t="s">
        <v>9408</v>
      </c>
      <c r="K2740" t="s">
        <v>9409</v>
      </c>
      <c r="R2740">
        <v>100</v>
      </c>
    </row>
    <row r="2741" spans="1:19" x14ac:dyDescent="0.25">
      <c r="A2741" t="s">
        <v>9410</v>
      </c>
      <c r="B2741" s="1">
        <v>45141</v>
      </c>
      <c r="C2741" t="s">
        <v>9380</v>
      </c>
      <c r="D2741" t="s">
        <v>32</v>
      </c>
      <c r="E2741" t="s">
        <v>24</v>
      </c>
      <c r="F2741" t="s">
        <v>323</v>
      </c>
      <c r="G2741">
        <v>45</v>
      </c>
      <c r="H2741" t="s">
        <v>26</v>
      </c>
      <c r="I2741" t="s">
        <v>370</v>
      </c>
      <c r="J2741" t="s">
        <v>479</v>
      </c>
      <c r="K2741" t="s">
        <v>9411</v>
      </c>
      <c r="L2741">
        <v>293</v>
      </c>
      <c r="M2741">
        <v>109</v>
      </c>
      <c r="N2741" s="2">
        <v>0.36</v>
      </c>
      <c r="O2741">
        <v>86</v>
      </c>
      <c r="P2741">
        <v>15.88</v>
      </c>
      <c r="Q2741">
        <v>11.91</v>
      </c>
      <c r="R2741">
        <v>456</v>
      </c>
      <c r="S2741">
        <v>152.99</v>
      </c>
    </row>
    <row r="2742" spans="1:19" x14ac:dyDescent="0.25">
      <c r="A2742" t="s">
        <v>9412</v>
      </c>
      <c r="B2742" s="1">
        <v>45141</v>
      </c>
      <c r="C2742" t="s">
        <v>9383</v>
      </c>
      <c r="D2742" t="s">
        <v>32</v>
      </c>
      <c r="E2742" t="s">
        <v>24</v>
      </c>
      <c r="F2742" t="s">
        <v>2833</v>
      </c>
      <c r="G2742">
        <v>5</v>
      </c>
      <c r="H2742" t="s">
        <v>26</v>
      </c>
      <c r="I2742" t="s">
        <v>358</v>
      </c>
      <c r="J2742" t="s">
        <v>359</v>
      </c>
      <c r="K2742" t="s">
        <v>9194</v>
      </c>
      <c r="L2742">
        <v>17</v>
      </c>
      <c r="M2742">
        <v>56</v>
      </c>
      <c r="N2742" s="2">
        <v>0.3</v>
      </c>
      <c r="O2742">
        <v>77</v>
      </c>
      <c r="P2742">
        <v>12.51</v>
      </c>
      <c r="Q2742">
        <v>1.04</v>
      </c>
      <c r="R2742">
        <v>36</v>
      </c>
      <c r="S2742">
        <v>131.02000000000001</v>
      </c>
    </row>
    <row r="2743" spans="1:19" x14ac:dyDescent="0.25">
      <c r="A2743" t="s">
        <v>9413</v>
      </c>
      <c r="B2743" s="1">
        <v>45141</v>
      </c>
      <c r="C2743" t="s">
        <v>9414</v>
      </c>
      <c r="D2743" t="s">
        <v>32</v>
      </c>
      <c r="E2743" t="s">
        <v>24</v>
      </c>
      <c r="F2743" t="s">
        <v>200</v>
      </c>
      <c r="G2743">
        <v>15</v>
      </c>
      <c r="H2743" t="s">
        <v>464</v>
      </c>
      <c r="I2743" t="s">
        <v>579</v>
      </c>
      <c r="J2743" t="s">
        <v>8876</v>
      </c>
      <c r="K2743" t="s">
        <v>9415</v>
      </c>
    </row>
    <row r="2744" spans="1:19" x14ac:dyDescent="0.25">
      <c r="A2744" t="s">
        <v>9449</v>
      </c>
      <c r="B2744" s="1">
        <v>45148</v>
      </c>
      <c r="C2744" t="s">
        <v>9450</v>
      </c>
      <c r="D2744" t="s">
        <v>32</v>
      </c>
      <c r="E2744" t="s">
        <v>24</v>
      </c>
      <c r="F2744" t="s">
        <v>208</v>
      </c>
      <c r="G2744">
        <v>30</v>
      </c>
      <c r="H2744" t="s">
        <v>464</v>
      </c>
      <c r="I2744" t="s">
        <v>943</v>
      </c>
      <c r="J2744" t="s">
        <v>1621</v>
      </c>
      <c r="K2744" t="s">
        <v>9032</v>
      </c>
    </row>
    <row r="2745" spans="1:19" x14ac:dyDescent="0.25">
      <c r="A2745" t="s">
        <v>9497</v>
      </c>
      <c r="B2745" s="1">
        <v>45155</v>
      </c>
      <c r="C2745" t="s">
        <v>1692</v>
      </c>
      <c r="D2745" t="s">
        <v>32</v>
      </c>
      <c r="E2745" t="s">
        <v>24</v>
      </c>
      <c r="F2745" t="s">
        <v>2256</v>
      </c>
      <c r="G2745">
        <v>30</v>
      </c>
      <c r="H2745" t="s">
        <v>194</v>
      </c>
      <c r="I2745" t="s">
        <v>1445</v>
      </c>
      <c r="J2745" t="s">
        <v>4124</v>
      </c>
      <c r="K2745" t="s">
        <v>9498</v>
      </c>
      <c r="R2745">
        <v>184</v>
      </c>
      <c r="S2745">
        <v>118.31</v>
      </c>
    </row>
    <row r="2746" spans="1:19" x14ac:dyDescent="0.25">
      <c r="A2746" t="s">
        <v>9499</v>
      </c>
      <c r="B2746" s="1">
        <v>45155</v>
      </c>
      <c r="C2746" t="s">
        <v>2591</v>
      </c>
      <c r="D2746" t="s">
        <v>32</v>
      </c>
      <c r="E2746" t="s">
        <v>24</v>
      </c>
      <c r="F2746" t="s">
        <v>9324</v>
      </c>
      <c r="G2746">
        <v>30</v>
      </c>
      <c r="H2746" t="s">
        <v>7562</v>
      </c>
      <c r="I2746" t="s">
        <v>7989</v>
      </c>
      <c r="J2746" t="s">
        <v>7990</v>
      </c>
      <c r="K2746" t="s">
        <v>9500</v>
      </c>
      <c r="L2746">
        <v>116</v>
      </c>
      <c r="P2746">
        <v>2.79</v>
      </c>
      <c r="Q2746">
        <v>2.87</v>
      </c>
      <c r="R2746">
        <v>276</v>
      </c>
      <c r="S2746">
        <v>145.12</v>
      </c>
    </row>
    <row r="2747" spans="1:19" x14ac:dyDescent="0.25">
      <c r="A2747" t="s">
        <v>9569</v>
      </c>
      <c r="B2747" s="1">
        <v>45162</v>
      </c>
      <c r="C2747" t="s">
        <v>6092</v>
      </c>
      <c r="D2747" t="s">
        <v>32</v>
      </c>
      <c r="E2747" t="s">
        <v>24</v>
      </c>
      <c r="F2747" t="s">
        <v>305</v>
      </c>
      <c r="G2747">
        <v>30</v>
      </c>
      <c r="H2747" t="s">
        <v>194</v>
      </c>
      <c r="I2747" t="s">
        <v>232</v>
      </c>
      <c r="J2747" t="s">
        <v>9570</v>
      </c>
      <c r="K2747" t="s">
        <v>9518</v>
      </c>
      <c r="R2747">
        <v>212</v>
      </c>
      <c r="S2747">
        <v>126.51</v>
      </c>
    </row>
    <row r="2748" spans="1:19" x14ac:dyDescent="0.25">
      <c r="A2748" t="s">
        <v>9571</v>
      </c>
      <c r="B2748" s="1">
        <v>45162</v>
      </c>
      <c r="C2748" t="s">
        <v>6151</v>
      </c>
      <c r="D2748" t="s">
        <v>32</v>
      </c>
      <c r="E2748" t="s">
        <v>24</v>
      </c>
      <c r="F2748" t="s">
        <v>231</v>
      </c>
      <c r="G2748">
        <v>10</v>
      </c>
      <c r="H2748" t="s">
        <v>194</v>
      </c>
      <c r="I2748" t="s">
        <v>195</v>
      </c>
      <c r="J2748" t="s">
        <v>211</v>
      </c>
      <c r="K2748" t="s">
        <v>9572</v>
      </c>
      <c r="R2748">
        <v>35</v>
      </c>
      <c r="S2748">
        <v>91.21</v>
      </c>
    </row>
    <row r="2749" spans="1:19" x14ac:dyDescent="0.25">
      <c r="A2749" t="s">
        <v>9573</v>
      </c>
      <c r="B2749" s="1">
        <v>45162</v>
      </c>
      <c r="C2749" t="s">
        <v>5107</v>
      </c>
      <c r="D2749" t="s">
        <v>32</v>
      </c>
      <c r="E2749" t="s">
        <v>24</v>
      </c>
      <c r="F2749" t="s">
        <v>7777</v>
      </c>
      <c r="G2749">
        <v>30</v>
      </c>
      <c r="H2749" t="s">
        <v>7562</v>
      </c>
      <c r="I2749" t="s">
        <v>7989</v>
      </c>
      <c r="J2749" t="s">
        <v>7990</v>
      </c>
      <c r="K2749" t="s">
        <v>9574</v>
      </c>
      <c r="L2749">
        <v>115</v>
      </c>
      <c r="P2749">
        <v>2.64</v>
      </c>
      <c r="Q2749">
        <v>2.95</v>
      </c>
      <c r="R2749">
        <v>247</v>
      </c>
      <c r="S2749">
        <v>136.52000000000001</v>
      </c>
    </row>
    <row r="2750" spans="1:19" x14ac:dyDescent="0.25">
      <c r="A2750" t="s">
        <v>9612</v>
      </c>
      <c r="B2750" s="1">
        <v>45169</v>
      </c>
      <c r="C2750" t="s">
        <v>1012</v>
      </c>
      <c r="D2750" t="s">
        <v>32</v>
      </c>
      <c r="E2750" t="s">
        <v>24</v>
      </c>
      <c r="F2750" t="s">
        <v>2708</v>
      </c>
      <c r="G2750">
        <v>30</v>
      </c>
      <c r="H2750" t="s">
        <v>188</v>
      </c>
      <c r="I2750" t="s">
        <v>254</v>
      </c>
      <c r="J2750" t="s">
        <v>255</v>
      </c>
      <c r="K2750" t="s">
        <v>9613</v>
      </c>
      <c r="R2750">
        <v>92</v>
      </c>
    </row>
    <row r="2751" spans="1:19" x14ac:dyDescent="0.25">
      <c r="A2751" t="s">
        <v>9614</v>
      </c>
      <c r="B2751" s="1">
        <v>45169</v>
      </c>
      <c r="C2751" t="s">
        <v>9615</v>
      </c>
      <c r="D2751" t="s">
        <v>32</v>
      </c>
      <c r="E2751" t="s">
        <v>24</v>
      </c>
      <c r="F2751" t="s">
        <v>33</v>
      </c>
      <c r="G2751">
        <v>60</v>
      </c>
      <c r="H2751" t="s">
        <v>26</v>
      </c>
      <c r="I2751" t="s">
        <v>370</v>
      </c>
      <c r="J2751" t="s">
        <v>498</v>
      </c>
      <c r="K2751" t="s">
        <v>9616</v>
      </c>
      <c r="L2751">
        <v>396</v>
      </c>
      <c r="M2751">
        <v>110</v>
      </c>
      <c r="N2751" s="2">
        <v>0.38</v>
      </c>
      <c r="O2751">
        <v>85</v>
      </c>
      <c r="P2751">
        <v>16.66</v>
      </c>
      <c r="Q2751">
        <v>16.670000000000002</v>
      </c>
      <c r="R2751">
        <v>628</v>
      </c>
      <c r="S2751">
        <v>155.97999999999999</v>
      </c>
    </row>
    <row r="2752" spans="1:19" x14ac:dyDescent="0.25">
      <c r="A2752" t="s">
        <v>9617</v>
      </c>
      <c r="B2752" s="1">
        <v>45169</v>
      </c>
      <c r="C2752" t="s">
        <v>5508</v>
      </c>
      <c r="D2752" t="s">
        <v>32</v>
      </c>
      <c r="E2752" t="s">
        <v>24</v>
      </c>
      <c r="F2752" t="s">
        <v>33</v>
      </c>
      <c r="G2752">
        <v>10</v>
      </c>
      <c r="H2752" t="s">
        <v>26</v>
      </c>
      <c r="I2752" t="s">
        <v>44</v>
      </c>
      <c r="J2752" t="s">
        <v>9618</v>
      </c>
      <c r="K2752" t="s">
        <v>9619</v>
      </c>
      <c r="L2752">
        <v>31</v>
      </c>
      <c r="M2752">
        <v>52</v>
      </c>
      <c r="N2752" s="2">
        <v>0.28000000000000003</v>
      </c>
      <c r="O2752">
        <v>80</v>
      </c>
      <c r="P2752">
        <v>12.13</v>
      </c>
      <c r="Q2752">
        <v>2.02</v>
      </c>
      <c r="R2752">
        <v>70</v>
      </c>
      <c r="S2752">
        <v>125.76</v>
      </c>
    </row>
    <row r="2753" spans="1:19" x14ac:dyDescent="0.25">
      <c r="A2753" t="s">
        <v>9620</v>
      </c>
      <c r="B2753" s="1">
        <v>45169</v>
      </c>
      <c r="C2753" t="s">
        <v>5511</v>
      </c>
      <c r="D2753" t="s">
        <v>32</v>
      </c>
      <c r="E2753" t="s">
        <v>24</v>
      </c>
      <c r="F2753" t="s">
        <v>3250</v>
      </c>
      <c r="G2753">
        <v>10</v>
      </c>
      <c r="H2753" t="s">
        <v>194</v>
      </c>
      <c r="I2753" t="s">
        <v>700</v>
      </c>
      <c r="J2753" t="s">
        <v>1282</v>
      </c>
      <c r="K2753" t="s">
        <v>9621</v>
      </c>
      <c r="R2753">
        <v>55</v>
      </c>
      <c r="S2753">
        <v>112.9</v>
      </c>
    </row>
    <row r="2754" spans="1:19" x14ac:dyDescent="0.25">
      <c r="A2754" t="s">
        <v>9622</v>
      </c>
      <c r="B2754" s="1">
        <v>45169</v>
      </c>
      <c r="C2754" t="s">
        <v>6172</v>
      </c>
      <c r="D2754" t="s">
        <v>32</v>
      </c>
      <c r="E2754" t="s">
        <v>24</v>
      </c>
      <c r="F2754" t="s">
        <v>215</v>
      </c>
      <c r="G2754">
        <v>10</v>
      </c>
      <c r="H2754" t="s">
        <v>464</v>
      </c>
      <c r="I2754" t="s">
        <v>763</v>
      </c>
      <c r="J2754" t="s">
        <v>914</v>
      </c>
      <c r="K2754" t="s">
        <v>9623</v>
      </c>
    </row>
    <row r="2755" spans="1:19" x14ac:dyDescent="0.25">
      <c r="A2755" t="s">
        <v>9664</v>
      </c>
      <c r="B2755" s="1">
        <v>45176</v>
      </c>
      <c r="C2755" t="s">
        <v>1855</v>
      </c>
      <c r="D2755" t="s">
        <v>32</v>
      </c>
      <c r="E2755" t="s">
        <v>24</v>
      </c>
      <c r="F2755" t="s">
        <v>215</v>
      </c>
      <c r="G2755">
        <v>30</v>
      </c>
      <c r="H2755" t="s">
        <v>464</v>
      </c>
      <c r="I2755" t="s">
        <v>943</v>
      </c>
      <c r="J2755" t="s">
        <v>1621</v>
      </c>
      <c r="K2755" t="s">
        <v>5073</v>
      </c>
    </row>
    <row r="2756" spans="1:19" x14ac:dyDescent="0.25">
      <c r="A2756" t="s">
        <v>9733</v>
      </c>
      <c r="B2756" s="1">
        <v>45183</v>
      </c>
      <c r="C2756" t="s">
        <v>6467</v>
      </c>
      <c r="D2756" t="s">
        <v>32</v>
      </c>
      <c r="E2756" t="s">
        <v>24</v>
      </c>
      <c r="F2756" t="s">
        <v>323</v>
      </c>
      <c r="G2756">
        <v>60</v>
      </c>
      <c r="H2756" t="s">
        <v>26</v>
      </c>
      <c r="I2756" t="s">
        <v>370</v>
      </c>
      <c r="J2756" t="s">
        <v>498</v>
      </c>
      <c r="K2756" t="s">
        <v>5923</v>
      </c>
      <c r="L2756">
        <v>419</v>
      </c>
      <c r="M2756">
        <v>116</v>
      </c>
      <c r="N2756" s="2">
        <v>0.39</v>
      </c>
      <c r="O2756">
        <v>85</v>
      </c>
      <c r="P2756">
        <v>17.12</v>
      </c>
      <c r="Q2756">
        <v>17.12</v>
      </c>
      <c r="R2756">
        <v>651</v>
      </c>
      <c r="S2756">
        <v>159.34</v>
      </c>
    </row>
    <row r="2757" spans="1:19" x14ac:dyDescent="0.25">
      <c r="A2757" t="s">
        <v>9734</v>
      </c>
      <c r="B2757" s="1">
        <v>45183</v>
      </c>
      <c r="C2757" t="s">
        <v>9735</v>
      </c>
      <c r="D2757" t="s">
        <v>32</v>
      </c>
      <c r="E2757" t="s">
        <v>24</v>
      </c>
      <c r="F2757" t="s">
        <v>180</v>
      </c>
      <c r="G2757">
        <v>5</v>
      </c>
      <c r="H2757" t="s">
        <v>26</v>
      </c>
      <c r="I2757" t="s">
        <v>358</v>
      </c>
      <c r="J2757" t="s">
        <v>359</v>
      </c>
      <c r="K2757" t="s">
        <v>9736</v>
      </c>
      <c r="L2757">
        <v>15</v>
      </c>
      <c r="M2757">
        <v>50</v>
      </c>
      <c r="N2757" s="2">
        <v>0.3</v>
      </c>
      <c r="O2757">
        <v>73</v>
      </c>
      <c r="P2757">
        <v>11.88</v>
      </c>
      <c r="Q2757">
        <v>0.99</v>
      </c>
      <c r="R2757">
        <v>35</v>
      </c>
      <c r="S2757">
        <v>129.37</v>
      </c>
    </row>
    <row r="2758" spans="1:19" x14ac:dyDescent="0.25">
      <c r="A2758" t="s">
        <v>9737</v>
      </c>
      <c r="B2758" s="1">
        <v>45183</v>
      </c>
      <c r="C2758" t="s">
        <v>1438</v>
      </c>
      <c r="D2758" t="s">
        <v>32</v>
      </c>
      <c r="E2758" t="s">
        <v>24</v>
      </c>
      <c r="F2758" t="s">
        <v>2876</v>
      </c>
      <c r="G2758">
        <v>10</v>
      </c>
      <c r="H2758" t="s">
        <v>49</v>
      </c>
      <c r="I2758" t="s">
        <v>50</v>
      </c>
      <c r="J2758" t="s">
        <v>7067</v>
      </c>
      <c r="K2758" t="s">
        <v>9738</v>
      </c>
      <c r="R2758">
        <v>48</v>
      </c>
      <c r="S2758">
        <v>106.58</v>
      </c>
    </row>
    <row r="2759" spans="1:19" x14ac:dyDescent="0.25">
      <c r="A2759" t="s">
        <v>9761</v>
      </c>
      <c r="B2759" s="1">
        <v>45190</v>
      </c>
      <c r="C2759" t="s">
        <v>9762</v>
      </c>
      <c r="D2759" t="s">
        <v>32</v>
      </c>
      <c r="E2759" t="s">
        <v>24</v>
      </c>
      <c r="F2759" t="s">
        <v>243</v>
      </c>
      <c r="G2759">
        <v>45</v>
      </c>
      <c r="H2759" t="s">
        <v>26</v>
      </c>
      <c r="I2759" t="s">
        <v>370</v>
      </c>
      <c r="J2759" t="s">
        <v>439</v>
      </c>
      <c r="K2759" t="s">
        <v>9763</v>
      </c>
      <c r="L2759">
        <v>285</v>
      </c>
      <c r="M2759">
        <v>111</v>
      </c>
      <c r="N2759" s="2">
        <v>0.39</v>
      </c>
      <c r="O2759">
        <v>83</v>
      </c>
      <c r="P2759">
        <v>16.850000000000001</v>
      </c>
      <c r="Q2759">
        <v>12.32</v>
      </c>
      <c r="R2759">
        <v>477</v>
      </c>
      <c r="S2759">
        <v>160.54</v>
      </c>
    </row>
    <row r="2760" spans="1:19" x14ac:dyDescent="0.25">
      <c r="A2760" t="s">
        <v>9764</v>
      </c>
      <c r="B2760" s="1">
        <v>45190</v>
      </c>
      <c r="C2760" t="s">
        <v>9765</v>
      </c>
      <c r="D2760" t="s">
        <v>32</v>
      </c>
      <c r="E2760" t="s">
        <v>24</v>
      </c>
      <c r="F2760" t="s">
        <v>33</v>
      </c>
      <c r="G2760">
        <v>10</v>
      </c>
      <c r="H2760" t="s">
        <v>26</v>
      </c>
      <c r="I2760" t="s">
        <v>39</v>
      </c>
      <c r="J2760" t="s">
        <v>7372</v>
      </c>
      <c r="K2760" t="s">
        <v>9766</v>
      </c>
      <c r="L2760">
        <v>46</v>
      </c>
      <c r="M2760">
        <v>76</v>
      </c>
      <c r="N2760" s="2">
        <v>0.35</v>
      </c>
      <c r="O2760">
        <v>77</v>
      </c>
      <c r="P2760">
        <v>14.37</v>
      </c>
      <c r="Q2760">
        <v>2.39</v>
      </c>
      <c r="R2760">
        <v>57</v>
      </c>
    </row>
    <row r="2761" spans="1:19" x14ac:dyDescent="0.25">
      <c r="A2761" t="s">
        <v>9767</v>
      </c>
      <c r="B2761" s="1">
        <v>45190</v>
      </c>
      <c r="C2761" t="s">
        <v>9768</v>
      </c>
      <c r="D2761" t="s">
        <v>32</v>
      </c>
      <c r="E2761" t="s">
        <v>24</v>
      </c>
      <c r="F2761" t="s">
        <v>354</v>
      </c>
      <c r="G2761">
        <v>5</v>
      </c>
      <c r="H2761" t="s">
        <v>26</v>
      </c>
      <c r="I2761" t="s">
        <v>358</v>
      </c>
      <c r="J2761" t="s">
        <v>359</v>
      </c>
      <c r="K2761" t="s">
        <v>9769</v>
      </c>
      <c r="L2761">
        <v>19</v>
      </c>
      <c r="M2761">
        <v>62</v>
      </c>
      <c r="N2761" s="2">
        <v>0.3</v>
      </c>
      <c r="O2761">
        <v>83</v>
      </c>
      <c r="P2761">
        <v>13.19</v>
      </c>
      <c r="Q2761">
        <v>1.1000000000000001</v>
      </c>
      <c r="R2761">
        <v>36</v>
      </c>
      <c r="S2761">
        <v>129.51</v>
      </c>
    </row>
    <row r="2762" spans="1:19" x14ac:dyDescent="0.25">
      <c r="A2762" t="s">
        <v>9770</v>
      </c>
      <c r="B2762" s="1">
        <v>45190</v>
      </c>
      <c r="C2762" t="s">
        <v>8490</v>
      </c>
      <c r="D2762" t="s">
        <v>32</v>
      </c>
      <c r="E2762" t="s">
        <v>24</v>
      </c>
      <c r="F2762" t="s">
        <v>297</v>
      </c>
      <c r="G2762">
        <v>10</v>
      </c>
      <c r="H2762" t="s">
        <v>194</v>
      </c>
      <c r="I2762" t="s">
        <v>195</v>
      </c>
      <c r="J2762" t="s">
        <v>211</v>
      </c>
      <c r="K2762" t="s">
        <v>9766</v>
      </c>
      <c r="R2762">
        <v>27</v>
      </c>
      <c r="S2762">
        <v>100.4</v>
      </c>
    </row>
    <row r="2763" spans="1:19" x14ac:dyDescent="0.25">
      <c r="A2763" t="s">
        <v>9771</v>
      </c>
      <c r="B2763" s="1">
        <v>45190</v>
      </c>
      <c r="C2763" t="s">
        <v>100</v>
      </c>
      <c r="D2763" t="s">
        <v>32</v>
      </c>
      <c r="E2763" t="s">
        <v>24</v>
      </c>
      <c r="F2763" t="s">
        <v>200</v>
      </c>
      <c r="G2763">
        <v>30</v>
      </c>
      <c r="H2763" t="s">
        <v>188</v>
      </c>
      <c r="I2763" t="s">
        <v>189</v>
      </c>
      <c r="J2763" t="s">
        <v>3951</v>
      </c>
      <c r="K2763" t="s">
        <v>9772</v>
      </c>
      <c r="R2763">
        <v>133</v>
      </c>
      <c r="S2763">
        <v>102.63</v>
      </c>
    </row>
    <row r="2764" spans="1:19" x14ac:dyDescent="0.25">
      <c r="A2764" t="s">
        <v>9773</v>
      </c>
      <c r="B2764" s="1">
        <v>45190</v>
      </c>
      <c r="C2764" t="s">
        <v>913</v>
      </c>
      <c r="D2764" t="s">
        <v>32</v>
      </c>
      <c r="E2764" t="s">
        <v>24</v>
      </c>
      <c r="F2764" t="s">
        <v>215</v>
      </c>
      <c r="G2764">
        <v>10</v>
      </c>
      <c r="H2764" t="s">
        <v>464</v>
      </c>
      <c r="I2764" t="s">
        <v>579</v>
      </c>
      <c r="J2764" t="s">
        <v>914</v>
      </c>
      <c r="K2764" t="s">
        <v>9774</v>
      </c>
    </row>
    <row r="2765" spans="1:19" x14ac:dyDescent="0.25">
      <c r="A2765" t="s">
        <v>9805</v>
      </c>
      <c r="B2765" s="1">
        <v>45197</v>
      </c>
      <c r="C2765" t="s">
        <v>3746</v>
      </c>
      <c r="D2765" t="s">
        <v>32</v>
      </c>
      <c r="E2765" t="s">
        <v>24</v>
      </c>
      <c r="F2765" t="s">
        <v>237</v>
      </c>
      <c r="G2765">
        <v>30</v>
      </c>
      <c r="H2765" t="s">
        <v>188</v>
      </c>
      <c r="I2765" t="s">
        <v>189</v>
      </c>
      <c r="J2765" t="s">
        <v>9806</v>
      </c>
      <c r="K2765" t="s">
        <v>9807</v>
      </c>
      <c r="R2765">
        <v>100</v>
      </c>
    </row>
    <row r="2766" spans="1:19" x14ac:dyDescent="0.25">
      <c r="A2766" t="s">
        <v>9808</v>
      </c>
      <c r="B2766" s="1">
        <v>45197</v>
      </c>
      <c r="C2766" t="s">
        <v>9809</v>
      </c>
      <c r="D2766" t="s">
        <v>32</v>
      </c>
      <c r="E2766" t="s">
        <v>24</v>
      </c>
      <c r="F2766" t="s">
        <v>335</v>
      </c>
      <c r="G2766">
        <v>45</v>
      </c>
      <c r="H2766" t="s">
        <v>26</v>
      </c>
      <c r="I2766" t="s">
        <v>370</v>
      </c>
      <c r="J2766" t="s">
        <v>4280</v>
      </c>
      <c r="K2766" t="s">
        <v>9810</v>
      </c>
      <c r="L2766">
        <v>296</v>
      </c>
      <c r="M2766">
        <v>109</v>
      </c>
      <c r="N2766" s="2">
        <v>0.39</v>
      </c>
      <c r="O2766">
        <v>81</v>
      </c>
      <c r="P2766">
        <v>16.649999999999999</v>
      </c>
      <c r="Q2766">
        <v>12.49</v>
      </c>
      <c r="R2766">
        <v>497</v>
      </c>
      <c r="S2766">
        <v>163.61000000000001</v>
      </c>
    </row>
    <row r="2767" spans="1:19" x14ac:dyDescent="0.25">
      <c r="A2767" t="s">
        <v>9811</v>
      </c>
      <c r="B2767" s="1">
        <v>45197</v>
      </c>
      <c r="C2767" t="s">
        <v>2943</v>
      </c>
      <c r="D2767" t="s">
        <v>32</v>
      </c>
      <c r="E2767" t="s">
        <v>24</v>
      </c>
      <c r="F2767" t="s">
        <v>323</v>
      </c>
      <c r="G2767">
        <v>10</v>
      </c>
      <c r="H2767" t="s">
        <v>26</v>
      </c>
      <c r="I2767" t="s">
        <v>39</v>
      </c>
      <c r="J2767" t="s">
        <v>7372</v>
      </c>
      <c r="K2767" t="s">
        <v>9812</v>
      </c>
      <c r="L2767">
        <v>35</v>
      </c>
      <c r="M2767">
        <v>59</v>
      </c>
      <c r="N2767" s="2">
        <v>0.31</v>
      </c>
      <c r="O2767">
        <v>79</v>
      </c>
      <c r="P2767">
        <v>12.72</v>
      </c>
      <c r="Q2767">
        <v>2.12</v>
      </c>
      <c r="R2767">
        <v>82</v>
      </c>
      <c r="S2767">
        <v>136.32</v>
      </c>
    </row>
    <row r="2768" spans="1:19" x14ac:dyDescent="0.25">
      <c r="A2768" t="s">
        <v>9813</v>
      </c>
      <c r="B2768" s="1">
        <v>45197</v>
      </c>
      <c r="C2768" t="s">
        <v>6712</v>
      </c>
      <c r="D2768" t="s">
        <v>32</v>
      </c>
      <c r="E2768" t="s">
        <v>24</v>
      </c>
      <c r="F2768" t="s">
        <v>335</v>
      </c>
      <c r="G2768">
        <v>5</v>
      </c>
      <c r="H2768" t="s">
        <v>26</v>
      </c>
      <c r="I2768" t="s">
        <v>358</v>
      </c>
      <c r="J2768" t="s">
        <v>359</v>
      </c>
      <c r="K2768" t="s">
        <v>9814</v>
      </c>
      <c r="L2768">
        <v>14</v>
      </c>
      <c r="M2768">
        <v>48</v>
      </c>
      <c r="N2768" s="2">
        <v>0.28000000000000003</v>
      </c>
      <c r="O2768">
        <v>76</v>
      </c>
      <c r="P2768">
        <v>11.47</v>
      </c>
      <c r="Q2768">
        <v>0.96</v>
      </c>
      <c r="R2768">
        <v>25</v>
      </c>
      <c r="S2768">
        <v>124.05</v>
      </c>
    </row>
    <row r="2769" spans="1:19" x14ac:dyDescent="0.25">
      <c r="A2769" t="s">
        <v>9815</v>
      </c>
      <c r="B2769" s="1">
        <v>45197</v>
      </c>
      <c r="C2769" t="s">
        <v>6693</v>
      </c>
      <c r="D2769" t="s">
        <v>32</v>
      </c>
      <c r="E2769" t="s">
        <v>24</v>
      </c>
      <c r="F2769" t="s">
        <v>6030</v>
      </c>
      <c r="G2769">
        <v>10</v>
      </c>
      <c r="H2769" t="s">
        <v>194</v>
      </c>
      <c r="I2769" t="s">
        <v>195</v>
      </c>
      <c r="J2769" t="s">
        <v>211</v>
      </c>
      <c r="K2769" t="s">
        <v>9816</v>
      </c>
      <c r="R2769">
        <v>47</v>
      </c>
    </row>
    <row r="2770" spans="1:19" x14ac:dyDescent="0.25">
      <c r="A2770" t="s">
        <v>9817</v>
      </c>
      <c r="B2770" s="1">
        <v>45197</v>
      </c>
      <c r="C2770" t="s">
        <v>3211</v>
      </c>
      <c r="D2770" t="s">
        <v>32</v>
      </c>
      <c r="E2770" t="s">
        <v>24</v>
      </c>
      <c r="F2770" t="s">
        <v>6030</v>
      </c>
      <c r="G2770">
        <v>5</v>
      </c>
      <c r="H2770" t="s">
        <v>49</v>
      </c>
      <c r="I2770" t="s">
        <v>298</v>
      </c>
      <c r="J2770" t="s">
        <v>299</v>
      </c>
      <c r="K2770" t="s">
        <v>9818</v>
      </c>
      <c r="R2770">
        <v>12</v>
      </c>
    </row>
    <row r="2771" spans="1:19" x14ac:dyDescent="0.25">
      <c r="A2771" t="s">
        <v>9819</v>
      </c>
      <c r="B2771" s="1">
        <v>45197</v>
      </c>
      <c r="C2771" t="s">
        <v>913</v>
      </c>
      <c r="D2771" t="s">
        <v>32</v>
      </c>
      <c r="E2771" t="s">
        <v>24</v>
      </c>
      <c r="F2771" t="s">
        <v>208</v>
      </c>
      <c r="G2771">
        <v>30</v>
      </c>
      <c r="H2771" t="s">
        <v>464</v>
      </c>
      <c r="I2771" t="s">
        <v>943</v>
      </c>
      <c r="J2771" t="s">
        <v>1621</v>
      </c>
      <c r="K2771" t="s">
        <v>9804</v>
      </c>
    </row>
    <row r="2772" spans="1:19" x14ac:dyDescent="0.25">
      <c r="A2772" t="s">
        <v>9858</v>
      </c>
      <c r="B2772" s="1">
        <v>45204</v>
      </c>
      <c r="C2772" t="s">
        <v>9859</v>
      </c>
      <c r="D2772" t="s">
        <v>32</v>
      </c>
      <c r="E2772" t="s">
        <v>24</v>
      </c>
      <c r="F2772" t="s">
        <v>2708</v>
      </c>
      <c r="G2772">
        <v>20</v>
      </c>
      <c r="H2772" t="s">
        <v>464</v>
      </c>
      <c r="I2772" t="s">
        <v>943</v>
      </c>
      <c r="J2772" t="s">
        <v>1347</v>
      </c>
      <c r="K2772" t="s">
        <v>9860</v>
      </c>
    </row>
    <row r="2773" spans="1:19" x14ac:dyDescent="0.25">
      <c r="A2773" t="s">
        <v>9887</v>
      </c>
      <c r="B2773" s="1">
        <v>45211</v>
      </c>
      <c r="C2773" t="s">
        <v>6967</v>
      </c>
      <c r="D2773" t="s">
        <v>32</v>
      </c>
      <c r="E2773" t="s">
        <v>24</v>
      </c>
      <c r="F2773" t="s">
        <v>354</v>
      </c>
      <c r="G2773">
        <v>20</v>
      </c>
      <c r="H2773" t="s">
        <v>194</v>
      </c>
      <c r="I2773" t="s">
        <v>1445</v>
      </c>
      <c r="J2773" t="s">
        <v>4217</v>
      </c>
      <c r="K2773" t="s">
        <v>9888</v>
      </c>
      <c r="R2773">
        <v>123</v>
      </c>
      <c r="S2773">
        <v>126.07</v>
      </c>
    </row>
    <row r="2774" spans="1:19" x14ac:dyDescent="0.25">
      <c r="A2774" t="s">
        <v>9889</v>
      </c>
      <c r="B2774" s="1">
        <v>45211</v>
      </c>
      <c r="C2774" t="s">
        <v>1444</v>
      </c>
      <c r="D2774" t="s">
        <v>32</v>
      </c>
      <c r="E2774" t="s">
        <v>24</v>
      </c>
      <c r="F2774" t="s">
        <v>2256</v>
      </c>
      <c r="G2774">
        <v>10</v>
      </c>
      <c r="H2774" t="s">
        <v>194</v>
      </c>
      <c r="I2774" t="s">
        <v>1445</v>
      </c>
      <c r="J2774" t="s">
        <v>1446</v>
      </c>
      <c r="K2774" t="s">
        <v>9888</v>
      </c>
      <c r="R2774">
        <v>66</v>
      </c>
      <c r="S2774">
        <v>122.1</v>
      </c>
    </row>
    <row r="2775" spans="1:19" x14ac:dyDescent="0.25">
      <c r="A2775" t="s">
        <v>9890</v>
      </c>
      <c r="B2775" s="1">
        <v>45211</v>
      </c>
      <c r="C2775" t="s">
        <v>6982</v>
      </c>
      <c r="D2775" t="s">
        <v>32</v>
      </c>
      <c r="E2775" t="s">
        <v>24</v>
      </c>
      <c r="F2775" t="s">
        <v>2256</v>
      </c>
      <c r="G2775">
        <v>10</v>
      </c>
      <c r="H2775" t="s">
        <v>194</v>
      </c>
      <c r="I2775" t="s">
        <v>195</v>
      </c>
      <c r="J2775" t="s">
        <v>5762</v>
      </c>
      <c r="K2775" t="s">
        <v>9891</v>
      </c>
      <c r="R2775">
        <v>55</v>
      </c>
      <c r="S2775">
        <v>113.02</v>
      </c>
    </row>
    <row r="2776" spans="1:19" x14ac:dyDescent="0.25">
      <c r="A2776" t="s">
        <v>9892</v>
      </c>
      <c r="B2776" s="1">
        <v>45211</v>
      </c>
      <c r="C2776" t="s">
        <v>3214</v>
      </c>
      <c r="D2776" t="s">
        <v>32</v>
      </c>
      <c r="E2776" t="s">
        <v>24</v>
      </c>
      <c r="F2776" t="s">
        <v>7754</v>
      </c>
      <c r="G2776">
        <v>20</v>
      </c>
      <c r="H2776" t="s">
        <v>7562</v>
      </c>
      <c r="I2776" t="s">
        <v>7989</v>
      </c>
      <c r="J2776" t="s">
        <v>9893</v>
      </c>
      <c r="K2776" t="s">
        <v>9894</v>
      </c>
      <c r="L2776">
        <v>76</v>
      </c>
      <c r="P2776">
        <v>2.73</v>
      </c>
      <c r="Q2776">
        <v>2.04</v>
      </c>
      <c r="R2776">
        <v>178</v>
      </c>
      <c r="S2776">
        <v>142.93</v>
      </c>
    </row>
    <row r="2777" spans="1:19" x14ac:dyDescent="0.25">
      <c r="A2777" t="s">
        <v>9895</v>
      </c>
      <c r="B2777" s="1">
        <v>45211</v>
      </c>
      <c r="C2777" t="s">
        <v>6009</v>
      </c>
      <c r="D2777" t="s">
        <v>32</v>
      </c>
      <c r="E2777" t="s">
        <v>24</v>
      </c>
      <c r="F2777" t="s">
        <v>297</v>
      </c>
      <c r="G2777">
        <v>10</v>
      </c>
      <c r="H2777" t="s">
        <v>49</v>
      </c>
      <c r="I2777" t="s">
        <v>226</v>
      </c>
      <c r="J2777" t="s">
        <v>293</v>
      </c>
      <c r="K2777" t="s">
        <v>9896</v>
      </c>
      <c r="R2777">
        <v>41</v>
      </c>
      <c r="S2777">
        <v>100.69</v>
      </c>
    </row>
    <row r="2778" spans="1:19" x14ac:dyDescent="0.25">
      <c r="A2778" t="s">
        <v>9897</v>
      </c>
      <c r="B2778" s="1">
        <v>45211</v>
      </c>
      <c r="C2778" t="s">
        <v>1310</v>
      </c>
      <c r="D2778" t="s">
        <v>32</v>
      </c>
      <c r="E2778" t="s">
        <v>24</v>
      </c>
      <c r="F2778" t="s">
        <v>200</v>
      </c>
      <c r="G2778">
        <v>10</v>
      </c>
      <c r="H2778" t="s">
        <v>464</v>
      </c>
      <c r="I2778" t="s">
        <v>579</v>
      </c>
      <c r="J2778" t="s">
        <v>1820</v>
      </c>
      <c r="K2778" t="s">
        <v>9898</v>
      </c>
    </row>
    <row r="2779" spans="1:19" x14ac:dyDescent="0.25">
      <c r="A2779" t="s">
        <v>9941</v>
      </c>
      <c r="B2779" s="1">
        <v>45218</v>
      </c>
      <c r="C2779" t="s">
        <v>267</v>
      </c>
      <c r="D2779" t="s">
        <v>32</v>
      </c>
      <c r="E2779" t="s">
        <v>24</v>
      </c>
      <c r="F2779" t="s">
        <v>208</v>
      </c>
      <c r="G2779">
        <v>15</v>
      </c>
      <c r="H2779" t="s">
        <v>464</v>
      </c>
      <c r="I2779" t="s">
        <v>579</v>
      </c>
      <c r="J2779" t="s">
        <v>4321</v>
      </c>
      <c r="K2779" t="s">
        <v>9942</v>
      </c>
      <c r="S2779">
        <v>72.650000000000006</v>
      </c>
    </row>
    <row r="2780" spans="1:19" x14ac:dyDescent="0.25">
      <c r="A2780" t="s">
        <v>9943</v>
      </c>
      <c r="B2780" s="1">
        <v>45218</v>
      </c>
      <c r="C2780" t="s">
        <v>1974</v>
      </c>
      <c r="D2780" t="s">
        <v>32</v>
      </c>
      <c r="E2780" t="s">
        <v>24</v>
      </c>
      <c r="F2780" t="s">
        <v>243</v>
      </c>
      <c r="G2780">
        <v>10</v>
      </c>
      <c r="H2780" t="s">
        <v>188</v>
      </c>
      <c r="I2780" t="s">
        <v>2479</v>
      </c>
      <c r="J2780" t="s">
        <v>2539</v>
      </c>
      <c r="K2780" t="s">
        <v>8879</v>
      </c>
      <c r="R2780">
        <v>29</v>
      </c>
      <c r="S2780">
        <v>84.28</v>
      </c>
    </row>
    <row r="2781" spans="1:19" x14ac:dyDescent="0.25">
      <c r="A2781" t="s">
        <v>9993</v>
      </c>
      <c r="B2781" s="1">
        <v>45225</v>
      </c>
      <c r="C2781" t="s">
        <v>2353</v>
      </c>
      <c r="D2781" t="s">
        <v>32</v>
      </c>
      <c r="E2781" t="s">
        <v>24</v>
      </c>
      <c r="F2781" t="s">
        <v>459</v>
      </c>
      <c r="G2781">
        <v>15</v>
      </c>
      <c r="H2781" t="s">
        <v>464</v>
      </c>
      <c r="I2781" t="s">
        <v>763</v>
      </c>
      <c r="J2781" t="s">
        <v>2229</v>
      </c>
      <c r="K2781" t="s">
        <v>9994</v>
      </c>
    </row>
    <row r="2782" spans="1:19" x14ac:dyDescent="0.25">
      <c r="A2782" t="s">
        <v>10025</v>
      </c>
      <c r="B2782" s="1">
        <v>45232</v>
      </c>
      <c r="C2782" t="s">
        <v>1375</v>
      </c>
      <c r="D2782" t="s">
        <v>32</v>
      </c>
      <c r="E2782" t="s">
        <v>24</v>
      </c>
      <c r="F2782" t="s">
        <v>215</v>
      </c>
      <c r="G2782">
        <v>10</v>
      </c>
      <c r="H2782" t="s">
        <v>464</v>
      </c>
      <c r="I2782" t="s">
        <v>103</v>
      </c>
      <c r="J2782" t="s">
        <v>3441</v>
      </c>
      <c r="K2782" t="s">
        <v>10026</v>
      </c>
    </row>
    <row r="2783" spans="1:19" x14ac:dyDescent="0.25">
      <c r="A2783" t="s">
        <v>10080</v>
      </c>
      <c r="B2783" s="1">
        <v>45239</v>
      </c>
      <c r="C2783" t="s">
        <v>10081</v>
      </c>
      <c r="D2783" t="s">
        <v>32</v>
      </c>
      <c r="E2783" t="s">
        <v>24</v>
      </c>
      <c r="F2783" t="s">
        <v>354</v>
      </c>
      <c r="G2783">
        <v>30</v>
      </c>
      <c r="H2783" t="s">
        <v>194</v>
      </c>
      <c r="I2783" t="s">
        <v>1445</v>
      </c>
      <c r="J2783" t="s">
        <v>4124</v>
      </c>
      <c r="K2783" t="s">
        <v>10082</v>
      </c>
      <c r="R2783">
        <v>180</v>
      </c>
      <c r="S2783">
        <v>118.1</v>
      </c>
    </row>
    <row r="2784" spans="1:19" x14ac:dyDescent="0.25">
      <c r="A2784" t="s">
        <v>10083</v>
      </c>
      <c r="B2784" s="1">
        <v>45239</v>
      </c>
      <c r="C2784" t="s">
        <v>4262</v>
      </c>
      <c r="D2784" t="s">
        <v>32</v>
      </c>
      <c r="E2784" t="s">
        <v>24</v>
      </c>
      <c r="F2784" t="s">
        <v>243</v>
      </c>
      <c r="G2784">
        <v>30</v>
      </c>
      <c r="H2784" t="s">
        <v>26</v>
      </c>
      <c r="I2784" t="s">
        <v>370</v>
      </c>
      <c r="J2784" t="s">
        <v>396</v>
      </c>
      <c r="K2784" t="s">
        <v>7824</v>
      </c>
      <c r="L2784">
        <v>192</v>
      </c>
      <c r="M2784">
        <v>107</v>
      </c>
      <c r="N2784" s="2">
        <v>0.37</v>
      </c>
      <c r="O2784">
        <v>87</v>
      </c>
      <c r="P2784">
        <v>16.489999999999998</v>
      </c>
      <c r="Q2784">
        <v>8.25</v>
      </c>
      <c r="R2784">
        <v>294</v>
      </c>
      <c r="S2784">
        <v>150.74</v>
      </c>
    </row>
    <row r="2785" spans="1:19" x14ac:dyDescent="0.25">
      <c r="A2785" t="s">
        <v>10084</v>
      </c>
      <c r="B2785" s="1">
        <v>45239</v>
      </c>
      <c r="C2785" t="s">
        <v>3829</v>
      </c>
      <c r="D2785" t="s">
        <v>32</v>
      </c>
      <c r="E2785" t="s">
        <v>24</v>
      </c>
      <c r="F2785" t="s">
        <v>237</v>
      </c>
      <c r="G2785">
        <v>30</v>
      </c>
      <c r="H2785" t="s">
        <v>188</v>
      </c>
      <c r="I2785" t="s">
        <v>189</v>
      </c>
      <c r="J2785" t="s">
        <v>10085</v>
      </c>
      <c r="K2785" t="s">
        <v>10086</v>
      </c>
      <c r="R2785">
        <v>99</v>
      </c>
    </row>
    <row r="2786" spans="1:19" x14ac:dyDescent="0.25">
      <c r="A2786" t="s">
        <v>10133</v>
      </c>
      <c r="B2786" s="1">
        <v>45246</v>
      </c>
      <c r="C2786" t="s">
        <v>1737</v>
      </c>
      <c r="D2786" t="s">
        <v>32</v>
      </c>
      <c r="E2786" t="s">
        <v>24</v>
      </c>
      <c r="F2786" t="s">
        <v>208</v>
      </c>
      <c r="G2786">
        <v>10</v>
      </c>
      <c r="H2786" t="s">
        <v>464</v>
      </c>
      <c r="I2786" t="s">
        <v>1617</v>
      </c>
      <c r="J2786" t="s">
        <v>3543</v>
      </c>
      <c r="K2786" t="s">
        <v>10134</v>
      </c>
    </row>
    <row r="2787" spans="1:19" x14ac:dyDescent="0.25">
      <c r="A2787" t="s">
        <v>10209</v>
      </c>
      <c r="B2787" s="1">
        <v>45260</v>
      </c>
      <c r="C2787" t="s">
        <v>10210</v>
      </c>
      <c r="D2787" t="s">
        <v>32</v>
      </c>
      <c r="E2787" t="s">
        <v>24</v>
      </c>
      <c r="F2787" t="s">
        <v>292</v>
      </c>
      <c r="G2787">
        <v>10</v>
      </c>
      <c r="H2787" t="s">
        <v>194</v>
      </c>
      <c r="I2787" t="s">
        <v>195</v>
      </c>
      <c r="J2787" t="s">
        <v>211</v>
      </c>
      <c r="K2787" t="s">
        <v>10211</v>
      </c>
      <c r="R2787">
        <v>48</v>
      </c>
      <c r="S2787">
        <v>104.28</v>
      </c>
    </row>
    <row r="2788" spans="1:19" x14ac:dyDescent="0.25">
      <c r="A2788" t="s">
        <v>10212</v>
      </c>
      <c r="B2788" s="1">
        <v>45260</v>
      </c>
      <c r="C2788" t="s">
        <v>10213</v>
      </c>
      <c r="D2788" t="s">
        <v>32</v>
      </c>
      <c r="E2788" t="s">
        <v>24</v>
      </c>
      <c r="F2788" t="s">
        <v>243</v>
      </c>
      <c r="G2788">
        <v>10</v>
      </c>
      <c r="H2788" t="s">
        <v>188</v>
      </c>
      <c r="I2788" t="s">
        <v>189</v>
      </c>
      <c r="J2788" t="s">
        <v>564</v>
      </c>
      <c r="K2788" t="s">
        <v>2760</v>
      </c>
      <c r="R2788">
        <v>49</v>
      </c>
      <c r="S2788">
        <v>103.88</v>
      </c>
    </row>
    <row r="2789" spans="1:19" x14ac:dyDescent="0.25">
      <c r="A2789" t="s">
        <v>10268</v>
      </c>
      <c r="B2789" s="1">
        <v>45267</v>
      </c>
      <c r="C2789" t="s">
        <v>1507</v>
      </c>
      <c r="D2789" t="s">
        <v>32</v>
      </c>
      <c r="E2789" t="s">
        <v>24</v>
      </c>
      <c r="F2789" t="s">
        <v>237</v>
      </c>
      <c r="G2789">
        <v>10</v>
      </c>
      <c r="H2789" t="s">
        <v>464</v>
      </c>
      <c r="I2789" t="s">
        <v>763</v>
      </c>
      <c r="J2789" t="s">
        <v>914</v>
      </c>
      <c r="K2789" t="s">
        <v>10269</v>
      </c>
    </row>
    <row r="2790" spans="1:19" x14ac:dyDescent="0.25">
      <c r="A2790" t="s">
        <v>10327</v>
      </c>
      <c r="B2790" s="1">
        <v>45274</v>
      </c>
      <c r="C2790" t="s">
        <v>8417</v>
      </c>
      <c r="D2790" t="s">
        <v>32</v>
      </c>
      <c r="E2790" t="s">
        <v>24</v>
      </c>
      <c r="F2790" t="s">
        <v>323</v>
      </c>
      <c r="G2790">
        <v>60</v>
      </c>
      <c r="H2790" t="s">
        <v>26</v>
      </c>
      <c r="I2790" t="s">
        <v>370</v>
      </c>
      <c r="J2790" t="s">
        <v>498</v>
      </c>
      <c r="K2790" t="s">
        <v>10328</v>
      </c>
      <c r="L2790">
        <v>384</v>
      </c>
      <c r="M2790">
        <v>102</v>
      </c>
      <c r="N2790" s="2">
        <v>0.37</v>
      </c>
      <c r="O2790">
        <v>84</v>
      </c>
      <c r="P2790">
        <v>16.21</v>
      </c>
      <c r="Q2790">
        <v>16.54</v>
      </c>
      <c r="R2790">
        <v>641</v>
      </c>
      <c r="S2790">
        <v>164.89</v>
      </c>
    </row>
    <row r="2791" spans="1:19" x14ac:dyDescent="0.25">
      <c r="A2791" t="s">
        <v>10329</v>
      </c>
      <c r="B2791" s="1">
        <v>45274</v>
      </c>
      <c r="C2791" t="s">
        <v>10330</v>
      </c>
      <c r="D2791" t="s">
        <v>32</v>
      </c>
      <c r="E2791" t="s">
        <v>24</v>
      </c>
      <c r="F2791" t="s">
        <v>335</v>
      </c>
      <c r="G2791">
        <v>10</v>
      </c>
      <c r="H2791" t="s">
        <v>194</v>
      </c>
      <c r="I2791" t="s">
        <v>700</v>
      </c>
      <c r="J2791" t="s">
        <v>1282</v>
      </c>
      <c r="K2791" t="s">
        <v>10331</v>
      </c>
      <c r="R2791">
        <v>65</v>
      </c>
      <c r="S2791">
        <v>119.93</v>
      </c>
    </row>
    <row r="2792" spans="1:19" x14ac:dyDescent="0.25">
      <c r="A2792" t="s">
        <v>10332</v>
      </c>
      <c r="B2792" s="1">
        <v>45274</v>
      </c>
      <c r="C2792" t="s">
        <v>3780</v>
      </c>
      <c r="D2792" t="s">
        <v>32</v>
      </c>
      <c r="E2792" t="s">
        <v>24</v>
      </c>
      <c r="F2792" t="s">
        <v>335</v>
      </c>
      <c r="G2792">
        <v>10</v>
      </c>
      <c r="H2792" t="s">
        <v>194</v>
      </c>
      <c r="I2792" t="s">
        <v>195</v>
      </c>
      <c r="J2792" t="s">
        <v>5762</v>
      </c>
      <c r="K2792" t="s">
        <v>10333</v>
      </c>
      <c r="R2792">
        <v>59</v>
      </c>
      <c r="S2792">
        <v>114.67</v>
      </c>
    </row>
    <row r="2793" spans="1:19" x14ac:dyDescent="0.25">
      <c r="A2793" t="s">
        <v>10334</v>
      </c>
      <c r="B2793" s="1">
        <v>45274</v>
      </c>
      <c r="C2793" t="s">
        <v>4019</v>
      </c>
      <c r="D2793" t="s">
        <v>32</v>
      </c>
      <c r="E2793" t="s">
        <v>24</v>
      </c>
      <c r="F2793" t="s">
        <v>1987</v>
      </c>
      <c r="G2793">
        <v>10</v>
      </c>
      <c r="H2793" t="s">
        <v>188</v>
      </c>
      <c r="I2793" t="s">
        <v>238</v>
      </c>
      <c r="J2793" t="s">
        <v>674</v>
      </c>
      <c r="K2793" t="s">
        <v>10335</v>
      </c>
      <c r="R2793">
        <v>57</v>
      </c>
      <c r="S2793">
        <v>113.49</v>
      </c>
    </row>
    <row r="2794" spans="1:19" x14ac:dyDescent="0.25">
      <c r="A2794" t="s">
        <v>10362</v>
      </c>
      <c r="B2794" s="1">
        <v>45281</v>
      </c>
      <c r="C2794" t="s">
        <v>3826</v>
      </c>
      <c r="D2794" t="s">
        <v>32</v>
      </c>
      <c r="E2794" t="s">
        <v>24</v>
      </c>
      <c r="F2794" t="s">
        <v>354</v>
      </c>
      <c r="G2794">
        <v>5</v>
      </c>
      <c r="H2794" t="s">
        <v>194</v>
      </c>
      <c r="I2794" t="s">
        <v>195</v>
      </c>
      <c r="J2794" t="s">
        <v>196</v>
      </c>
      <c r="K2794" t="s">
        <v>10363</v>
      </c>
      <c r="R2794">
        <v>23</v>
      </c>
    </row>
    <row r="2795" spans="1:19" x14ac:dyDescent="0.25">
      <c r="A2795" t="s">
        <v>10364</v>
      </c>
      <c r="B2795" s="1">
        <v>45281</v>
      </c>
      <c r="C2795" t="s">
        <v>519</v>
      </c>
      <c r="D2795" t="s">
        <v>32</v>
      </c>
      <c r="E2795" t="s">
        <v>24</v>
      </c>
      <c r="F2795" t="s">
        <v>215</v>
      </c>
      <c r="G2795">
        <v>30</v>
      </c>
      <c r="H2795" t="s">
        <v>188</v>
      </c>
      <c r="I2795" t="s">
        <v>254</v>
      </c>
      <c r="J2795" t="s">
        <v>255</v>
      </c>
      <c r="K2795" t="s">
        <v>10365</v>
      </c>
      <c r="R2795">
        <v>93</v>
      </c>
    </row>
    <row r="2796" spans="1:19" x14ac:dyDescent="0.25">
      <c r="A2796" t="s">
        <v>10366</v>
      </c>
      <c r="B2796" s="1">
        <v>45281</v>
      </c>
      <c r="C2796" t="s">
        <v>10367</v>
      </c>
      <c r="D2796" t="s">
        <v>32</v>
      </c>
      <c r="E2796" t="s">
        <v>24</v>
      </c>
      <c r="F2796" t="s">
        <v>243</v>
      </c>
      <c r="G2796">
        <v>45</v>
      </c>
      <c r="H2796" t="s">
        <v>26</v>
      </c>
      <c r="I2796" t="s">
        <v>370</v>
      </c>
      <c r="J2796" t="s">
        <v>10368</v>
      </c>
      <c r="K2796" t="s">
        <v>10369</v>
      </c>
      <c r="L2796">
        <v>272</v>
      </c>
      <c r="M2796">
        <v>101</v>
      </c>
      <c r="N2796" s="2">
        <v>0.37</v>
      </c>
      <c r="O2796">
        <v>83</v>
      </c>
      <c r="P2796">
        <v>16.12</v>
      </c>
      <c r="Q2796">
        <v>12.09</v>
      </c>
      <c r="R2796">
        <v>504</v>
      </c>
      <c r="S2796">
        <v>161.55000000000001</v>
      </c>
    </row>
    <row r="2797" spans="1:19" x14ac:dyDescent="0.25">
      <c r="A2797" t="s">
        <v>10370</v>
      </c>
      <c r="B2797" s="1">
        <v>45281</v>
      </c>
      <c r="C2797" t="s">
        <v>10371</v>
      </c>
      <c r="D2797" t="s">
        <v>32</v>
      </c>
      <c r="E2797" t="s">
        <v>24</v>
      </c>
      <c r="F2797" t="s">
        <v>243</v>
      </c>
      <c r="G2797">
        <v>10</v>
      </c>
      <c r="H2797" t="s">
        <v>194</v>
      </c>
      <c r="I2797" t="s">
        <v>700</v>
      </c>
      <c r="J2797" t="s">
        <v>1282</v>
      </c>
      <c r="K2797" t="s">
        <v>10372</v>
      </c>
      <c r="R2797">
        <v>64</v>
      </c>
      <c r="S2797">
        <v>118.23</v>
      </c>
    </row>
    <row r="2798" spans="1:19" x14ac:dyDescent="0.25">
      <c r="A2798" t="s">
        <v>10373</v>
      </c>
      <c r="B2798" s="1">
        <v>45281</v>
      </c>
      <c r="C2798" t="s">
        <v>3971</v>
      </c>
      <c r="D2798" t="s">
        <v>32</v>
      </c>
      <c r="E2798" t="s">
        <v>24</v>
      </c>
      <c r="F2798" t="s">
        <v>297</v>
      </c>
      <c r="G2798">
        <v>20</v>
      </c>
      <c r="H2798" t="s">
        <v>194</v>
      </c>
      <c r="I2798" t="s">
        <v>691</v>
      </c>
      <c r="J2798" t="s">
        <v>10374</v>
      </c>
      <c r="K2798" t="s">
        <v>10375</v>
      </c>
      <c r="R2798">
        <v>144</v>
      </c>
      <c r="S2798">
        <v>126.04</v>
      </c>
    </row>
    <row r="2799" spans="1:19" x14ac:dyDescent="0.25">
      <c r="A2799" t="s">
        <v>10376</v>
      </c>
      <c r="B2799" s="1">
        <v>45281</v>
      </c>
      <c r="C2799" t="s">
        <v>3789</v>
      </c>
      <c r="D2799" t="s">
        <v>32</v>
      </c>
      <c r="E2799" t="s">
        <v>24</v>
      </c>
      <c r="F2799" t="s">
        <v>297</v>
      </c>
      <c r="G2799">
        <v>10</v>
      </c>
      <c r="H2799" t="s">
        <v>49</v>
      </c>
      <c r="I2799" t="s">
        <v>298</v>
      </c>
      <c r="J2799" t="s">
        <v>315</v>
      </c>
      <c r="K2799" t="s">
        <v>10375</v>
      </c>
      <c r="R2799">
        <v>52</v>
      </c>
      <c r="S2799">
        <v>107.95</v>
      </c>
    </row>
    <row r="2800" spans="1:19" x14ac:dyDescent="0.25">
      <c r="A2800" t="s">
        <v>10377</v>
      </c>
      <c r="B2800" s="1">
        <v>45281</v>
      </c>
      <c r="C2800" t="s">
        <v>3390</v>
      </c>
      <c r="D2800" t="s">
        <v>32</v>
      </c>
      <c r="E2800" t="s">
        <v>24</v>
      </c>
      <c r="F2800" t="s">
        <v>215</v>
      </c>
      <c r="G2800">
        <v>30</v>
      </c>
      <c r="H2800" t="s">
        <v>464</v>
      </c>
      <c r="I2800" t="s">
        <v>943</v>
      </c>
      <c r="J2800" t="s">
        <v>1621</v>
      </c>
      <c r="K2800" t="s">
        <v>10378</v>
      </c>
    </row>
    <row r="2801" spans="1:19" x14ac:dyDescent="0.25">
      <c r="A2801" t="s">
        <v>10408</v>
      </c>
      <c r="B2801" s="1">
        <v>45288</v>
      </c>
      <c r="C2801" t="s">
        <v>10409</v>
      </c>
      <c r="D2801" t="s">
        <v>32</v>
      </c>
      <c r="E2801" t="s">
        <v>24</v>
      </c>
      <c r="F2801" t="s">
        <v>297</v>
      </c>
      <c r="G2801">
        <v>30</v>
      </c>
      <c r="H2801" t="s">
        <v>194</v>
      </c>
      <c r="I2801" t="s">
        <v>691</v>
      </c>
      <c r="J2801" t="s">
        <v>10386</v>
      </c>
      <c r="K2801" t="s">
        <v>10375</v>
      </c>
      <c r="R2801">
        <v>193</v>
      </c>
      <c r="S2801">
        <v>113.72</v>
      </c>
    </row>
    <row r="2802" spans="1:19" x14ac:dyDescent="0.25">
      <c r="A2802" t="s">
        <v>10410</v>
      </c>
      <c r="B2802" s="1">
        <v>45288</v>
      </c>
      <c r="C2802" t="s">
        <v>5097</v>
      </c>
      <c r="D2802" t="s">
        <v>32</v>
      </c>
      <c r="E2802" t="s">
        <v>24</v>
      </c>
      <c r="F2802" t="s">
        <v>7754</v>
      </c>
      <c r="G2802">
        <v>45</v>
      </c>
      <c r="H2802" t="s">
        <v>7562</v>
      </c>
      <c r="I2802" t="s">
        <v>7989</v>
      </c>
      <c r="J2802" t="s">
        <v>10411</v>
      </c>
      <c r="K2802" t="s">
        <v>10412</v>
      </c>
      <c r="L2802">
        <v>160</v>
      </c>
      <c r="P2802">
        <v>2.67</v>
      </c>
      <c r="Q2802">
        <v>4.49</v>
      </c>
      <c r="R2802">
        <v>377</v>
      </c>
      <c r="S2802">
        <v>137.06</v>
      </c>
    </row>
    <row r="2803" spans="1:19" x14ac:dyDescent="0.25">
      <c r="A2803" t="s">
        <v>10413</v>
      </c>
      <c r="B2803" s="1">
        <v>45288</v>
      </c>
      <c r="C2803" t="s">
        <v>10414</v>
      </c>
      <c r="D2803" t="s">
        <v>32</v>
      </c>
      <c r="E2803" t="s">
        <v>24</v>
      </c>
      <c r="F2803" t="s">
        <v>231</v>
      </c>
      <c r="G2803">
        <v>10</v>
      </c>
      <c r="H2803" t="s">
        <v>194</v>
      </c>
      <c r="I2803" t="s">
        <v>195</v>
      </c>
      <c r="J2803" t="s">
        <v>211</v>
      </c>
      <c r="K2803" t="s">
        <v>10415</v>
      </c>
      <c r="R2803">
        <v>40</v>
      </c>
      <c r="S2803">
        <v>98.3</v>
      </c>
    </row>
    <row r="2804" spans="1:19" x14ac:dyDescent="0.25">
      <c r="A2804" t="s">
        <v>10416</v>
      </c>
      <c r="B2804" s="1">
        <v>45288</v>
      </c>
      <c r="C2804" t="s">
        <v>1637</v>
      </c>
      <c r="D2804" t="s">
        <v>32</v>
      </c>
      <c r="E2804" t="s">
        <v>24</v>
      </c>
      <c r="F2804" t="s">
        <v>200</v>
      </c>
      <c r="G2804">
        <v>10</v>
      </c>
      <c r="H2804" t="s">
        <v>464</v>
      </c>
      <c r="I2804" t="s">
        <v>943</v>
      </c>
      <c r="J2804" t="s">
        <v>944</v>
      </c>
      <c r="K2804" t="s">
        <v>10417</v>
      </c>
    </row>
    <row r="2805" spans="1:19" x14ac:dyDescent="0.25">
      <c r="A2805" t="s">
        <v>10465</v>
      </c>
      <c r="B2805" s="1">
        <v>45295</v>
      </c>
      <c r="C2805" t="s">
        <v>967</v>
      </c>
      <c r="D2805" t="s">
        <v>32</v>
      </c>
      <c r="E2805" t="s">
        <v>24</v>
      </c>
      <c r="F2805" t="s">
        <v>243</v>
      </c>
      <c r="G2805">
        <v>30</v>
      </c>
      <c r="H2805" t="s">
        <v>188</v>
      </c>
      <c r="I2805" t="s">
        <v>189</v>
      </c>
      <c r="J2805" t="s">
        <v>7816</v>
      </c>
      <c r="K2805" t="s">
        <v>10466</v>
      </c>
      <c r="R2805">
        <v>94</v>
      </c>
    </row>
    <row r="2806" spans="1:19" x14ac:dyDescent="0.25">
      <c r="A2806" t="s">
        <v>10467</v>
      </c>
      <c r="B2806" s="1">
        <v>45295</v>
      </c>
      <c r="C2806" t="s">
        <v>10468</v>
      </c>
      <c r="D2806" t="s">
        <v>32</v>
      </c>
      <c r="G2806">
        <v>40</v>
      </c>
      <c r="H2806" t="s">
        <v>1856</v>
      </c>
      <c r="J2806" t="s">
        <v>10469</v>
      </c>
      <c r="L2806">
        <v>0</v>
      </c>
      <c r="P2806">
        <v>3.05</v>
      </c>
      <c r="Q2806">
        <v>1.92</v>
      </c>
      <c r="R2806">
        <v>156</v>
      </c>
    </row>
    <row r="2807" spans="1:19" x14ac:dyDescent="0.25">
      <c r="A2807" t="s">
        <v>10470</v>
      </c>
      <c r="B2807" s="1">
        <v>45295</v>
      </c>
      <c r="C2807" t="s">
        <v>10471</v>
      </c>
      <c r="D2807" t="s">
        <v>32</v>
      </c>
      <c r="E2807" t="s">
        <v>24</v>
      </c>
      <c r="F2807" t="s">
        <v>231</v>
      </c>
      <c r="G2807">
        <v>10</v>
      </c>
      <c r="H2807" t="s">
        <v>194</v>
      </c>
      <c r="I2807" t="s">
        <v>195</v>
      </c>
      <c r="J2807" t="s">
        <v>10472</v>
      </c>
      <c r="K2807" t="s">
        <v>10473</v>
      </c>
      <c r="R2807">
        <v>62</v>
      </c>
      <c r="S2807">
        <v>117.68</v>
      </c>
    </row>
    <row r="2808" spans="1:19" x14ac:dyDescent="0.25">
      <c r="A2808" t="s">
        <v>10474</v>
      </c>
      <c r="B2808" s="1">
        <v>45295</v>
      </c>
      <c r="C2808" t="s">
        <v>10475</v>
      </c>
      <c r="D2808" t="s">
        <v>32</v>
      </c>
      <c r="E2808" t="s">
        <v>24</v>
      </c>
      <c r="F2808" t="s">
        <v>33</v>
      </c>
      <c r="G2808">
        <v>30</v>
      </c>
      <c r="H2808" t="s">
        <v>26</v>
      </c>
      <c r="I2808" t="s">
        <v>370</v>
      </c>
      <c r="J2808" t="s">
        <v>396</v>
      </c>
      <c r="K2808" t="s">
        <v>10476</v>
      </c>
      <c r="L2808">
        <v>161</v>
      </c>
      <c r="M2808">
        <v>90</v>
      </c>
      <c r="N2808" s="2">
        <v>0.35</v>
      </c>
      <c r="O2808">
        <v>86</v>
      </c>
      <c r="P2808">
        <v>15.42</v>
      </c>
      <c r="Q2808">
        <v>7.71</v>
      </c>
      <c r="R2808">
        <v>241</v>
      </c>
      <c r="S2808">
        <v>133.80000000000001</v>
      </c>
    </row>
    <row r="2809" spans="1:19" x14ac:dyDescent="0.25">
      <c r="A2809" t="s">
        <v>10477</v>
      </c>
      <c r="B2809" s="1">
        <v>45295</v>
      </c>
      <c r="C2809" t="s">
        <v>10238</v>
      </c>
      <c r="D2809" t="s">
        <v>32</v>
      </c>
      <c r="E2809" t="s">
        <v>24</v>
      </c>
      <c r="F2809" t="s">
        <v>747</v>
      </c>
      <c r="G2809">
        <v>10</v>
      </c>
      <c r="H2809" t="s">
        <v>194</v>
      </c>
      <c r="I2809" t="s">
        <v>700</v>
      </c>
      <c r="J2809" t="s">
        <v>1282</v>
      </c>
      <c r="K2809" t="s">
        <v>10478</v>
      </c>
      <c r="R2809">
        <v>45</v>
      </c>
      <c r="S2809">
        <v>102.68</v>
      </c>
    </row>
    <row r="2810" spans="1:19" x14ac:dyDescent="0.25">
      <c r="A2810" t="s">
        <v>10479</v>
      </c>
      <c r="B2810" s="1">
        <v>45295</v>
      </c>
      <c r="C2810" t="s">
        <v>1454</v>
      </c>
      <c r="D2810" t="s">
        <v>32</v>
      </c>
      <c r="E2810" t="s">
        <v>24</v>
      </c>
      <c r="F2810" t="s">
        <v>215</v>
      </c>
      <c r="G2810">
        <v>10</v>
      </c>
      <c r="H2810" t="s">
        <v>464</v>
      </c>
      <c r="I2810" t="s">
        <v>1571</v>
      </c>
      <c r="J2810" t="s">
        <v>2704</v>
      </c>
      <c r="K2810" t="s">
        <v>10480</v>
      </c>
    </row>
    <row r="2811" spans="1:19" x14ac:dyDescent="0.25">
      <c r="A2811" t="s">
        <v>10531</v>
      </c>
      <c r="B2811" s="1">
        <v>45302</v>
      </c>
      <c r="C2811" t="s">
        <v>3343</v>
      </c>
      <c r="D2811" t="s">
        <v>32</v>
      </c>
      <c r="E2811" t="s">
        <v>24</v>
      </c>
      <c r="F2811" t="s">
        <v>208</v>
      </c>
      <c r="G2811">
        <v>10</v>
      </c>
      <c r="H2811" t="s">
        <v>464</v>
      </c>
      <c r="I2811" t="s">
        <v>579</v>
      </c>
      <c r="J2811" t="s">
        <v>1820</v>
      </c>
      <c r="K2811" t="s">
        <v>10532</v>
      </c>
    </row>
    <row r="2812" spans="1:19" x14ac:dyDescent="0.25">
      <c r="A2812" t="s">
        <v>21</v>
      </c>
      <c r="B2812" s="1">
        <v>43333</v>
      </c>
      <c r="C2812" t="s">
        <v>22</v>
      </c>
      <c r="D2812" t="s">
        <v>23</v>
      </c>
      <c r="E2812" t="s">
        <v>24</v>
      </c>
      <c r="F2812" t="s">
        <v>25</v>
      </c>
      <c r="G2812">
        <v>20</v>
      </c>
      <c r="H2812" t="s">
        <v>26</v>
      </c>
      <c r="I2812" t="s">
        <v>27</v>
      </c>
      <c r="J2812" t="s">
        <v>28</v>
      </c>
      <c r="K2812" t="s">
        <v>29</v>
      </c>
      <c r="L2812">
        <v>104</v>
      </c>
      <c r="M2812">
        <v>87</v>
      </c>
      <c r="N2812" s="2">
        <v>0.41</v>
      </c>
      <c r="O2812">
        <v>68</v>
      </c>
      <c r="P2812">
        <v>14.68</v>
      </c>
      <c r="Q2812">
        <v>4.88</v>
      </c>
      <c r="R2812">
        <v>137</v>
      </c>
    </row>
    <row r="2813" spans="1:19" x14ac:dyDescent="0.25">
      <c r="A2813" t="s">
        <v>53</v>
      </c>
      <c r="B2813" s="1">
        <v>43354</v>
      </c>
      <c r="C2813" t="s">
        <v>54</v>
      </c>
      <c r="D2813" t="s">
        <v>23</v>
      </c>
      <c r="E2813" t="s">
        <v>24</v>
      </c>
      <c r="F2813" t="s">
        <v>25</v>
      </c>
      <c r="G2813">
        <v>45</v>
      </c>
      <c r="H2813" t="s">
        <v>26</v>
      </c>
      <c r="I2813" t="s">
        <v>44</v>
      </c>
      <c r="J2813" t="s">
        <v>55</v>
      </c>
      <c r="K2813" t="s">
        <v>56</v>
      </c>
      <c r="L2813">
        <v>250</v>
      </c>
      <c r="M2813">
        <v>93</v>
      </c>
      <c r="N2813" s="2">
        <v>0.39</v>
      </c>
      <c r="O2813">
        <v>75</v>
      </c>
      <c r="P2813">
        <v>15.44</v>
      </c>
      <c r="Q2813">
        <v>11.57</v>
      </c>
      <c r="R2813">
        <v>331</v>
      </c>
    </row>
    <row r="2814" spans="1:19" x14ac:dyDescent="0.25">
      <c r="A2814" t="s">
        <v>69</v>
      </c>
      <c r="B2814" s="1">
        <v>43368</v>
      </c>
      <c r="C2814" t="s">
        <v>70</v>
      </c>
      <c r="D2814" t="s">
        <v>23</v>
      </c>
      <c r="E2814" t="s">
        <v>24</v>
      </c>
      <c r="F2814" t="s">
        <v>25</v>
      </c>
      <c r="G2814">
        <v>30</v>
      </c>
      <c r="H2814" t="s">
        <v>26</v>
      </c>
      <c r="I2814" t="s">
        <v>44</v>
      </c>
      <c r="J2814" t="s">
        <v>71</v>
      </c>
      <c r="K2814" t="s">
        <v>72</v>
      </c>
      <c r="L2814">
        <v>174</v>
      </c>
      <c r="M2814">
        <v>97</v>
      </c>
      <c r="N2814" s="2">
        <v>0.4</v>
      </c>
      <c r="O2814">
        <v>77</v>
      </c>
      <c r="P2814">
        <v>15.9</v>
      </c>
      <c r="Q2814">
        <v>7.94</v>
      </c>
      <c r="R2814">
        <v>231</v>
      </c>
    </row>
    <row r="2815" spans="1:19" x14ac:dyDescent="0.25">
      <c r="A2815" t="s">
        <v>73</v>
      </c>
      <c r="B2815" s="1">
        <v>43375</v>
      </c>
      <c r="C2815" t="s">
        <v>74</v>
      </c>
      <c r="D2815" t="s">
        <v>23</v>
      </c>
      <c r="E2815" t="s">
        <v>24</v>
      </c>
      <c r="F2815" t="s">
        <v>25</v>
      </c>
      <c r="G2815">
        <v>30</v>
      </c>
      <c r="H2815" t="s">
        <v>26</v>
      </c>
      <c r="I2815" t="s">
        <v>44</v>
      </c>
      <c r="J2815" t="s">
        <v>64</v>
      </c>
      <c r="K2815" t="s">
        <v>75</v>
      </c>
      <c r="L2815">
        <v>176</v>
      </c>
      <c r="M2815">
        <v>98</v>
      </c>
      <c r="N2815" s="2">
        <v>0.41</v>
      </c>
      <c r="O2815">
        <v>73</v>
      </c>
      <c r="P2815">
        <v>15.88</v>
      </c>
      <c r="Q2815">
        <v>7.93</v>
      </c>
      <c r="R2815">
        <v>232</v>
      </c>
    </row>
    <row r="2816" spans="1:19" x14ac:dyDescent="0.25">
      <c r="A2816" t="s">
        <v>83</v>
      </c>
      <c r="B2816" s="1">
        <v>43382</v>
      </c>
      <c r="C2816" t="s">
        <v>54</v>
      </c>
      <c r="D2816" t="s">
        <v>23</v>
      </c>
      <c r="E2816" t="s">
        <v>24</v>
      </c>
      <c r="F2816" t="s">
        <v>25</v>
      </c>
      <c r="G2816">
        <v>45</v>
      </c>
      <c r="H2816" t="s">
        <v>26</v>
      </c>
      <c r="I2816" t="s">
        <v>44</v>
      </c>
      <c r="J2816" t="s">
        <v>84</v>
      </c>
      <c r="K2816" t="s">
        <v>85</v>
      </c>
      <c r="L2816">
        <v>237</v>
      </c>
      <c r="M2816">
        <v>88</v>
      </c>
      <c r="N2816" s="2">
        <v>0.37</v>
      </c>
      <c r="O2816">
        <v>80</v>
      </c>
      <c r="P2816">
        <v>15.27</v>
      </c>
      <c r="Q2816">
        <v>11.45</v>
      </c>
      <c r="R2816">
        <v>313</v>
      </c>
    </row>
    <row r="2817" spans="1:18" x14ac:dyDescent="0.25">
      <c r="A2817" t="s">
        <v>90</v>
      </c>
      <c r="B2817" s="1">
        <v>43389</v>
      </c>
      <c r="C2817" t="s">
        <v>74</v>
      </c>
      <c r="D2817" t="s">
        <v>23</v>
      </c>
      <c r="E2817" t="s">
        <v>24</v>
      </c>
      <c r="F2817" t="s">
        <v>25</v>
      </c>
      <c r="G2817">
        <v>20</v>
      </c>
      <c r="H2817" t="s">
        <v>26</v>
      </c>
      <c r="I2817" t="s">
        <v>44</v>
      </c>
      <c r="J2817" t="s">
        <v>91</v>
      </c>
      <c r="K2817" t="s">
        <v>92</v>
      </c>
      <c r="L2817">
        <v>20</v>
      </c>
      <c r="M2817">
        <v>86</v>
      </c>
      <c r="N2817" s="2">
        <v>0.33</v>
      </c>
      <c r="O2817">
        <v>90</v>
      </c>
      <c r="P2817">
        <v>14.77</v>
      </c>
      <c r="Q2817">
        <v>0.95</v>
      </c>
      <c r="R2817">
        <v>26</v>
      </c>
    </row>
    <row r="2818" spans="1:18" x14ac:dyDescent="0.25">
      <c r="A2818" t="s">
        <v>93</v>
      </c>
      <c r="B2818" s="1">
        <v>43403</v>
      </c>
      <c r="C2818" t="s">
        <v>94</v>
      </c>
      <c r="D2818" t="s">
        <v>23</v>
      </c>
      <c r="E2818" t="s">
        <v>24</v>
      </c>
      <c r="F2818" t="s">
        <v>25</v>
      </c>
      <c r="G2818">
        <v>30</v>
      </c>
      <c r="H2818" t="s">
        <v>26</v>
      </c>
      <c r="I2818" t="s">
        <v>44</v>
      </c>
      <c r="J2818" t="s">
        <v>45</v>
      </c>
      <c r="K2818" t="s">
        <v>95</v>
      </c>
      <c r="L2818">
        <v>163</v>
      </c>
      <c r="M2818">
        <v>91</v>
      </c>
      <c r="N2818" s="2">
        <v>0.38</v>
      </c>
      <c r="O2818">
        <v>78</v>
      </c>
      <c r="P2818">
        <v>15.37</v>
      </c>
      <c r="Q2818">
        <v>7.68</v>
      </c>
      <c r="R2818">
        <v>216</v>
      </c>
    </row>
    <row r="2819" spans="1:18" x14ac:dyDescent="0.25">
      <c r="A2819" t="s">
        <v>106</v>
      </c>
      <c r="B2819" s="1">
        <v>43424</v>
      </c>
      <c r="C2819" t="s">
        <v>107</v>
      </c>
      <c r="D2819" t="s">
        <v>23</v>
      </c>
      <c r="E2819" t="s">
        <v>24</v>
      </c>
      <c r="F2819" t="s">
        <v>25</v>
      </c>
      <c r="G2819">
        <v>30</v>
      </c>
      <c r="H2819" t="s">
        <v>26</v>
      </c>
      <c r="I2819" t="s">
        <v>44</v>
      </c>
      <c r="J2819" t="s">
        <v>45</v>
      </c>
      <c r="K2819" t="s">
        <v>108</v>
      </c>
      <c r="L2819">
        <v>175</v>
      </c>
      <c r="M2819">
        <v>97</v>
      </c>
      <c r="N2819" s="2">
        <v>0.37</v>
      </c>
      <c r="O2819">
        <v>83</v>
      </c>
      <c r="P2819">
        <v>15.81</v>
      </c>
      <c r="Q2819">
        <v>7.9</v>
      </c>
      <c r="R2819">
        <v>231</v>
      </c>
    </row>
    <row r="2820" spans="1:18" x14ac:dyDescent="0.25">
      <c r="A2820" t="s">
        <v>118</v>
      </c>
      <c r="B2820" s="1">
        <v>43445</v>
      </c>
      <c r="C2820" t="s">
        <v>119</v>
      </c>
      <c r="D2820" t="s">
        <v>23</v>
      </c>
      <c r="E2820" t="s">
        <v>24</v>
      </c>
      <c r="F2820" t="s">
        <v>25</v>
      </c>
      <c r="G2820">
        <v>30</v>
      </c>
      <c r="H2820" t="s">
        <v>26</v>
      </c>
      <c r="I2820" t="s">
        <v>44</v>
      </c>
      <c r="J2820" t="s">
        <v>64</v>
      </c>
      <c r="K2820" t="s">
        <v>120</v>
      </c>
      <c r="L2820">
        <v>153</v>
      </c>
      <c r="M2820">
        <v>85</v>
      </c>
      <c r="N2820" s="2">
        <v>0.39</v>
      </c>
      <c r="O2820">
        <v>73</v>
      </c>
      <c r="P2820">
        <v>14.98</v>
      </c>
      <c r="Q2820">
        <v>7.48</v>
      </c>
      <c r="R2820">
        <v>202</v>
      </c>
    </row>
    <row r="2821" spans="1:18" x14ac:dyDescent="0.25">
      <c r="A2821" t="s">
        <v>136</v>
      </c>
      <c r="B2821" s="1">
        <v>43627</v>
      </c>
      <c r="C2821" t="s">
        <v>137</v>
      </c>
      <c r="D2821" t="s">
        <v>23</v>
      </c>
      <c r="E2821" t="s">
        <v>24</v>
      </c>
      <c r="F2821" t="s">
        <v>25</v>
      </c>
      <c r="G2821">
        <v>30</v>
      </c>
      <c r="H2821" t="s">
        <v>26</v>
      </c>
      <c r="I2821" t="s">
        <v>44</v>
      </c>
      <c r="J2821" t="s">
        <v>45</v>
      </c>
      <c r="K2821" t="s">
        <v>138</v>
      </c>
      <c r="L2821">
        <v>187</v>
      </c>
      <c r="M2821">
        <v>104</v>
      </c>
      <c r="N2821" s="2">
        <v>0.4</v>
      </c>
      <c r="O2821">
        <v>80</v>
      </c>
      <c r="P2821">
        <v>16.309999999999999</v>
      </c>
      <c r="Q2821">
        <v>8.15</v>
      </c>
      <c r="R2821">
        <v>246</v>
      </c>
    </row>
    <row r="2822" spans="1:18" x14ac:dyDescent="0.25">
      <c r="A2822" t="s">
        <v>148</v>
      </c>
      <c r="B2822" s="1">
        <v>43634</v>
      </c>
      <c r="C2822" t="s">
        <v>149</v>
      </c>
      <c r="D2822" t="s">
        <v>23</v>
      </c>
      <c r="E2822" t="s">
        <v>24</v>
      </c>
      <c r="F2822" t="s">
        <v>25</v>
      </c>
      <c r="G2822">
        <v>30</v>
      </c>
      <c r="H2822" t="s">
        <v>26</v>
      </c>
      <c r="I2822" t="s">
        <v>44</v>
      </c>
      <c r="J2822" t="s">
        <v>45</v>
      </c>
      <c r="K2822" t="s">
        <v>150</v>
      </c>
      <c r="L2822">
        <v>179</v>
      </c>
      <c r="M2822">
        <v>99</v>
      </c>
      <c r="N2822" s="2">
        <v>0.39</v>
      </c>
      <c r="O2822">
        <v>80</v>
      </c>
      <c r="P2822">
        <v>15.91</v>
      </c>
      <c r="Q2822">
        <v>7.95</v>
      </c>
      <c r="R2822">
        <v>235</v>
      </c>
    </row>
    <row r="2823" spans="1:18" x14ac:dyDescent="0.25">
      <c r="A2823" t="s">
        <v>153</v>
      </c>
      <c r="B2823" s="1">
        <v>43641</v>
      </c>
      <c r="C2823" t="s">
        <v>154</v>
      </c>
      <c r="D2823" t="s">
        <v>23</v>
      </c>
      <c r="E2823" t="s">
        <v>24</v>
      </c>
      <c r="F2823" t="s">
        <v>25</v>
      </c>
      <c r="G2823">
        <v>30</v>
      </c>
      <c r="H2823" t="s">
        <v>26</v>
      </c>
      <c r="I2823" t="s">
        <v>126</v>
      </c>
      <c r="J2823" t="s">
        <v>141</v>
      </c>
      <c r="K2823" t="s">
        <v>155</v>
      </c>
      <c r="L2823">
        <v>136</v>
      </c>
      <c r="M2823">
        <v>76</v>
      </c>
      <c r="N2823" s="2">
        <v>0.4</v>
      </c>
      <c r="O2823">
        <v>58</v>
      </c>
      <c r="P2823">
        <v>12.27</v>
      </c>
      <c r="Q2823">
        <v>6.13</v>
      </c>
      <c r="R2823">
        <v>179</v>
      </c>
    </row>
    <row r="2824" spans="1:18" x14ac:dyDescent="0.25">
      <c r="A2824" t="s">
        <v>159</v>
      </c>
      <c r="B2824" s="1">
        <v>43648</v>
      </c>
      <c r="C2824" t="s">
        <v>160</v>
      </c>
      <c r="D2824" t="s">
        <v>23</v>
      </c>
      <c r="E2824" t="s">
        <v>24</v>
      </c>
      <c r="F2824" t="s">
        <v>25</v>
      </c>
      <c r="G2824">
        <v>30</v>
      </c>
      <c r="H2824" t="s">
        <v>26</v>
      </c>
      <c r="I2824" t="s">
        <v>44</v>
      </c>
      <c r="J2824" t="s">
        <v>45</v>
      </c>
      <c r="K2824" t="s">
        <v>161</v>
      </c>
      <c r="L2824">
        <v>166</v>
      </c>
      <c r="M2824">
        <v>92</v>
      </c>
      <c r="N2824" s="2">
        <v>0.39</v>
      </c>
      <c r="O2824">
        <v>77</v>
      </c>
      <c r="P2824">
        <v>15.21</v>
      </c>
      <c r="Q2824">
        <v>7.6</v>
      </c>
      <c r="R2824">
        <v>218</v>
      </c>
    </row>
    <row r="2825" spans="1:18" x14ac:dyDescent="0.25">
      <c r="A2825" t="s">
        <v>168</v>
      </c>
      <c r="B2825" s="1">
        <v>43662</v>
      </c>
      <c r="C2825" t="s">
        <v>169</v>
      </c>
      <c r="D2825" t="s">
        <v>23</v>
      </c>
      <c r="E2825" t="s">
        <v>24</v>
      </c>
      <c r="F2825" t="s">
        <v>170</v>
      </c>
      <c r="G2825">
        <v>20</v>
      </c>
      <c r="H2825" t="s">
        <v>26</v>
      </c>
      <c r="I2825" t="s">
        <v>44</v>
      </c>
      <c r="J2825" t="s">
        <v>171</v>
      </c>
      <c r="K2825" t="s">
        <v>172</v>
      </c>
      <c r="L2825">
        <v>101</v>
      </c>
      <c r="M2825">
        <v>85</v>
      </c>
      <c r="N2825" s="2">
        <v>0.34</v>
      </c>
      <c r="O2825">
        <v>89</v>
      </c>
      <c r="P2825">
        <v>15.05</v>
      </c>
      <c r="Q2825">
        <v>5.01</v>
      </c>
      <c r="R2825">
        <v>134</v>
      </c>
    </row>
    <row r="2826" spans="1:18" x14ac:dyDescent="0.25">
      <c r="A2826" t="s">
        <v>178</v>
      </c>
      <c r="B2826" s="1">
        <v>43774</v>
      </c>
      <c r="C2826" t="s">
        <v>179</v>
      </c>
      <c r="D2826" t="s">
        <v>23</v>
      </c>
      <c r="E2826" t="s">
        <v>24</v>
      </c>
      <c r="F2826" t="s">
        <v>180</v>
      </c>
      <c r="G2826">
        <v>30</v>
      </c>
      <c r="H2826" t="s">
        <v>26</v>
      </c>
      <c r="I2826" t="s">
        <v>103</v>
      </c>
      <c r="J2826" t="s">
        <v>181</v>
      </c>
      <c r="K2826" t="s">
        <v>182</v>
      </c>
      <c r="L2826">
        <v>154</v>
      </c>
      <c r="M2826">
        <v>88</v>
      </c>
      <c r="N2826" s="2">
        <v>0.4</v>
      </c>
      <c r="O2826">
        <v>72</v>
      </c>
      <c r="P2826">
        <v>15.2</v>
      </c>
      <c r="Q2826">
        <v>7.46</v>
      </c>
      <c r="R2826">
        <v>203</v>
      </c>
    </row>
    <row r="2827" spans="1:18" x14ac:dyDescent="0.25">
      <c r="A2827" t="s">
        <v>210</v>
      </c>
      <c r="B2827" s="1">
        <v>43837</v>
      </c>
      <c r="C2827" t="s">
        <v>199</v>
      </c>
      <c r="D2827" t="s">
        <v>23</v>
      </c>
      <c r="E2827" t="s">
        <v>24</v>
      </c>
      <c r="F2827" t="s">
        <v>180</v>
      </c>
      <c r="G2827">
        <v>10</v>
      </c>
      <c r="H2827" t="s">
        <v>194</v>
      </c>
      <c r="I2827" t="s">
        <v>195</v>
      </c>
      <c r="J2827" t="s">
        <v>211</v>
      </c>
      <c r="K2827" t="s">
        <v>212</v>
      </c>
      <c r="R2827">
        <v>56</v>
      </c>
    </row>
    <row r="2828" spans="1:18" x14ac:dyDescent="0.25">
      <c r="A2828" t="s">
        <v>224</v>
      </c>
      <c r="B2828" s="1">
        <v>43858</v>
      </c>
      <c r="C2828" t="s">
        <v>225</v>
      </c>
      <c r="D2828" t="s">
        <v>23</v>
      </c>
      <c r="E2828" t="s">
        <v>24</v>
      </c>
      <c r="F2828" t="s">
        <v>180</v>
      </c>
      <c r="G2828">
        <v>5</v>
      </c>
      <c r="H2828" t="s">
        <v>49</v>
      </c>
      <c r="I2828" t="s">
        <v>226</v>
      </c>
      <c r="J2828" t="s">
        <v>227</v>
      </c>
      <c r="K2828" t="s">
        <v>228</v>
      </c>
      <c r="R2828">
        <v>14</v>
      </c>
    </row>
    <row r="2829" spans="1:18" x14ac:dyDescent="0.25">
      <c r="A2829" t="s">
        <v>246</v>
      </c>
      <c r="B2829" s="1">
        <v>43865</v>
      </c>
      <c r="C2829" t="s">
        <v>247</v>
      </c>
      <c r="D2829" t="s">
        <v>23</v>
      </c>
      <c r="E2829" t="s">
        <v>24</v>
      </c>
      <c r="F2829" t="s">
        <v>215</v>
      </c>
      <c r="G2829">
        <v>20</v>
      </c>
      <c r="H2829" t="s">
        <v>188</v>
      </c>
      <c r="I2829" t="s">
        <v>189</v>
      </c>
      <c r="J2829" t="s">
        <v>248</v>
      </c>
      <c r="K2829" t="s">
        <v>249</v>
      </c>
      <c r="R2829">
        <v>80</v>
      </c>
    </row>
    <row r="2830" spans="1:18" x14ac:dyDescent="0.25">
      <c r="A2830" t="s">
        <v>250</v>
      </c>
      <c r="B2830" s="1">
        <v>43865</v>
      </c>
      <c r="C2830" t="s">
        <v>251</v>
      </c>
      <c r="D2830" t="s">
        <v>23</v>
      </c>
      <c r="E2830" t="s">
        <v>24</v>
      </c>
      <c r="F2830" t="s">
        <v>180</v>
      </c>
      <c r="G2830">
        <v>10</v>
      </c>
      <c r="H2830" t="s">
        <v>194</v>
      </c>
      <c r="I2830" t="s">
        <v>195</v>
      </c>
      <c r="J2830" t="s">
        <v>211</v>
      </c>
      <c r="K2830" t="s">
        <v>212</v>
      </c>
      <c r="R2830">
        <v>56</v>
      </c>
    </row>
    <row r="2831" spans="1:18" x14ac:dyDescent="0.25">
      <c r="A2831" t="s">
        <v>266</v>
      </c>
      <c r="B2831" s="1">
        <v>43900</v>
      </c>
      <c r="C2831" t="s">
        <v>267</v>
      </c>
      <c r="D2831" t="s">
        <v>23</v>
      </c>
      <c r="E2831" t="s">
        <v>24</v>
      </c>
      <c r="F2831" t="s">
        <v>243</v>
      </c>
      <c r="G2831">
        <v>20</v>
      </c>
      <c r="H2831" t="s">
        <v>188</v>
      </c>
      <c r="I2831" t="s">
        <v>189</v>
      </c>
      <c r="J2831" t="s">
        <v>248</v>
      </c>
      <c r="K2831" t="s">
        <v>268</v>
      </c>
      <c r="R2831">
        <v>75</v>
      </c>
    </row>
    <row r="2832" spans="1:18" x14ac:dyDescent="0.25">
      <c r="A2832" t="s">
        <v>269</v>
      </c>
      <c r="B2832" s="1">
        <v>43900</v>
      </c>
      <c r="C2832" t="s">
        <v>270</v>
      </c>
      <c r="D2832" t="s">
        <v>23</v>
      </c>
      <c r="E2832" t="s">
        <v>24</v>
      </c>
      <c r="F2832" t="s">
        <v>180</v>
      </c>
      <c r="G2832">
        <v>5</v>
      </c>
      <c r="H2832" t="s">
        <v>194</v>
      </c>
      <c r="I2832" t="s">
        <v>195</v>
      </c>
      <c r="J2832" t="s">
        <v>196</v>
      </c>
      <c r="K2832" t="s">
        <v>228</v>
      </c>
      <c r="R2832">
        <v>10</v>
      </c>
    </row>
    <row r="2833" spans="1:18" x14ac:dyDescent="0.25">
      <c r="A2833" t="s">
        <v>274</v>
      </c>
      <c r="B2833" s="1">
        <v>43914</v>
      </c>
      <c r="C2833" t="s">
        <v>275</v>
      </c>
      <c r="D2833" t="s">
        <v>23</v>
      </c>
      <c r="E2833" t="s">
        <v>24</v>
      </c>
      <c r="F2833" t="s">
        <v>208</v>
      </c>
      <c r="G2833">
        <v>45</v>
      </c>
      <c r="H2833" t="s">
        <v>188</v>
      </c>
      <c r="I2833" t="s">
        <v>189</v>
      </c>
      <c r="J2833" t="s">
        <v>244</v>
      </c>
      <c r="K2833" t="s">
        <v>276</v>
      </c>
      <c r="R2833">
        <v>177</v>
      </c>
    </row>
    <row r="2834" spans="1:18" x14ac:dyDescent="0.25">
      <c r="A2834" t="s">
        <v>321</v>
      </c>
      <c r="B2834" s="1">
        <v>44124</v>
      </c>
      <c r="C2834" t="s">
        <v>322</v>
      </c>
      <c r="D2834" t="s">
        <v>23</v>
      </c>
      <c r="E2834" t="s">
        <v>24</v>
      </c>
      <c r="F2834" t="s">
        <v>323</v>
      </c>
      <c r="G2834">
        <v>5</v>
      </c>
      <c r="H2834" t="s">
        <v>49</v>
      </c>
      <c r="I2834" t="s">
        <v>310</v>
      </c>
      <c r="J2834" t="s">
        <v>324</v>
      </c>
      <c r="K2834" t="s">
        <v>325</v>
      </c>
      <c r="R2834">
        <v>28</v>
      </c>
    </row>
    <row r="2835" spans="1:18" x14ac:dyDescent="0.25">
      <c r="A2835" t="s">
        <v>326</v>
      </c>
      <c r="B2835" s="1">
        <v>44124</v>
      </c>
      <c r="C2835" t="s">
        <v>327</v>
      </c>
      <c r="D2835" t="s">
        <v>23</v>
      </c>
      <c r="E2835" t="s">
        <v>24</v>
      </c>
      <c r="F2835" t="s">
        <v>328</v>
      </c>
      <c r="G2835">
        <v>10</v>
      </c>
      <c r="H2835" t="s">
        <v>49</v>
      </c>
      <c r="I2835" t="s">
        <v>226</v>
      </c>
      <c r="J2835" t="s">
        <v>293</v>
      </c>
      <c r="K2835" t="s">
        <v>329</v>
      </c>
      <c r="R2835">
        <v>28</v>
      </c>
    </row>
    <row r="2836" spans="1:18" x14ac:dyDescent="0.25">
      <c r="A2836" t="s">
        <v>364</v>
      </c>
      <c r="B2836" s="1">
        <v>44138</v>
      </c>
      <c r="C2836" t="s">
        <v>365</v>
      </c>
      <c r="D2836" t="s">
        <v>23</v>
      </c>
      <c r="E2836" t="s">
        <v>24</v>
      </c>
      <c r="F2836" t="s">
        <v>323</v>
      </c>
      <c r="G2836">
        <v>15</v>
      </c>
      <c r="H2836" t="s">
        <v>26</v>
      </c>
      <c r="I2836" t="s">
        <v>39</v>
      </c>
      <c r="J2836" t="s">
        <v>366</v>
      </c>
      <c r="K2836" t="s">
        <v>367</v>
      </c>
      <c r="L2836">
        <v>56</v>
      </c>
      <c r="M2836">
        <v>62</v>
      </c>
      <c r="N2836" s="2">
        <v>0.33</v>
      </c>
      <c r="O2836">
        <v>74</v>
      </c>
      <c r="P2836">
        <v>12.96</v>
      </c>
      <c r="Q2836">
        <v>3.24</v>
      </c>
      <c r="R2836">
        <v>77</v>
      </c>
    </row>
    <row r="2837" spans="1:18" x14ac:dyDescent="0.25">
      <c r="A2837" t="s">
        <v>368</v>
      </c>
      <c r="B2837" s="1">
        <v>44138</v>
      </c>
      <c r="C2837" t="s">
        <v>369</v>
      </c>
      <c r="D2837" t="s">
        <v>23</v>
      </c>
      <c r="E2837" t="s">
        <v>24</v>
      </c>
      <c r="F2837" t="s">
        <v>323</v>
      </c>
      <c r="G2837">
        <v>20</v>
      </c>
      <c r="H2837" t="s">
        <v>26</v>
      </c>
      <c r="I2837" t="s">
        <v>370</v>
      </c>
      <c r="J2837" t="s">
        <v>371</v>
      </c>
      <c r="K2837" t="s">
        <v>372</v>
      </c>
      <c r="L2837">
        <v>81</v>
      </c>
      <c r="M2837">
        <v>75</v>
      </c>
      <c r="N2837" s="2">
        <v>0.32</v>
      </c>
      <c r="O2837">
        <v>85</v>
      </c>
      <c r="P2837">
        <v>14.19</v>
      </c>
      <c r="Q2837">
        <v>4.24</v>
      </c>
      <c r="R2837">
        <v>111</v>
      </c>
    </row>
    <row r="2838" spans="1:18" x14ac:dyDescent="0.25">
      <c r="A2838" t="s">
        <v>429</v>
      </c>
      <c r="B2838" s="1">
        <v>44145</v>
      </c>
      <c r="C2838" t="s">
        <v>430</v>
      </c>
      <c r="D2838" t="s">
        <v>23</v>
      </c>
      <c r="E2838" t="s">
        <v>24</v>
      </c>
      <c r="F2838" t="s">
        <v>323</v>
      </c>
      <c r="G2838">
        <v>10</v>
      </c>
      <c r="H2838" t="s">
        <v>26</v>
      </c>
      <c r="I2838" t="s">
        <v>39</v>
      </c>
      <c r="J2838" t="s">
        <v>431</v>
      </c>
      <c r="K2838" t="s">
        <v>367</v>
      </c>
      <c r="L2838">
        <v>36</v>
      </c>
      <c r="M2838">
        <v>60</v>
      </c>
      <c r="N2838" s="2">
        <v>0.32</v>
      </c>
      <c r="O2838">
        <v>78</v>
      </c>
      <c r="P2838">
        <v>12.97</v>
      </c>
      <c r="Q2838">
        <v>2.16</v>
      </c>
      <c r="R2838">
        <v>49</v>
      </c>
    </row>
    <row r="2839" spans="1:18" x14ac:dyDescent="0.25">
      <c r="A2839" t="s">
        <v>432</v>
      </c>
      <c r="B2839" s="1">
        <v>44145</v>
      </c>
      <c r="C2839" t="s">
        <v>374</v>
      </c>
      <c r="D2839" t="s">
        <v>23</v>
      </c>
      <c r="E2839" t="s">
        <v>24</v>
      </c>
      <c r="F2839" t="s">
        <v>33</v>
      </c>
      <c r="G2839">
        <v>30</v>
      </c>
      <c r="H2839" t="s">
        <v>26</v>
      </c>
      <c r="I2839" t="s">
        <v>370</v>
      </c>
      <c r="J2839" t="s">
        <v>433</v>
      </c>
      <c r="K2839" t="s">
        <v>434</v>
      </c>
      <c r="L2839">
        <v>138</v>
      </c>
      <c r="M2839">
        <v>77</v>
      </c>
      <c r="N2839" s="2">
        <v>0.31</v>
      </c>
      <c r="O2839">
        <v>90</v>
      </c>
      <c r="P2839">
        <v>14.34</v>
      </c>
      <c r="Q2839">
        <v>7.17</v>
      </c>
      <c r="R2839">
        <v>189</v>
      </c>
    </row>
    <row r="2840" spans="1:18" x14ac:dyDescent="0.25">
      <c r="A2840" t="s">
        <v>435</v>
      </c>
      <c r="B2840" s="1">
        <v>44145</v>
      </c>
      <c r="C2840" t="s">
        <v>377</v>
      </c>
      <c r="D2840" t="s">
        <v>23</v>
      </c>
      <c r="E2840" t="s">
        <v>24</v>
      </c>
      <c r="F2840" t="s">
        <v>33</v>
      </c>
      <c r="G2840">
        <v>5</v>
      </c>
      <c r="H2840" t="s">
        <v>49</v>
      </c>
      <c r="I2840" t="s">
        <v>50</v>
      </c>
      <c r="J2840" t="s">
        <v>51</v>
      </c>
      <c r="K2840" t="s">
        <v>436</v>
      </c>
      <c r="R2840">
        <v>13</v>
      </c>
    </row>
    <row r="2841" spans="1:18" x14ac:dyDescent="0.25">
      <c r="A2841" t="s">
        <v>477</v>
      </c>
      <c r="B2841" s="1">
        <v>44152</v>
      </c>
      <c r="C2841" t="s">
        <v>478</v>
      </c>
      <c r="D2841" t="s">
        <v>23</v>
      </c>
      <c r="E2841" t="s">
        <v>24</v>
      </c>
      <c r="F2841" t="s">
        <v>243</v>
      </c>
      <c r="G2841">
        <v>45</v>
      </c>
      <c r="H2841" t="s">
        <v>26</v>
      </c>
      <c r="I2841" t="s">
        <v>370</v>
      </c>
      <c r="J2841" t="s">
        <v>479</v>
      </c>
      <c r="K2841" t="s">
        <v>480</v>
      </c>
      <c r="L2841">
        <v>216</v>
      </c>
      <c r="M2841">
        <v>80</v>
      </c>
      <c r="N2841" s="2">
        <v>0.34</v>
      </c>
      <c r="O2841">
        <v>84</v>
      </c>
      <c r="P2841">
        <v>14.64</v>
      </c>
      <c r="Q2841">
        <v>10.97</v>
      </c>
      <c r="R2841">
        <v>295</v>
      </c>
    </row>
    <row r="2842" spans="1:18" x14ac:dyDescent="0.25">
      <c r="A2842" t="s">
        <v>481</v>
      </c>
      <c r="B2842" s="1">
        <v>44152</v>
      </c>
      <c r="C2842" t="s">
        <v>482</v>
      </c>
      <c r="D2842" t="s">
        <v>23</v>
      </c>
      <c r="E2842" t="s">
        <v>24</v>
      </c>
      <c r="F2842" t="s">
        <v>243</v>
      </c>
      <c r="G2842">
        <v>20</v>
      </c>
      <c r="H2842" t="s">
        <v>188</v>
      </c>
      <c r="I2842" t="s">
        <v>238</v>
      </c>
      <c r="J2842" t="s">
        <v>483</v>
      </c>
      <c r="K2842" t="s">
        <v>484</v>
      </c>
      <c r="R2842">
        <v>72</v>
      </c>
    </row>
    <row r="2843" spans="1:18" x14ac:dyDescent="0.25">
      <c r="A2843" t="s">
        <v>526</v>
      </c>
      <c r="B2843" s="1">
        <v>44159</v>
      </c>
      <c r="C2843" t="s">
        <v>527</v>
      </c>
      <c r="D2843" t="s">
        <v>23</v>
      </c>
      <c r="E2843" t="s">
        <v>24</v>
      </c>
      <c r="F2843" t="s">
        <v>328</v>
      </c>
      <c r="G2843">
        <v>30</v>
      </c>
      <c r="H2843" t="s">
        <v>26</v>
      </c>
      <c r="I2843" t="s">
        <v>370</v>
      </c>
      <c r="J2843" t="s">
        <v>396</v>
      </c>
      <c r="K2843" t="s">
        <v>528</v>
      </c>
      <c r="L2843">
        <v>132</v>
      </c>
      <c r="M2843">
        <v>73</v>
      </c>
      <c r="N2843" s="2">
        <v>0.31</v>
      </c>
      <c r="O2843">
        <v>88</v>
      </c>
      <c r="P2843">
        <v>14.19</v>
      </c>
      <c r="Q2843">
        <v>7.1</v>
      </c>
      <c r="R2843">
        <v>181</v>
      </c>
    </row>
    <row r="2844" spans="1:18" x14ac:dyDescent="0.25">
      <c r="A2844" t="s">
        <v>566</v>
      </c>
      <c r="B2844" s="1">
        <v>44166</v>
      </c>
      <c r="C2844" t="s">
        <v>374</v>
      </c>
      <c r="D2844" t="s">
        <v>23</v>
      </c>
      <c r="E2844" t="s">
        <v>24</v>
      </c>
      <c r="F2844" t="s">
        <v>243</v>
      </c>
      <c r="G2844">
        <v>30</v>
      </c>
      <c r="H2844" t="s">
        <v>26</v>
      </c>
      <c r="I2844" t="s">
        <v>126</v>
      </c>
      <c r="J2844" t="s">
        <v>141</v>
      </c>
      <c r="K2844" t="s">
        <v>567</v>
      </c>
      <c r="L2844">
        <v>130</v>
      </c>
      <c r="M2844">
        <v>72</v>
      </c>
      <c r="N2844" s="2">
        <v>0.34</v>
      </c>
      <c r="O2844">
        <v>70</v>
      </c>
      <c r="P2844">
        <v>12.65</v>
      </c>
      <c r="Q2844">
        <v>6.32</v>
      </c>
      <c r="R2844">
        <v>178</v>
      </c>
    </row>
    <row r="2845" spans="1:18" x14ac:dyDescent="0.25">
      <c r="A2845" t="s">
        <v>614</v>
      </c>
      <c r="B2845" s="1">
        <v>44173</v>
      </c>
      <c r="C2845" t="s">
        <v>585</v>
      </c>
      <c r="D2845" t="s">
        <v>23</v>
      </c>
      <c r="E2845" t="s">
        <v>24</v>
      </c>
      <c r="F2845" t="s">
        <v>354</v>
      </c>
      <c r="G2845">
        <v>45</v>
      </c>
      <c r="H2845" t="s">
        <v>26</v>
      </c>
      <c r="I2845" t="s">
        <v>44</v>
      </c>
      <c r="J2845" t="s">
        <v>615</v>
      </c>
      <c r="K2845" t="s">
        <v>616</v>
      </c>
      <c r="L2845">
        <v>212</v>
      </c>
      <c r="M2845">
        <v>78</v>
      </c>
      <c r="N2845" s="2">
        <v>0.37</v>
      </c>
      <c r="O2845">
        <v>72</v>
      </c>
      <c r="P2845">
        <v>13.87</v>
      </c>
      <c r="Q2845">
        <v>10.4</v>
      </c>
      <c r="R2845">
        <v>290</v>
      </c>
    </row>
    <row r="2846" spans="1:18" x14ac:dyDescent="0.25">
      <c r="A2846" t="s">
        <v>617</v>
      </c>
      <c r="B2846" s="1">
        <v>44173</v>
      </c>
      <c r="C2846" t="s">
        <v>589</v>
      </c>
      <c r="D2846" t="s">
        <v>23</v>
      </c>
      <c r="E2846" t="s">
        <v>24</v>
      </c>
      <c r="F2846" t="s">
        <v>335</v>
      </c>
      <c r="G2846">
        <v>5</v>
      </c>
      <c r="H2846" t="s">
        <v>49</v>
      </c>
      <c r="I2846" t="s">
        <v>298</v>
      </c>
      <c r="J2846" t="s">
        <v>299</v>
      </c>
      <c r="K2846" t="s">
        <v>618</v>
      </c>
      <c r="R2846">
        <v>13</v>
      </c>
    </row>
    <row r="2847" spans="1:18" x14ac:dyDescent="0.25">
      <c r="A2847" t="s">
        <v>655</v>
      </c>
      <c r="B2847" s="1">
        <v>44180</v>
      </c>
      <c r="C2847" t="s">
        <v>656</v>
      </c>
      <c r="D2847" t="s">
        <v>23</v>
      </c>
      <c r="E2847" t="s">
        <v>24</v>
      </c>
      <c r="F2847" t="s">
        <v>243</v>
      </c>
      <c r="G2847">
        <v>45</v>
      </c>
      <c r="H2847" t="s">
        <v>26</v>
      </c>
      <c r="I2847" t="s">
        <v>370</v>
      </c>
      <c r="J2847" t="s">
        <v>479</v>
      </c>
      <c r="K2847" t="s">
        <v>657</v>
      </c>
      <c r="L2847">
        <v>226</v>
      </c>
      <c r="M2847">
        <v>84</v>
      </c>
      <c r="N2847" s="2">
        <v>0.35</v>
      </c>
      <c r="O2847">
        <v>81</v>
      </c>
      <c r="P2847">
        <v>14.94</v>
      </c>
      <c r="Q2847">
        <v>11.2</v>
      </c>
      <c r="R2847">
        <v>279</v>
      </c>
    </row>
    <row r="2848" spans="1:18" x14ac:dyDescent="0.25">
      <c r="A2848" t="s">
        <v>658</v>
      </c>
      <c r="B2848" s="1">
        <v>44180</v>
      </c>
      <c r="C2848" t="s">
        <v>659</v>
      </c>
      <c r="D2848" t="s">
        <v>23</v>
      </c>
      <c r="E2848" t="s">
        <v>24</v>
      </c>
      <c r="F2848" t="s">
        <v>660</v>
      </c>
      <c r="G2848">
        <v>5</v>
      </c>
      <c r="H2848" t="s">
        <v>49</v>
      </c>
      <c r="I2848" t="s">
        <v>50</v>
      </c>
      <c r="J2848" t="s">
        <v>51</v>
      </c>
      <c r="K2848" t="s">
        <v>661</v>
      </c>
      <c r="R2848">
        <v>11</v>
      </c>
    </row>
    <row r="2849" spans="1:18" x14ac:dyDescent="0.25">
      <c r="A2849" t="s">
        <v>713</v>
      </c>
      <c r="B2849" s="1">
        <v>44187</v>
      </c>
      <c r="C2849" t="s">
        <v>714</v>
      </c>
      <c r="D2849" t="s">
        <v>23</v>
      </c>
      <c r="E2849" t="s">
        <v>24</v>
      </c>
      <c r="F2849" t="s">
        <v>33</v>
      </c>
      <c r="G2849">
        <v>45</v>
      </c>
      <c r="H2849" t="s">
        <v>26</v>
      </c>
      <c r="I2849" t="s">
        <v>370</v>
      </c>
      <c r="J2849" t="s">
        <v>715</v>
      </c>
      <c r="K2849" t="s">
        <v>716</v>
      </c>
      <c r="L2849">
        <v>235</v>
      </c>
      <c r="M2849">
        <v>87</v>
      </c>
      <c r="N2849" s="2">
        <v>0.35</v>
      </c>
      <c r="O2849">
        <v>84</v>
      </c>
      <c r="P2849">
        <v>15.13</v>
      </c>
      <c r="Q2849">
        <v>11.34</v>
      </c>
      <c r="R2849">
        <v>290</v>
      </c>
    </row>
    <row r="2850" spans="1:18" x14ac:dyDescent="0.25">
      <c r="A2850" t="s">
        <v>717</v>
      </c>
      <c r="B2850" s="1">
        <v>44187</v>
      </c>
      <c r="C2850" t="s">
        <v>331</v>
      </c>
      <c r="D2850" t="s">
        <v>23</v>
      </c>
      <c r="E2850" t="s">
        <v>24</v>
      </c>
      <c r="F2850" t="s">
        <v>33</v>
      </c>
      <c r="G2850">
        <v>5</v>
      </c>
      <c r="H2850" t="s">
        <v>26</v>
      </c>
      <c r="I2850" t="s">
        <v>358</v>
      </c>
      <c r="J2850" t="s">
        <v>359</v>
      </c>
      <c r="K2850" t="s">
        <v>718</v>
      </c>
      <c r="L2850">
        <v>18</v>
      </c>
      <c r="M2850">
        <v>61</v>
      </c>
      <c r="N2850" s="2">
        <v>0.3</v>
      </c>
      <c r="O2850">
        <v>84</v>
      </c>
      <c r="P2850">
        <v>13.14</v>
      </c>
      <c r="Q2850">
        <v>1.0900000000000001</v>
      </c>
      <c r="R2850">
        <v>23</v>
      </c>
    </row>
    <row r="2851" spans="1:18" x14ac:dyDescent="0.25">
      <c r="A2851" t="s">
        <v>719</v>
      </c>
      <c r="B2851" s="1">
        <v>44187</v>
      </c>
      <c r="C2851" t="s">
        <v>720</v>
      </c>
      <c r="D2851" t="s">
        <v>23</v>
      </c>
      <c r="E2851" t="s">
        <v>24</v>
      </c>
      <c r="F2851" t="s">
        <v>590</v>
      </c>
      <c r="G2851">
        <v>10</v>
      </c>
      <c r="H2851" t="s">
        <v>194</v>
      </c>
      <c r="I2851" t="s">
        <v>705</v>
      </c>
      <c r="J2851" t="s">
        <v>706</v>
      </c>
      <c r="K2851" t="s">
        <v>707</v>
      </c>
      <c r="R2851">
        <v>46</v>
      </c>
    </row>
    <row r="2852" spans="1:18" x14ac:dyDescent="0.25">
      <c r="A2852" t="s">
        <v>774</v>
      </c>
      <c r="B2852" s="1">
        <v>44194</v>
      </c>
      <c r="C2852" t="s">
        <v>775</v>
      </c>
      <c r="D2852" t="s">
        <v>23</v>
      </c>
      <c r="E2852" t="s">
        <v>24</v>
      </c>
      <c r="F2852" t="s">
        <v>243</v>
      </c>
      <c r="G2852">
        <v>45</v>
      </c>
      <c r="H2852" t="s">
        <v>26</v>
      </c>
      <c r="I2852" t="s">
        <v>370</v>
      </c>
      <c r="J2852" t="s">
        <v>479</v>
      </c>
      <c r="K2852" t="s">
        <v>776</v>
      </c>
      <c r="L2852">
        <v>254</v>
      </c>
      <c r="M2852">
        <v>94</v>
      </c>
      <c r="N2852" s="2">
        <v>0.37</v>
      </c>
      <c r="O2852">
        <v>83</v>
      </c>
      <c r="P2852">
        <v>15.54</v>
      </c>
      <c r="Q2852">
        <v>11.66</v>
      </c>
      <c r="R2852">
        <v>314</v>
      </c>
    </row>
    <row r="2853" spans="1:18" x14ac:dyDescent="0.25">
      <c r="A2853" t="s">
        <v>777</v>
      </c>
      <c r="B2853" s="1">
        <v>44194</v>
      </c>
      <c r="C2853" t="s">
        <v>778</v>
      </c>
      <c r="D2853" t="s">
        <v>23</v>
      </c>
      <c r="E2853" t="s">
        <v>24</v>
      </c>
      <c r="F2853" t="s">
        <v>768</v>
      </c>
      <c r="G2853">
        <v>5</v>
      </c>
      <c r="H2853" t="s">
        <v>26</v>
      </c>
      <c r="I2853" t="s">
        <v>358</v>
      </c>
      <c r="J2853" t="s">
        <v>359</v>
      </c>
      <c r="K2853" t="s">
        <v>779</v>
      </c>
      <c r="L2853">
        <v>23</v>
      </c>
      <c r="M2853">
        <v>76</v>
      </c>
      <c r="N2853" s="2">
        <v>0.37</v>
      </c>
      <c r="O2853">
        <v>73</v>
      </c>
      <c r="P2853">
        <v>14.4</v>
      </c>
      <c r="Q2853">
        <v>1.19</v>
      </c>
      <c r="R2853">
        <v>28</v>
      </c>
    </row>
    <row r="2854" spans="1:18" x14ac:dyDescent="0.25">
      <c r="A2854" t="s">
        <v>780</v>
      </c>
      <c r="B2854" s="1">
        <v>44194</v>
      </c>
      <c r="C2854" t="s">
        <v>781</v>
      </c>
      <c r="D2854" t="s">
        <v>23</v>
      </c>
      <c r="E2854" t="s">
        <v>24</v>
      </c>
      <c r="F2854" t="s">
        <v>180</v>
      </c>
      <c r="G2854">
        <v>10</v>
      </c>
      <c r="H2854" t="s">
        <v>194</v>
      </c>
      <c r="I2854" t="s">
        <v>700</v>
      </c>
      <c r="J2854" t="s">
        <v>701</v>
      </c>
      <c r="K2854" t="s">
        <v>782</v>
      </c>
      <c r="R2854">
        <v>46</v>
      </c>
    </row>
    <row r="2855" spans="1:18" x14ac:dyDescent="0.25">
      <c r="A2855" t="s">
        <v>844</v>
      </c>
      <c r="B2855" s="1">
        <v>44201</v>
      </c>
      <c r="C2855" t="s">
        <v>357</v>
      </c>
      <c r="D2855" t="s">
        <v>23</v>
      </c>
      <c r="E2855" t="s">
        <v>24</v>
      </c>
      <c r="F2855" t="s">
        <v>323</v>
      </c>
      <c r="G2855">
        <v>45</v>
      </c>
      <c r="H2855" t="s">
        <v>26</v>
      </c>
      <c r="I2855" t="s">
        <v>370</v>
      </c>
      <c r="J2855" t="s">
        <v>439</v>
      </c>
      <c r="K2855" t="s">
        <v>845</v>
      </c>
      <c r="L2855">
        <v>238</v>
      </c>
      <c r="M2855">
        <v>88</v>
      </c>
      <c r="N2855" s="2">
        <v>0.33</v>
      </c>
      <c r="O2855">
        <v>92</v>
      </c>
      <c r="P2855">
        <v>15.33</v>
      </c>
      <c r="Q2855">
        <v>11.5</v>
      </c>
      <c r="R2855">
        <v>294</v>
      </c>
    </row>
    <row r="2856" spans="1:18" x14ac:dyDescent="0.25">
      <c r="A2856" t="s">
        <v>890</v>
      </c>
      <c r="B2856" s="1">
        <v>44208</v>
      </c>
      <c r="C2856" t="s">
        <v>891</v>
      </c>
      <c r="D2856" t="s">
        <v>23</v>
      </c>
      <c r="E2856" t="s">
        <v>24</v>
      </c>
      <c r="F2856" t="s">
        <v>292</v>
      </c>
      <c r="G2856">
        <v>60</v>
      </c>
      <c r="H2856" t="s">
        <v>605</v>
      </c>
      <c r="I2856" t="s">
        <v>663</v>
      </c>
      <c r="J2856" t="s">
        <v>892</v>
      </c>
      <c r="K2856" t="s">
        <v>893</v>
      </c>
      <c r="L2856">
        <v>171</v>
      </c>
      <c r="P2856">
        <v>14.31</v>
      </c>
      <c r="Q2856">
        <v>7.98</v>
      </c>
      <c r="R2856">
        <v>306</v>
      </c>
    </row>
    <row r="2857" spans="1:18" x14ac:dyDescent="0.25">
      <c r="A2857" t="s">
        <v>894</v>
      </c>
      <c r="B2857" s="1">
        <v>44208</v>
      </c>
      <c r="C2857" t="s">
        <v>861</v>
      </c>
      <c r="D2857" t="s">
        <v>23</v>
      </c>
      <c r="E2857" t="s">
        <v>24</v>
      </c>
      <c r="F2857" t="s">
        <v>895</v>
      </c>
      <c r="G2857">
        <v>10</v>
      </c>
      <c r="H2857" t="s">
        <v>49</v>
      </c>
      <c r="I2857" t="s">
        <v>226</v>
      </c>
      <c r="J2857" t="s">
        <v>293</v>
      </c>
      <c r="K2857" t="s">
        <v>417</v>
      </c>
      <c r="R2857">
        <v>23</v>
      </c>
    </row>
    <row r="2858" spans="1:18" x14ac:dyDescent="0.25">
      <c r="A2858" t="s">
        <v>929</v>
      </c>
      <c r="B2858" s="1">
        <v>44215</v>
      </c>
      <c r="C2858" t="s">
        <v>930</v>
      </c>
      <c r="D2858" t="s">
        <v>23</v>
      </c>
      <c r="E2858" t="s">
        <v>24</v>
      </c>
      <c r="F2858" t="s">
        <v>323</v>
      </c>
      <c r="G2858">
        <v>30</v>
      </c>
      <c r="H2858" t="s">
        <v>26</v>
      </c>
      <c r="I2858" t="s">
        <v>370</v>
      </c>
      <c r="J2858" t="s">
        <v>396</v>
      </c>
      <c r="K2858" t="s">
        <v>931</v>
      </c>
      <c r="L2858">
        <v>137</v>
      </c>
      <c r="M2858">
        <v>76</v>
      </c>
      <c r="N2858" s="2">
        <v>0.32</v>
      </c>
      <c r="O2858">
        <v>89</v>
      </c>
      <c r="P2858">
        <v>14.36</v>
      </c>
      <c r="Q2858">
        <v>7.18</v>
      </c>
      <c r="R2858">
        <v>170</v>
      </c>
    </row>
    <row r="2859" spans="1:18" x14ac:dyDescent="0.25">
      <c r="A2859" t="s">
        <v>932</v>
      </c>
      <c r="B2859" s="1">
        <v>44215</v>
      </c>
      <c r="C2859" t="s">
        <v>933</v>
      </c>
      <c r="D2859" t="s">
        <v>23</v>
      </c>
      <c r="E2859" t="s">
        <v>24</v>
      </c>
      <c r="F2859" t="s">
        <v>323</v>
      </c>
      <c r="G2859">
        <v>5</v>
      </c>
      <c r="H2859" t="s">
        <v>49</v>
      </c>
      <c r="I2859" t="s">
        <v>50</v>
      </c>
      <c r="J2859" t="s">
        <v>51</v>
      </c>
      <c r="K2859" t="s">
        <v>934</v>
      </c>
      <c r="R2859">
        <v>12</v>
      </c>
    </row>
    <row r="2860" spans="1:18" x14ac:dyDescent="0.25">
      <c r="A2860" t="s">
        <v>935</v>
      </c>
      <c r="B2860" s="1">
        <v>44215</v>
      </c>
      <c r="C2860" t="s">
        <v>936</v>
      </c>
      <c r="D2860" t="s">
        <v>23</v>
      </c>
      <c r="E2860" t="s">
        <v>24</v>
      </c>
      <c r="F2860" t="s">
        <v>25</v>
      </c>
      <c r="G2860">
        <v>10</v>
      </c>
      <c r="H2860" t="s">
        <v>194</v>
      </c>
      <c r="I2860" t="s">
        <v>700</v>
      </c>
      <c r="J2860" t="s">
        <v>701</v>
      </c>
      <c r="K2860" t="s">
        <v>937</v>
      </c>
      <c r="R2860">
        <v>46</v>
      </c>
    </row>
    <row r="2861" spans="1:18" x14ac:dyDescent="0.25">
      <c r="A2861" t="s">
        <v>938</v>
      </c>
      <c r="B2861" s="1">
        <v>44215</v>
      </c>
      <c r="C2861" t="s">
        <v>939</v>
      </c>
      <c r="D2861" t="s">
        <v>23</v>
      </c>
      <c r="E2861" t="s">
        <v>24</v>
      </c>
      <c r="F2861" t="s">
        <v>243</v>
      </c>
      <c r="G2861">
        <v>30</v>
      </c>
      <c r="H2861" t="s">
        <v>188</v>
      </c>
      <c r="I2861" t="s">
        <v>189</v>
      </c>
      <c r="J2861" t="s">
        <v>201</v>
      </c>
      <c r="K2861" t="s">
        <v>940</v>
      </c>
      <c r="R2861">
        <v>98</v>
      </c>
    </row>
    <row r="2862" spans="1:18" x14ac:dyDescent="0.25">
      <c r="A2862" t="s">
        <v>988</v>
      </c>
      <c r="B2862" s="1">
        <v>44222</v>
      </c>
      <c r="C2862" t="s">
        <v>989</v>
      </c>
      <c r="D2862" t="s">
        <v>23</v>
      </c>
      <c r="E2862" t="s">
        <v>24</v>
      </c>
      <c r="F2862" t="s">
        <v>33</v>
      </c>
      <c r="G2862">
        <v>30</v>
      </c>
      <c r="H2862" t="s">
        <v>26</v>
      </c>
      <c r="I2862" t="s">
        <v>370</v>
      </c>
      <c r="J2862" t="s">
        <v>396</v>
      </c>
      <c r="K2862" t="s">
        <v>990</v>
      </c>
      <c r="L2862">
        <v>125</v>
      </c>
      <c r="M2862">
        <v>70</v>
      </c>
      <c r="N2862" s="2">
        <v>0.31</v>
      </c>
      <c r="O2862">
        <v>86</v>
      </c>
      <c r="P2862">
        <v>13.82</v>
      </c>
      <c r="Q2862">
        <v>6.91</v>
      </c>
      <c r="R2862">
        <v>155</v>
      </c>
    </row>
    <row r="2863" spans="1:18" x14ac:dyDescent="0.25">
      <c r="A2863" t="s">
        <v>991</v>
      </c>
      <c r="B2863" s="1">
        <v>44222</v>
      </c>
      <c r="C2863" t="s">
        <v>992</v>
      </c>
      <c r="D2863" t="s">
        <v>23</v>
      </c>
      <c r="E2863" t="s">
        <v>24</v>
      </c>
      <c r="F2863" t="s">
        <v>292</v>
      </c>
      <c r="G2863">
        <v>15</v>
      </c>
      <c r="H2863" t="s">
        <v>194</v>
      </c>
      <c r="I2863" t="s">
        <v>232</v>
      </c>
      <c r="J2863" t="s">
        <v>993</v>
      </c>
      <c r="K2863" t="s">
        <v>994</v>
      </c>
      <c r="R2863">
        <v>69</v>
      </c>
    </row>
    <row r="2864" spans="1:18" x14ac:dyDescent="0.25">
      <c r="A2864" t="s">
        <v>995</v>
      </c>
      <c r="B2864" s="1">
        <v>44222</v>
      </c>
      <c r="C2864" t="s">
        <v>996</v>
      </c>
      <c r="D2864" t="s">
        <v>23</v>
      </c>
      <c r="E2864" t="s">
        <v>24</v>
      </c>
      <c r="F2864" t="s">
        <v>243</v>
      </c>
      <c r="G2864">
        <v>45</v>
      </c>
      <c r="H2864" t="s">
        <v>188</v>
      </c>
      <c r="I2864" t="s">
        <v>189</v>
      </c>
      <c r="J2864" t="s">
        <v>244</v>
      </c>
      <c r="K2864" t="s">
        <v>997</v>
      </c>
      <c r="R2864">
        <v>150</v>
      </c>
    </row>
    <row r="2865" spans="1:19" x14ac:dyDescent="0.25">
      <c r="A2865" t="s">
        <v>998</v>
      </c>
      <c r="B2865" s="1">
        <v>44222</v>
      </c>
      <c r="C2865" t="s">
        <v>999</v>
      </c>
      <c r="D2865" t="s">
        <v>23</v>
      </c>
      <c r="E2865" t="s">
        <v>24</v>
      </c>
      <c r="F2865" t="s">
        <v>215</v>
      </c>
      <c r="G2865">
        <v>10</v>
      </c>
      <c r="H2865" t="s">
        <v>464</v>
      </c>
      <c r="I2865" t="s">
        <v>579</v>
      </c>
      <c r="J2865" t="s">
        <v>1000</v>
      </c>
      <c r="K2865" t="s">
        <v>1001</v>
      </c>
    </row>
    <row r="2866" spans="1:19" x14ac:dyDescent="0.25">
      <c r="A2866" t="s">
        <v>1050</v>
      </c>
      <c r="B2866" s="1">
        <v>44229</v>
      </c>
      <c r="C2866" t="s">
        <v>955</v>
      </c>
      <c r="D2866" t="s">
        <v>23</v>
      </c>
      <c r="E2866" t="s">
        <v>24</v>
      </c>
      <c r="F2866" t="s">
        <v>328</v>
      </c>
      <c r="G2866">
        <v>30</v>
      </c>
      <c r="H2866" t="s">
        <v>26</v>
      </c>
      <c r="I2866" t="s">
        <v>370</v>
      </c>
      <c r="J2866" t="s">
        <v>396</v>
      </c>
      <c r="K2866" t="s">
        <v>1051</v>
      </c>
      <c r="L2866">
        <v>141</v>
      </c>
      <c r="M2866">
        <v>78</v>
      </c>
      <c r="N2866" s="2">
        <v>0.32</v>
      </c>
      <c r="O2866">
        <v>88</v>
      </c>
      <c r="P2866">
        <v>14.54</v>
      </c>
      <c r="Q2866">
        <v>7.27</v>
      </c>
      <c r="R2866">
        <v>175</v>
      </c>
    </row>
    <row r="2867" spans="1:19" x14ac:dyDescent="0.25">
      <c r="A2867" t="s">
        <v>1052</v>
      </c>
      <c r="B2867" s="1">
        <v>44229</v>
      </c>
      <c r="C2867" t="s">
        <v>1053</v>
      </c>
      <c r="D2867" t="s">
        <v>23</v>
      </c>
      <c r="E2867" t="s">
        <v>24</v>
      </c>
      <c r="F2867" t="s">
        <v>292</v>
      </c>
      <c r="G2867">
        <v>15</v>
      </c>
      <c r="H2867" t="s">
        <v>194</v>
      </c>
      <c r="I2867" t="s">
        <v>232</v>
      </c>
      <c r="J2867" t="s">
        <v>993</v>
      </c>
      <c r="K2867" t="s">
        <v>1054</v>
      </c>
      <c r="R2867">
        <v>69</v>
      </c>
    </row>
    <row r="2868" spans="1:19" x14ac:dyDescent="0.25">
      <c r="A2868" t="s">
        <v>1108</v>
      </c>
      <c r="B2868" s="1">
        <v>44236</v>
      </c>
      <c r="C2868" t="s">
        <v>395</v>
      </c>
      <c r="D2868" t="s">
        <v>23</v>
      </c>
      <c r="E2868" t="s">
        <v>24</v>
      </c>
      <c r="F2868" t="s">
        <v>243</v>
      </c>
      <c r="G2868">
        <v>45</v>
      </c>
      <c r="H2868" t="s">
        <v>26</v>
      </c>
      <c r="I2868" t="s">
        <v>370</v>
      </c>
      <c r="J2868" t="s">
        <v>439</v>
      </c>
      <c r="K2868" t="s">
        <v>1109</v>
      </c>
      <c r="L2868">
        <v>233</v>
      </c>
      <c r="M2868">
        <v>86</v>
      </c>
      <c r="N2868" s="2">
        <v>0.35</v>
      </c>
      <c r="O2868">
        <v>82</v>
      </c>
      <c r="P2868">
        <v>15.15</v>
      </c>
      <c r="Q2868">
        <v>11.36</v>
      </c>
      <c r="R2868">
        <v>288</v>
      </c>
    </row>
    <row r="2869" spans="1:19" x14ac:dyDescent="0.25">
      <c r="A2869" t="s">
        <v>1110</v>
      </c>
      <c r="B2869" s="1">
        <v>44236</v>
      </c>
      <c r="C2869" t="s">
        <v>1111</v>
      </c>
      <c r="D2869" t="s">
        <v>23</v>
      </c>
      <c r="E2869" t="s">
        <v>24</v>
      </c>
      <c r="F2869" t="s">
        <v>243</v>
      </c>
      <c r="G2869">
        <v>5</v>
      </c>
      <c r="H2869" t="s">
        <v>49</v>
      </c>
      <c r="I2869" t="s">
        <v>50</v>
      </c>
      <c r="J2869" t="s">
        <v>51</v>
      </c>
      <c r="K2869" t="s">
        <v>707</v>
      </c>
      <c r="R2869">
        <v>12</v>
      </c>
    </row>
    <row r="2870" spans="1:19" x14ac:dyDescent="0.25">
      <c r="A2870" t="s">
        <v>1112</v>
      </c>
      <c r="B2870" s="1">
        <v>44236</v>
      </c>
      <c r="C2870" t="s">
        <v>1113</v>
      </c>
      <c r="D2870" t="s">
        <v>23</v>
      </c>
      <c r="E2870" t="s">
        <v>24</v>
      </c>
      <c r="F2870" t="s">
        <v>335</v>
      </c>
      <c r="G2870">
        <v>10</v>
      </c>
      <c r="H2870" t="s">
        <v>194</v>
      </c>
      <c r="I2870" t="s">
        <v>195</v>
      </c>
      <c r="J2870" t="s">
        <v>211</v>
      </c>
      <c r="K2870" t="s">
        <v>1114</v>
      </c>
      <c r="R2870">
        <v>46</v>
      </c>
    </row>
    <row r="2871" spans="1:19" x14ac:dyDescent="0.25">
      <c r="A2871" t="s">
        <v>1156</v>
      </c>
      <c r="B2871" s="1">
        <v>44243</v>
      </c>
      <c r="C2871" t="s">
        <v>1157</v>
      </c>
      <c r="D2871" t="s">
        <v>23</v>
      </c>
      <c r="E2871" t="s">
        <v>24</v>
      </c>
      <c r="F2871" t="s">
        <v>243</v>
      </c>
      <c r="G2871">
        <v>30</v>
      </c>
      <c r="H2871" t="s">
        <v>26</v>
      </c>
      <c r="I2871" t="s">
        <v>370</v>
      </c>
      <c r="J2871" t="s">
        <v>396</v>
      </c>
      <c r="K2871" t="s">
        <v>1158</v>
      </c>
      <c r="L2871">
        <v>148</v>
      </c>
      <c r="M2871">
        <v>82</v>
      </c>
      <c r="N2871" s="2">
        <v>0.34</v>
      </c>
      <c r="O2871">
        <v>85</v>
      </c>
      <c r="P2871">
        <v>14.85</v>
      </c>
      <c r="Q2871">
        <v>7.43</v>
      </c>
      <c r="R2871">
        <v>183</v>
      </c>
    </row>
    <row r="2872" spans="1:19" x14ac:dyDescent="0.25">
      <c r="A2872" t="s">
        <v>1159</v>
      </c>
      <c r="B2872" s="1">
        <v>44243</v>
      </c>
      <c r="C2872" t="s">
        <v>482</v>
      </c>
      <c r="D2872" t="s">
        <v>23</v>
      </c>
      <c r="E2872" t="s">
        <v>24</v>
      </c>
      <c r="F2872" t="s">
        <v>243</v>
      </c>
      <c r="G2872">
        <v>10</v>
      </c>
      <c r="H2872" t="s">
        <v>194</v>
      </c>
      <c r="I2872" t="s">
        <v>631</v>
      </c>
      <c r="J2872" t="s">
        <v>888</v>
      </c>
      <c r="K2872" t="s">
        <v>1160</v>
      </c>
      <c r="R2872">
        <v>46</v>
      </c>
    </row>
    <row r="2873" spans="1:19" x14ac:dyDescent="0.25">
      <c r="A2873" t="s">
        <v>1161</v>
      </c>
      <c r="B2873" s="1">
        <v>44243</v>
      </c>
      <c r="C2873" t="s">
        <v>711</v>
      </c>
      <c r="D2873" t="s">
        <v>23</v>
      </c>
      <c r="E2873" t="s">
        <v>24</v>
      </c>
      <c r="F2873" t="s">
        <v>243</v>
      </c>
      <c r="G2873">
        <v>5</v>
      </c>
      <c r="H2873" t="s">
        <v>49</v>
      </c>
      <c r="I2873" t="s">
        <v>50</v>
      </c>
      <c r="J2873" t="s">
        <v>51</v>
      </c>
      <c r="K2873" t="s">
        <v>1162</v>
      </c>
      <c r="R2873">
        <v>19</v>
      </c>
      <c r="S2873">
        <v>101.73</v>
      </c>
    </row>
    <row r="2874" spans="1:19" x14ac:dyDescent="0.25">
      <c r="A2874" t="s">
        <v>1211</v>
      </c>
      <c r="B2874" s="1">
        <v>44250</v>
      </c>
      <c r="C2874" t="s">
        <v>1212</v>
      </c>
      <c r="D2874" t="s">
        <v>23</v>
      </c>
      <c r="E2874" t="s">
        <v>24</v>
      </c>
      <c r="F2874" t="s">
        <v>323</v>
      </c>
      <c r="G2874">
        <v>45</v>
      </c>
      <c r="H2874" t="s">
        <v>26</v>
      </c>
      <c r="I2874" t="s">
        <v>370</v>
      </c>
      <c r="J2874" t="s">
        <v>479</v>
      </c>
      <c r="K2874" t="s">
        <v>754</v>
      </c>
      <c r="L2874">
        <v>229</v>
      </c>
      <c r="M2874">
        <v>85</v>
      </c>
      <c r="N2874" s="2">
        <v>0.32</v>
      </c>
      <c r="O2874">
        <v>86</v>
      </c>
      <c r="P2874">
        <v>14.39</v>
      </c>
      <c r="Q2874">
        <v>10.78</v>
      </c>
      <c r="R2874">
        <v>283</v>
      </c>
    </row>
    <row r="2875" spans="1:19" x14ac:dyDescent="0.25">
      <c r="A2875" t="s">
        <v>1213</v>
      </c>
      <c r="B2875" s="1">
        <v>44250</v>
      </c>
      <c r="C2875" t="s">
        <v>530</v>
      </c>
      <c r="D2875" t="s">
        <v>23</v>
      </c>
      <c r="E2875" t="s">
        <v>24</v>
      </c>
      <c r="F2875" t="s">
        <v>323</v>
      </c>
      <c r="G2875">
        <v>5</v>
      </c>
      <c r="H2875" t="s">
        <v>26</v>
      </c>
      <c r="I2875" t="s">
        <v>358</v>
      </c>
      <c r="J2875" t="s">
        <v>359</v>
      </c>
      <c r="K2875" t="s">
        <v>456</v>
      </c>
      <c r="L2875">
        <v>17</v>
      </c>
      <c r="M2875">
        <v>56</v>
      </c>
      <c r="N2875" s="2">
        <v>0.27</v>
      </c>
      <c r="O2875">
        <v>90</v>
      </c>
      <c r="P2875">
        <v>12.48</v>
      </c>
      <c r="Q2875">
        <v>1.03</v>
      </c>
      <c r="R2875">
        <v>21</v>
      </c>
    </row>
    <row r="2876" spans="1:19" x14ac:dyDescent="0.25">
      <c r="A2876" t="s">
        <v>1214</v>
      </c>
      <c r="B2876" s="1">
        <v>44250</v>
      </c>
      <c r="C2876" t="s">
        <v>1157</v>
      </c>
      <c r="D2876" t="s">
        <v>23</v>
      </c>
      <c r="E2876" t="s">
        <v>24</v>
      </c>
      <c r="F2876" t="s">
        <v>323</v>
      </c>
      <c r="G2876">
        <v>5</v>
      </c>
      <c r="H2876" t="s">
        <v>49</v>
      </c>
      <c r="I2876" t="s">
        <v>50</v>
      </c>
      <c r="J2876" t="s">
        <v>51</v>
      </c>
      <c r="K2876" t="s">
        <v>502</v>
      </c>
      <c r="R2876">
        <v>12</v>
      </c>
    </row>
    <row r="2877" spans="1:19" x14ac:dyDescent="0.25">
      <c r="A2877" t="s">
        <v>1215</v>
      </c>
      <c r="B2877" s="1">
        <v>44250</v>
      </c>
      <c r="C2877" t="s">
        <v>1216</v>
      </c>
      <c r="D2877" t="s">
        <v>23</v>
      </c>
      <c r="E2877" t="s">
        <v>24</v>
      </c>
      <c r="F2877" t="s">
        <v>328</v>
      </c>
      <c r="G2877">
        <v>15</v>
      </c>
      <c r="H2877" t="s">
        <v>194</v>
      </c>
      <c r="I2877" t="s">
        <v>195</v>
      </c>
      <c r="J2877" t="s">
        <v>1217</v>
      </c>
      <c r="K2877" t="s">
        <v>1218</v>
      </c>
      <c r="R2877">
        <v>69</v>
      </c>
    </row>
    <row r="2878" spans="1:19" x14ac:dyDescent="0.25">
      <c r="A2878" t="s">
        <v>1219</v>
      </c>
      <c r="B2878" s="1">
        <v>44250</v>
      </c>
      <c r="C2878" t="s">
        <v>1220</v>
      </c>
      <c r="D2878" t="s">
        <v>23</v>
      </c>
      <c r="E2878" t="s">
        <v>24</v>
      </c>
      <c r="F2878" t="s">
        <v>237</v>
      </c>
      <c r="G2878">
        <v>20</v>
      </c>
      <c r="H2878" t="s">
        <v>188</v>
      </c>
      <c r="I2878" t="s">
        <v>238</v>
      </c>
      <c r="J2878" t="s">
        <v>1221</v>
      </c>
      <c r="K2878" t="s">
        <v>1222</v>
      </c>
      <c r="R2878">
        <v>64</v>
      </c>
    </row>
    <row r="2879" spans="1:19" x14ac:dyDescent="0.25">
      <c r="A2879" t="s">
        <v>1254</v>
      </c>
      <c r="B2879" s="1">
        <v>44257</v>
      </c>
      <c r="C2879" t="s">
        <v>1255</v>
      </c>
      <c r="D2879" t="s">
        <v>23</v>
      </c>
      <c r="E2879" t="s">
        <v>24</v>
      </c>
      <c r="F2879" t="s">
        <v>323</v>
      </c>
      <c r="G2879">
        <v>45</v>
      </c>
      <c r="H2879" t="s">
        <v>26</v>
      </c>
      <c r="I2879" t="s">
        <v>370</v>
      </c>
      <c r="J2879" t="s">
        <v>1256</v>
      </c>
      <c r="K2879" t="s">
        <v>1257</v>
      </c>
      <c r="L2879">
        <v>241</v>
      </c>
      <c r="M2879">
        <v>89</v>
      </c>
      <c r="N2879" s="2">
        <v>0.34</v>
      </c>
      <c r="O2879">
        <v>85</v>
      </c>
      <c r="P2879">
        <v>14.72</v>
      </c>
      <c r="Q2879">
        <v>11.04</v>
      </c>
      <c r="R2879">
        <v>298</v>
      </c>
    </row>
    <row r="2880" spans="1:19" x14ac:dyDescent="0.25">
      <c r="A2880" t="s">
        <v>1258</v>
      </c>
      <c r="B2880" s="1">
        <v>44257</v>
      </c>
      <c r="C2880" t="s">
        <v>1259</v>
      </c>
      <c r="D2880" t="s">
        <v>23</v>
      </c>
      <c r="E2880" t="s">
        <v>24</v>
      </c>
      <c r="F2880" t="s">
        <v>243</v>
      </c>
      <c r="G2880">
        <v>30</v>
      </c>
      <c r="H2880" t="s">
        <v>26</v>
      </c>
      <c r="I2880" t="s">
        <v>370</v>
      </c>
      <c r="J2880" t="s">
        <v>1260</v>
      </c>
      <c r="K2880" t="s">
        <v>1261</v>
      </c>
      <c r="L2880">
        <v>141</v>
      </c>
      <c r="M2880">
        <v>78</v>
      </c>
      <c r="N2880" s="2">
        <v>0.34</v>
      </c>
      <c r="O2880">
        <v>82</v>
      </c>
      <c r="P2880">
        <v>14.4</v>
      </c>
      <c r="Q2880">
        <v>7.2</v>
      </c>
      <c r="R2880">
        <v>174</v>
      </c>
    </row>
    <row r="2881" spans="1:18" x14ac:dyDescent="0.25">
      <c r="A2881" t="s">
        <v>1262</v>
      </c>
      <c r="B2881" s="1">
        <v>44257</v>
      </c>
      <c r="C2881" t="s">
        <v>1263</v>
      </c>
      <c r="D2881" t="s">
        <v>23</v>
      </c>
      <c r="E2881" t="s">
        <v>24</v>
      </c>
      <c r="F2881" t="s">
        <v>243</v>
      </c>
      <c r="G2881">
        <v>5</v>
      </c>
      <c r="H2881" t="s">
        <v>49</v>
      </c>
      <c r="I2881" t="s">
        <v>50</v>
      </c>
      <c r="J2881" t="s">
        <v>51</v>
      </c>
      <c r="K2881" t="s">
        <v>951</v>
      </c>
      <c r="R2881">
        <v>11</v>
      </c>
    </row>
    <row r="2882" spans="1:18" x14ac:dyDescent="0.25">
      <c r="A2882" t="s">
        <v>1304</v>
      </c>
      <c r="B2882" s="1">
        <v>44264</v>
      </c>
      <c r="C2882" t="s">
        <v>1305</v>
      </c>
      <c r="D2882" t="s">
        <v>23</v>
      </c>
      <c r="E2882" t="s">
        <v>24</v>
      </c>
      <c r="F2882" t="s">
        <v>323</v>
      </c>
      <c r="G2882">
        <v>45</v>
      </c>
      <c r="H2882" t="s">
        <v>26</v>
      </c>
      <c r="I2882" t="s">
        <v>370</v>
      </c>
      <c r="J2882" t="s">
        <v>439</v>
      </c>
      <c r="K2882" t="s">
        <v>1306</v>
      </c>
      <c r="L2882">
        <v>224</v>
      </c>
      <c r="M2882">
        <v>83</v>
      </c>
      <c r="N2882" s="2">
        <v>0.34</v>
      </c>
      <c r="O2882">
        <v>84</v>
      </c>
      <c r="P2882">
        <v>14.88</v>
      </c>
      <c r="Q2882">
        <v>11.17</v>
      </c>
      <c r="R2882">
        <v>277</v>
      </c>
    </row>
    <row r="2883" spans="1:18" x14ac:dyDescent="0.25">
      <c r="A2883" t="s">
        <v>1307</v>
      </c>
      <c r="B2883" s="1">
        <v>44264</v>
      </c>
      <c r="C2883" t="s">
        <v>992</v>
      </c>
      <c r="D2883" t="s">
        <v>23</v>
      </c>
      <c r="E2883" t="s">
        <v>24</v>
      </c>
      <c r="F2883" t="s">
        <v>292</v>
      </c>
      <c r="G2883">
        <v>15</v>
      </c>
      <c r="H2883" t="s">
        <v>194</v>
      </c>
      <c r="I2883" t="s">
        <v>232</v>
      </c>
      <c r="J2883" t="s">
        <v>993</v>
      </c>
      <c r="K2883" t="s">
        <v>1308</v>
      </c>
      <c r="R2883">
        <v>69</v>
      </c>
    </row>
    <row r="2884" spans="1:18" x14ac:dyDescent="0.25">
      <c r="A2884" t="s">
        <v>1309</v>
      </c>
      <c r="B2884" s="1">
        <v>44264</v>
      </c>
      <c r="C2884" t="s">
        <v>1310</v>
      </c>
      <c r="D2884" t="s">
        <v>23</v>
      </c>
      <c r="E2884" t="s">
        <v>24</v>
      </c>
      <c r="F2884" t="s">
        <v>215</v>
      </c>
      <c r="G2884">
        <v>20</v>
      </c>
      <c r="H2884" t="s">
        <v>464</v>
      </c>
      <c r="I2884" t="s">
        <v>579</v>
      </c>
      <c r="J2884" t="s">
        <v>1311</v>
      </c>
      <c r="K2884" t="s">
        <v>1312</v>
      </c>
    </row>
    <row r="2885" spans="1:18" x14ac:dyDescent="0.25">
      <c r="A2885" t="s">
        <v>1369</v>
      </c>
      <c r="B2885" s="1">
        <v>44271</v>
      </c>
      <c r="C2885" t="s">
        <v>1370</v>
      </c>
      <c r="D2885" t="s">
        <v>23</v>
      </c>
      <c r="E2885" t="s">
        <v>24</v>
      </c>
      <c r="F2885" t="s">
        <v>243</v>
      </c>
      <c r="G2885">
        <v>45</v>
      </c>
      <c r="H2885" t="s">
        <v>26</v>
      </c>
      <c r="I2885" t="s">
        <v>370</v>
      </c>
      <c r="J2885" t="s">
        <v>479</v>
      </c>
      <c r="K2885" t="s">
        <v>1371</v>
      </c>
      <c r="L2885">
        <v>245</v>
      </c>
      <c r="M2885">
        <v>91</v>
      </c>
      <c r="N2885" s="2">
        <v>0.35</v>
      </c>
      <c r="O2885">
        <v>84</v>
      </c>
      <c r="P2885">
        <v>15.21</v>
      </c>
      <c r="Q2885">
        <v>11.41</v>
      </c>
      <c r="R2885">
        <v>303</v>
      </c>
    </row>
    <row r="2886" spans="1:18" x14ac:dyDescent="0.25">
      <c r="A2886" t="s">
        <v>1372</v>
      </c>
      <c r="B2886" s="1">
        <v>44271</v>
      </c>
      <c r="C2886" t="s">
        <v>1373</v>
      </c>
      <c r="D2886" t="s">
        <v>23</v>
      </c>
      <c r="E2886" t="s">
        <v>24</v>
      </c>
      <c r="F2886" t="s">
        <v>243</v>
      </c>
      <c r="G2886">
        <v>10</v>
      </c>
      <c r="H2886" t="s">
        <v>188</v>
      </c>
      <c r="I2886" t="s">
        <v>238</v>
      </c>
      <c r="J2886" t="s">
        <v>674</v>
      </c>
      <c r="K2886" t="s">
        <v>741</v>
      </c>
      <c r="R2886">
        <v>33</v>
      </c>
    </row>
    <row r="2887" spans="1:18" x14ac:dyDescent="0.25">
      <c r="A2887" t="s">
        <v>1374</v>
      </c>
      <c r="B2887" s="1">
        <v>44271</v>
      </c>
      <c r="C2887" t="s">
        <v>1375</v>
      </c>
      <c r="D2887" t="s">
        <v>23</v>
      </c>
      <c r="E2887" t="s">
        <v>24</v>
      </c>
      <c r="F2887" t="s">
        <v>215</v>
      </c>
      <c r="G2887">
        <v>20</v>
      </c>
      <c r="H2887" t="s">
        <v>464</v>
      </c>
      <c r="I2887" t="s">
        <v>763</v>
      </c>
      <c r="J2887" t="s">
        <v>1335</v>
      </c>
      <c r="K2887" t="s">
        <v>1336</v>
      </c>
    </row>
    <row r="2888" spans="1:18" x14ac:dyDescent="0.25">
      <c r="A2888" t="s">
        <v>1472</v>
      </c>
      <c r="B2888" s="1">
        <v>44278</v>
      </c>
      <c r="C2888" t="s">
        <v>680</v>
      </c>
      <c r="D2888" t="s">
        <v>23</v>
      </c>
      <c r="E2888" t="s">
        <v>1403</v>
      </c>
      <c r="F2888" t="s">
        <v>237</v>
      </c>
      <c r="G2888">
        <v>30</v>
      </c>
      <c r="H2888" t="s">
        <v>188</v>
      </c>
      <c r="I2888" t="s">
        <v>189</v>
      </c>
      <c r="J2888" t="s">
        <v>1473</v>
      </c>
      <c r="K2888" t="s">
        <v>1474</v>
      </c>
      <c r="R2888">
        <v>102</v>
      </c>
    </row>
    <row r="2889" spans="1:18" x14ac:dyDescent="0.25">
      <c r="A2889" t="s">
        <v>1475</v>
      </c>
      <c r="B2889" s="1">
        <v>44278</v>
      </c>
      <c r="C2889" t="s">
        <v>1476</v>
      </c>
      <c r="D2889" t="s">
        <v>23</v>
      </c>
      <c r="E2889" t="s">
        <v>24</v>
      </c>
      <c r="F2889" t="s">
        <v>208</v>
      </c>
      <c r="G2889">
        <v>20</v>
      </c>
      <c r="H2889" t="s">
        <v>464</v>
      </c>
      <c r="I2889" t="s">
        <v>943</v>
      </c>
      <c r="J2889" t="s">
        <v>1347</v>
      </c>
      <c r="K2889" t="s">
        <v>1348</v>
      </c>
    </row>
    <row r="2890" spans="1:18" x14ac:dyDescent="0.25">
      <c r="A2890" t="s">
        <v>1531</v>
      </c>
      <c r="B2890" s="1">
        <v>44285</v>
      </c>
      <c r="C2890" t="s">
        <v>1532</v>
      </c>
      <c r="D2890" t="s">
        <v>23</v>
      </c>
      <c r="E2890" t="s">
        <v>24</v>
      </c>
      <c r="F2890" t="s">
        <v>747</v>
      </c>
      <c r="G2890">
        <v>45</v>
      </c>
      <c r="H2890" t="s">
        <v>26</v>
      </c>
      <c r="I2890" t="s">
        <v>126</v>
      </c>
      <c r="J2890" t="s">
        <v>1533</v>
      </c>
      <c r="K2890" t="s">
        <v>1534</v>
      </c>
      <c r="L2890">
        <v>225</v>
      </c>
      <c r="M2890">
        <v>83</v>
      </c>
      <c r="N2890" s="2">
        <v>0.4</v>
      </c>
      <c r="O2890">
        <v>62</v>
      </c>
      <c r="P2890">
        <v>12.86</v>
      </c>
      <c r="Q2890">
        <v>9.65</v>
      </c>
      <c r="R2890">
        <v>278</v>
      </c>
    </row>
    <row r="2891" spans="1:18" x14ac:dyDescent="0.25">
      <c r="A2891" t="s">
        <v>1535</v>
      </c>
      <c r="B2891" s="1">
        <v>44285</v>
      </c>
      <c r="C2891" t="s">
        <v>1536</v>
      </c>
      <c r="D2891" t="s">
        <v>23</v>
      </c>
      <c r="E2891" t="s">
        <v>24</v>
      </c>
      <c r="F2891" t="s">
        <v>243</v>
      </c>
      <c r="G2891">
        <v>10</v>
      </c>
      <c r="H2891" t="s">
        <v>26</v>
      </c>
      <c r="I2891" t="s">
        <v>39</v>
      </c>
      <c r="J2891" t="s">
        <v>431</v>
      </c>
      <c r="K2891" t="s">
        <v>1537</v>
      </c>
      <c r="L2891">
        <v>37</v>
      </c>
      <c r="M2891">
        <v>62</v>
      </c>
      <c r="N2891" s="2">
        <v>0.3</v>
      </c>
      <c r="O2891">
        <v>83</v>
      </c>
      <c r="P2891">
        <v>13.13</v>
      </c>
      <c r="Q2891">
        <v>2.19</v>
      </c>
      <c r="R2891">
        <v>46</v>
      </c>
    </row>
    <row r="2892" spans="1:18" x14ac:dyDescent="0.25">
      <c r="A2892" t="s">
        <v>1538</v>
      </c>
      <c r="B2892" s="1">
        <v>44285</v>
      </c>
      <c r="C2892" t="s">
        <v>1406</v>
      </c>
      <c r="D2892" t="s">
        <v>23</v>
      </c>
      <c r="E2892" t="s">
        <v>24</v>
      </c>
      <c r="F2892" t="s">
        <v>243</v>
      </c>
      <c r="G2892">
        <v>5</v>
      </c>
      <c r="H2892" t="s">
        <v>49</v>
      </c>
      <c r="I2892" t="s">
        <v>50</v>
      </c>
      <c r="J2892" t="s">
        <v>51</v>
      </c>
      <c r="K2892" t="s">
        <v>1396</v>
      </c>
      <c r="R2892">
        <v>12</v>
      </c>
    </row>
    <row r="2893" spans="1:18" x14ac:dyDescent="0.25">
      <c r="A2893" t="s">
        <v>1539</v>
      </c>
      <c r="B2893" s="1">
        <v>44285</v>
      </c>
      <c r="C2893" t="s">
        <v>1540</v>
      </c>
      <c r="D2893" t="s">
        <v>23</v>
      </c>
      <c r="E2893" t="s">
        <v>24</v>
      </c>
      <c r="F2893" t="s">
        <v>215</v>
      </c>
      <c r="G2893">
        <v>20</v>
      </c>
      <c r="H2893" t="s">
        <v>464</v>
      </c>
      <c r="I2893" t="s">
        <v>763</v>
      </c>
      <c r="J2893" t="s">
        <v>1335</v>
      </c>
      <c r="K2893" t="s">
        <v>1541</v>
      </c>
    </row>
    <row r="2894" spans="1:18" x14ac:dyDescent="0.25">
      <c r="A2894" t="s">
        <v>1590</v>
      </c>
      <c r="B2894" s="1">
        <v>44292</v>
      </c>
      <c r="C2894" t="s">
        <v>1591</v>
      </c>
      <c r="D2894" t="s">
        <v>23</v>
      </c>
      <c r="E2894" t="s">
        <v>24</v>
      </c>
      <c r="F2894" t="s">
        <v>323</v>
      </c>
      <c r="G2894">
        <v>60</v>
      </c>
      <c r="H2894" t="s">
        <v>26</v>
      </c>
      <c r="I2894" t="s">
        <v>370</v>
      </c>
      <c r="J2894" t="s">
        <v>498</v>
      </c>
      <c r="K2894" t="s">
        <v>1592</v>
      </c>
      <c r="L2894">
        <v>335</v>
      </c>
      <c r="M2894">
        <v>93</v>
      </c>
      <c r="N2894" s="2">
        <v>0.36</v>
      </c>
      <c r="O2894">
        <v>84</v>
      </c>
      <c r="P2894">
        <v>15.67</v>
      </c>
      <c r="Q2894">
        <v>15.68</v>
      </c>
      <c r="R2894">
        <v>415</v>
      </c>
    </row>
    <row r="2895" spans="1:18" x14ac:dyDescent="0.25">
      <c r="A2895" t="s">
        <v>1593</v>
      </c>
      <c r="B2895" s="1">
        <v>44292</v>
      </c>
      <c r="C2895" t="s">
        <v>1594</v>
      </c>
      <c r="D2895" t="s">
        <v>23</v>
      </c>
      <c r="E2895" t="s">
        <v>24</v>
      </c>
      <c r="F2895" t="s">
        <v>354</v>
      </c>
      <c r="G2895">
        <v>5</v>
      </c>
      <c r="H2895" t="s">
        <v>49</v>
      </c>
      <c r="I2895" t="s">
        <v>50</v>
      </c>
      <c r="J2895" t="s">
        <v>51</v>
      </c>
      <c r="K2895" t="s">
        <v>1595</v>
      </c>
      <c r="R2895">
        <v>12</v>
      </c>
    </row>
    <row r="2896" spans="1:18" x14ac:dyDescent="0.25">
      <c r="A2896" t="s">
        <v>1596</v>
      </c>
      <c r="B2896" s="1">
        <v>44292</v>
      </c>
      <c r="C2896" t="s">
        <v>1597</v>
      </c>
      <c r="D2896" t="s">
        <v>23</v>
      </c>
      <c r="E2896" t="s">
        <v>24</v>
      </c>
      <c r="F2896" t="s">
        <v>200</v>
      </c>
      <c r="G2896">
        <v>20</v>
      </c>
      <c r="H2896" t="s">
        <v>464</v>
      </c>
      <c r="I2896" t="s">
        <v>579</v>
      </c>
      <c r="J2896" t="s">
        <v>1598</v>
      </c>
      <c r="K2896" t="s">
        <v>1599</v>
      </c>
    </row>
    <row r="2897" spans="1:19" x14ac:dyDescent="0.25">
      <c r="A2897" t="s">
        <v>1650</v>
      </c>
      <c r="B2897" s="1">
        <v>44299</v>
      </c>
      <c r="C2897" t="s">
        <v>1292</v>
      </c>
      <c r="D2897" t="s">
        <v>23</v>
      </c>
      <c r="E2897" t="s">
        <v>24</v>
      </c>
      <c r="F2897" t="s">
        <v>215</v>
      </c>
      <c r="G2897">
        <v>20</v>
      </c>
      <c r="H2897" t="s">
        <v>464</v>
      </c>
      <c r="I2897" t="s">
        <v>943</v>
      </c>
      <c r="J2897" t="s">
        <v>1347</v>
      </c>
      <c r="K2897" t="s">
        <v>1415</v>
      </c>
    </row>
    <row r="2898" spans="1:19" x14ac:dyDescent="0.25">
      <c r="A2898" t="s">
        <v>1699</v>
      </c>
      <c r="B2898" s="1">
        <v>44306</v>
      </c>
      <c r="C2898" t="s">
        <v>1700</v>
      </c>
      <c r="D2898" t="s">
        <v>23</v>
      </c>
      <c r="E2898" t="s">
        <v>24</v>
      </c>
      <c r="F2898" t="s">
        <v>243</v>
      </c>
      <c r="G2898">
        <v>45</v>
      </c>
      <c r="H2898" t="s">
        <v>26</v>
      </c>
      <c r="I2898" t="s">
        <v>370</v>
      </c>
      <c r="J2898" t="s">
        <v>439</v>
      </c>
      <c r="K2898" t="s">
        <v>1701</v>
      </c>
      <c r="L2898">
        <v>231</v>
      </c>
      <c r="M2898">
        <v>85</v>
      </c>
      <c r="N2898" s="2">
        <v>0.35</v>
      </c>
      <c r="O2898">
        <v>83</v>
      </c>
      <c r="P2898">
        <v>15.06</v>
      </c>
      <c r="Q2898">
        <v>11.3</v>
      </c>
      <c r="R2898">
        <v>286</v>
      </c>
    </row>
    <row r="2899" spans="1:19" x14ac:dyDescent="0.25">
      <c r="A2899" t="s">
        <v>1702</v>
      </c>
      <c r="B2899" s="1">
        <v>44306</v>
      </c>
      <c r="C2899" t="s">
        <v>1703</v>
      </c>
      <c r="D2899" t="s">
        <v>23</v>
      </c>
      <c r="E2899" t="s">
        <v>24</v>
      </c>
      <c r="F2899" t="s">
        <v>243</v>
      </c>
      <c r="G2899">
        <v>5</v>
      </c>
      <c r="H2899" t="s">
        <v>49</v>
      </c>
      <c r="I2899" t="s">
        <v>50</v>
      </c>
      <c r="J2899" t="s">
        <v>51</v>
      </c>
      <c r="K2899" t="s">
        <v>1396</v>
      </c>
      <c r="R2899">
        <v>12</v>
      </c>
    </row>
    <row r="2900" spans="1:19" x14ac:dyDescent="0.25">
      <c r="A2900" t="s">
        <v>1704</v>
      </c>
      <c r="B2900" s="1">
        <v>44306</v>
      </c>
      <c r="C2900" t="s">
        <v>1536</v>
      </c>
      <c r="D2900" t="s">
        <v>23</v>
      </c>
      <c r="E2900" t="s">
        <v>24</v>
      </c>
      <c r="F2900" t="s">
        <v>490</v>
      </c>
      <c r="G2900">
        <v>10</v>
      </c>
      <c r="H2900" t="s">
        <v>194</v>
      </c>
      <c r="I2900" t="s">
        <v>700</v>
      </c>
      <c r="J2900" t="s">
        <v>1282</v>
      </c>
      <c r="K2900" t="s">
        <v>1705</v>
      </c>
      <c r="R2900">
        <v>46</v>
      </c>
    </row>
    <row r="2901" spans="1:19" x14ac:dyDescent="0.25">
      <c r="A2901" t="s">
        <v>1706</v>
      </c>
      <c r="B2901" s="1">
        <v>44306</v>
      </c>
      <c r="C2901" t="s">
        <v>1662</v>
      </c>
      <c r="D2901" t="s">
        <v>23</v>
      </c>
      <c r="E2901" t="s">
        <v>24</v>
      </c>
      <c r="F2901" t="s">
        <v>328</v>
      </c>
      <c r="G2901">
        <v>15</v>
      </c>
      <c r="H2901" t="s">
        <v>194</v>
      </c>
      <c r="I2901" t="s">
        <v>195</v>
      </c>
      <c r="J2901" t="s">
        <v>1217</v>
      </c>
      <c r="K2901" t="s">
        <v>1707</v>
      </c>
      <c r="R2901">
        <v>69</v>
      </c>
    </row>
    <row r="2902" spans="1:19" x14ac:dyDescent="0.25">
      <c r="A2902" t="s">
        <v>1708</v>
      </c>
      <c r="B2902" s="1">
        <v>44306</v>
      </c>
      <c r="C2902" t="s">
        <v>1496</v>
      </c>
      <c r="D2902" t="s">
        <v>23</v>
      </c>
      <c r="E2902" t="s">
        <v>24</v>
      </c>
      <c r="F2902" t="s">
        <v>208</v>
      </c>
      <c r="G2902">
        <v>15</v>
      </c>
      <c r="H2902" t="s">
        <v>464</v>
      </c>
      <c r="I2902" t="s">
        <v>943</v>
      </c>
      <c r="J2902" t="s">
        <v>1709</v>
      </c>
      <c r="K2902" t="s">
        <v>1710</v>
      </c>
    </row>
    <row r="2903" spans="1:19" x14ac:dyDescent="0.25">
      <c r="A2903" t="s">
        <v>1773</v>
      </c>
      <c r="B2903" s="1">
        <v>44313</v>
      </c>
      <c r="C2903" t="s">
        <v>251</v>
      </c>
      <c r="D2903" t="s">
        <v>23</v>
      </c>
      <c r="E2903" t="s">
        <v>24</v>
      </c>
      <c r="F2903" t="s">
        <v>215</v>
      </c>
      <c r="G2903">
        <v>30</v>
      </c>
      <c r="H2903" t="s">
        <v>464</v>
      </c>
      <c r="I2903" t="s">
        <v>943</v>
      </c>
      <c r="J2903" t="s">
        <v>1621</v>
      </c>
      <c r="K2903" t="s">
        <v>1774</v>
      </c>
    </row>
    <row r="2904" spans="1:19" x14ac:dyDescent="0.25">
      <c r="A2904" t="s">
        <v>1837</v>
      </c>
      <c r="B2904" s="1">
        <v>44320</v>
      </c>
      <c r="C2904" t="s">
        <v>1838</v>
      </c>
      <c r="D2904" t="s">
        <v>23</v>
      </c>
      <c r="E2904" t="s">
        <v>24</v>
      </c>
      <c r="F2904" t="s">
        <v>323</v>
      </c>
      <c r="G2904">
        <v>45</v>
      </c>
      <c r="H2904" t="s">
        <v>26</v>
      </c>
      <c r="I2904" t="s">
        <v>370</v>
      </c>
      <c r="J2904" t="s">
        <v>479</v>
      </c>
      <c r="K2904" t="s">
        <v>1839</v>
      </c>
      <c r="L2904">
        <v>265</v>
      </c>
      <c r="M2904">
        <v>98</v>
      </c>
      <c r="N2904" s="2">
        <v>0.36</v>
      </c>
      <c r="O2904">
        <v>86</v>
      </c>
      <c r="P2904">
        <v>15.87</v>
      </c>
      <c r="Q2904">
        <v>11.91</v>
      </c>
      <c r="R2904">
        <v>328</v>
      </c>
    </row>
    <row r="2905" spans="1:19" x14ac:dyDescent="0.25">
      <c r="A2905" t="s">
        <v>1840</v>
      </c>
      <c r="B2905" s="1">
        <v>44320</v>
      </c>
      <c r="C2905" t="s">
        <v>1841</v>
      </c>
      <c r="D2905" t="s">
        <v>23</v>
      </c>
      <c r="E2905" t="s">
        <v>24</v>
      </c>
      <c r="F2905" t="s">
        <v>323</v>
      </c>
      <c r="G2905">
        <v>5</v>
      </c>
      <c r="H2905" t="s">
        <v>26</v>
      </c>
      <c r="I2905" t="s">
        <v>358</v>
      </c>
      <c r="J2905" t="s">
        <v>359</v>
      </c>
      <c r="K2905" t="s">
        <v>1842</v>
      </c>
      <c r="L2905">
        <v>21</v>
      </c>
      <c r="M2905">
        <v>71</v>
      </c>
      <c r="N2905" s="2">
        <v>0.3</v>
      </c>
      <c r="O2905">
        <v>92</v>
      </c>
      <c r="P2905">
        <v>13.9</v>
      </c>
      <c r="Q2905">
        <v>1.1599999999999999</v>
      </c>
      <c r="R2905">
        <v>26</v>
      </c>
    </row>
    <row r="2906" spans="1:19" x14ac:dyDescent="0.25">
      <c r="A2906" t="s">
        <v>1843</v>
      </c>
      <c r="B2906" s="1">
        <v>44320</v>
      </c>
      <c r="C2906" t="s">
        <v>1844</v>
      </c>
      <c r="D2906" t="s">
        <v>23</v>
      </c>
      <c r="E2906" t="s">
        <v>24</v>
      </c>
      <c r="F2906" t="s">
        <v>323</v>
      </c>
      <c r="G2906">
        <v>5</v>
      </c>
      <c r="H2906" t="s">
        <v>49</v>
      </c>
      <c r="I2906" t="s">
        <v>50</v>
      </c>
      <c r="J2906" t="s">
        <v>51</v>
      </c>
      <c r="K2906" t="s">
        <v>1656</v>
      </c>
      <c r="R2906">
        <v>12</v>
      </c>
    </row>
    <row r="2907" spans="1:19" x14ac:dyDescent="0.25">
      <c r="A2907" t="s">
        <v>1845</v>
      </c>
      <c r="B2907" s="1">
        <v>44320</v>
      </c>
      <c r="C2907" t="s">
        <v>1846</v>
      </c>
      <c r="D2907" t="s">
        <v>23</v>
      </c>
      <c r="E2907" t="s">
        <v>24</v>
      </c>
      <c r="F2907" t="s">
        <v>335</v>
      </c>
      <c r="G2907">
        <v>5</v>
      </c>
      <c r="H2907" t="s">
        <v>194</v>
      </c>
      <c r="I2907" t="s">
        <v>195</v>
      </c>
      <c r="J2907" t="s">
        <v>196</v>
      </c>
      <c r="K2907" t="s">
        <v>1847</v>
      </c>
      <c r="R2907">
        <v>23</v>
      </c>
    </row>
    <row r="2908" spans="1:19" x14ac:dyDescent="0.25">
      <c r="A2908" t="s">
        <v>1848</v>
      </c>
      <c r="B2908" s="1">
        <v>44320</v>
      </c>
      <c r="C2908" t="s">
        <v>1669</v>
      </c>
      <c r="D2908" t="s">
        <v>23</v>
      </c>
      <c r="E2908" t="s">
        <v>24</v>
      </c>
      <c r="F2908" t="s">
        <v>215</v>
      </c>
      <c r="G2908">
        <v>10</v>
      </c>
      <c r="H2908" t="s">
        <v>464</v>
      </c>
      <c r="I2908" t="s">
        <v>103</v>
      </c>
      <c r="J2908" t="s">
        <v>1849</v>
      </c>
      <c r="K2908" t="s">
        <v>1850</v>
      </c>
    </row>
    <row r="2909" spans="1:19" x14ac:dyDescent="0.25">
      <c r="A2909" t="s">
        <v>1899</v>
      </c>
      <c r="B2909" s="1">
        <v>44327</v>
      </c>
      <c r="C2909" t="s">
        <v>472</v>
      </c>
      <c r="D2909" t="s">
        <v>23</v>
      </c>
      <c r="E2909" t="s">
        <v>24</v>
      </c>
      <c r="F2909" t="s">
        <v>243</v>
      </c>
      <c r="G2909">
        <v>20</v>
      </c>
      <c r="H2909" t="s">
        <v>188</v>
      </c>
      <c r="I2909" t="s">
        <v>238</v>
      </c>
      <c r="J2909" t="s">
        <v>483</v>
      </c>
      <c r="K2909" t="s">
        <v>1900</v>
      </c>
      <c r="R2909">
        <v>63</v>
      </c>
      <c r="S2909">
        <v>89.34</v>
      </c>
    </row>
    <row r="2910" spans="1:19" x14ac:dyDescent="0.25">
      <c r="A2910" t="s">
        <v>1901</v>
      </c>
      <c r="B2910" s="1">
        <v>44327</v>
      </c>
      <c r="C2910" t="s">
        <v>392</v>
      </c>
      <c r="D2910" t="s">
        <v>23</v>
      </c>
      <c r="E2910" t="s">
        <v>24</v>
      </c>
      <c r="F2910" t="s">
        <v>243</v>
      </c>
      <c r="G2910">
        <v>10</v>
      </c>
      <c r="H2910" t="s">
        <v>188</v>
      </c>
      <c r="I2910" t="s">
        <v>238</v>
      </c>
      <c r="J2910" t="s">
        <v>674</v>
      </c>
      <c r="K2910" t="s">
        <v>741</v>
      </c>
      <c r="R2910">
        <v>33</v>
      </c>
    </row>
    <row r="2911" spans="1:19" x14ac:dyDescent="0.25">
      <c r="A2911" t="s">
        <v>1902</v>
      </c>
      <c r="B2911" s="1">
        <v>44327</v>
      </c>
      <c r="C2911" t="s">
        <v>1903</v>
      </c>
      <c r="D2911" t="s">
        <v>23</v>
      </c>
      <c r="E2911" t="s">
        <v>24</v>
      </c>
      <c r="F2911" t="s">
        <v>328</v>
      </c>
      <c r="G2911">
        <v>30</v>
      </c>
      <c r="H2911" t="s">
        <v>26</v>
      </c>
      <c r="I2911" t="s">
        <v>370</v>
      </c>
      <c r="J2911" t="s">
        <v>880</v>
      </c>
      <c r="K2911" t="s">
        <v>1904</v>
      </c>
      <c r="L2911">
        <v>152</v>
      </c>
      <c r="M2911">
        <v>85</v>
      </c>
      <c r="N2911" s="2">
        <v>0.33</v>
      </c>
      <c r="O2911">
        <v>89</v>
      </c>
      <c r="P2911">
        <v>15.01</v>
      </c>
      <c r="Q2911">
        <v>7.51</v>
      </c>
      <c r="R2911">
        <v>188</v>
      </c>
    </row>
    <row r="2912" spans="1:19" x14ac:dyDescent="0.25">
      <c r="A2912" t="s">
        <v>1905</v>
      </c>
      <c r="B2912" s="1">
        <v>44327</v>
      </c>
      <c r="C2912" t="s">
        <v>1906</v>
      </c>
      <c r="D2912" t="s">
        <v>23</v>
      </c>
      <c r="E2912" t="s">
        <v>24</v>
      </c>
      <c r="F2912" t="s">
        <v>354</v>
      </c>
      <c r="G2912">
        <v>10</v>
      </c>
      <c r="H2912" t="s">
        <v>194</v>
      </c>
      <c r="I2912" t="s">
        <v>700</v>
      </c>
      <c r="J2912" t="s">
        <v>1282</v>
      </c>
      <c r="K2912" t="s">
        <v>1907</v>
      </c>
      <c r="R2912">
        <v>46</v>
      </c>
    </row>
    <row r="2913" spans="1:18" x14ac:dyDescent="0.25">
      <c r="A2913" t="s">
        <v>1908</v>
      </c>
      <c r="B2913" s="1">
        <v>44327</v>
      </c>
      <c r="C2913" t="s">
        <v>1909</v>
      </c>
      <c r="D2913" t="s">
        <v>23</v>
      </c>
      <c r="E2913" t="s">
        <v>24</v>
      </c>
      <c r="F2913" t="s">
        <v>237</v>
      </c>
      <c r="G2913">
        <v>15</v>
      </c>
      <c r="H2913" t="s">
        <v>464</v>
      </c>
      <c r="I2913" t="s">
        <v>943</v>
      </c>
      <c r="J2913" t="s">
        <v>1709</v>
      </c>
      <c r="K2913" t="s">
        <v>1910</v>
      </c>
    </row>
    <row r="2914" spans="1:18" x14ac:dyDescent="0.25">
      <c r="A2914" t="s">
        <v>1977</v>
      </c>
      <c r="B2914" s="1">
        <v>44334</v>
      </c>
      <c r="C2914" t="s">
        <v>1978</v>
      </c>
      <c r="D2914" t="s">
        <v>23</v>
      </c>
      <c r="E2914" t="s">
        <v>24</v>
      </c>
      <c r="F2914" t="s">
        <v>243</v>
      </c>
      <c r="G2914">
        <v>45</v>
      </c>
      <c r="H2914" t="s">
        <v>26</v>
      </c>
      <c r="I2914" t="s">
        <v>370</v>
      </c>
      <c r="J2914" t="s">
        <v>479</v>
      </c>
      <c r="K2914" t="s">
        <v>1979</v>
      </c>
      <c r="L2914">
        <v>264</v>
      </c>
      <c r="M2914">
        <v>98</v>
      </c>
      <c r="N2914" s="2">
        <v>0.36</v>
      </c>
      <c r="O2914">
        <v>86</v>
      </c>
      <c r="P2914">
        <v>15.68</v>
      </c>
      <c r="Q2914">
        <v>11.76</v>
      </c>
      <c r="R2914">
        <v>325</v>
      </c>
    </row>
    <row r="2915" spans="1:18" x14ac:dyDescent="0.25">
      <c r="A2915" t="s">
        <v>1980</v>
      </c>
      <c r="B2915" s="1">
        <v>44334</v>
      </c>
      <c r="C2915" t="s">
        <v>1981</v>
      </c>
      <c r="D2915" t="s">
        <v>23</v>
      </c>
      <c r="E2915" t="s">
        <v>24</v>
      </c>
      <c r="F2915" t="s">
        <v>243</v>
      </c>
      <c r="G2915">
        <v>5</v>
      </c>
      <c r="H2915" t="s">
        <v>49</v>
      </c>
      <c r="I2915" t="s">
        <v>50</v>
      </c>
      <c r="J2915" t="s">
        <v>51</v>
      </c>
      <c r="K2915" t="s">
        <v>1796</v>
      </c>
      <c r="R2915">
        <v>11</v>
      </c>
    </row>
    <row r="2916" spans="1:18" x14ac:dyDescent="0.25">
      <c r="A2916" t="s">
        <v>1982</v>
      </c>
      <c r="B2916" s="1">
        <v>44334</v>
      </c>
      <c r="C2916" t="s">
        <v>1552</v>
      </c>
      <c r="D2916" t="s">
        <v>23</v>
      </c>
      <c r="E2916" t="s">
        <v>24</v>
      </c>
      <c r="F2916" t="s">
        <v>243</v>
      </c>
      <c r="G2916">
        <v>10</v>
      </c>
      <c r="H2916" t="s">
        <v>464</v>
      </c>
      <c r="I2916" t="s">
        <v>1617</v>
      </c>
      <c r="J2916" t="s">
        <v>1983</v>
      </c>
      <c r="K2916" t="s">
        <v>1984</v>
      </c>
    </row>
    <row r="2917" spans="1:18" x14ac:dyDescent="0.25">
      <c r="A2917" t="s">
        <v>2040</v>
      </c>
      <c r="B2917" s="1">
        <v>44341</v>
      </c>
      <c r="C2917" t="s">
        <v>1499</v>
      </c>
      <c r="D2917" t="s">
        <v>23</v>
      </c>
      <c r="E2917" t="s">
        <v>24</v>
      </c>
      <c r="F2917" t="s">
        <v>243</v>
      </c>
      <c r="G2917">
        <v>30</v>
      </c>
      <c r="H2917" t="s">
        <v>26</v>
      </c>
      <c r="I2917" t="s">
        <v>370</v>
      </c>
      <c r="J2917" t="s">
        <v>1392</v>
      </c>
      <c r="K2917" t="s">
        <v>1393</v>
      </c>
      <c r="L2917">
        <v>155</v>
      </c>
      <c r="M2917">
        <v>86</v>
      </c>
      <c r="N2917" s="2">
        <v>0.34</v>
      </c>
      <c r="O2917">
        <v>86</v>
      </c>
      <c r="P2917">
        <v>15.09</v>
      </c>
      <c r="Q2917">
        <v>7.55</v>
      </c>
      <c r="R2917">
        <v>191</v>
      </c>
    </row>
    <row r="2918" spans="1:18" x14ac:dyDescent="0.25">
      <c r="A2918" t="s">
        <v>2041</v>
      </c>
      <c r="B2918" s="1">
        <v>44341</v>
      </c>
      <c r="C2918" t="s">
        <v>1391</v>
      </c>
      <c r="D2918" t="s">
        <v>23</v>
      </c>
      <c r="E2918" t="s">
        <v>24</v>
      </c>
      <c r="F2918" t="s">
        <v>243</v>
      </c>
      <c r="G2918">
        <v>5</v>
      </c>
      <c r="H2918" t="s">
        <v>49</v>
      </c>
      <c r="I2918" t="s">
        <v>50</v>
      </c>
      <c r="J2918" t="s">
        <v>51</v>
      </c>
      <c r="K2918" t="s">
        <v>2042</v>
      </c>
      <c r="R2918">
        <v>12</v>
      </c>
    </row>
    <row r="2919" spans="1:18" x14ac:dyDescent="0.25">
      <c r="A2919" t="s">
        <v>2043</v>
      </c>
      <c r="B2919" s="1">
        <v>44341</v>
      </c>
      <c r="C2919" t="s">
        <v>1655</v>
      </c>
      <c r="D2919" t="s">
        <v>23</v>
      </c>
      <c r="E2919" t="s">
        <v>24</v>
      </c>
      <c r="F2919" t="s">
        <v>305</v>
      </c>
      <c r="G2919">
        <v>10</v>
      </c>
      <c r="H2919" t="s">
        <v>194</v>
      </c>
      <c r="I2919" t="s">
        <v>195</v>
      </c>
      <c r="J2919" t="s">
        <v>211</v>
      </c>
      <c r="K2919" t="s">
        <v>2044</v>
      </c>
      <c r="R2919">
        <v>46</v>
      </c>
    </row>
    <row r="2920" spans="1:18" x14ac:dyDescent="0.25">
      <c r="A2920" t="s">
        <v>2045</v>
      </c>
      <c r="B2920" s="1">
        <v>44341</v>
      </c>
      <c r="C2920" t="s">
        <v>1662</v>
      </c>
      <c r="D2920" t="s">
        <v>23</v>
      </c>
      <c r="E2920" t="s">
        <v>24</v>
      </c>
      <c r="F2920" t="s">
        <v>170</v>
      </c>
      <c r="G2920">
        <v>15</v>
      </c>
      <c r="H2920" t="s">
        <v>194</v>
      </c>
      <c r="I2920" t="s">
        <v>1445</v>
      </c>
      <c r="J2920" t="s">
        <v>2046</v>
      </c>
      <c r="K2920" t="s">
        <v>2047</v>
      </c>
      <c r="R2920">
        <v>69</v>
      </c>
    </row>
    <row r="2921" spans="1:18" x14ac:dyDescent="0.25">
      <c r="A2921" t="s">
        <v>2048</v>
      </c>
      <c r="B2921" s="1">
        <v>44341</v>
      </c>
      <c r="C2921" t="s">
        <v>2049</v>
      </c>
      <c r="D2921" t="s">
        <v>23</v>
      </c>
      <c r="E2921" t="s">
        <v>24</v>
      </c>
      <c r="F2921" t="s">
        <v>459</v>
      </c>
      <c r="G2921">
        <v>30</v>
      </c>
      <c r="H2921" t="s">
        <v>464</v>
      </c>
      <c r="I2921" t="s">
        <v>943</v>
      </c>
      <c r="J2921" t="s">
        <v>1621</v>
      </c>
      <c r="K2921" t="s">
        <v>2050</v>
      </c>
    </row>
    <row r="2922" spans="1:18" x14ac:dyDescent="0.25">
      <c r="A2922" t="s">
        <v>2102</v>
      </c>
      <c r="B2922" s="1">
        <v>44348</v>
      </c>
      <c r="C2922" t="s">
        <v>2103</v>
      </c>
      <c r="D2922" t="s">
        <v>23</v>
      </c>
      <c r="E2922" t="s">
        <v>24</v>
      </c>
      <c r="F2922" t="s">
        <v>243</v>
      </c>
      <c r="G2922">
        <v>45</v>
      </c>
      <c r="H2922" t="s">
        <v>188</v>
      </c>
      <c r="I2922" t="s">
        <v>254</v>
      </c>
      <c r="J2922" t="s">
        <v>1741</v>
      </c>
      <c r="K2922" t="s">
        <v>2104</v>
      </c>
      <c r="R2922">
        <v>149</v>
      </c>
    </row>
    <row r="2923" spans="1:18" x14ac:dyDescent="0.25">
      <c r="A2923" t="s">
        <v>2105</v>
      </c>
      <c r="B2923" s="1">
        <v>44348</v>
      </c>
      <c r="C2923" t="s">
        <v>1909</v>
      </c>
      <c r="D2923" t="s">
        <v>23</v>
      </c>
      <c r="E2923" t="s">
        <v>24</v>
      </c>
      <c r="F2923" t="s">
        <v>208</v>
      </c>
      <c r="G2923">
        <v>10</v>
      </c>
      <c r="H2923" t="s">
        <v>464</v>
      </c>
      <c r="I2923" t="s">
        <v>579</v>
      </c>
      <c r="J2923" t="s">
        <v>1470</v>
      </c>
      <c r="K2923" t="s">
        <v>2106</v>
      </c>
    </row>
    <row r="2924" spans="1:18" x14ac:dyDescent="0.25">
      <c r="A2924" t="s">
        <v>2149</v>
      </c>
      <c r="B2924" s="1">
        <v>44355</v>
      </c>
      <c r="C2924" t="s">
        <v>2150</v>
      </c>
      <c r="D2924" t="s">
        <v>23</v>
      </c>
      <c r="E2924" t="s">
        <v>24</v>
      </c>
      <c r="F2924" t="s">
        <v>335</v>
      </c>
      <c r="G2924">
        <v>45</v>
      </c>
      <c r="H2924" t="s">
        <v>26</v>
      </c>
      <c r="I2924" t="s">
        <v>370</v>
      </c>
      <c r="J2924" t="s">
        <v>439</v>
      </c>
      <c r="K2924" t="s">
        <v>2151</v>
      </c>
      <c r="L2924">
        <v>242</v>
      </c>
      <c r="M2924">
        <v>90</v>
      </c>
      <c r="N2924" s="2">
        <v>0.36</v>
      </c>
      <c r="O2924">
        <v>84</v>
      </c>
      <c r="P2924">
        <v>15.43</v>
      </c>
      <c r="Q2924">
        <v>11.57</v>
      </c>
      <c r="R2924">
        <v>298</v>
      </c>
    </row>
    <row r="2925" spans="1:18" x14ac:dyDescent="0.25">
      <c r="A2925" t="s">
        <v>2152</v>
      </c>
      <c r="B2925" s="1">
        <v>44355</v>
      </c>
      <c r="C2925" t="s">
        <v>2153</v>
      </c>
      <c r="D2925" t="s">
        <v>23</v>
      </c>
      <c r="E2925" t="s">
        <v>24</v>
      </c>
      <c r="F2925" t="s">
        <v>490</v>
      </c>
      <c r="G2925">
        <v>10</v>
      </c>
      <c r="H2925" t="s">
        <v>194</v>
      </c>
      <c r="I2925" t="s">
        <v>700</v>
      </c>
      <c r="J2925" t="s">
        <v>1282</v>
      </c>
      <c r="K2925" t="s">
        <v>2154</v>
      </c>
      <c r="R2925">
        <v>46</v>
      </c>
    </row>
    <row r="2926" spans="1:18" x14ac:dyDescent="0.25">
      <c r="A2926" t="s">
        <v>2155</v>
      </c>
      <c r="B2926" s="1">
        <v>44355</v>
      </c>
      <c r="C2926" t="s">
        <v>2156</v>
      </c>
      <c r="D2926" t="s">
        <v>23</v>
      </c>
      <c r="E2926" t="s">
        <v>24</v>
      </c>
      <c r="F2926" t="s">
        <v>335</v>
      </c>
      <c r="G2926">
        <v>5</v>
      </c>
      <c r="H2926" t="s">
        <v>49</v>
      </c>
      <c r="I2926" t="s">
        <v>50</v>
      </c>
      <c r="J2926" t="s">
        <v>51</v>
      </c>
      <c r="K2926" t="s">
        <v>2157</v>
      </c>
      <c r="R2926">
        <v>11</v>
      </c>
    </row>
    <row r="2927" spans="1:18" x14ac:dyDescent="0.25">
      <c r="A2927" t="s">
        <v>2158</v>
      </c>
      <c r="B2927" s="1">
        <v>44355</v>
      </c>
      <c r="C2927" t="s">
        <v>2159</v>
      </c>
      <c r="D2927" t="s">
        <v>23</v>
      </c>
      <c r="E2927" t="s">
        <v>24</v>
      </c>
      <c r="F2927" t="s">
        <v>328</v>
      </c>
      <c r="G2927">
        <v>10</v>
      </c>
      <c r="H2927" t="s">
        <v>194</v>
      </c>
      <c r="I2927" t="s">
        <v>195</v>
      </c>
      <c r="J2927" t="s">
        <v>211</v>
      </c>
      <c r="K2927" t="s">
        <v>2160</v>
      </c>
      <c r="R2927">
        <v>46</v>
      </c>
    </row>
    <row r="2928" spans="1:18" x14ac:dyDescent="0.25">
      <c r="A2928" t="s">
        <v>2161</v>
      </c>
      <c r="B2928" s="1">
        <v>44355</v>
      </c>
      <c r="C2928" t="s">
        <v>1819</v>
      </c>
      <c r="D2928" t="s">
        <v>23</v>
      </c>
      <c r="E2928" t="s">
        <v>24</v>
      </c>
      <c r="F2928" t="s">
        <v>208</v>
      </c>
      <c r="G2928">
        <v>15</v>
      </c>
      <c r="H2928" t="s">
        <v>464</v>
      </c>
      <c r="I2928" t="s">
        <v>943</v>
      </c>
      <c r="J2928" t="s">
        <v>1709</v>
      </c>
      <c r="K2928" t="s">
        <v>2162</v>
      </c>
    </row>
    <row r="2929" spans="1:18" x14ac:dyDescent="0.25">
      <c r="A2929" t="s">
        <v>2231</v>
      </c>
      <c r="B2929" s="1">
        <v>44362</v>
      </c>
      <c r="C2929" t="s">
        <v>2232</v>
      </c>
      <c r="D2929" t="s">
        <v>23</v>
      </c>
      <c r="E2929" t="s">
        <v>24</v>
      </c>
      <c r="F2929" t="s">
        <v>747</v>
      </c>
      <c r="G2929">
        <v>5</v>
      </c>
      <c r="H2929" t="s">
        <v>26</v>
      </c>
      <c r="I2929" t="s">
        <v>423</v>
      </c>
      <c r="J2929" t="s">
        <v>505</v>
      </c>
      <c r="K2929" t="s">
        <v>2174</v>
      </c>
      <c r="L2929">
        <v>20</v>
      </c>
      <c r="M2929">
        <v>67</v>
      </c>
      <c r="N2929" s="2">
        <v>0.28999999999999998</v>
      </c>
      <c r="O2929">
        <v>93</v>
      </c>
      <c r="P2929">
        <v>13.55</v>
      </c>
      <c r="Q2929">
        <v>1.1200000000000001</v>
      </c>
      <c r="R2929">
        <v>25</v>
      </c>
    </row>
    <row r="2930" spans="1:18" x14ac:dyDescent="0.25">
      <c r="A2930" t="s">
        <v>2233</v>
      </c>
      <c r="B2930" s="1">
        <v>44362</v>
      </c>
      <c r="C2930" t="s">
        <v>2075</v>
      </c>
      <c r="D2930" t="s">
        <v>23</v>
      </c>
      <c r="E2930" t="s">
        <v>24</v>
      </c>
      <c r="F2930" t="s">
        <v>335</v>
      </c>
      <c r="G2930">
        <v>45</v>
      </c>
      <c r="H2930" t="s">
        <v>26</v>
      </c>
      <c r="I2930" t="s">
        <v>370</v>
      </c>
      <c r="J2930" t="s">
        <v>439</v>
      </c>
      <c r="K2930" t="s">
        <v>2234</v>
      </c>
      <c r="L2930">
        <v>265</v>
      </c>
      <c r="M2930">
        <v>98</v>
      </c>
      <c r="N2930" s="2">
        <v>0.37</v>
      </c>
      <c r="O2930">
        <v>83</v>
      </c>
      <c r="P2930">
        <v>15.97</v>
      </c>
      <c r="Q2930">
        <v>11.97</v>
      </c>
      <c r="R2930">
        <v>326</v>
      </c>
    </row>
    <row r="2931" spans="1:18" x14ac:dyDescent="0.25">
      <c r="A2931" t="s">
        <v>2235</v>
      </c>
      <c r="B2931" s="1">
        <v>44362</v>
      </c>
      <c r="C2931" t="s">
        <v>2081</v>
      </c>
      <c r="D2931" t="s">
        <v>23</v>
      </c>
      <c r="E2931" t="s">
        <v>24</v>
      </c>
      <c r="F2931" t="s">
        <v>660</v>
      </c>
      <c r="G2931">
        <v>10</v>
      </c>
      <c r="H2931" t="s">
        <v>26</v>
      </c>
      <c r="I2931" t="s">
        <v>358</v>
      </c>
      <c r="J2931" t="s">
        <v>389</v>
      </c>
      <c r="K2931" t="s">
        <v>2236</v>
      </c>
      <c r="L2931">
        <v>50</v>
      </c>
      <c r="M2931">
        <v>84</v>
      </c>
      <c r="N2931" s="2">
        <v>0.36</v>
      </c>
      <c r="O2931">
        <v>77</v>
      </c>
      <c r="P2931">
        <v>14.88</v>
      </c>
      <c r="Q2931">
        <v>2.48</v>
      </c>
      <c r="R2931">
        <v>62</v>
      </c>
    </row>
    <row r="2932" spans="1:18" x14ac:dyDescent="0.25">
      <c r="A2932" t="s">
        <v>2237</v>
      </c>
      <c r="B2932" s="1">
        <v>44362</v>
      </c>
      <c r="C2932" t="s">
        <v>1789</v>
      </c>
      <c r="D2932" t="s">
        <v>23</v>
      </c>
      <c r="E2932" t="s">
        <v>24</v>
      </c>
      <c r="F2932" t="s">
        <v>660</v>
      </c>
      <c r="G2932">
        <v>5</v>
      </c>
      <c r="H2932" t="s">
        <v>49</v>
      </c>
      <c r="I2932" t="s">
        <v>50</v>
      </c>
      <c r="J2932" t="s">
        <v>51</v>
      </c>
      <c r="K2932" t="s">
        <v>2238</v>
      </c>
      <c r="R2932">
        <v>11</v>
      </c>
    </row>
    <row r="2933" spans="1:18" x14ac:dyDescent="0.25">
      <c r="A2933" t="s">
        <v>2239</v>
      </c>
      <c r="B2933" s="1">
        <v>44362</v>
      </c>
      <c r="C2933" t="s">
        <v>2240</v>
      </c>
      <c r="D2933" t="s">
        <v>23</v>
      </c>
      <c r="E2933" t="s">
        <v>24</v>
      </c>
      <c r="F2933" t="s">
        <v>208</v>
      </c>
      <c r="G2933">
        <v>10</v>
      </c>
      <c r="H2933" t="s">
        <v>464</v>
      </c>
      <c r="I2933" t="s">
        <v>943</v>
      </c>
      <c r="J2933" t="s">
        <v>944</v>
      </c>
      <c r="K2933" t="s">
        <v>2241</v>
      </c>
    </row>
    <row r="2934" spans="1:18" x14ac:dyDescent="0.25">
      <c r="A2934" t="s">
        <v>2282</v>
      </c>
      <c r="B2934" s="1">
        <v>44369</v>
      </c>
      <c r="C2934" t="s">
        <v>2283</v>
      </c>
      <c r="D2934" t="s">
        <v>23</v>
      </c>
      <c r="E2934" t="s">
        <v>24</v>
      </c>
      <c r="F2934" t="s">
        <v>323</v>
      </c>
      <c r="G2934">
        <v>30</v>
      </c>
      <c r="H2934" t="s">
        <v>26</v>
      </c>
      <c r="I2934" t="s">
        <v>370</v>
      </c>
      <c r="J2934" t="s">
        <v>396</v>
      </c>
      <c r="K2934" t="s">
        <v>2284</v>
      </c>
      <c r="L2934">
        <v>167</v>
      </c>
      <c r="M2934">
        <v>93</v>
      </c>
      <c r="N2934" s="2">
        <v>0.36</v>
      </c>
      <c r="O2934">
        <v>84</v>
      </c>
      <c r="P2934">
        <v>15.6</v>
      </c>
      <c r="Q2934">
        <v>7.8</v>
      </c>
      <c r="R2934">
        <v>206</v>
      </c>
    </row>
    <row r="2935" spans="1:18" x14ac:dyDescent="0.25">
      <c r="A2935" t="s">
        <v>2285</v>
      </c>
      <c r="B2935" s="1">
        <v>44369</v>
      </c>
      <c r="C2935" t="s">
        <v>2286</v>
      </c>
      <c r="D2935" t="s">
        <v>23</v>
      </c>
      <c r="E2935" t="s">
        <v>24</v>
      </c>
      <c r="F2935" t="s">
        <v>323</v>
      </c>
      <c r="G2935">
        <v>5</v>
      </c>
      <c r="H2935" t="s">
        <v>49</v>
      </c>
      <c r="I2935" t="s">
        <v>50</v>
      </c>
      <c r="J2935" t="s">
        <v>51</v>
      </c>
      <c r="K2935" t="s">
        <v>1656</v>
      </c>
      <c r="R2935">
        <v>11</v>
      </c>
    </row>
    <row r="2936" spans="1:18" x14ac:dyDescent="0.25">
      <c r="A2936" t="s">
        <v>2287</v>
      </c>
      <c r="B2936" s="1">
        <v>44369</v>
      </c>
      <c r="C2936" t="s">
        <v>2288</v>
      </c>
      <c r="D2936" t="s">
        <v>23</v>
      </c>
      <c r="E2936" t="s">
        <v>24</v>
      </c>
      <c r="F2936" t="s">
        <v>768</v>
      </c>
      <c r="G2936">
        <v>10</v>
      </c>
      <c r="H2936" t="s">
        <v>194</v>
      </c>
      <c r="I2936" t="s">
        <v>700</v>
      </c>
      <c r="J2936" t="s">
        <v>1282</v>
      </c>
      <c r="K2936" t="s">
        <v>2289</v>
      </c>
      <c r="R2936">
        <v>46</v>
      </c>
    </row>
    <row r="2937" spans="1:18" x14ac:dyDescent="0.25">
      <c r="A2937" t="s">
        <v>2290</v>
      </c>
      <c r="B2937" s="1">
        <v>44369</v>
      </c>
      <c r="C2937" t="s">
        <v>2291</v>
      </c>
      <c r="D2937" t="s">
        <v>23</v>
      </c>
      <c r="E2937" t="s">
        <v>24</v>
      </c>
      <c r="F2937" t="s">
        <v>180</v>
      </c>
      <c r="G2937">
        <v>10</v>
      </c>
      <c r="H2937" t="s">
        <v>194</v>
      </c>
      <c r="I2937" t="s">
        <v>195</v>
      </c>
      <c r="J2937" t="s">
        <v>2292</v>
      </c>
      <c r="K2937" t="s">
        <v>2293</v>
      </c>
      <c r="R2937">
        <v>46</v>
      </c>
    </row>
    <row r="2938" spans="1:18" x14ac:dyDescent="0.25">
      <c r="A2938" t="s">
        <v>2294</v>
      </c>
      <c r="B2938" s="1">
        <v>44369</v>
      </c>
      <c r="C2938" t="s">
        <v>2295</v>
      </c>
      <c r="D2938" t="s">
        <v>23</v>
      </c>
      <c r="E2938" t="s">
        <v>24</v>
      </c>
      <c r="F2938" t="s">
        <v>215</v>
      </c>
      <c r="G2938">
        <v>5</v>
      </c>
      <c r="H2938" t="s">
        <v>464</v>
      </c>
      <c r="I2938" t="s">
        <v>943</v>
      </c>
      <c r="J2938" t="s">
        <v>2205</v>
      </c>
      <c r="K2938" t="s">
        <v>2296</v>
      </c>
    </row>
    <row r="2939" spans="1:18" x14ac:dyDescent="0.25">
      <c r="A2939" t="s">
        <v>2363</v>
      </c>
      <c r="B2939" s="1">
        <v>44376</v>
      </c>
      <c r="C2939" t="s">
        <v>418</v>
      </c>
      <c r="D2939" t="s">
        <v>23</v>
      </c>
      <c r="E2939" t="s">
        <v>24</v>
      </c>
      <c r="F2939" t="s">
        <v>215</v>
      </c>
      <c r="G2939">
        <v>60</v>
      </c>
      <c r="H2939" t="s">
        <v>188</v>
      </c>
      <c r="I2939" t="s">
        <v>189</v>
      </c>
      <c r="J2939" t="s">
        <v>216</v>
      </c>
      <c r="K2939" t="s">
        <v>2364</v>
      </c>
      <c r="R2939">
        <v>195</v>
      </c>
    </row>
    <row r="2940" spans="1:18" x14ac:dyDescent="0.25">
      <c r="A2940" t="s">
        <v>2365</v>
      </c>
      <c r="B2940" s="1">
        <v>44376</v>
      </c>
      <c r="C2940" t="s">
        <v>2366</v>
      </c>
      <c r="D2940" t="s">
        <v>23</v>
      </c>
      <c r="E2940" t="s">
        <v>24</v>
      </c>
      <c r="F2940" t="s">
        <v>459</v>
      </c>
      <c r="G2940">
        <v>15</v>
      </c>
      <c r="H2940" t="s">
        <v>464</v>
      </c>
      <c r="I2940" t="s">
        <v>943</v>
      </c>
      <c r="J2940" t="s">
        <v>1709</v>
      </c>
      <c r="K2940" t="s">
        <v>2367</v>
      </c>
    </row>
    <row r="2941" spans="1:18" x14ac:dyDescent="0.25">
      <c r="A2941" t="s">
        <v>2416</v>
      </c>
      <c r="B2941" s="1">
        <v>44383</v>
      </c>
      <c r="C2941" t="s">
        <v>2417</v>
      </c>
      <c r="D2941" t="s">
        <v>23</v>
      </c>
      <c r="E2941" t="s">
        <v>24</v>
      </c>
      <c r="F2941" t="s">
        <v>243</v>
      </c>
      <c r="G2941">
        <v>45</v>
      </c>
      <c r="H2941" t="s">
        <v>26</v>
      </c>
      <c r="I2941" t="s">
        <v>370</v>
      </c>
      <c r="J2941" t="s">
        <v>479</v>
      </c>
      <c r="K2941" t="s">
        <v>1479</v>
      </c>
      <c r="L2941">
        <v>277</v>
      </c>
      <c r="M2941">
        <v>103</v>
      </c>
      <c r="N2941" s="2">
        <v>0.38</v>
      </c>
      <c r="O2941">
        <v>82</v>
      </c>
      <c r="P2941">
        <v>16.149999999999999</v>
      </c>
      <c r="Q2941">
        <v>12.12</v>
      </c>
      <c r="R2941">
        <v>342</v>
      </c>
    </row>
    <row r="2942" spans="1:18" x14ac:dyDescent="0.25">
      <c r="A2942" t="s">
        <v>2418</v>
      </c>
      <c r="B2942" s="1">
        <v>44383</v>
      </c>
      <c r="C2942" t="s">
        <v>2419</v>
      </c>
      <c r="D2942" t="s">
        <v>23</v>
      </c>
      <c r="E2942" t="s">
        <v>24</v>
      </c>
      <c r="F2942" t="s">
        <v>323</v>
      </c>
      <c r="G2942">
        <v>30</v>
      </c>
      <c r="H2942" t="s">
        <v>26</v>
      </c>
      <c r="I2942" t="s">
        <v>370</v>
      </c>
      <c r="J2942" t="s">
        <v>2420</v>
      </c>
      <c r="K2942" t="s">
        <v>2421</v>
      </c>
      <c r="L2942">
        <v>166</v>
      </c>
      <c r="M2942">
        <v>92</v>
      </c>
      <c r="N2942" s="2">
        <v>0.36</v>
      </c>
      <c r="O2942">
        <v>83</v>
      </c>
      <c r="P2942">
        <v>15.48</v>
      </c>
      <c r="Q2942">
        <v>7.75</v>
      </c>
      <c r="R2942">
        <v>204</v>
      </c>
    </row>
    <row r="2943" spans="1:18" x14ac:dyDescent="0.25">
      <c r="A2943" t="s">
        <v>2422</v>
      </c>
      <c r="B2943" s="1">
        <v>44383</v>
      </c>
      <c r="C2943" t="s">
        <v>2423</v>
      </c>
      <c r="D2943" t="s">
        <v>23</v>
      </c>
      <c r="E2943" t="s">
        <v>24</v>
      </c>
      <c r="F2943" t="s">
        <v>323</v>
      </c>
      <c r="G2943">
        <v>5</v>
      </c>
      <c r="H2943" t="s">
        <v>49</v>
      </c>
      <c r="I2943" t="s">
        <v>50</v>
      </c>
      <c r="J2943" t="s">
        <v>51</v>
      </c>
      <c r="K2943" t="s">
        <v>1656</v>
      </c>
      <c r="R2943">
        <v>12</v>
      </c>
    </row>
    <row r="2944" spans="1:18" x14ac:dyDescent="0.25">
      <c r="A2944" t="s">
        <v>2424</v>
      </c>
      <c r="B2944" s="1">
        <v>44383</v>
      </c>
      <c r="C2944" t="s">
        <v>2334</v>
      </c>
      <c r="D2944" t="s">
        <v>23</v>
      </c>
      <c r="E2944" t="s">
        <v>24</v>
      </c>
      <c r="F2944" t="s">
        <v>328</v>
      </c>
      <c r="G2944">
        <v>20</v>
      </c>
      <c r="H2944" t="s">
        <v>194</v>
      </c>
      <c r="I2944" t="s">
        <v>195</v>
      </c>
      <c r="J2944" t="s">
        <v>2247</v>
      </c>
      <c r="K2944" t="s">
        <v>2425</v>
      </c>
      <c r="R2944">
        <v>92</v>
      </c>
    </row>
    <row r="2945" spans="1:18" x14ac:dyDescent="0.25">
      <c r="A2945" t="s">
        <v>2426</v>
      </c>
      <c r="B2945" s="1">
        <v>44383</v>
      </c>
      <c r="C2945" t="s">
        <v>1491</v>
      </c>
      <c r="D2945" t="s">
        <v>23</v>
      </c>
      <c r="E2945" t="s">
        <v>24</v>
      </c>
      <c r="F2945" t="s">
        <v>459</v>
      </c>
      <c r="G2945">
        <v>15</v>
      </c>
      <c r="H2945" t="s">
        <v>464</v>
      </c>
      <c r="I2945" t="s">
        <v>763</v>
      </c>
      <c r="J2945" t="s">
        <v>2229</v>
      </c>
      <c r="K2945" t="s">
        <v>2230</v>
      </c>
    </row>
    <row r="2946" spans="1:18" x14ac:dyDescent="0.25">
      <c r="A2946" t="s">
        <v>2485</v>
      </c>
      <c r="B2946" s="1">
        <v>44390</v>
      </c>
      <c r="C2946" t="s">
        <v>2486</v>
      </c>
      <c r="D2946" t="s">
        <v>23</v>
      </c>
      <c r="E2946" t="s">
        <v>24</v>
      </c>
      <c r="F2946" t="s">
        <v>335</v>
      </c>
      <c r="G2946">
        <v>30</v>
      </c>
      <c r="H2946" t="s">
        <v>26</v>
      </c>
      <c r="I2946" t="s">
        <v>370</v>
      </c>
      <c r="J2946" t="s">
        <v>433</v>
      </c>
      <c r="K2946" t="s">
        <v>2487</v>
      </c>
      <c r="L2946">
        <v>185</v>
      </c>
      <c r="M2946">
        <v>103</v>
      </c>
      <c r="N2946" s="2">
        <v>0.37</v>
      </c>
      <c r="O2946">
        <v>84</v>
      </c>
      <c r="P2946">
        <v>16.04</v>
      </c>
      <c r="Q2946">
        <v>8.02</v>
      </c>
      <c r="R2946">
        <v>228</v>
      </c>
    </row>
    <row r="2947" spans="1:18" x14ac:dyDescent="0.25">
      <c r="A2947" t="s">
        <v>2488</v>
      </c>
      <c r="B2947" s="1">
        <v>44390</v>
      </c>
      <c r="C2947" t="s">
        <v>2150</v>
      </c>
      <c r="D2947" t="s">
        <v>23</v>
      </c>
      <c r="E2947" t="s">
        <v>24</v>
      </c>
      <c r="F2947" t="s">
        <v>335</v>
      </c>
      <c r="G2947">
        <v>5</v>
      </c>
      <c r="H2947" t="s">
        <v>49</v>
      </c>
      <c r="I2947" t="s">
        <v>50</v>
      </c>
      <c r="J2947" t="s">
        <v>51</v>
      </c>
      <c r="K2947" t="s">
        <v>2157</v>
      </c>
      <c r="R2947">
        <v>11</v>
      </c>
    </row>
    <row r="2948" spans="1:18" x14ac:dyDescent="0.25">
      <c r="A2948" t="s">
        <v>2489</v>
      </c>
      <c r="B2948" s="1">
        <v>44390</v>
      </c>
      <c r="C2948" t="s">
        <v>2490</v>
      </c>
      <c r="D2948" t="s">
        <v>23</v>
      </c>
      <c r="E2948" t="s">
        <v>24</v>
      </c>
      <c r="F2948" t="s">
        <v>180</v>
      </c>
      <c r="G2948">
        <v>20</v>
      </c>
      <c r="H2948" t="s">
        <v>194</v>
      </c>
      <c r="I2948" t="s">
        <v>195</v>
      </c>
      <c r="J2948" t="s">
        <v>2247</v>
      </c>
      <c r="K2948" t="s">
        <v>2491</v>
      </c>
      <c r="R2948">
        <v>92</v>
      </c>
    </row>
    <row r="2949" spans="1:18" x14ac:dyDescent="0.25">
      <c r="A2949" t="s">
        <v>2492</v>
      </c>
      <c r="B2949" s="1">
        <v>44390</v>
      </c>
      <c r="C2949" t="s">
        <v>2493</v>
      </c>
      <c r="D2949" t="s">
        <v>23</v>
      </c>
      <c r="E2949" t="s">
        <v>24</v>
      </c>
      <c r="F2949" t="s">
        <v>335</v>
      </c>
      <c r="G2949">
        <v>10</v>
      </c>
      <c r="H2949" t="s">
        <v>194</v>
      </c>
      <c r="I2949" t="s">
        <v>631</v>
      </c>
      <c r="J2949" t="s">
        <v>888</v>
      </c>
      <c r="K2949" t="s">
        <v>2494</v>
      </c>
      <c r="R2949">
        <v>46</v>
      </c>
    </row>
    <row r="2950" spans="1:18" x14ac:dyDescent="0.25">
      <c r="A2950" t="s">
        <v>2495</v>
      </c>
      <c r="B2950" s="1">
        <v>44390</v>
      </c>
      <c r="C2950" t="s">
        <v>2100</v>
      </c>
      <c r="D2950" t="s">
        <v>23</v>
      </c>
      <c r="E2950" t="s">
        <v>24</v>
      </c>
      <c r="F2950" t="s">
        <v>459</v>
      </c>
      <c r="G2950">
        <v>10</v>
      </c>
      <c r="H2950" t="s">
        <v>464</v>
      </c>
      <c r="I2950" t="s">
        <v>763</v>
      </c>
      <c r="J2950" t="s">
        <v>914</v>
      </c>
      <c r="K2950" t="s">
        <v>2496</v>
      </c>
    </row>
    <row r="2951" spans="1:18" x14ac:dyDescent="0.25">
      <c r="A2951" t="s">
        <v>2543</v>
      </c>
      <c r="B2951" s="1">
        <v>44397</v>
      </c>
      <c r="C2951" t="s">
        <v>2544</v>
      </c>
      <c r="D2951" t="s">
        <v>23</v>
      </c>
      <c r="E2951" t="s">
        <v>24</v>
      </c>
      <c r="F2951" t="s">
        <v>323</v>
      </c>
      <c r="G2951">
        <v>45</v>
      </c>
      <c r="H2951" t="s">
        <v>26</v>
      </c>
      <c r="I2951" t="s">
        <v>370</v>
      </c>
      <c r="J2951" t="s">
        <v>439</v>
      </c>
      <c r="K2951" t="s">
        <v>2545</v>
      </c>
      <c r="L2951">
        <v>255</v>
      </c>
      <c r="M2951">
        <v>95</v>
      </c>
      <c r="N2951" s="2">
        <v>0.37</v>
      </c>
      <c r="O2951">
        <v>83</v>
      </c>
      <c r="P2951">
        <v>15.72</v>
      </c>
      <c r="Q2951">
        <v>11.79</v>
      </c>
      <c r="R2951">
        <v>315</v>
      </c>
    </row>
    <row r="2952" spans="1:18" x14ac:dyDescent="0.25">
      <c r="A2952" t="s">
        <v>2546</v>
      </c>
      <c r="B2952" s="1">
        <v>44397</v>
      </c>
      <c r="C2952" t="s">
        <v>2547</v>
      </c>
      <c r="D2952" t="s">
        <v>23</v>
      </c>
      <c r="E2952" t="s">
        <v>24</v>
      </c>
      <c r="F2952" t="s">
        <v>180</v>
      </c>
      <c r="G2952">
        <v>10</v>
      </c>
      <c r="H2952" t="s">
        <v>26</v>
      </c>
      <c r="I2952" t="s">
        <v>39</v>
      </c>
      <c r="J2952" t="s">
        <v>431</v>
      </c>
      <c r="K2952" t="s">
        <v>2548</v>
      </c>
      <c r="L2952">
        <v>47</v>
      </c>
      <c r="M2952">
        <v>78</v>
      </c>
      <c r="N2952" s="2">
        <v>0.34</v>
      </c>
      <c r="O2952">
        <v>81</v>
      </c>
      <c r="P2952">
        <v>14.58</v>
      </c>
      <c r="Q2952">
        <v>2.4300000000000002</v>
      </c>
      <c r="R2952">
        <v>58</v>
      </c>
    </row>
    <row r="2953" spans="1:18" x14ac:dyDescent="0.25">
      <c r="A2953" t="s">
        <v>2549</v>
      </c>
      <c r="B2953" s="1">
        <v>44397</v>
      </c>
      <c r="C2953" t="s">
        <v>2550</v>
      </c>
      <c r="D2953" t="s">
        <v>23</v>
      </c>
      <c r="E2953" t="s">
        <v>24</v>
      </c>
      <c r="F2953" t="s">
        <v>323</v>
      </c>
      <c r="G2953">
        <v>5</v>
      </c>
      <c r="H2953" t="s">
        <v>49</v>
      </c>
      <c r="I2953" t="s">
        <v>50</v>
      </c>
      <c r="J2953" t="s">
        <v>51</v>
      </c>
      <c r="K2953" t="s">
        <v>1656</v>
      </c>
      <c r="R2953">
        <v>11</v>
      </c>
    </row>
    <row r="2954" spans="1:18" x14ac:dyDescent="0.25">
      <c r="A2954" t="s">
        <v>2551</v>
      </c>
      <c r="B2954" s="1">
        <v>44397</v>
      </c>
      <c r="C2954" t="s">
        <v>2010</v>
      </c>
      <c r="D2954" t="s">
        <v>23</v>
      </c>
      <c r="E2954" t="s">
        <v>24</v>
      </c>
      <c r="F2954" t="s">
        <v>237</v>
      </c>
      <c r="G2954">
        <v>10</v>
      </c>
      <c r="H2954" t="s">
        <v>464</v>
      </c>
      <c r="I2954" t="s">
        <v>763</v>
      </c>
      <c r="J2954" t="s">
        <v>914</v>
      </c>
      <c r="K2954" t="s">
        <v>2552</v>
      </c>
    </row>
    <row r="2955" spans="1:18" x14ac:dyDescent="0.25">
      <c r="A2955" t="s">
        <v>2611</v>
      </c>
      <c r="B2955" s="1">
        <v>44404</v>
      </c>
      <c r="C2955" t="s">
        <v>2612</v>
      </c>
      <c r="D2955" t="s">
        <v>23</v>
      </c>
      <c r="E2955" t="s">
        <v>24</v>
      </c>
      <c r="F2955" t="s">
        <v>215</v>
      </c>
      <c r="G2955">
        <v>20</v>
      </c>
      <c r="H2955" t="s">
        <v>464</v>
      </c>
      <c r="I2955" t="s">
        <v>579</v>
      </c>
      <c r="J2955" t="s">
        <v>1347</v>
      </c>
      <c r="K2955" t="s">
        <v>1589</v>
      </c>
    </row>
    <row r="2956" spans="1:18" x14ac:dyDescent="0.25">
      <c r="A2956" t="s">
        <v>2613</v>
      </c>
      <c r="B2956" s="1">
        <v>44404</v>
      </c>
      <c r="C2956" t="s">
        <v>2614</v>
      </c>
      <c r="D2956" t="s">
        <v>23</v>
      </c>
      <c r="E2956" t="s">
        <v>24</v>
      </c>
      <c r="F2956" t="s">
        <v>335</v>
      </c>
      <c r="G2956">
        <v>45</v>
      </c>
      <c r="H2956" t="s">
        <v>26</v>
      </c>
      <c r="I2956" t="s">
        <v>370</v>
      </c>
      <c r="J2956" t="s">
        <v>439</v>
      </c>
      <c r="K2956" t="s">
        <v>2234</v>
      </c>
      <c r="L2956">
        <v>271</v>
      </c>
      <c r="M2956">
        <v>100</v>
      </c>
      <c r="N2956" s="2">
        <v>0.37</v>
      </c>
      <c r="O2956">
        <v>84</v>
      </c>
      <c r="P2956">
        <v>16.18</v>
      </c>
      <c r="Q2956">
        <v>12.14</v>
      </c>
      <c r="R2956">
        <v>334</v>
      </c>
    </row>
    <row r="2957" spans="1:18" x14ac:dyDescent="0.25">
      <c r="A2957" t="s">
        <v>2615</v>
      </c>
      <c r="B2957" s="1">
        <v>44404</v>
      </c>
      <c r="C2957" t="s">
        <v>1395</v>
      </c>
      <c r="D2957" t="s">
        <v>23</v>
      </c>
      <c r="E2957" t="s">
        <v>24</v>
      </c>
      <c r="F2957" t="s">
        <v>335</v>
      </c>
      <c r="G2957">
        <v>10</v>
      </c>
      <c r="H2957" t="s">
        <v>26</v>
      </c>
      <c r="I2957" t="s">
        <v>358</v>
      </c>
      <c r="J2957" t="s">
        <v>389</v>
      </c>
      <c r="K2957" t="s">
        <v>2526</v>
      </c>
      <c r="L2957">
        <v>52</v>
      </c>
      <c r="M2957">
        <v>87</v>
      </c>
      <c r="N2957" s="2">
        <v>0.39</v>
      </c>
      <c r="O2957">
        <v>74</v>
      </c>
      <c r="P2957">
        <v>15.24</v>
      </c>
      <c r="Q2957">
        <v>2.54</v>
      </c>
      <c r="R2957">
        <v>64</v>
      </c>
    </row>
    <row r="2958" spans="1:18" x14ac:dyDescent="0.25">
      <c r="A2958" t="s">
        <v>2616</v>
      </c>
      <c r="B2958" s="1">
        <v>44404</v>
      </c>
      <c r="C2958" t="s">
        <v>2617</v>
      </c>
      <c r="D2958" t="s">
        <v>23</v>
      </c>
      <c r="E2958" t="s">
        <v>24</v>
      </c>
      <c r="F2958" t="s">
        <v>335</v>
      </c>
      <c r="G2958">
        <v>5</v>
      </c>
      <c r="H2958" t="s">
        <v>49</v>
      </c>
      <c r="I2958" t="s">
        <v>50</v>
      </c>
      <c r="J2958" t="s">
        <v>51</v>
      </c>
      <c r="K2958" t="s">
        <v>2157</v>
      </c>
      <c r="R2958">
        <v>11</v>
      </c>
    </row>
    <row r="2959" spans="1:18" x14ac:dyDescent="0.25">
      <c r="A2959" t="s">
        <v>2618</v>
      </c>
      <c r="B2959" s="1">
        <v>44404</v>
      </c>
      <c r="C2959" t="s">
        <v>2619</v>
      </c>
      <c r="D2959" t="s">
        <v>23</v>
      </c>
      <c r="E2959" t="s">
        <v>24</v>
      </c>
      <c r="F2959" t="s">
        <v>208</v>
      </c>
      <c r="G2959">
        <v>10</v>
      </c>
      <c r="H2959" t="s">
        <v>464</v>
      </c>
      <c r="I2959" t="s">
        <v>763</v>
      </c>
      <c r="J2959" t="s">
        <v>764</v>
      </c>
      <c r="K2959" t="s">
        <v>2620</v>
      </c>
    </row>
    <row r="2960" spans="1:18" x14ac:dyDescent="0.25">
      <c r="A2960" t="s">
        <v>2673</v>
      </c>
      <c r="B2960" s="1">
        <v>44411</v>
      </c>
      <c r="C2960" t="s">
        <v>2674</v>
      </c>
      <c r="D2960" t="s">
        <v>23</v>
      </c>
      <c r="E2960" t="s">
        <v>24</v>
      </c>
      <c r="F2960" t="s">
        <v>323</v>
      </c>
      <c r="G2960">
        <v>45</v>
      </c>
      <c r="H2960" t="s">
        <v>26</v>
      </c>
      <c r="I2960" t="s">
        <v>370</v>
      </c>
      <c r="J2960" t="s">
        <v>479</v>
      </c>
      <c r="K2960" t="s">
        <v>2675</v>
      </c>
      <c r="L2960">
        <v>284</v>
      </c>
      <c r="M2960">
        <v>105</v>
      </c>
      <c r="N2960" s="2">
        <v>0.38</v>
      </c>
      <c r="O2960">
        <v>84</v>
      </c>
      <c r="P2960">
        <v>16.420000000000002</v>
      </c>
      <c r="Q2960">
        <v>12.32</v>
      </c>
      <c r="R2960">
        <v>350</v>
      </c>
    </row>
    <row r="2961" spans="1:18" x14ac:dyDescent="0.25">
      <c r="A2961" t="s">
        <v>2676</v>
      </c>
      <c r="B2961" s="1">
        <v>44411</v>
      </c>
      <c r="C2961" t="s">
        <v>2677</v>
      </c>
      <c r="D2961" t="s">
        <v>23</v>
      </c>
      <c r="E2961" t="s">
        <v>24</v>
      </c>
      <c r="F2961" t="s">
        <v>323</v>
      </c>
      <c r="G2961">
        <v>5</v>
      </c>
      <c r="H2961" t="s">
        <v>26</v>
      </c>
      <c r="I2961" t="s">
        <v>358</v>
      </c>
      <c r="J2961" t="s">
        <v>359</v>
      </c>
      <c r="K2961" t="s">
        <v>1842</v>
      </c>
      <c r="L2961">
        <v>21</v>
      </c>
      <c r="M2961">
        <v>71</v>
      </c>
      <c r="N2961" s="2">
        <v>0.32</v>
      </c>
      <c r="O2961">
        <v>82</v>
      </c>
      <c r="P2961">
        <v>14.01</v>
      </c>
      <c r="Q2961">
        <v>1.17</v>
      </c>
      <c r="R2961">
        <v>26</v>
      </c>
    </row>
    <row r="2962" spans="1:18" x14ac:dyDescent="0.25">
      <c r="A2962" t="s">
        <v>2678</v>
      </c>
      <c r="B2962" s="1">
        <v>44411</v>
      </c>
      <c r="C2962" t="s">
        <v>2320</v>
      </c>
      <c r="D2962" t="s">
        <v>23</v>
      </c>
      <c r="E2962" t="s">
        <v>24</v>
      </c>
      <c r="F2962" t="s">
        <v>323</v>
      </c>
      <c r="G2962">
        <v>5</v>
      </c>
      <c r="H2962" t="s">
        <v>49</v>
      </c>
      <c r="I2962" t="s">
        <v>50</v>
      </c>
      <c r="J2962" t="s">
        <v>51</v>
      </c>
      <c r="K2962" t="s">
        <v>1656</v>
      </c>
      <c r="R2962">
        <v>11</v>
      </c>
    </row>
    <row r="2963" spans="1:18" x14ac:dyDescent="0.25">
      <c r="A2963" t="s">
        <v>2679</v>
      </c>
      <c r="B2963" s="1">
        <v>44411</v>
      </c>
      <c r="C2963" t="s">
        <v>2049</v>
      </c>
      <c r="D2963" t="s">
        <v>23</v>
      </c>
      <c r="E2963" t="s">
        <v>24</v>
      </c>
      <c r="F2963" t="s">
        <v>200</v>
      </c>
      <c r="G2963">
        <v>15</v>
      </c>
      <c r="H2963" t="s">
        <v>464</v>
      </c>
      <c r="I2963" t="s">
        <v>579</v>
      </c>
      <c r="J2963" t="s">
        <v>2671</v>
      </c>
      <c r="K2963" t="s">
        <v>2672</v>
      </c>
    </row>
    <row r="2964" spans="1:18" x14ac:dyDescent="0.25">
      <c r="A2964" t="s">
        <v>2728</v>
      </c>
      <c r="B2964" s="1">
        <v>44418</v>
      </c>
      <c r="C2964" t="s">
        <v>2729</v>
      </c>
      <c r="D2964" t="s">
        <v>23</v>
      </c>
      <c r="E2964" t="s">
        <v>24</v>
      </c>
      <c r="F2964" t="s">
        <v>243</v>
      </c>
      <c r="G2964">
        <v>45</v>
      </c>
      <c r="H2964" t="s">
        <v>188</v>
      </c>
      <c r="I2964" t="s">
        <v>189</v>
      </c>
      <c r="J2964" t="s">
        <v>244</v>
      </c>
      <c r="K2964" t="s">
        <v>2730</v>
      </c>
      <c r="R2964">
        <v>147</v>
      </c>
    </row>
    <row r="2965" spans="1:18" x14ac:dyDescent="0.25">
      <c r="A2965" t="s">
        <v>2731</v>
      </c>
      <c r="B2965" s="1">
        <v>44418</v>
      </c>
      <c r="C2965" t="s">
        <v>247</v>
      </c>
      <c r="D2965" t="s">
        <v>23</v>
      </c>
      <c r="E2965" t="s">
        <v>24</v>
      </c>
      <c r="F2965" t="s">
        <v>459</v>
      </c>
      <c r="G2965">
        <v>20</v>
      </c>
      <c r="H2965" t="s">
        <v>464</v>
      </c>
      <c r="I2965" t="s">
        <v>763</v>
      </c>
      <c r="J2965" t="s">
        <v>2732</v>
      </c>
      <c r="K2965" t="s">
        <v>2733</v>
      </c>
    </row>
    <row r="2966" spans="1:18" x14ac:dyDescent="0.25">
      <c r="A2966" t="s">
        <v>2797</v>
      </c>
      <c r="B2966" s="1">
        <v>44425</v>
      </c>
      <c r="C2966" t="s">
        <v>2798</v>
      </c>
      <c r="D2966" t="s">
        <v>23</v>
      </c>
      <c r="E2966" t="s">
        <v>24</v>
      </c>
      <c r="F2966" t="s">
        <v>335</v>
      </c>
      <c r="G2966">
        <v>45</v>
      </c>
      <c r="H2966" t="s">
        <v>26</v>
      </c>
      <c r="I2966" t="s">
        <v>370</v>
      </c>
      <c r="J2966" t="s">
        <v>479</v>
      </c>
      <c r="K2966" t="s">
        <v>2799</v>
      </c>
      <c r="L2966">
        <v>278</v>
      </c>
      <c r="M2966">
        <v>103</v>
      </c>
      <c r="N2966" s="2">
        <v>0.36</v>
      </c>
      <c r="O2966">
        <v>86</v>
      </c>
      <c r="P2966">
        <v>16.07</v>
      </c>
      <c r="Q2966">
        <v>12.06</v>
      </c>
      <c r="R2966">
        <v>343</v>
      </c>
    </row>
    <row r="2967" spans="1:18" x14ac:dyDescent="0.25">
      <c r="A2967" t="s">
        <v>2800</v>
      </c>
      <c r="B2967" s="1">
        <v>44425</v>
      </c>
      <c r="C2967" t="s">
        <v>1406</v>
      </c>
      <c r="D2967" t="s">
        <v>23</v>
      </c>
      <c r="E2967" t="s">
        <v>24</v>
      </c>
      <c r="F2967" t="s">
        <v>297</v>
      </c>
      <c r="G2967">
        <v>10</v>
      </c>
      <c r="H2967" t="s">
        <v>194</v>
      </c>
      <c r="I2967" t="s">
        <v>195</v>
      </c>
      <c r="J2967" t="s">
        <v>211</v>
      </c>
      <c r="K2967" t="s">
        <v>2801</v>
      </c>
      <c r="R2967">
        <v>46</v>
      </c>
    </row>
    <row r="2968" spans="1:18" x14ac:dyDescent="0.25">
      <c r="A2968" t="s">
        <v>2802</v>
      </c>
      <c r="B2968" s="1">
        <v>44425</v>
      </c>
      <c r="C2968" t="s">
        <v>2677</v>
      </c>
      <c r="D2968" t="s">
        <v>23</v>
      </c>
      <c r="E2968" t="s">
        <v>24</v>
      </c>
      <c r="F2968" t="s">
        <v>335</v>
      </c>
      <c r="G2968">
        <v>5</v>
      </c>
      <c r="H2968" t="s">
        <v>49</v>
      </c>
      <c r="I2968" t="s">
        <v>50</v>
      </c>
      <c r="J2968" t="s">
        <v>51</v>
      </c>
      <c r="K2968" t="s">
        <v>1560</v>
      </c>
      <c r="R2968">
        <v>11</v>
      </c>
    </row>
    <row r="2969" spans="1:18" x14ac:dyDescent="0.25">
      <c r="A2969" t="s">
        <v>2803</v>
      </c>
      <c r="B2969" s="1">
        <v>44425</v>
      </c>
      <c r="C2969" t="s">
        <v>2804</v>
      </c>
      <c r="D2969" t="s">
        <v>23</v>
      </c>
      <c r="E2969" t="s">
        <v>24</v>
      </c>
      <c r="F2969" t="s">
        <v>208</v>
      </c>
      <c r="G2969">
        <v>15</v>
      </c>
      <c r="H2969" t="s">
        <v>464</v>
      </c>
      <c r="I2969" t="s">
        <v>943</v>
      </c>
      <c r="J2969" t="s">
        <v>1709</v>
      </c>
      <c r="K2969" t="s">
        <v>2805</v>
      </c>
    </row>
    <row r="2970" spans="1:18" x14ac:dyDescent="0.25">
      <c r="A2970" t="s">
        <v>2849</v>
      </c>
      <c r="B2970" s="1">
        <v>44432</v>
      </c>
      <c r="C2970" t="s">
        <v>2850</v>
      </c>
      <c r="D2970" t="s">
        <v>23</v>
      </c>
      <c r="E2970" t="s">
        <v>24</v>
      </c>
      <c r="F2970" t="s">
        <v>2708</v>
      </c>
      <c r="G2970">
        <v>30</v>
      </c>
      <c r="H2970" t="s">
        <v>188</v>
      </c>
      <c r="I2970" t="s">
        <v>238</v>
      </c>
      <c r="J2970" t="s">
        <v>1322</v>
      </c>
      <c r="K2970" t="s">
        <v>2851</v>
      </c>
      <c r="R2970">
        <v>96</v>
      </c>
    </row>
    <row r="2971" spans="1:18" x14ac:dyDescent="0.25">
      <c r="A2971" t="s">
        <v>2852</v>
      </c>
      <c r="B2971" s="1">
        <v>44432</v>
      </c>
      <c r="C2971" t="s">
        <v>2853</v>
      </c>
      <c r="D2971" t="s">
        <v>23</v>
      </c>
      <c r="E2971" t="s">
        <v>24</v>
      </c>
      <c r="F2971" t="s">
        <v>243</v>
      </c>
      <c r="G2971">
        <v>45</v>
      </c>
      <c r="H2971" t="s">
        <v>26</v>
      </c>
      <c r="I2971" t="s">
        <v>370</v>
      </c>
      <c r="J2971" t="s">
        <v>439</v>
      </c>
      <c r="K2971" t="s">
        <v>2854</v>
      </c>
      <c r="L2971">
        <v>264</v>
      </c>
      <c r="M2971">
        <v>98</v>
      </c>
      <c r="N2971" s="2">
        <v>0.38</v>
      </c>
      <c r="O2971">
        <v>82</v>
      </c>
      <c r="P2971">
        <v>15.94</v>
      </c>
      <c r="Q2971">
        <v>11.96</v>
      </c>
      <c r="R2971">
        <v>326</v>
      </c>
    </row>
    <row r="2972" spans="1:18" x14ac:dyDescent="0.25">
      <c r="A2972" t="s">
        <v>2855</v>
      </c>
      <c r="B2972" s="1">
        <v>44432</v>
      </c>
      <c r="C2972" t="s">
        <v>2212</v>
      </c>
      <c r="D2972" t="s">
        <v>23</v>
      </c>
      <c r="E2972" t="s">
        <v>24</v>
      </c>
      <c r="F2972" t="s">
        <v>328</v>
      </c>
      <c r="G2972">
        <v>10</v>
      </c>
      <c r="H2972" t="s">
        <v>194</v>
      </c>
      <c r="I2972" t="s">
        <v>1445</v>
      </c>
      <c r="J2972" t="s">
        <v>2809</v>
      </c>
      <c r="K2972" t="s">
        <v>2160</v>
      </c>
      <c r="R2972">
        <v>46</v>
      </c>
    </row>
    <row r="2973" spans="1:18" x14ac:dyDescent="0.25">
      <c r="A2973" t="s">
        <v>2856</v>
      </c>
      <c r="B2973" s="1">
        <v>44432</v>
      </c>
      <c r="C2973" t="s">
        <v>2215</v>
      </c>
      <c r="D2973" t="s">
        <v>23</v>
      </c>
      <c r="E2973" t="s">
        <v>24</v>
      </c>
      <c r="F2973" t="s">
        <v>2256</v>
      </c>
      <c r="G2973">
        <v>20</v>
      </c>
      <c r="H2973" t="s">
        <v>194</v>
      </c>
      <c r="I2973" t="s">
        <v>195</v>
      </c>
      <c r="J2973" t="s">
        <v>2247</v>
      </c>
      <c r="K2973" t="s">
        <v>2857</v>
      </c>
      <c r="R2973">
        <v>92</v>
      </c>
    </row>
    <row r="2974" spans="1:18" x14ac:dyDescent="0.25">
      <c r="A2974" t="s">
        <v>2858</v>
      </c>
      <c r="B2974" s="1">
        <v>44432</v>
      </c>
      <c r="C2974" t="s">
        <v>2153</v>
      </c>
      <c r="D2974" t="s">
        <v>23</v>
      </c>
      <c r="E2974" t="s">
        <v>24</v>
      </c>
      <c r="F2974" t="s">
        <v>328</v>
      </c>
      <c r="G2974">
        <v>5</v>
      </c>
      <c r="H2974" t="s">
        <v>49</v>
      </c>
      <c r="I2974" t="s">
        <v>50</v>
      </c>
      <c r="J2974" t="s">
        <v>51</v>
      </c>
      <c r="K2974" t="s">
        <v>2859</v>
      </c>
      <c r="R2974">
        <v>12</v>
      </c>
    </row>
    <row r="2975" spans="1:18" x14ac:dyDescent="0.25">
      <c r="A2975" t="s">
        <v>2860</v>
      </c>
      <c r="B2975" s="1">
        <v>44432</v>
      </c>
      <c r="C2975" t="s">
        <v>2366</v>
      </c>
      <c r="D2975" t="s">
        <v>23</v>
      </c>
      <c r="E2975" t="s">
        <v>24</v>
      </c>
      <c r="F2975" t="s">
        <v>459</v>
      </c>
      <c r="G2975">
        <v>15</v>
      </c>
      <c r="H2975" t="s">
        <v>464</v>
      </c>
      <c r="I2975" t="s">
        <v>579</v>
      </c>
      <c r="J2975" t="s">
        <v>2861</v>
      </c>
      <c r="K2975" t="s">
        <v>2862</v>
      </c>
    </row>
    <row r="2976" spans="1:18" x14ac:dyDescent="0.25">
      <c r="A2976" t="s">
        <v>2905</v>
      </c>
      <c r="B2976" s="1">
        <v>44439</v>
      </c>
      <c r="C2976" t="s">
        <v>219</v>
      </c>
      <c r="D2976" t="s">
        <v>23</v>
      </c>
      <c r="E2976" t="s">
        <v>24</v>
      </c>
      <c r="F2976" t="s">
        <v>243</v>
      </c>
      <c r="G2976">
        <v>45</v>
      </c>
      <c r="H2976" t="s">
        <v>188</v>
      </c>
      <c r="I2976" t="s">
        <v>254</v>
      </c>
      <c r="J2976" t="s">
        <v>1741</v>
      </c>
      <c r="K2976" t="s">
        <v>2906</v>
      </c>
      <c r="R2976">
        <v>144</v>
      </c>
    </row>
    <row r="2977" spans="1:18" x14ac:dyDescent="0.25">
      <c r="A2977" t="s">
        <v>2907</v>
      </c>
      <c r="B2977" s="1">
        <v>44439</v>
      </c>
      <c r="C2977" t="s">
        <v>1909</v>
      </c>
      <c r="D2977" t="s">
        <v>23</v>
      </c>
      <c r="E2977" t="s">
        <v>24</v>
      </c>
      <c r="F2977" t="s">
        <v>215</v>
      </c>
      <c r="G2977">
        <v>20</v>
      </c>
      <c r="H2977" t="s">
        <v>464</v>
      </c>
      <c r="I2977" t="s">
        <v>943</v>
      </c>
      <c r="J2977" t="s">
        <v>1347</v>
      </c>
      <c r="K2977" t="s">
        <v>2908</v>
      </c>
    </row>
    <row r="2978" spans="1:18" x14ac:dyDescent="0.25">
      <c r="A2978" t="s">
        <v>2964</v>
      </c>
      <c r="B2978" s="1">
        <v>44446</v>
      </c>
      <c r="C2978" t="s">
        <v>468</v>
      </c>
      <c r="D2978" t="s">
        <v>23</v>
      </c>
      <c r="E2978" t="s">
        <v>24</v>
      </c>
      <c r="F2978" t="s">
        <v>243</v>
      </c>
      <c r="G2978">
        <v>60</v>
      </c>
      <c r="H2978" t="s">
        <v>188</v>
      </c>
      <c r="I2978" t="s">
        <v>189</v>
      </c>
      <c r="J2978" t="s">
        <v>216</v>
      </c>
      <c r="K2978" t="s">
        <v>2965</v>
      </c>
      <c r="R2978">
        <v>195</v>
      </c>
    </row>
    <row r="2979" spans="1:18" x14ac:dyDescent="0.25">
      <c r="A2979" t="s">
        <v>2966</v>
      </c>
      <c r="B2979" s="1">
        <v>44446</v>
      </c>
      <c r="C2979" t="s">
        <v>2967</v>
      </c>
      <c r="D2979" t="s">
        <v>23</v>
      </c>
      <c r="E2979" t="s">
        <v>24</v>
      </c>
      <c r="F2979" t="s">
        <v>328</v>
      </c>
      <c r="G2979">
        <v>60</v>
      </c>
      <c r="H2979" t="s">
        <v>26</v>
      </c>
      <c r="I2979" t="s">
        <v>370</v>
      </c>
      <c r="J2979" t="s">
        <v>498</v>
      </c>
      <c r="K2979" t="s">
        <v>1790</v>
      </c>
      <c r="L2979">
        <v>362</v>
      </c>
      <c r="M2979">
        <v>101</v>
      </c>
      <c r="N2979" s="2">
        <v>0.37</v>
      </c>
      <c r="O2979">
        <v>83</v>
      </c>
      <c r="P2979">
        <v>16.149999999999999</v>
      </c>
      <c r="Q2979">
        <v>16.149999999999999</v>
      </c>
      <c r="R2979">
        <v>446</v>
      </c>
    </row>
    <row r="2980" spans="1:18" x14ac:dyDescent="0.25">
      <c r="A2980" t="s">
        <v>2968</v>
      </c>
      <c r="B2980" s="1">
        <v>44446</v>
      </c>
      <c r="C2980" t="s">
        <v>2969</v>
      </c>
      <c r="D2980" t="s">
        <v>23</v>
      </c>
      <c r="E2980" t="s">
        <v>24</v>
      </c>
      <c r="F2980" t="s">
        <v>328</v>
      </c>
      <c r="G2980">
        <v>10</v>
      </c>
      <c r="H2980" t="s">
        <v>26</v>
      </c>
      <c r="I2980" t="s">
        <v>358</v>
      </c>
      <c r="J2980" t="s">
        <v>389</v>
      </c>
      <c r="K2980" t="s">
        <v>2604</v>
      </c>
      <c r="L2980">
        <v>46</v>
      </c>
      <c r="M2980">
        <v>77</v>
      </c>
      <c r="N2980" s="2">
        <v>0.34</v>
      </c>
      <c r="O2980">
        <v>82</v>
      </c>
      <c r="P2980">
        <v>14.37</v>
      </c>
      <c r="Q2980">
        <v>2.4</v>
      </c>
      <c r="R2980">
        <v>57</v>
      </c>
    </row>
    <row r="2981" spans="1:18" x14ac:dyDescent="0.25">
      <c r="A2981" t="s">
        <v>2970</v>
      </c>
      <c r="B2981" s="1">
        <v>44446</v>
      </c>
      <c r="C2981" t="s">
        <v>1865</v>
      </c>
      <c r="D2981" t="s">
        <v>23</v>
      </c>
      <c r="E2981" t="s">
        <v>24</v>
      </c>
      <c r="F2981" t="s">
        <v>328</v>
      </c>
      <c r="G2981">
        <v>5</v>
      </c>
      <c r="H2981" t="s">
        <v>49</v>
      </c>
      <c r="I2981" t="s">
        <v>50</v>
      </c>
      <c r="J2981" t="s">
        <v>51</v>
      </c>
      <c r="K2981" t="s">
        <v>2859</v>
      </c>
      <c r="R2981">
        <v>11</v>
      </c>
    </row>
    <row r="2982" spans="1:18" x14ac:dyDescent="0.25">
      <c r="A2982" t="s">
        <v>2971</v>
      </c>
      <c r="B2982" s="1">
        <v>44446</v>
      </c>
      <c r="C2982" t="s">
        <v>2010</v>
      </c>
      <c r="D2982" t="s">
        <v>23</v>
      </c>
      <c r="E2982" t="s">
        <v>24</v>
      </c>
      <c r="F2982" t="s">
        <v>459</v>
      </c>
      <c r="G2982">
        <v>30</v>
      </c>
      <c r="H2982" t="s">
        <v>464</v>
      </c>
      <c r="I2982" t="s">
        <v>763</v>
      </c>
      <c r="J2982" t="s">
        <v>2972</v>
      </c>
      <c r="K2982" t="s">
        <v>2973</v>
      </c>
    </row>
    <row r="2983" spans="1:18" x14ac:dyDescent="0.25">
      <c r="A2983" t="s">
        <v>3042</v>
      </c>
      <c r="B2983" s="1">
        <v>44453</v>
      </c>
      <c r="C2983" t="s">
        <v>656</v>
      </c>
      <c r="D2983" t="s">
        <v>23</v>
      </c>
      <c r="E2983" t="s">
        <v>24</v>
      </c>
      <c r="F2983" t="s">
        <v>237</v>
      </c>
      <c r="G2983">
        <v>45</v>
      </c>
      <c r="H2983" t="s">
        <v>188</v>
      </c>
      <c r="I2983" t="s">
        <v>189</v>
      </c>
      <c r="J2983" t="s">
        <v>244</v>
      </c>
      <c r="K2983" t="s">
        <v>3043</v>
      </c>
      <c r="R2983">
        <v>149</v>
      </c>
    </row>
    <row r="2984" spans="1:18" x14ac:dyDescent="0.25">
      <c r="A2984" t="s">
        <v>3044</v>
      </c>
      <c r="B2984" s="1">
        <v>44453</v>
      </c>
      <c r="C2984" t="s">
        <v>2240</v>
      </c>
      <c r="D2984" t="s">
        <v>23</v>
      </c>
      <c r="E2984" t="s">
        <v>24</v>
      </c>
      <c r="F2984" t="s">
        <v>208</v>
      </c>
      <c r="G2984">
        <v>10</v>
      </c>
      <c r="H2984" t="s">
        <v>464</v>
      </c>
      <c r="I2984" t="s">
        <v>943</v>
      </c>
      <c r="J2984" t="s">
        <v>944</v>
      </c>
      <c r="K2984" t="s">
        <v>3045</v>
      </c>
    </row>
    <row r="2985" spans="1:18" x14ac:dyDescent="0.25">
      <c r="A2985" t="s">
        <v>3096</v>
      </c>
      <c r="B2985" s="1">
        <v>44460</v>
      </c>
      <c r="C2985" t="s">
        <v>3097</v>
      </c>
      <c r="D2985" t="s">
        <v>23</v>
      </c>
      <c r="E2985" t="s">
        <v>24</v>
      </c>
      <c r="F2985" t="s">
        <v>335</v>
      </c>
      <c r="G2985">
        <v>60</v>
      </c>
      <c r="H2985" t="s">
        <v>26</v>
      </c>
      <c r="I2985" t="s">
        <v>370</v>
      </c>
      <c r="J2985" t="s">
        <v>646</v>
      </c>
      <c r="K2985" t="s">
        <v>2947</v>
      </c>
      <c r="L2985">
        <v>371</v>
      </c>
      <c r="M2985">
        <v>103</v>
      </c>
      <c r="N2985" s="2">
        <v>0.37</v>
      </c>
      <c r="O2985">
        <v>84</v>
      </c>
      <c r="P2985">
        <v>16.2</v>
      </c>
      <c r="Q2985">
        <v>16.2</v>
      </c>
      <c r="R2985">
        <v>457</v>
      </c>
    </row>
    <row r="2986" spans="1:18" x14ac:dyDescent="0.25">
      <c r="A2986" t="s">
        <v>3098</v>
      </c>
      <c r="B2986" s="1">
        <v>44460</v>
      </c>
      <c r="C2986" t="s">
        <v>1395</v>
      </c>
      <c r="D2986" t="s">
        <v>23</v>
      </c>
      <c r="E2986" t="s">
        <v>24</v>
      </c>
      <c r="F2986" t="s">
        <v>335</v>
      </c>
      <c r="G2986">
        <v>10</v>
      </c>
      <c r="H2986" t="s">
        <v>26</v>
      </c>
      <c r="I2986" t="s">
        <v>358</v>
      </c>
      <c r="J2986" t="s">
        <v>389</v>
      </c>
      <c r="K2986" t="s">
        <v>2526</v>
      </c>
      <c r="L2986">
        <v>21</v>
      </c>
      <c r="M2986">
        <v>36</v>
      </c>
      <c r="N2986" s="2">
        <v>0.22</v>
      </c>
      <c r="O2986">
        <v>85</v>
      </c>
      <c r="P2986">
        <v>10.1</v>
      </c>
      <c r="Q2986">
        <v>1.69</v>
      </c>
      <c r="R2986">
        <v>27</v>
      </c>
    </row>
    <row r="2987" spans="1:18" x14ac:dyDescent="0.25">
      <c r="A2987" t="s">
        <v>3099</v>
      </c>
      <c r="B2987" s="1">
        <v>44460</v>
      </c>
      <c r="C2987" t="s">
        <v>1812</v>
      </c>
      <c r="D2987" t="s">
        <v>23</v>
      </c>
      <c r="E2987" t="s">
        <v>24</v>
      </c>
      <c r="F2987" t="s">
        <v>323</v>
      </c>
      <c r="G2987">
        <v>5</v>
      </c>
      <c r="H2987" t="s">
        <v>49</v>
      </c>
      <c r="I2987" t="s">
        <v>50</v>
      </c>
      <c r="J2987" t="s">
        <v>51</v>
      </c>
      <c r="K2987" t="s">
        <v>2791</v>
      </c>
      <c r="R2987">
        <v>12</v>
      </c>
    </row>
    <row r="2988" spans="1:18" x14ac:dyDescent="0.25">
      <c r="A2988" t="s">
        <v>3100</v>
      </c>
      <c r="B2988" s="1">
        <v>44460</v>
      </c>
      <c r="C2988" t="s">
        <v>3101</v>
      </c>
      <c r="D2988" t="s">
        <v>23</v>
      </c>
      <c r="E2988" t="s">
        <v>24</v>
      </c>
      <c r="F2988" t="s">
        <v>200</v>
      </c>
      <c r="G2988">
        <v>10</v>
      </c>
      <c r="H2988" t="s">
        <v>464</v>
      </c>
      <c r="I2988" t="s">
        <v>943</v>
      </c>
      <c r="J2988" t="s">
        <v>944</v>
      </c>
      <c r="K2988" t="s">
        <v>3102</v>
      </c>
    </row>
    <row r="2989" spans="1:18" x14ac:dyDescent="0.25">
      <c r="A2989" t="s">
        <v>3162</v>
      </c>
      <c r="B2989" s="1">
        <v>44467</v>
      </c>
      <c r="C2989" t="s">
        <v>630</v>
      </c>
      <c r="D2989" t="s">
        <v>23</v>
      </c>
      <c r="E2989" t="s">
        <v>24</v>
      </c>
      <c r="F2989" t="s">
        <v>237</v>
      </c>
      <c r="G2989">
        <v>30</v>
      </c>
      <c r="H2989" t="s">
        <v>188</v>
      </c>
      <c r="I2989" t="s">
        <v>238</v>
      </c>
      <c r="J2989" t="s">
        <v>1956</v>
      </c>
      <c r="K2989" t="s">
        <v>3163</v>
      </c>
      <c r="R2989">
        <v>100</v>
      </c>
    </row>
    <row r="2990" spans="1:18" x14ac:dyDescent="0.25">
      <c r="A2990" t="s">
        <v>3164</v>
      </c>
      <c r="B2990" s="1">
        <v>44467</v>
      </c>
      <c r="C2990" t="s">
        <v>3165</v>
      </c>
      <c r="D2990" t="s">
        <v>23</v>
      </c>
      <c r="E2990" t="s">
        <v>24</v>
      </c>
      <c r="F2990" t="s">
        <v>231</v>
      </c>
      <c r="G2990">
        <v>10</v>
      </c>
      <c r="H2990" t="s">
        <v>194</v>
      </c>
      <c r="I2990" t="s">
        <v>195</v>
      </c>
      <c r="J2990" t="s">
        <v>211</v>
      </c>
      <c r="K2990" t="s">
        <v>3166</v>
      </c>
      <c r="R2990">
        <v>46</v>
      </c>
    </row>
    <row r="2991" spans="1:18" x14ac:dyDescent="0.25">
      <c r="A2991" t="s">
        <v>3167</v>
      </c>
      <c r="B2991" s="1">
        <v>44467</v>
      </c>
      <c r="C2991" t="s">
        <v>3168</v>
      </c>
      <c r="D2991" t="s">
        <v>23</v>
      </c>
      <c r="E2991" t="s">
        <v>24</v>
      </c>
      <c r="F2991" t="s">
        <v>243</v>
      </c>
      <c r="G2991">
        <v>10</v>
      </c>
      <c r="H2991" t="s">
        <v>188</v>
      </c>
      <c r="I2991" t="s">
        <v>189</v>
      </c>
      <c r="J2991" t="s">
        <v>564</v>
      </c>
      <c r="K2991" t="s">
        <v>3169</v>
      </c>
      <c r="R2991">
        <v>34</v>
      </c>
    </row>
    <row r="2992" spans="1:18" x14ac:dyDescent="0.25">
      <c r="A2992" t="s">
        <v>3170</v>
      </c>
      <c r="B2992" s="1">
        <v>44467</v>
      </c>
      <c r="C2992" t="s">
        <v>3152</v>
      </c>
      <c r="D2992" t="s">
        <v>23</v>
      </c>
      <c r="E2992" t="s">
        <v>24</v>
      </c>
      <c r="F2992" t="s">
        <v>660</v>
      </c>
      <c r="G2992">
        <v>5</v>
      </c>
      <c r="H2992" t="s">
        <v>26</v>
      </c>
      <c r="I2992" t="s">
        <v>423</v>
      </c>
      <c r="J2992" t="s">
        <v>505</v>
      </c>
      <c r="K2992" t="s">
        <v>3171</v>
      </c>
      <c r="L2992">
        <v>23</v>
      </c>
      <c r="M2992">
        <v>77</v>
      </c>
      <c r="N2992" s="2">
        <v>0.32</v>
      </c>
      <c r="O2992">
        <v>87</v>
      </c>
      <c r="P2992">
        <v>14.42</v>
      </c>
      <c r="Q2992">
        <v>1.2</v>
      </c>
      <c r="R2992">
        <v>28</v>
      </c>
    </row>
    <row r="2993" spans="1:18" x14ac:dyDescent="0.25">
      <c r="A2993" t="s">
        <v>3172</v>
      </c>
      <c r="B2993" s="1">
        <v>44467</v>
      </c>
      <c r="C2993" t="s">
        <v>3173</v>
      </c>
      <c r="D2993" t="s">
        <v>23</v>
      </c>
      <c r="E2993" t="s">
        <v>24</v>
      </c>
      <c r="F2993" t="s">
        <v>323</v>
      </c>
      <c r="G2993">
        <v>45</v>
      </c>
      <c r="H2993" t="s">
        <v>26</v>
      </c>
      <c r="I2993" t="s">
        <v>370</v>
      </c>
      <c r="J2993" t="s">
        <v>439</v>
      </c>
      <c r="K2993" t="s">
        <v>2775</v>
      </c>
      <c r="L2993">
        <v>264</v>
      </c>
      <c r="M2993">
        <v>98</v>
      </c>
      <c r="N2993" s="2">
        <v>0.37</v>
      </c>
      <c r="O2993">
        <v>83</v>
      </c>
      <c r="P2993">
        <v>15.93</v>
      </c>
      <c r="Q2993">
        <v>11.95</v>
      </c>
      <c r="R2993">
        <v>325</v>
      </c>
    </row>
    <row r="2994" spans="1:18" x14ac:dyDescent="0.25">
      <c r="A2994" t="s">
        <v>3174</v>
      </c>
      <c r="B2994" s="1">
        <v>44467</v>
      </c>
      <c r="C2994" t="s">
        <v>2916</v>
      </c>
      <c r="D2994" t="s">
        <v>23</v>
      </c>
      <c r="E2994" t="s">
        <v>24</v>
      </c>
      <c r="F2994" t="s">
        <v>323</v>
      </c>
      <c r="G2994">
        <v>5</v>
      </c>
      <c r="H2994" t="s">
        <v>26</v>
      </c>
      <c r="I2994" t="s">
        <v>358</v>
      </c>
      <c r="J2994" t="s">
        <v>359</v>
      </c>
      <c r="K2994" t="s">
        <v>2791</v>
      </c>
      <c r="L2994">
        <v>18</v>
      </c>
      <c r="M2994">
        <v>61</v>
      </c>
      <c r="N2994" s="2">
        <v>0.3</v>
      </c>
      <c r="O2994">
        <v>83</v>
      </c>
      <c r="P2994">
        <v>13.09</v>
      </c>
      <c r="Q2994">
        <v>1.0900000000000001</v>
      </c>
      <c r="R2994">
        <v>22</v>
      </c>
    </row>
    <row r="2995" spans="1:18" x14ac:dyDescent="0.25">
      <c r="A2995" t="s">
        <v>3175</v>
      </c>
      <c r="B2995" s="1">
        <v>44467</v>
      </c>
      <c r="C2995" t="s">
        <v>3176</v>
      </c>
      <c r="D2995" t="s">
        <v>23</v>
      </c>
      <c r="E2995" t="s">
        <v>24</v>
      </c>
      <c r="F2995" t="s">
        <v>323</v>
      </c>
      <c r="G2995">
        <v>5</v>
      </c>
      <c r="H2995" t="s">
        <v>49</v>
      </c>
      <c r="I2995" t="s">
        <v>50</v>
      </c>
      <c r="J2995" t="s">
        <v>51</v>
      </c>
      <c r="K2995" t="s">
        <v>2791</v>
      </c>
      <c r="R2995">
        <v>12</v>
      </c>
    </row>
    <row r="2996" spans="1:18" x14ac:dyDescent="0.25">
      <c r="A2996" t="s">
        <v>3177</v>
      </c>
      <c r="B2996" s="1">
        <v>44467</v>
      </c>
      <c r="C2996" t="s">
        <v>1292</v>
      </c>
      <c r="D2996" t="s">
        <v>23</v>
      </c>
      <c r="E2996" t="s">
        <v>24</v>
      </c>
      <c r="F2996" t="s">
        <v>200</v>
      </c>
      <c r="G2996">
        <v>10</v>
      </c>
      <c r="H2996" t="s">
        <v>464</v>
      </c>
      <c r="I2996" t="s">
        <v>943</v>
      </c>
      <c r="J2996" t="s">
        <v>944</v>
      </c>
      <c r="K2996" t="s">
        <v>3178</v>
      </c>
    </row>
    <row r="2997" spans="1:18" x14ac:dyDescent="0.25">
      <c r="A2997" t="s">
        <v>3237</v>
      </c>
      <c r="B2997" s="1">
        <v>44474</v>
      </c>
      <c r="C2997" t="s">
        <v>2681</v>
      </c>
      <c r="D2997" t="s">
        <v>23</v>
      </c>
      <c r="E2997" t="s">
        <v>24</v>
      </c>
      <c r="F2997" t="s">
        <v>323</v>
      </c>
      <c r="G2997">
        <v>45</v>
      </c>
      <c r="H2997" t="s">
        <v>26</v>
      </c>
      <c r="I2997" t="s">
        <v>370</v>
      </c>
      <c r="J2997" t="s">
        <v>479</v>
      </c>
      <c r="K2997" t="s">
        <v>3238</v>
      </c>
      <c r="L2997">
        <v>288</v>
      </c>
      <c r="M2997">
        <v>107</v>
      </c>
      <c r="N2997" s="2">
        <v>0.38</v>
      </c>
      <c r="O2997">
        <v>84</v>
      </c>
      <c r="P2997">
        <v>16.420000000000002</v>
      </c>
      <c r="Q2997">
        <v>12.32</v>
      </c>
      <c r="R2997">
        <v>355</v>
      </c>
    </row>
    <row r="2998" spans="1:18" x14ac:dyDescent="0.25">
      <c r="A2998" t="s">
        <v>3239</v>
      </c>
      <c r="B2998" s="1">
        <v>44474</v>
      </c>
      <c r="C2998" t="s">
        <v>2005</v>
      </c>
      <c r="D2998" t="s">
        <v>23</v>
      </c>
      <c r="E2998" t="s">
        <v>24</v>
      </c>
      <c r="F2998" t="s">
        <v>323</v>
      </c>
      <c r="G2998">
        <v>5</v>
      </c>
      <c r="H2998" t="s">
        <v>26</v>
      </c>
      <c r="I2998" t="s">
        <v>358</v>
      </c>
      <c r="J2998" t="s">
        <v>359</v>
      </c>
      <c r="K2998" t="s">
        <v>2791</v>
      </c>
      <c r="L2998">
        <v>17</v>
      </c>
      <c r="M2998">
        <v>55</v>
      </c>
      <c r="N2998" s="2">
        <v>0.3</v>
      </c>
      <c r="O2998">
        <v>80</v>
      </c>
      <c r="P2998">
        <v>12.5</v>
      </c>
      <c r="Q2998">
        <v>1.04</v>
      </c>
      <c r="R2998">
        <v>21</v>
      </c>
    </row>
    <row r="2999" spans="1:18" x14ac:dyDescent="0.25">
      <c r="A2999" t="s">
        <v>3240</v>
      </c>
      <c r="B2999" s="1">
        <v>44474</v>
      </c>
      <c r="C2999" t="s">
        <v>1809</v>
      </c>
      <c r="D2999" t="s">
        <v>23</v>
      </c>
      <c r="E2999" t="s">
        <v>24</v>
      </c>
      <c r="F2999" t="s">
        <v>323</v>
      </c>
      <c r="G2999">
        <v>5</v>
      </c>
      <c r="H2999" t="s">
        <v>49</v>
      </c>
      <c r="I2999" t="s">
        <v>50</v>
      </c>
      <c r="J2999" t="s">
        <v>51</v>
      </c>
      <c r="K2999" t="s">
        <v>2791</v>
      </c>
      <c r="R2999">
        <v>11</v>
      </c>
    </row>
    <row r="3000" spans="1:18" x14ac:dyDescent="0.25">
      <c r="A3000" t="s">
        <v>3307</v>
      </c>
      <c r="B3000" s="1">
        <v>44481</v>
      </c>
      <c r="C3000" t="s">
        <v>585</v>
      </c>
      <c r="D3000" t="s">
        <v>23</v>
      </c>
      <c r="E3000" t="s">
        <v>24</v>
      </c>
      <c r="F3000" t="s">
        <v>215</v>
      </c>
      <c r="G3000">
        <v>45</v>
      </c>
      <c r="H3000" t="s">
        <v>188</v>
      </c>
      <c r="I3000" t="s">
        <v>189</v>
      </c>
      <c r="J3000" t="s">
        <v>244</v>
      </c>
      <c r="K3000" t="s">
        <v>3308</v>
      </c>
      <c r="R3000">
        <v>150</v>
      </c>
    </row>
    <row r="3001" spans="1:18" x14ac:dyDescent="0.25">
      <c r="A3001" t="s">
        <v>3309</v>
      </c>
      <c r="B3001" s="1">
        <v>44481</v>
      </c>
      <c r="C3001" t="s">
        <v>3088</v>
      </c>
      <c r="D3001" t="s">
        <v>23</v>
      </c>
      <c r="E3001" t="s">
        <v>24</v>
      </c>
      <c r="F3001" t="s">
        <v>323</v>
      </c>
      <c r="G3001">
        <v>30</v>
      </c>
      <c r="H3001" t="s">
        <v>26</v>
      </c>
      <c r="I3001" t="s">
        <v>370</v>
      </c>
      <c r="J3001" t="s">
        <v>396</v>
      </c>
      <c r="K3001" t="s">
        <v>3310</v>
      </c>
      <c r="L3001">
        <v>172</v>
      </c>
      <c r="M3001">
        <v>95</v>
      </c>
      <c r="N3001" s="2">
        <v>0.36</v>
      </c>
      <c r="O3001">
        <v>84</v>
      </c>
      <c r="P3001">
        <v>15.73</v>
      </c>
      <c r="Q3001">
        <v>7.86</v>
      </c>
      <c r="R3001">
        <v>211</v>
      </c>
    </row>
    <row r="3002" spans="1:18" x14ac:dyDescent="0.25">
      <c r="A3002" t="s">
        <v>3311</v>
      </c>
      <c r="B3002" s="1">
        <v>44481</v>
      </c>
      <c r="C3002" t="s">
        <v>3312</v>
      </c>
      <c r="D3002" t="s">
        <v>23</v>
      </c>
      <c r="E3002" t="s">
        <v>24</v>
      </c>
      <c r="F3002" t="s">
        <v>305</v>
      </c>
      <c r="G3002">
        <v>20</v>
      </c>
      <c r="H3002" t="s">
        <v>194</v>
      </c>
      <c r="I3002" t="s">
        <v>1445</v>
      </c>
      <c r="J3002" t="s">
        <v>3313</v>
      </c>
      <c r="K3002" t="s">
        <v>3314</v>
      </c>
      <c r="R3002">
        <v>92</v>
      </c>
    </row>
    <row r="3003" spans="1:18" x14ac:dyDescent="0.25">
      <c r="A3003" t="s">
        <v>3315</v>
      </c>
      <c r="B3003" s="1">
        <v>44481</v>
      </c>
      <c r="C3003" t="s">
        <v>3316</v>
      </c>
      <c r="D3003" t="s">
        <v>23</v>
      </c>
      <c r="E3003" t="s">
        <v>24</v>
      </c>
      <c r="F3003" t="s">
        <v>1203</v>
      </c>
      <c r="G3003">
        <v>10</v>
      </c>
      <c r="H3003" t="s">
        <v>194</v>
      </c>
      <c r="I3003" t="s">
        <v>195</v>
      </c>
      <c r="J3003" t="s">
        <v>211</v>
      </c>
      <c r="K3003" t="s">
        <v>3317</v>
      </c>
      <c r="R3003">
        <v>46</v>
      </c>
    </row>
    <row r="3004" spans="1:18" x14ac:dyDescent="0.25">
      <c r="A3004" t="s">
        <v>3318</v>
      </c>
      <c r="B3004" s="1">
        <v>44481</v>
      </c>
      <c r="C3004" t="s">
        <v>1643</v>
      </c>
      <c r="D3004" t="s">
        <v>23</v>
      </c>
      <c r="E3004" t="s">
        <v>24</v>
      </c>
      <c r="F3004" t="s">
        <v>180</v>
      </c>
      <c r="G3004">
        <v>5</v>
      </c>
      <c r="H3004" t="s">
        <v>49</v>
      </c>
      <c r="I3004" t="s">
        <v>50</v>
      </c>
      <c r="J3004" t="s">
        <v>51</v>
      </c>
      <c r="K3004" t="s">
        <v>2988</v>
      </c>
      <c r="R3004">
        <v>12</v>
      </c>
    </row>
    <row r="3005" spans="1:18" x14ac:dyDescent="0.25">
      <c r="A3005" t="s">
        <v>3319</v>
      </c>
      <c r="B3005" s="1">
        <v>44481</v>
      </c>
      <c r="C3005" t="s">
        <v>251</v>
      </c>
      <c r="D3005" t="s">
        <v>23</v>
      </c>
      <c r="E3005" t="s">
        <v>24</v>
      </c>
      <c r="F3005" t="s">
        <v>200</v>
      </c>
      <c r="G3005">
        <v>10</v>
      </c>
      <c r="H3005" t="s">
        <v>464</v>
      </c>
      <c r="I3005" t="s">
        <v>579</v>
      </c>
      <c r="J3005" t="s">
        <v>1470</v>
      </c>
      <c r="K3005" t="s">
        <v>3320</v>
      </c>
    </row>
    <row r="3006" spans="1:18" x14ac:dyDescent="0.25">
      <c r="A3006" t="s">
        <v>3376</v>
      </c>
      <c r="B3006" s="1">
        <v>44488</v>
      </c>
      <c r="C3006" t="s">
        <v>377</v>
      </c>
      <c r="D3006" t="s">
        <v>23</v>
      </c>
      <c r="E3006" t="s">
        <v>24</v>
      </c>
      <c r="F3006" t="s">
        <v>243</v>
      </c>
      <c r="G3006">
        <v>20</v>
      </c>
      <c r="H3006" t="s">
        <v>188</v>
      </c>
      <c r="I3006" t="s">
        <v>103</v>
      </c>
      <c r="J3006" t="s">
        <v>3377</v>
      </c>
      <c r="K3006" t="s">
        <v>3378</v>
      </c>
      <c r="R3006">
        <v>64</v>
      </c>
    </row>
    <row r="3007" spans="1:18" x14ac:dyDescent="0.25">
      <c r="A3007" t="s">
        <v>3379</v>
      </c>
      <c r="B3007" s="1">
        <v>44488</v>
      </c>
      <c r="C3007" t="s">
        <v>2723</v>
      </c>
      <c r="D3007" t="s">
        <v>23</v>
      </c>
      <c r="E3007" t="s">
        <v>24</v>
      </c>
      <c r="F3007" t="s">
        <v>323</v>
      </c>
      <c r="G3007">
        <v>45</v>
      </c>
      <c r="H3007" t="s">
        <v>26</v>
      </c>
      <c r="I3007" t="s">
        <v>370</v>
      </c>
      <c r="J3007" t="s">
        <v>439</v>
      </c>
      <c r="K3007" t="s">
        <v>3380</v>
      </c>
      <c r="L3007">
        <v>239</v>
      </c>
      <c r="M3007">
        <v>88</v>
      </c>
      <c r="N3007" s="2">
        <v>0.38</v>
      </c>
      <c r="O3007">
        <v>79</v>
      </c>
      <c r="P3007">
        <v>15.3</v>
      </c>
      <c r="Q3007">
        <v>11.48</v>
      </c>
      <c r="R3007">
        <v>294</v>
      </c>
    </row>
    <row r="3008" spans="1:18" x14ac:dyDescent="0.25">
      <c r="A3008" t="s">
        <v>3381</v>
      </c>
      <c r="B3008" s="1">
        <v>44488</v>
      </c>
      <c r="C3008" t="s">
        <v>1931</v>
      </c>
      <c r="D3008" t="s">
        <v>23</v>
      </c>
      <c r="E3008" t="s">
        <v>24</v>
      </c>
      <c r="F3008" t="s">
        <v>2595</v>
      </c>
      <c r="G3008">
        <v>5</v>
      </c>
      <c r="H3008" t="s">
        <v>49</v>
      </c>
      <c r="I3008" t="s">
        <v>50</v>
      </c>
      <c r="J3008" t="s">
        <v>51</v>
      </c>
      <c r="K3008" t="s">
        <v>3382</v>
      </c>
      <c r="R3008">
        <v>11</v>
      </c>
    </row>
    <row r="3009" spans="1:18" x14ac:dyDescent="0.25">
      <c r="A3009" t="s">
        <v>3383</v>
      </c>
      <c r="B3009" s="1">
        <v>44488</v>
      </c>
      <c r="C3009" t="s">
        <v>1496</v>
      </c>
      <c r="D3009" t="s">
        <v>23</v>
      </c>
      <c r="E3009" t="s">
        <v>24</v>
      </c>
      <c r="F3009" t="s">
        <v>459</v>
      </c>
      <c r="G3009">
        <v>20</v>
      </c>
      <c r="H3009" t="s">
        <v>464</v>
      </c>
      <c r="I3009" t="s">
        <v>763</v>
      </c>
      <c r="J3009" t="s">
        <v>2732</v>
      </c>
      <c r="K3009" t="s">
        <v>3178</v>
      </c>
    </row>
    <row r="3010" spans="1:18" x14ac:dyDescent="0.25">
      <c r="A3010" t="s">
        <v>3416</v>
      </c>
      <c r="B3010" s="1">
        <v>44495</v>
      </c>
      <c r="C3010" t="s">
        <v>1990</v>
      </c>
      <c r="D3010" t="s">
        <v>23</v>
      </c>
      <c r="E3010" t="s">
        <v>24</v>
      </c>
      <c r="F3010" t="s">
        <v>243</v>
      </c>
      <c r="G3010">
        <v>30</v>
      </c>
      <c r="H3010" t="s">
        <v>188</v>
      </c>
      <c r="I3010" t="s">
        <v>254</v>
      </c>
      <c r="J3010" t="s">
        <v>255</v>
      </c>
      <c r="K3010" t="s">
        <v>3417</v>
      </c>
      <c r="R3010">
        <v>97</v>
      </c>
    </row>
    <row r="3011" spans="1:18" x14ac:dyDescent="0.25">
      <c r="A3011" t="s">
        <v>3418</v>
      </c>
      <c r="B3011" s="1">
        <v>44495</v>
      </c>
      <c r="C3011" t="s">
        <v>3190</v>
      </c>
      <c r="D3011" t="s">
        <v>23</v>
      </c>
      <c r="E3011" t="s">
        <v>24</v>
      </c>
      <c r="F3011" t="s">
        <v>335</v>
      </c>
      <c r="G3011">
        <v>30</v>
      </c>
      <c r="H3011" t="s">
        <v>26</v>
      </c>
      <c r="I3011" t="s">
        <v>370</v>
      </c>
      <c r="J3011" t="s">
        <v>396</v>
      </c>
      <c r="K3011" t="s">
        <v>3419</v>
      </c>
      <c r="L3011">
        <v>169</v>
      </c>
      <c r="M3011">
        <v>94</v>
      </c>
      <c r="N3011" s="2">
        <v>0.36</v>
      </c>
      <c r="O3011">
        <v>86</v>
      </c>
      <c r="P3011">
        <v>15.66</v>
      </c>
      <c r="Q3011">
        <v>7.83</v>
      </c>
      <c r="R3011">
        <v>208</v>
      </c>
    </row>
    <row r="3012" spans="1:18" x14ac:dyDescent="0.25">
      <c r="A3012" t="s">
        <v>3420</v>
      </c>
      <c r="B3012" s="1">
        <v>44495</v>
      </c>
      <c r="C3012" t="s">
        <v>3421</v>
      </c>
      <c r="D3012" t="s">
        <v>23</v>
      </c>
      <c r="E3012" t="s">
        <v>24</v>
      </c>
      <c r="F3012" t="s">
        <v>292</v>
      </c>
      <c r="G3012">
        <v>20</v>
      </c>
      <c r="H3012" t="s">
        <v>194</v>
      </c>
      <c r="I3012" t="s">
        <v>1445</v>
      </c>
      <c r="J3012" t="s">
        <v>3313</v>
      </c>
      <c r="K3012" t="s">
        <v>3422</v>
      </c>
      <c r="R3012">
        <v>92</v>
      </c>
    </row>
    <row r="3013" spans="1:18" x14ac:dyDescent="0.25">
      <c r="A3013" t="s">
        <v>3423</v>
      </c>
      <c r="B3013" s="1">
        <v>44495</v>
      </c>
      <c r="C3013" t="s">
        <v>2171</v>
      </c>
      <c r="D3013" t="s">
        <v>23</v>
      </c>
      <c r="E3013" t="s">
        <v>24</v>
      </c>
      <c r="F3013" t="s">
        <v>2256</v>
      </c>
      <c r="G3013">
        <v>10</v>
      </c>
      <c r="H3013" t="s">
        <v>194</v>
      </c>
      <c r="I3013" t="s">
        <v>195</v>
      </c>
      <c r="J3013" t="s">
        <v>211</v>
      </c>
      <c r="K3013" t="s">
        <v>3424</v>
      </c>
      <c r="R3013">
        <v>46</v>
      </c>
    </row>
    <row r="3014" spans="1:18" x14ac:dyDescent="0.25">
      <c r="A3014" t="s">
        <v>3425</v>
      </c>
      <c r="B3014" s="1">
        <v>44495</v>
      </c>
      <c r="C3014" t="s">
        <v>3225</v>
      </c>
      <c r="D3014" t="s">
        <v>23</v>
      </c>
      <c r="E3014" t="s">
        <v>24</v>
      </c>
      <c r="F3014" t="s">
        <v>335</v>
      </c>
      <c r="G3014">
        <v>5</v>
      </c>
      <c r="H3014" t="s">
        <v>49</v>
      </c>
      <c r="I3014" t="s">
        <v>298</v>
      </c>
      <c r="J3014" t="s">
        <v>299</v>
      </c>
      <c r="K3014" t="s">
        <v>3426</v>
      </c>
      <c r="R3014">
        <v>11</v>
      </c>
    </row>
    <row r="3015" spans="1:18" x14ac:dyDescent="0.25">
      <c r="A3015" t="s">
        <v>3427</v>
      </c>
      <c r="B3015" s="1">
        <v>44495</v>
      </c>
      <c r="C3015" t="s">
        <v>1669</v>
      </c>
      <c r="D3015" t="s">
        <v>23</v>
      </c>
      <c r="E3015" t="s">
        <v>24</v>
      </c>
      <c r="F3015" t="s">
        <v>200</v>
      </c>
      <c r="G3015">
        <v>10</v>
      </c>
      <c r="H3015" t="s">
        <v>464</v>
      </c>
      <c r="I3015" t="s">
        <v>763</v>
      </c>
      <c r="J3015" t="s">
        <v>764</v>
      </c>
      <c r="K3015" t="s">
        <v>3428</v>
      </c>
    </row>
    <row r="3016" spans="1:18" x14ac:dyDescent="0.25">
      <c r="A3016" t="s">
        <v>3470</v>
      </c>
      <c r="B3016" s="1">
        <v>44502</v>
      </c>
      <c r="C3016" t="s">
        <v>3471</v>
      </c>
      <c r="D3016" t="s">
        <v>23</v>
      </c>
      <c r="E3016" t="s">
        <v>24</v>
      </c>
      <c r="F3016" t="s">
        <v>208</v>
      </c>
      <c r="G3016">
        <v>15</v>
      </c>
      <c r="H3016" t="s">
        <v>464</v>
      </c>
      <c r="I3016" t="s">
        <v>1617</v>
      </c>
      <c r="J3016" t="s">
        <v>2838</v>
      </c>
      <c r="K3016" t="s">
        <v>3472</v>
      </c>
    </row>
    <row r="3017" spans="1:18" x14ac:dyDescent="0.25">
      <c r="A3017" t="s">
        <v>3473</v>
      </c>
      <c r="B3017" s="1">
        <v>44502</v>
      </c>
      <c r="C3017" t="s">
        <v>242</v>
      </c>
      <c r="D3017" t="s">
        <v>23</v>
      </c>
      <c r="E3017" t="s">
        <v>24</v>
      </c>
      <c r="F3017" t="s">
        <v>459</v>
      </c>
      <c r="G3017">
        <v>10</v>
      </c>
      <c r="H3017" t="s">
        <v>464</v>
      </c>
      <c r="I3017" t="s">
        <v>579</v>
      </c>
      <c r="J3017" t="s">
        <v>914</v>
      </c>
      <c r="K3017" t="s">
        <v>3474</v>
      </c>
    </row>
    <row r="3018" spans="1:18" x14ac:dyDescent="0.25">
      <c r="A3018" t="s">
        <v>3535</v>
      </c>
      <c r="B3018" s="1">
        <v>44509</v>
      </c>
      <c r="C3018" t="s">
        <v>3536</v>
      </c>
      <c r="D3018" t="s">
        <v>23</v>
      </c>
      <c r="E3018" t="s">
        <v>24</v>
      </c>
      <c r="F3018" t="s">
        <v>215</v>
      </c>
      <c r="G3018">
        <v>30</v>
      </c>
      <c r="H3018" t="s">
        <v>188</v>
      </c>
      <c r="I3018" t="s">
        <v>238</v>
      </c>
      <c r="J3018" t="s">
        <v>1956</v>
      </c>
      <c r="K3018" t="s">
        <v>3537</v>
      </c>
      <c r="R3018">
        <v>98</v>
      </c>
    </row>
    <row r="3019" spans="1:18" x14ac:dyDescent="0.25">
      <c r="A3019" t="s">
        <v>3538</v>
      </c>
      <c r="B3019" s="1">
        <v>44509</v>
      </c>
      <c r="C3019" t="s">
        <v>3539</v>
      </c>
      <c r="D3019" t="s">
        <v>23</v>
      </c>
      <c r="E3019" t="s">
        <v>24</v>
      </c>
      <c r="F3019" t="s">
        <v>335</v>
      </c>
      <c r="G3019">
        <v>20</v>
      </c>
      <c r="H3019" t="s">
        <v>26</v>
      </c>
      <c r="I3019" t="s">
        <v>39</v>
      </c>
      <c r="J3019" t="s">
        <v>3540</v>
      </c>
      <c r="K3019" t="s">
        <v>3541</v>
      </c>
      <c r="L3019">
        <v>101</v>
      </c>
      <c r="M3019">
        <v>84</v>
      </c>
      <c r="N3019" s="2">
        <v>0.34</v>
      </c>
      <c r="O3019">
        <v>84</v>
      </c>
      <c r="P3019">
        <v>14.95</v>
      </c>
      <c r="Q3019">
        <v>4.9800000000000004</v>
      </c>
      <c r="R3019">
        <v>125</v>
      </c>
    </row>
    <row r="3020" spans="1:18" x14ac:dyDescent="0.25">
      <c r="A3020" t="s">
        <v>3542</v>
      </c>
      <c r="B3020" s="1">
        <v>44509</v>
      </c>
      <c r="C3020" t="s">
        <v>2353</v>
      </c>
      <c r="D3020" t="s">
        <v>23</v>
      </c>
      <c r="E3020" t="s">
        <v>24</v>
      </c>
      <c r="F3020" t="s">
        <v>237</v>
      </c>
      <c r="G3020">
        <v>10</v>
      </c>
      <c r="H3020" t="s">
        <v>464</v>
      </c>
      <c r="I3020" t="s">
        <v>1617</v>
      </c>
      <c r="J3020" t="s">
        <v>3543</v>
      </c>
      <c r="K3020" t="s">
        <v>3544</v>
      </c>
    </row>
    <row r="3021" spans="1:18" x14ac:dyDescent="0.25">
      <c r="A3021" t="s">
        <v>3631</v>
      </c>
      <c r="B3021" s="1">
        <v>44516</v>
      </c>
      <c r="C3021" t="s">
        <v>1157</v>
      </c>
      <c r="D3021" t="s">
        <v>23</v>
      </c>
      <c r="E3021" t="s">
        <v>24</v>
      </c>
      <c r="F3021" t="s">
        <v>243</v>
      </c>
      <c r="G3021">
        <v>30</v>
      </c>
      <c r="H3021" t="s">
        <v>188</v>
      </c>
      <c r="I3021" t="s">
        <v>189</v>
      </c>
      <c r="J3021" t="s">
        <v>3632</v>
      </c>
      <c r="K3021" t="s">
        <v>3633</v>
      </c>
      <c r="R3021">
        <v>94</v>
      </c>
    </row>
    <row r="3022" spans="1:18" x14ac:dyDescent="0.25">
      <c r="A3022" t="s">
        <v>3634</v>
      </c>
      <c r="B3022" s="1">
        <v>44516</v>
      </c>
      <c r="C3022" t="s">
        <v>3635</v>
      </c>
      <c r="D3022" t="s">
        <v>23</v>
      </c>
      <c r="E3022" t="s">
        <v>24</v>
      </c>
      <c r="F3022" t="s">
        <v>328</v>
      </c>
      <c r="G3022">
        <v>45</v>
      </c>
      <c r="H3022" t="s">
        <v>26</v>
      </c>
      <c r="I3022" t="s">
        <v>370</v>
      </c>
      <c r="J3022" t="s">
        <v>479</v>
      </c>
      <c r="K3022" t="s">
        <v>3636</v>
      </c>
      <c r="L3022">
        <v>254</v>
      </c>
      <c r="M3022">
        <v>94</v>
      </c>
      <c r="N3022" s="2">
        <v>0.36</v>
      </c>
      <c r="O3022">
        <v>84</v>
      </c>
      <c r="P3022">
        <v>15.52</v>
      </c>
      <c r="Q3022">
        <v>11.64</v>
      </c>
      <c r="R3022">
        <v>314</v>
      </c>
    </row>
    <row r="3023" spans="1:18" x14ac:dyDescent="0.25">
      <c r="A3023" t="s">
        <v>3637</v>
      </c>
      <c r="B3023" s="1">
        <v>44516</v>
      </c>
      <c r="C3023" t="s">
        <v>3580</v>
      </c>
      <c r="D3023" t="s">
        <v>23</v>
      </c>
      <c r="E3023" t="s">
        <v>24</v>
      </c>
      <c r="F3023" t="s">
        <v>328</v>
      </c>
      <c r="G3023">
        <v>5</v>
      </c>
      <c r="H3023" t="s">
        <v>49</v>
      </c>
      <c r="I3023" t="s">
        <v>50</v>
      </c>
      <c r="J3023" t="s">
        <v>51</v>
      </c>
      <c r="K3023" t="s">
        <v>3638</v>
      </c>
      <c r="R3023">
        <v>11</v>
      </c>
    </row>
    <row r="3024" spans="1:18" x14ac:dyDescent="0.25">
      <c r="A3024" t="s">
        <v>3639</v>
      </c>
      <c r="B3024" s="1">
        <v>44516</v>
      </c>
      <c r="C3024" t="s">
        <v>1882</v>
      </c>
      <c r="D3024" t="s">
        <v>23</v>
      </c>
      <c r="E3024" t="s">
        <v>24</v>
      </c>
      <c r="F3024" t="s">
        <v>200</v>
      </c>
      <c r="G3024">
        <v>10</v>
      </c>
      <c r="H3024" t="s">
        <v>464</v>
      </c>
      <c r="I3024" t="s">
        <v>763</v>
      </c>
      <c r="J3024" t="s">
        <v>764</v>
      </c>
      <c r="K3024" t="s">
        <v>3640</v>
      </c>
    </row>
    <row r="3025" spans="1:19" x14ac:dyDescent="0.25">
      <c r="A3025" t="s">
        <v>3729</v>
      </c>
      <c r="B3025" s="1">
        <v>44523</v>
      </c>
      <c r="C3025" t="s">
        <v>2921</v>
      </c>
      <c r="D3025" t="s">
        <v>23</v>
      </c>
      <c r="E3025" t="s">
        <v>24</v>
      </c>
      <c r="F3025" t="s">
        <v>243</v>
      </c>
      <c r="G3025">
        <v>30</v>
      </c>
      <c r="H3025" t="s">
        <v>188</v>
      </c>
      <c r="I3025" t="s">
        <v>103</v>
      </c>
      <c r="J3025" t="s">
        <v>3730</v>
      </c>
      <c r="K3025" t="s">
        <v>3731</v>
      </c>
      <c r="R3025">
        <v>97</v>
      </c>
    </row>
    <row r="3026" spans="1:19" x14ac:dyDescent="0.25">
      <c r="A3026" t="s">
        <v>3732</v>
      </c>
      <c r="B3026" s="1">
        <v>44523</v>
      </c>
      <c r="C3026" t="s">
        <v>3733</v>
      </c>
      <c r="D3026" t="s">
        <v>23</v>
      </c>
      <c r="E3026" t="s">
        <v>24</v>
      </c>
      <c r="F3026" t="s">
        <v>292</v>
      </c>
      <c r="G3026">
        <v>30</v>
      </c>
      <c r="H3026" t="s">
        <v>1856</v>
      </c>
      <c r="I3026" t="s">
        <v>1857</v>
      </c>
      <c r="J3026" t="s">
        <v>3734</v>
      </c>
      <c r="K3026" t="s">
        <v>3735</v>
      </c>
      <c r="L3026">
        <v>0</v>
      </c>
      <c r="P3026">
        <v>3.49</v>
      </c>
      <c r="Q3026">
        <v>1.74</v>
      </c>
      <c r="R3026">
        <v>167</v>
      </c>
      <c r="S3026">
        <v>133.28</v>
      </c>
    </row>
    <row r="3027" spans="1:19" x14ac:dyDescent="0.25">
      <c r="A3027" t="s">
        <v>3736</v>
      </c>
      <c r="B3027" s="1">
        <v>44523</v>
      </c>
      <c r="C3027" t="s">
        <v>3737</v>
      </c>
      <c r="D3027" t="s">
        <v>23</v>
      </c>
      <c r="E3027" t="s">
        <v>24</v>
      </c>
      <c r="F3027" t="s">
        <v>292</v>
      </c>
      <c r="G3027">
        <v>30</v>
      </c>
      <c r="H3027" t="s">
        <v>605</v>
      </c>
      <c r="I3027" t="s">
        <v>663</v>
      </c>
      <c r="J3027" t="s">
        <v>664</v>
      </c>
      <c r="K3027" t="s">
        <v>3738</v>
      </c>
      <c r="L3027">
        <v>110</v>
      </c>
      <c r="P3027">
        <v>15.84</v>
      </c>
      <c r="Q3027">
        <v>4.78</v>
      </c>
      <c r="R3027">
        <v>170</v>
      </c>
    </row>
    <row r="3028" spans="1:19" x14ac:dyDescent="0.25">
      <c r="A3028" t="s">
        <v>3739</v>
      </c>
      <c r="B3028" s="1">
        <v>44523</v>
      </c>
      <c r="C3028" t="s">
        <v>3740</v>
      </c>
      <c r="D3028" t="s">
        <v>23</v>
      </c>
      <c r="E3028" t="s">
        <v>24</v>
      </c>
      <c r="F3028" t="s">
        <v>170</v>
      </c>
      <c r="G3028">
        <v>5</v>
      </c>
      <c r="H3028" t="s">
        <v>49</v>
      </c>
      <c r="I3028" t="s">
        <v>50</v>
      </c>
      <c r="J3028" t="s">
        <v>51</v>
      </c>
      <c r="K3028" t="s">
        <v>3741</v>
      </c>
      <c r="R3028">
        <v>11</v>
      </c>
    </row>
    <row r="3029" spans="1:19" x14ac:dyDescent="0.25">
      <c r="A3029" t="s">
        <v>3742</v>
      </c>
      <c r="B3029" s="1">
        <v>44523</v>
      </c>
      <c r="C3029" t="s">
        <v>3743</v>
      </c>
      <c r="D3029" t="s">
        <v>23</v>
      </c>
      <c r="E3029" t="s">
        <v>24</v>
      </c>
      <c r="F3029" t="s">
        <v>200</v>
      </c>
      <c r="G3029">
        <v>20</v>
      </c>
      <c r="H3029" t="s">
        <v>464</v>
      </c>
      <c r="I3029" t="s">
        <v>943</v>
      </c>
      <c r="J3029" t="s">
        <v>1347</v>
      </c>
      <c r="K3029" t="s">
        <v>3744</v>
      </c>
    </row>
    <row r="3030" spans="1:19" x14ac:dyDescent="0.25">
      <c r="A3030" t="s">
        <v>3794</v>
      </c>
      <c r="B3030" s="1">
        <v>44530</v>
      </c>
      <c r="C3030" t="s">
        <v>3795</v>
      </c>
      <c r="D3030" t="s">
        <v>23</v>
      </c>
      <c r="E3030" t="s">
        <v>24</v>
      </c>
      <c r="F3030" t="s">
        <v>2708</v>
      </c>
      <c r="G3030">
        <v>30</v>
      </c>
      <c r="H3030" t="s">
        <v>188</v>
      </c>
      <c r="I3030" t="s">
        <v>189</v>
      </c>
      <c r="J3030" t="s">
        <v>3149</v>
      </c>
      <c r="K3030" t="s">
        <v>3796</v>
      </c>
      <c r="R3030">
        <v>98</v>
      </c>
    </row>
    <row r="3031" spans="1:19" x14ac:dyDescent="0.25">
      <c r="A3031" t="s">
        <v>3797</v>
      </c>
      <c r="B3031" s="1">
        <v>44530</v>
      </c>
      <c r="C3031" t="s">
        <v>3798</v>
      </c>
      <c r="D3031" t="s">
        <v>23</v>
      </c>
      <c r="E3031" t="s">
        <v>24</v>
      </c>
      <c r="F3031" t="s">
        <v>231</v>
      </c>
      <c r="G3031">
        <v>30</v>
      </c>
      <c r="H3031" t="s">
        <v>1856</v>
      </c>
      <c r="I3031" t="s">
        <v>1857</v>
      </c>
      <c r="J3031" t="s">
        <v>3799</v>
      </c>
      <c r="K3031" t="s">
        <v>3800</v>
      </c>
      <c r="L3031">
        <v>0</v>
      </c>
      <c r="P3031">
        <v>3.47</v>
      </c>
      <c r="Q3031">
        <v>1.73</v>
      </c>
      <c r="R3031">
        <v>182</v>
      </c>
      <c r="S3031">
        <v>121.57</v>
      </c>
    </row>
    <row r="3032" spans="1:19" x14ac:dyDescent="0.25">
      <c r="A3032" t="s">
        <v>3801</v>
      </c>
      <c r="B3032" s="1">
        <v>44530</v>
      </c>
      <c r="C3032" t="s">
        <v>3647</v>
      </c>
      <c r="D3032" t="s">
        <v>23</v>
      </c>
      <c r="E3032" t="s">
        <v>24</v>
      </c>
      <c r="F3032" t="s">
        <v>292</v>
      </c>
      <c r="G3032">
        <v>45</v>
      </c>
      <c r="H3032" t="s">
        <v>605</v>
      </c>
      <c r="I3032" t="s">
        <v>44</v>
      </c>
      <c r="J3032" t="s">
        <v>3802</v>
      </c>
      <c r="K3032" t="s">
        <v>3803</v>
      </c>
      <c r="L3032">
        <v>156</v>
      </c>
      <c r="P3032">
        <v>16.13</v>
      </c>
      <c r="Q3032">
        <v>6.7</v>
      </c>
      <c r="R3032">
        <v>255</v>
      </c>
    </row>
    <row r="3033" spans="1:19" x14ac:dyDescent="0.25">
      <c r="A3033" t="s">
        <v>3804</v>
      </c>
      <c r="B3033" s="1">
        <v>44530</v>
      </c>
      <c r="C3033" t="s">
        <v>3805</v>
      </c>
      <c r="D3033" t="s">
        <v>23</v>
      </c>
      <c r="E3033" t="s">
        <v>24</v>
      </c>
      <c r="F3033" t="s">
        <v>180</v>
      </c>
      <c r="G3033">
        <v>5</v>
      </c>
      <c r="H3033" t="s">
        <v>194</v>
      </c>
      <c r="I3033" t="s">
        <v>195</v>
      </c>
      <c r="J3033" t="s">
        <v>196</v>
      </c>
      <c r="K3033" t="s">
        <v>3727</v>
      </c>
      <c r="R3033">
        <v>23</v>
      </c>
    </row>
    <row r="3034" spans="1:19" x14ac:dyDescent="0.25">
      <c r="A3034" t="s">
        <v>3806</v>
      </c>
      <c r="B3034" s="1">
        <v>44530</v>
      </c>
      <c r="C3034" t="s">
        <v>3807</v>
      </c>
      <c r="D3034" t="s">
        <v>23</v>
      </c>
      <c r="E3034" t="s">
        <v>24</v>
      </c>
      <c r="F3034" t="s">
        <v>180</v>
      </c>
      <c r="G3034">
        <v>5</v>
      </c>
      <c r="H3034" t="s">
        <v>49</v>
      </c>
      <c r="I3034" t="s">
        <v>226</v>
      </c>
      <c r="J3034" t="s">
        <v>227</v>
      </c>
      <c r="K3034" t="s">
        <v>3727</v>
      </c>
      <c r="R3034">
        <v>12</v>
      </c>
    </row>
    <row r="3035" spans="1:19" x14ac:dyDescent="0.25">
      <c r="A3035" t="s">
        <v>3808</v>
      </c>
      <c r="B3035" s="1">
        <v>44530</v>
      </c>
      <c r="C3035" t="s">
        <v>2295</v>
      </c>
      <c r="D3035" t="s">
        <v>23</v>
      </c>
      <c r="E3035" t="s">
        <v>24</v>
      </c>
      <c r="F3035" t="s">
        <v>208</v>
      </c>
      <c r="G3035">
        <v>15</v>
      </c>
      <c r="H3035" t="s">
        <v>464</v>
      </c>
      <c r="I3035" t="s">
        <v>763</v>
      </c>
      <c r="J3035" t="s">
        <v>2508</v>
      </c>
      <c r="K3035" t="s">
        <v>3809</v>
      </c>
    </row>
    <row r="3036" spans="1:19" x14ac:dyDescent="0.25">
      <c r="A3036" t="s">
        <v>3909</v>
      </c>
      <c r="B3036" s="1">
        <v>44537</v>
      </c>
      <c r="C3036" t="s">
        <v>3910</v>
      </c>
      <c r="D3036" t="s">
        <v>23</v>
      </c>
      <c r="E3036" t="s">
        <v>24</v>
      </c>
      <c r="F3036" t="s">
        <v>215</v>
      </c>
      <c r="G3036">
        <v>30</v>
      </c>
      <c r="H3036" t="s">
        <v>188</v>
      </c>
      <c r="I3036" t="s">
        <v>189</v>
      </c>
      <c r="J3036" t="s">
        <v>201</v>
      </c>
      <c r="K3036" t="s">
        <v>3911</v>
      </c>
      <c r="R3036">
        <v>101</v>
      </c>
    </row>
    <row r="3037" spans="1:19" x14ac:dyDescent="0.25">
      <c r="A3037" t="s">
        <v>3912</v>
      </c>
      <c r="B3037" s="1">
        <v>44537</v>
      </c>
      <c r="C3037" t="s">
        <v>1202</v>
      </c>
      <c r="D3037" t="s">
        <v>23</v>
      </c>
      <c r="E3037" t="s">
        <v>24</v>
      </c>
      <c r="F3037" t="s">
        <v>200</v>
      </c>
      <c r="G3037">
        <v>5</v>
      </c>
      <c r="H3037" t="s">
        <v>464</v>
      </c>
      <c r="I3037" t="s">
        <v>579</v>
      </c>
      <c r="J3037" t="s">
        <v>3913</v>
      </c>
      <c r="K3037" t="s">
        <v>3914</v>
      </c>
      <c r="S3037">
        <v>72.91</v>
      </c>
    </row>
    <row r="3038" spans="1:19" x14ac:dyDescent="0.25">
      <c r="A3038" t="s">
        <v>3915</v>
      </c>
      <c r="B3038" s="1">
        <v>44537</v>
      </c>
      <c r="C3038" t="s">
        <v>919</v>
      </c>
      <c r="D3038" t="s">
        <v>23</v>
      </c>
      <c r="E3038" t="s">
        <v>24</v>
      </c>
      <c r="F3038" t="s">
        <v>309</v>
      </c>
      <c r="G3038">
        <v>30</v>
      </c>
      <c r="H3038" t="s">
        <v>1856</v>
      </c>
      <c r="I3038" t="s">
        <v>1857</v>
      </c>
      <c r="J3038" t="s">
        <v>3916</v>
      </c>
      <c r="K3038" t="s">
        <v>3917</v>
      </c>
      <c r="L3038">
        <v>0</v>
      </c>
      <c r="P3038">
        <v>0</v>
      </c>
      <c r="Q3038">
        <v>0</v>
      </c>
      <c r="R3038">
        <v>172</v>
      </c>
      <c r="S3038">
        <v>129.97999999999999</v>
      </c>
    </row>
    <row r="3039" spans="1:19" x14ac:dyDescent="0.25">
      <c r="A3039" t="s">
        <v>3918</v>
      </c>
      <c r="B3039" s="1">
        <v>44537</v>
      </c>
      <c r="C3039" t="s">
        <v>3919</v>
      </c>
      <c r="D3039" t="s">
        <v>23</v>
      </c>
      <c r="E3039" t="s">
        <v>24</v>
      </c>
      <c r="F3039" t="s">
        <v>323</v>
      </c>
      <c r="G3039">
        <v>45</v>
      </c>
      <c r="H3039" t="s">
        <v>26</v>
      </c>
      <c r="I3039" t="s">
        <v>370</v>
      </c>
      <c r="J3039" t="s">
        <v>479</v>
      </c>
      <c r="K3039" t="s">
        <v>3920</v>
      </c>
      <c r="L3039">
        <v>283</v>
      </c>
      <c r="M3039">
        <v>105</v>
      </c>
      <c r="N3039" s="2">
        <v>0.37</v>
      </c>
      <c r="O3039">
        <v>85</v>
      </c>
      <c r="P3039">
        <v>16.309999999999999</v>
      </c>
      <c r="Q3039">
        <v>12.24</v>
      </c>
      <c r="R3039">
        <v>349</v>
      </c>
    </row>
    <row r="3040" spans="1:19" x14ac:dyDescent="0.25">
      <c r="A3040" t="s">
        <v>3921</v>
      </c>
      <c r="B3040" s="1">
        <v>44537</v>
      </c>
      <c r="C3040" t="s">
        <v>3922</v>
      </c>
      <c r="D3040" t="s">
        <v>23</v>
      </c>
      <c r="E3040" t="s">
        <v>24</v>
      </c>
      <c r="F3040" t="s">
        <v>2833</v>
      </c>
      <c r="G3040">
        <v>10</v>
      </c>
      <c r="H3040" t="s">
        <v>26</v>
      </c>
      <c r="I3040" t="s">
        <v>358</v>
      </c>
      <c r="J3040" t="s">
        <v>3923</v>
      </c>
      <c r="K3040" t="s">
        <v>3924</v>
      </c>
      <c r="L3040">
        <v>46</v>
      </c>
      <c r="M3040">
        <v>76</v>
      </c>
      <c r="N3040" s="2">
        <v>0.33</v>
      </c>
      <c r="O3040">
        <v>84</v>
      </c>
      <c r="P3040">
        <v>14.44</v>
      </c>
      <c r="Q3040">
        <v>2.41</v>
      </c>
      <c r="R3040">
        <v>56</v>
      </c>
    </row>
    <row r="3041" spans="1:18" x14ac:dyDescent="0.25">
      <c r="A3041" t="s">
        <v>3925</v>
      </c>
      <c r="B3041" s="1">
        <v>44537</v>
      </c>
      <c r="C3041" t="s">
        <v>3926</v>
      </c>
      <c r="D3041" t="s">
        <v>23</v>
      </c>
      <c r="E3041" t="s">
        <v>24</v>
      </c>
      <c r="F3041" t="s">
        <v>180</v>
      </c>
      <c r="G3041">
        <v>15</v>
      </c>
      <c r="H3041" t="s">
        <v>194</v>
      </c>
      <c r="I3041" t="s">
        <v>195</v>
      </c>
      <c r="J3041" t="s">
        <v>1217</v>
      </c>
      <c r="K3041" t="s">
        <v>3927</v>
      </c>
      <c r="R3041">
        <v>69</v>
      </c>
    </row>
    <row r="3042" spans="1:18" x14ac:dyDescent="0.25">
      <c r="A3042" t="s">
        <v>3928</v>
      </c>
      <c r="B3042" s="1">
        <v>44537</v>
      </c>
      <c r="C3042" t="s">
        <v>3848</v>
      </c>
      <c r="D3042" t="s">
        <v>23</v>
      </c>
      <c r="E3042" t="s">
        <v>24</v>
      </c>
      <c r="F3042" t="s">
        <v>180</v>
      </c>
      <c r="G3042">
        <v>5</v>
      </c>
      <c r="H3042" t="s">
        <v>49</v>
      </c>
      <c r="I3042" t="s">
        <v>226</v>
      </c>
      <c r="J3042" t="s">
        <v>227</v>
      </c>
      <c r="K3042" t="s">
        <v>3727</v>
      </c>
      <c r="R3042">
        <v>11</v>
      </c>
    </row>
    <row r="3043" spans="1:18" x14ac:dyDescent="0.25">
      <c r="A3043" t="s">
        <v>3929</v>
      </c>
      <c r="B3043" s="1">
        <v>44537</v>
      </c>
      <c r="C3043" t="s">
        <v>1552</v>
      </c>
      <c r="D3043" t="s">
        <v>23</v>
      </c>
      <c r="E3043" t="s">
        <v>24</v>
      </c>
      <c r="F3043" t="s">
        <v>237</v>
      </c>
      <c r="G3043">
        <v>10</v>
      </c>
      <c r="H3043" t="s">
        <v>464</v>
      </c>
      <c r="I3043" t="s">
        <v>943</v>
      </c>
      <c r="J3043" t="s">
        <v>944</v>
      </c>
      <c r="K3043" t="s">
        <v>3914</v>
      </c>
    </row>
    <row r="3044" spans="1:18" x14ac:dyDescent="0.25">
      <c r="A3044" t="s">
        <v>4012</v>
      </c>
      <c r="B3044" s="1">
        <v>44544</v>
      </c>
      <c r="C3044" t="s">
        <v>1923</v>
      </c>
      <c r="D3044" t="s">
        <v>23</v>
      </c>
      <c r="E3044" t="s">
        <v>24</v>
      </c>
      <c r="F3044" t="s">
        <v>215</v>
      </c>
      <c r="G3044">
        <v>30</v>
      </c>
      <c r="H3044" t="s">
        <v>188</v>
      </c>
      <c r="I3044" t="s">
        <v>254</v>
      </c>
      <c r="J3044" t="s">
        <v>4013</v>
      </c>
      <c r="K3044" t="s">
        <v>4014</v>
      </c>
      <c r="R3044">
        <v>99</v>
      </c>
    </row>
    <row r="3045" spans="1:18" x14ac:dyDescent="0.25">
      <c r="A3045" t="s">
        <v>4015</v>
      </c>
      <c r="B3045" s="1">
        <v>44544</v>
      </c>
      <c r="C3045" t="s">
        <v>3619</v>
      </c>
      <c r="D3045" t="s">
        <v>23</v>
      </c>
      <c r="E3045" t="s">
        <v>24</v>
      </c>
      <c r="F3045" t="s">
        <v>660</v>
      </c>
      <c r="G3045">
        <v>5</v>
      </c>
      <c r="H3045" t="s">
        <v>26</v>
      </c>
      <c r="I3045" t="s">
        <v>423</v>
      </c>
      <c r="J3045" t="s">
        <v>4016</v>
      </c>
      <c r="K3045" t="s">
        <v>4017</v>
      </c>
      <c r="L3045">
        <v>23</v>
      </c>
      <c r="M3045">
        <v>78</v>
      </c>
      <c r="N3045" s="2">
        <v>0.31</v>
      </c>
      <c r="O3045">
        <v>91</v>
      </c>
      <c r="P3045">
        <v>14.58</v>
      </c>
      <c r="Q3045">
        <v>1.21</v>
      </c>
      <c r="R3045">
        <v>29</v>
      </c>
    </row>
    <row r="3046" spans="1:18" x14ac:dyDescent="0.25">
      <c r="A3046" t="s">
        <v>4018</v>
      </c>
      <c r="B3046" s="1">
        <v>44544</v>
      </c>
      <c r="C3046" t="s">
        <v>4019</v>
      </c>
      <c r="D3046" t="s">
        <v>23</v>
      </c>
      <c r="E3046" t="s">
        <v>24</v>
      </c>
      <c r="F3046" t="s">
        <v>323</v>
      </c>
      <c r="G3046">
        <v>45</v>
      </c>
      <c r="H3046" t="s">
        <v>26</v>
      </c>
      <c r="I3046" t="s">
        <v>370</v>
      </c>
      <c r="J3046" t="s">
        <v>1256</v>
      </c>
      <c r="K3046" t="s">
        <v>4020</v>
      </c>
      <c r="L3046">
        <v>269</v>
      </c>
      <c r="M3046">
        <v>100</v>
      </c>
      <c r="N3046" s="2">
        <v>0.34</v>
      </c>
      <c r="O3046">
        <v>88</v>
      </c>
      <c r="P3046">
        <v>15.41</v>
      </c>
      <c r="Q3046">
        <v>11.56</v>
      </c>
      <c r="R3046">
        <v>332</v>
      </c>
    </row>
    <row r="3047" spans="1:18" x14ac:dyDescent="0.25">
      <c r="A3047" t="s">
        <v>4021</v>
      </c>
      <c r="B3047" s="1">
        <v>44544</v>
      </c>
      <c r="C3047" t="s">
        <v>3919</v>
      </c>
      <c r="D3047" t="s">
        <v>23</v>
      </c>
      <c r="E3047" t="s">
        <v>24</v>
      </c>
      <c r="F3047" t="s">
        <v>354</v>
      </c>
      <c r="G3047">
        <v>5</v>
      </c>
      <c r="H3047" t="s">
        <v>26</v>
      </c>
      <c r="I3047" t="s">
        <v>358</v>
      </c>
      <c r="J3047" t="s">
        <v>359</v>
      </c>
      <c r="K3047" t="s">
        <v>4022</v>
      </c>
      <c r="L3047">
        <v>18</v>
      </c>
      <c r="M3047">
        <v>60</v>
      </c>
      <c r="N3047" s="2">
        <v>0.3</v>
      </c>
      <c r="O3047">
        <v>83</v>
      </c>
      <c r="P3047">
        <v>12.93</v>
      </c>
      <c r="Q3047">
        <v>1.07</v>
      </c>
      <c r="R3047">
        <v>22</v>
      </c>
    </row>
    <row r="3048" spans="1:18" x14ac:dyDescent="0.25">
      <c r="A3048" t="s">
        <v>4023</v>
      </c>
      <c r="B3048" s="1">
        <v>44544</v>
      </c>
      <c r="C3048" t="s">
        <v>642</v>
      </c>
      <c r="D3048" t="s">
        <v>23</v>
      </c>
      <c r="E3048" t="s">
        <v>24</v>
      </c>
      <c r="F3048" t="s">
        <v>660</v>
      </c>
      <c r="G3048">
        <v>5</v>
      </c>
      <c r="H3048" t="s">
        <v>49</v>
      </c>
      <c r="I3048" t="s">
        <v>50</v>
      </c>
      <c r="J3048" t="s">
        <v>51</v>
      </c>
      <c r="K3048" t="s">
        <v>4024</v>
      </c>
      <c r="R3048">
        <v>11</v>
      </c>
    </row>
    <row r="3049" spans="1:18" x14ac:dyDescent="0.25">
      <c r="A3049" t="s">
        <v>4025</v>
      </c>
      <c r="B3049" s="1">
        <v>44544</v>
      </c>
      <c r="C3049" t="s">
        <v>4026</v>
      </c>
      <c r="D3049" t="s">
        <v>23</v>
      </c>
      <c r="E3049" t="s">
        <v>24</v>
      </c>
      <c r="F3049" t="s">
        <v>200</v>
      </c>
      <c r="G3049">
        <v>10</v>
      </c>
      <c r="H3049" t="s">
        <v>464</v>
      </c>
      <c r="I3049" t="s">
        <v>1571</v>
      </c>
      <c r="J3049" t="s">
        <v>2704</v>
      </c>
      <c r="K3049" t="s">
        <v>4027</v>
      </c>
    </row>
    <row r="3050" spans="1:18" x14ac:dyDescent="0.25">
      <c r="A3050" t="s">
        <v>4100</v>
      </c>
      <c r="B3050" s="1">
        <v>44551</v>
      </c>
      <c r="C3050" t="s">
        <v>3327</v>
      </c>
      <c r="D3050" t="s">
        <v>23</v>
      </c>
      <c r="E3050" t="s">
        <v>24</v>
      </c>
      <c r="F3050" t="s">
        <v>200</v>
      </c>
      <c r="G3050">
        <v>30</v>
      </c>
      <c r="H3050" t="s">
        <v>188</v>
      </c>
      <c r="I3050" t="s">
        <v>189</v>
      </c>
      <c r="J3050" t="s">
        <v>201</v>
      </c>
      <c r="K3050" t="s">
        <v>4101</v>
      </c>
      <c r="R3050">
        <v>99</v>
      </c>
    </row>
    <row r="3051" spans="1:18" x14ac:dyDescent="0.25">
      <c r="A3051" t="s">
        <v>4102</v>
      </c>
      <c r="B3051" s="1">
        <v>44551</v>
      </c>
      <c r="C3051" t="s">
        <v>4103</v>
      </c>
      <c r="D3051" t="s">
        <v>23</v>
      </c>
      <c r="E3051" t="s">
        <v>24</v>
      </c>
      <c r="F3051" t="s">
        <v>590</v>
      </c>
      <c r="G3051">
        <v>5</v>
      </c>
      <c r="H3051" t="s">
        <v>26</v>
      </c>
      <c r="I3051" t="s">
        <v>423</v>
      </c>
      <c r="J3051" t="s">
        <v>4104</v>
      </c>
      <c r="K3051" t="s">
        <v>4105</v>
      </c>
      <c r="L3051">
        <v>24</v>
      </c>
      <c r="M3051">
        <v>80</v>
      </c>
      <c r="N3051" s="2">
        <v>0.33</v>
      </c>
      <c r="O3051">
        <v>85</v>
      </c>
      <c r="P3051">
        <v>14.72</v>
      </c>
      <c r="Q3051">
        <v>1.23</v>
      </c>
      <c r="R3051">
        <v>30</v>
      </c>
    </row>
    <row r="3052" spans="1:18" x14ac:dyDescent="0.25">
      <c r="A3052" t="s">
        <v>4106</v>
      </c>
      <c r="B3052" s="1">
        <v>44551</v>
      </c>
      <c r="C3052" t="s">
        <v>3807</v>
      </c>
      <c r="D3052" t="s">
        <v>23</v>
      </c>
      <c r="E3052" t="s">
        <v>24</v>
      </c>
      <c r="F3052" t="s">
        <v>323</v>
      </c>
      <c r="G3052">
        <v>45</v>
      </c>
      <c r="H3052" t="s">
        <v>26</v>
      </c>
      <c r="I3052" t="s">
        <v>370</v>
      </c>
      <c r="J3052" t="s">
        <v>1256</v>
      </c>
      <c r="K3052" t="s">
        <v>4107</v>
      </c>
      <c r="L3052">
        <v>267</v>
      </c>
      <c r="M3052">
        <v>99</v>
      </c>
      <c r="N3052" s="2">
        <v>0.31</v>
      </c>
      <c r="O3052">
        <v>92</v>
      </c>
      <c r="P3052">
        <v>14.86</v>
      </c>
      <c r="Q3052">
        <v>11.15</v>
      </c>
      <c r="R3052">
        <v>329</v>
      </c>
    </row>
    <row r="3053" spans="1:18" x14ac:dyDescent="0.25">
      <c r="A3053" t="s">
        <v>4108</v>
      </c>
      <c r="B3053" s="1">
        <v>44551</v>
      </c>
      <c r="C3053" t="s">
        <v>4109</v>
      </c>
      <c r="D3053" t="s">
        <v>23</v>
      </c>
      <c r="E3053" t="s">
        <v>24</v>
      </c>
      <c r="F3053" t="s">
        <v>323</v>
      </c>
      <c r="G3053">
        <v>5</v>
      </c>
      <c r="H3053" t="s">
        <v>26</v>
      </c>
      <c r="I3053" t="s">
        <v>358</v>
      </c>
      <c r="J3053" t="s">
        <v>359</v>
      </c>
      <c r="K3053" t="s">
        <v>3597</v>
      </c>
      <c r="L3053">
        <v>16</v>
      </c>
      <c r="M3053">
        <v>53</v>
      </c>
      <c r="N3053" s="2">
        <v>0.28000000000000003</v>
      </c>
      <c r="O3053">
        <v>84</v>
      </c>
      <c r="P3053">
        <v>12.24</v>
      </c>
      <c r="Q3053">
        <v>1.02</v>
      </c>
      <c r="R3053">
        <v>19</v>
      </c>
    </row>
    <row r="3054" spans="1:18" x14ac:dyDescent="0.25">
      <c r="A3054" t="s">
        <v>4110</v>
      </c>
      <c r="B3054" s="1">
        <v>44551</v>
      </c>
      <c r="C3054" t="s">
        <v>4111</v>
      </c>
      <c r="D3054" t="s">
        <v>23</v>
      </c>
      <c r="E3054" t="s">
        <v>24</v>
      </c>
      <c r="F3054" t="s">
        <v>215</v>
      </c>
      <c r="G3054">
        <v>20</v>
      </c>
      <c r="H3054" t="s">
        <v>188</v>
      </c>
      <c r="I3054" t="s">
        <v>238</v>
      </c>
      <c r="J3054" t="s">
        <v>2898</v>
      </c>
      <c r="K3054" t="s">
        <v>4112</v>
      </c>
      <c r="R3054">
        <v>69</v>
      </c>
    </row>
    <row r="3055" spans="1:18" x14ac:dyDescent="0.25">
      <c r="A3055" t="s">
        <v>4113</v>
      </c>
      <c r="B3055" s="1">
        <v>44551</v>
      </c>
      <c r="C3055" t="s">
        <v>913</v>
      </c>
      <c r="D3055" t="s">
        <v>23</v>
      </c>
      <c r="E3055" t="s">
        <v>24</v>
      </c>
      <c r="F3055" t="s">
        <v>459</v>
      </c>
      <c r="G3055">
        <v>20</v>
      </c>
      <c r="H3055" t="s">
        <v>464</v>
      </c>
      <c r="I3055" t="s">
        <v>943</v>
      </c>
      <c r="J3055" t="s">
        <v>1347</v>
      </c>
      <c r="K3055" t="s">
        <v>4114</v>
      </c>
    </row>
    <row r="3056" spans="1:18" x14ac:dyDescent="0.25">
      <c r="A3056" t="s">
        <v>4186</v>
      </c>
      <c r="B3056" s="1">
        <v>44558</v>
      </c>
      <c r="C3056" t="s">
        <v>219</v>
      </c>
      <c r="D3056" t="s">
        <v>23</v>
      </c>
      <c r="E3056" t="s">
        <v>24</v>
      </c>
      <c r="F3056" t="s">
        <v>2708</v>
      </c>
      <c r="G3056">
        <v>30</v>
      </c>
      <c r="H3056" t="s">
        <v>188</v>
      </c>
      <c r="I3056" t="s">
        <v>189</v>
      </c>
      <c r="J3056" t="s">
        <v>201</v>
      </c>
      <c r="K3056" t="s">
        <v>4187</v>
      </c>
      <c r="R3056">
        <v>99</v>
      </c>
    </row>
    <row r="3057" spans="1:18" x14ac:dyDescent="0.25">
      <c r="A3057" t="s">
        <v>4188</v>
      </c>
      <c r="B3057" s="1">
        <v>44558</v>
      </c>
      <c r="C3057" t="s">
        <v>1635</v>
      </c>
      <c r="D3057" t="s">
        <v>23</v>
      </c>
      <c r="E3057" t="s">
        <v>24</v>
      </c>
      <c r="F3057" t="s">
        <v>237</v>
      </c>
      <c r="G3057">
        <v>10</v>
      </c>
      <c r="H3057" t="s">
        <v>188</v>
      </c>
      <c r="I3057" t="s">
        <v>238</v>
      </c>
      <c r="J3057" t="s">
        <v>4189</v>
      </c>
      <c r="K3057" t="s">
        <v>4190</v>
      </c>
      <c r="R3057">
        <v>35</v>
      </c>
    </row>
    <row r="3058" spans="1:18" x14ac:dyDescent="0.25">
      <c r="A3058" t="s">
        <v>4191</v>
      </c>
      <c r="B3058" s="1">
        <v>44558</v>
      </c>
      <c r="C3058" t="s">
        <v>4192</v>
      </c>
      <c r="D3058" t="s">
        <v>23</v>
      </c>
      <c r="E3058" t="s">
        <v>24</v>
      </c>
      <c r="F3058" t="s">
        <v>335</v>
      </c>
      <c r="G3058">
        <v>10</v>
      </c>
      <c r="H3058" t="s">
        <v>26</v>
      </c>
      <c r="I3058" t="s">
        <v>39</v>
      </c>
      <c r="J3058" t="s">
        <v>431</v>
      </c>
      <c r="K3058" t="s">
        <v>4193</v>
      </c>
      <c r="L3058">
        <v>52</v>
      </c>
      <c r="M3058">
        <v>87</v>
      </c>
      <c r="N3058" s="2">
        <v>0.33</v>
      </c>
      <c r="O3058">
        <v>90</v>
      </c>
      <c r="P3058">
        <v>15.23</v>
      </c>
      <c r="Q3058">
        <v>2.54</v>
      </c>
      <c r="R3058">
        <v>64</v>
      </c>
    </row>
    <row r="3059" spans="1:18" x14ac:dyDescent="0.25">
      <c r="A3059" t="s">
        <v>4194</v>
      </c>
      <c r="B3059" s="1">
        <v>44558</v>
      </c>
      <c r="C3059" t="s">
        <v>4195</v>
      </c>
      <c r="D3059" t="s">
        <v>23</v>
      </c>
      <c r="E3059" t="s">
        <v>24</v>
      </c>
      <c r="F3059" t="s">
        <v>243</v>
      </c>
      <c r="G3059">
        <v>45</v>
      </c>
      <c r="H3059" t="s">
        <v>26</v>
      </c>
      <c r="I3059" t="s">
        <v>370</v>
      </c>
      <c r="J3059" t="s">
        <v>439</v>
      </c>
      <c r="K3059" t="s">
        <v>4196</v>
      </c>
      <c r="L3059">
        <v>260</v>
      </c>
      <c r="M3059">
        <v>96</v>
      </c>
      <c r="N3059" s="2">
        <v>0.36</v>
      </c>
      <c r="O3059">
        <v>85</v>
      </c>
      <c r="P3059">
        <v>15.81</v>
      </c>
      <c r="Q3059">
        <v>11.87</v>
      </c>
      <c r="R3059">
        <v>320</v>
      </c>
    </row>
    <row r="3060" spans="1:18" x14ac:dyDescent="0.25">
      <c r="A3060" t="s">
        <v>4197</v>
      </c>
      <c r="B3060" s="1">
        <v>44558</v>
      </c>
      <c r="C3060" t="s">
        <v>4198</v>
      </c>
      <c r="D3060" t="s">
        <v>23</v>
      </c>
      <c r="E3060" t="s">
        <v>24</v>
      </c>
      <c r="F3060" t="s">
        <v>335</v>
      </c>
      <c r="G3060">
        <v>10</v>
      </c>
      <c r="H3060" t="s">
        <v>194</v>
      </c>
      <c r="I3060" t="s">
        <v>195</v>
      </c>
      <c r="J3060" t="s">
        <v>211</v>
      </c>
      <c r="K3060" t="s">
        <v>4199</v>
      </c>
      <c r="R3060">
        <v>46</v>
      </c>
    </row>
    <row r="3061" spans="1:18" x14ac:dyDescent="0.25">
      <c r="A3061" t="s">
        <v>4200</v>
      </c>
      <c r="B3061" s="1">
        <v>44558</v>
      </c>
      <c r="C3061" t="s">
        <v>3974</v>
      </c>
      <c r="D3061" t="s">
        <v>23</v>
      </c>
      <c r="E3061" t="s">
        <v>24</v>
      </c>
      <c r="F3061" t="s">
        <v>335</v>
      </c>
      <c r="G3061">
        <v>10</v>
      </c>
      <c r="H3061" t="s">
        <v>49</v>
      </c>
      <c r="I3061" t="s">
        <v>226</v>
      </c>
      <c r="J3061" t="s">
        <v>4201</v>
      </c>
      <c r="K3061" t="s">
        <v>4202</v>
      </c>
      <c r="R3061">
        <v>23</v>
      </c>
    </row>
    <row r="3062" spans="1:18" x14ac:dyDescent="0.25">
      <c r="A3062" t="s">
        <v>4203</v>
      </c>
      <c r="B3062" s="1">
        <v>44558</v>
      </c>
      <c r="C3062" t="s">
        <v>1476</v>
      </c>
      <c r="D3062" t="s">
        <v>23</v>
      </c>
      <c r="E3062" t="s">
        <v>24</v>
      </c>
      <c r="F3062" t="s">
        <v>208</v>
      </c>
      <c r="G3062">
        <v>5</v>
      </c>
      <c r="H3062" t="s">
        <v>464</v>
      </c>
      <c r="I3062" t="s">
        <v>943</v>
      </c>
      <c r="J3062" t="s">
        <v>2205</v>
      </c>
      <c r="K3062" t="s">
        <v>4204</v>
      </c>
    </row>
    <row r="3063" spans="1:18" x14ac:dyDescent="0.25">
      <c r="A3063" t="s">
        <v>4291</v>
      </c>
      <c r="B3063" s="1">
        <v>44565</v>
      </c>
      <c r="C3063" t="s">
        <v>656</v>
      </c>
      <c r="D3063" t="s">
        <v>23</v>
      </c>
      <c r="E3063" t="s">
        <v>24</v>
      </c>
      <c r="F3063" t="s">
        <v>215</v>
      </c>
      <c r="G3063">
        <v>30</v>
      </c>
      <c r="H3063" t="s">
        <v>188</v>
      </c>
      <c r="I3063" t="s">
        <v>103</v>
      </c>
      <c r="J3063" t="s">
        <v>415</v>
      </c>
      <c r="K3063" t="s">
        <v>4292</v>
      </c>
      <c r="R3063">
        <v>84</v>
      </c>
    </row>
    <row r="3064" spans="1:18" x14ac:dyDescent="0.25">
      <c r="A3064" t="s">
        <v>4293</v>
      </c>
      <c r="B3064" s="1">
        <v>44565</v>
      </c>
      <c r="C3064" t="s">
        <v>4294</v>
      </c>
      <c r="D3064" t="s">
        <v>23</v>
      </c>
      <c r="E3064" t="s">
        <v>24</v>
      </c>
      <c r="F3064" t="s">
        <v>1203</v>
      </c>
      <c r="G3064">
        <v>5</v>
      </c>
      <c r="H3064" t="s">
        <v>194</v>
      </c>
      <c r="I3064" t="s">
        <v>195</v>
      </c>
      <c r="J3064" t="s">
        <v>196</v>
      </c>
      <c r="K3064" t="s">
        <v>4295</v>
      </c>
      <c r="R3064">
        <v>23</v>
      </c>
    </row>
    <row r="3065" spans="1:18" x14ac:dyDescent="0.25">
      <c r="A3065" t="s">
        <v>4296</v>
      </c>
      <c r="B3065" s="1">
        <v>44565</v>
      </c>
      <c r="C3065" t="s">
        <v>4297</v>
      </c>
      <c r="D3065" t="s">
        <v>23</v>
      </c>
      <c r="E3065" t="s">
        <v>24</v>
      </c>
      <c r="F3065" t="s">
        <v>323</v>
      </c>
      <c r="G3065">
        <v>45</v>
      </c>
      <c r="H3065" t="s">
        <v>26</v>
      </c>
      <c r="I3065" t="s">
        <v>370</v>
      </c>
      <c r="J3065" t="s">
        <v>4001</v>
      </c>
      <c r="K3065" t="s">
        <v>4002</v>
      </c>
      <c r="L3065">
        <v>273</v>
      </c>
      <c r="M3065">
        <v>101</v>
      </c>
      <c r="N3065" s="2">
        <v>0.37</v>
      </c>
      <c r="O3065">
        <v>86</v>
      </c>
      <c r="P3065">
        <v>16.2</v>
      </c>
      <c r="Q3065">
        <v>12.15</v>
      </c>
      <c r="R3065">
        <v>337</v>
      </c>
    </row>
    <row r="3066" spans="1:18" x14ac:dyDescent="0.25">
      <c r="A3066" t="s">
        <v>4298</v>
      </c>
      <c r="B3066" s="1">
        <v>44565</v>
      </c>
      <c r="C3066" t="s">
        <v>4299</v>
      </c>
      <c r="D3066" t="s">
        <v>23</v>
      </c>
      <c r="E3066" t="s">
        <v>24</v>
      </c>
      <c r="F3066" t="s">
        <v>323</v>
      </c>
      <c r="G3066">
        <v>5</v>
      </c>
      <c r="H3066" t="s">
        <v>26</v>
      </c>
      <c r="I3066" t="s">
        <v>358</v>
      </c>
      <c r="J3066" t="s">
        <v>359</v>
      </c>
      <c r="K3066" t="s">
        <v>3597</v>
      </c>
      <c r="L3066">
        <v>18</v>
      </c>
      <c r="M3066">
        <v>61</v>
      </c>
      <c r="N3066" s="2">
        <v>0.3</v>
      </c>
      <c r="O3066">
        <v>85</v>
      </c>
      <c r="P3066">
        <v>13.11</v>
      </c>
      <c r="Q3066">
        <v>1.1000000000000001</v>
      </c>
      <c r="R3066">
        <v>23</v>
      </c>
    </row>
    <row r="3067" spans="1:18" x14ac:dyDescent="0.25">
      <c r="A3067" t="s">
        <v>4300</v>
      </c>
      <c r="B3067" s="1">
        <v>44565</v>
      </c>
      <c r="C3067" t="s">
        <v>4301</v>
      </c>
      <c r="D3067" t="s">
        <v>23</v>
      </c>
      <c r="E3067" t="s">
        <v>24</v>
      </c>
      <c r="F3067" t="s">
        <v>180</v>
      </c>
      <c r="G3067">
        <v>10</v>
      </c>
      <c r="H3067" t="s">
        <v>194</v>
      </c>
      <c r="I3067" t="s">
        <v>700</v>
      </c>
      <c r="J3067" t="s">
        <v>1282</v>
      </c>
      <c r="K3067" t="s">
        <v>4302</v>
      </c>
      <c r="R3067">
        <v>46</v>
      </c>
    </row>
    <row r="3068" spans="1:18" x14ac:dyDescent="0.25">
      <c r="A3068" t="s">
        <v>4303</v>
      </c>
      <c r="B3068" s="1">
        <v>44565</v>
      </c>
      <c r="C3068" t="s">
        <v>4304</v>
      </c>
      <c r="D3068" t="s">
        <v>23</v>
      </c>
      <c r="E3068" t="s">
        <v>24</v>
      </c>
      <c r="F3068" t="s">
        <v>323</v>
      </c>
      <c r="G3068">
        <v>5</v>
      </c>
      <c r="H3068" t="s">
        <v>49</v>
      </c>
      <c r="I3068" t="s">
        <v>50</v>
      </c>
      <c r="J3068" t="s">
        <v>51</v>
      </c>
      <c r="K3068" t="s">
        <v>3597</v>
      </c>
      <c r="R3068">
        <v>12</v>
      </c>
    </row>
    <row r="3069" spans="1:18" x14ac:dyDescent="0.25">
      <c r="A3069" t="s">
        <v>4305</v>
      </c>
      <c r="B3069" s="1">
        <v>44565</v>
      </c>
      <c r="C3069" t="s">
        <v>3101</v>
      </c>
      <c r="D3069" t="s">
        <v>23</v>
      </c>
      <c r="E3069" t="s">
        <v>24</v>
      </c>
      <c r="F3069" t="s">
        <v>215</v>
      </c>
      <c r="G3069">
        <v>10</v>
      </c>
      <c r="H3069" t="s">
        <v>464</v>
      </c>
      <c r="I3069" t="s">
        <v>943</v>
      </c>
      <c r="J3069" t="s">
        <v>944</v>
      </c>
      <c r="K3069" t="s">
        <v>4306</v>
      </c>
    </row>
    <row r="3070" spans="1:18" x14ac:dyDescent="0.25">
      <c r="A3070" t="s">
        <v>4385</v>
      </c>
      <c r="B3070" s="1">
        <v>44572</v>
      </c>
      <c r="C3070" t="s">
        <v>418</v>
      </c>
      <c r="D3070" t="s">
        <v>23</v>
      </c>
      <c r="E3070" t="s">
        <v>24</v>
      </c>
      <c r="F3070" t="s">
        <v>243</v>
      </c>
      <c r="G3070">
        <v>30</v>
      </c>
      <c r="H3070" t="s">
        <v>188</v>
      </c>
      <c r="I3070" t="s">
        <v>189</v>
      </c>
      <c r="J3070" t="s">
        <v>201</v>
      </c>
      <c r="K3070" t="s">
        <v>4386</v>
      </c>
      <c r="R3070">
        <v>98</v>
      </c>
    </row>
    <row r="3071" spans="1:18" x14ac:dyDescent="0.25">
      <c r="A3071" t="s">
        <v>4387</v>
      </c>
      <c r="B3071" s="1">
        <v>44572</v>
      </c>
      <c r="C3071" t="s">
        <v>1669</v>
      </c>
      <c r="D3071" t="s">
        <v>23</v>
      </c>
      <c r="E3071" t="s">
        <v>24</v>
      </c>
      <c r="F3071" t="s">
        <v>459</v>
      </c>
      <c r="G3071">
        <v>20</v>
      </c>
      <c r="H3071" t="s">
        <v>464</v>
      </c>
      <c r="I3071" t="s">
        <v>1571</v>
      </c>
      <c r="J3071" t="s">
        <v>1572</v>
      </c>
      <c r="K3071" t="s">
        <v>4385</v>
      </c>
    </row>
    <row r="3072" spans="1:18" x14ac:dyDescent="0.25">
      <c r="A3072" t="s">
        <v>4474</v>
      </c>
      <c r="B3072" s="1">
        <v>44579</v>
      </c>
      <c r="C3072" t="s">
        <v>1012</v>
      </c>
      <c r="D3072" t="s">
        <v>23</v>
      </c>
      <c r="E3072" t="s">
        <v>24</v>
      </c>
      <c r="F3072" t="s">
        <v>459</v>
      </c>
      <c r="G3072">
        <v>30</v>
      </c>
      <c r="H3072" t="s">
        <v>188</v>
      </c>
      <c r="I3072" t="s">
        <v>189</v>
      </c>
      <c r="J3072" t="s">
        <v>4475</v>
      </c>
      <c r="K3072" t="s">
        <v>4476</v>
      </c>
      <c r="R3072">
        <v>80</v>
      </c>
    </row>
    <row r="3073" spans="1:18" x14ac:dyDescent="0.25">
      <c r="A3073" t="s">
        <v>4477</v>
      </c>
      <c r="B3073" s="1">
        <v>44579</v>
      </c>
      <c r="C3073" t="s">
        <v>4478</v>
      </c>
      <c r="D3073" t="s">
        <v>23</v>
      </c>
      <c r="E3073" t="s">
        <v>24</v>
      </c>
      <c r="F3073" t="s">
        <v>170</v>
      </c>
      <c r="G3073">
        <v>20</v>
      </c>
      <c r="H3073" t="s">
        <v>26</v>
      </c>
      <c r="I3073" t="s">
        <v>39</v>
      </c>
      <c r="J3073" t="s">
        <v>870</v>
      </c>
      <c r="K3073" t="s">
        <v>4471</v>
      </c>
      <c r="L3073">
        <v>102</v>
      </c>
      <c r="M3073">
        <v>85</v>
      </c>
      <c r="N3073" s="2">
        <v>0.34</v>
      </c>
      <c r="O3073">
        <v>86</v>
      </c>
      <c r="P3073">
        <v>15.04</v>
      </c>
      <c r="Q3073">
        <v>5.01</v>
      </c>
      <c r="R3073">
        <v>125</v>
      </c>
    </row>
    <row r="3074" spans="1:18" x14ac:dyDescent="0.25">
      <c r="A3074" t="s">
        <v>4479</v>
      </c>
      <c r="B3074" s="1">
        <v>44579</v>
      </c>
      <c r="C3074" t="s">
        <v>4480</v>
      </c>
      <c r="D3074" t="s">
        <v>23</v>
      </c>
      <c r="E3074" t="s">
        <v>24</v>
      </c>
      <c r="F3074" t="s">
        <v>180</v>
      </c>
      <c r="G3074">
        <v>5</v>
      </c>
      <c r="H3074" t="s">
        <v>194</v>
      </c>
      <c r="I3074" t="s">
        <v>195</v>
      </c>
      <c r="J3074" t="s">
        <v>196</v>
      </c>
      <c r="K3074" t="s">
        <v>4481</v>
      </c>
      <c r="R3074">
        <v>23</v>
      </c>
    </row>
    <row r="3075" spans="1:18" x14ac:dyDescent="0.25">
      <c r="A3075" t="s">
        <v>4482</v>
      </c>
      <c r="B3075" s="1">
        <v>44579</v>
      </c>
      <c r="C3075" t="s">
        <v>3101</v>
      </c>
      <c r="D3075" t="s">
        <v>23</v>
      </c>
      <c r="E3075" t="s">
        <v>24</v>
      </c>
      <c r="F3075" t="s">
        <v>215</v>
      </c>
      <c r="G3075">
        <v>20</v>
      </c>
      <c r="H3075" t="s">
        <v>464</v>
      </c>
      <c r="I3075" t="s">
        <v>943</v>
      </c>
      <c r="J3075" t="s">
        <v>1347</v>
      </c>
      <c r="K3075" t="s">
        <v>4483</v>
      </c>
    </row>
    <row r="3076" spans="1:18" x14ac:dyDescent="0.25">
      <c r="A3076" t="s">
        <v>4552</v>
      </c>
      <c r="B3076" s="1">
        <v>44586</v>
      </c>
      <c r="C3076" t="s">
        <v>4553</v>
      </c>
      <c r="D3076" t="s">
        <v>23</v>
      </c>
      <c r="E3076" t="s">
        <v>24</v>
      </c>
      <c r="F3076" t="s">
        <v>459</v>
      </c>
      <c r="G3076">
        <v>30</v>
      </c>
      <c r="H3076" t="s">
        <v>188</v>
      </c>
      <c r="I3076" t="s">
        <v>189</v>
      </c>
      <c r="J3076" t="s">
        <v>3149</v>
      </c>
      <c r="K3076" t="s">
        <v>4114</v>
      </c>
      <c r="R3076">
        <v>90</v>
      </c>
    </row>
    <row r="3077" spans="1:18" x14ac:dyDescent="0.25">
      <c r="A3077" t="s">
        <v>4554</v>
      </c>
      <c r="B3077" s="1">
        <v>44586</v>
      </c>
      <c r="C3077" t="s">
        <v>4045</v>
      </c>
      <c r="D3077" t="s">
        <v>23</v>
      </c>
      <c r="E3077" t="s">
        <v>24</v>
      </c>
      <c r="F3077" t="s">
        <v>33</v>
      </c>
      <c r="G3077">
        <v>30</v>
      </c>
      <c r="H3077" t="s">
        <v>26</v>
      </c>
      <c r="I3077" t="s">
        <v>370</v>
      </c>
      <c r="J3077" t="s">
        <v>396</v>
      </c>
      <c r="K3077" t="s">
        <v>4555</v>
      </c>
      <c r="L3077">
        <v>168</v>
      </c>
      <c r="M3077">
        <v>93</v>
      </c>
      <c r="N3077" s="2">
        <v>0.34</v>
      </c>
      <c r="O3077">
        <v>89</v>
      </c>
      <c r="P3077">
        <v>15.64</v>
      </c>
      <c r="Q3077">
        <v>7.82</v>
      </c>
      <c r="R3077">
        <v>207</v>
      </c>
    </row>
    <row r="3078" spans="1:18" x14ac:dyDescent="0.25">
      <c r="A3078" t="s">
        <v>4556</v>
      </c>
      <c r="B3078" s="1">
        <v>44586</v>
      </c>
      <c r="C3078" t="s">
        <v>4299</v>
      </c>
      <c r="D3078" t="s">
        <v>23</v>
      </c>
      <c r="E3078" t="s">
        <v>24</v>
      </c>
      <c r="G3078">
        <v>10</v>
      </c>
      <c r="H3078" t="s">
        <v>26</v>
      </c>
      <c r="I3078" t="s">
        <v>427</v>
      </c>
      <c r="J3078" t="s">
        <v>4557</v>
      </c>
      <c r="L3078">
        <v>48</v>
      </c>
      <c r="M3078">
        <v>79</v>
      </c>
      <c r="N3078" s="2">
        <v>0.34</v>
      </c>
      <c r="O3078">
        <v>82</v>
      </c>
      <c r="P3078">
        <v>14.67</v>
      </c>
      <c r="Q3078">
        <v>2.4500000000000002</v>
      </c>
      <c r="R3078">
        <v>59</v>
      </c>
    </row>
    <row r="3079" spans="1:18" x14ac:dyDescent="0.25">
      <c r="A3079" t="s">
        <v>4558</v>
      </c>
      <c r="B3079" s="1">
        <v>44586</v>
      </c>
      <c r="C3079" t="s">
        <v>4559</v>
      </c>
      <c r="D3079" t="s">
        <v>23</v>
      </c>
      <c r="E3079" t="s">
        <v>24</v>
      </c>
      <c r="F3079" t="s">
        <v>180</v>
      </c>
      <c r="G3079">
        <v>10</v>
      </c>
      <c r="H3079" t="s">
        <v>194</v>
      </c>
      <c r="I3079" t="s">
        <v>195</v>
      </c>
      <c r="J3079" t="s">
        <v>211</v>
      </c>
      <c r="K3079" t="s">
        <v>4524</v>
      </c>
      <c r="R3079">
        <v>46</v>
      </c>
    </row>
    <row r="3080" spans="1:18" x14ac:dyDescent="0.25">
      <c r="A3080" t="s">
        <v>4560</v>
      </c>
      <c r="B3080" s="1">
        <v>44586</v>
      </c>
      <c r="C3080" t="s">
        <v>1552</v>
      </c>
      <c r="D3080" t="s">
        <v>23</v>
      </c>
      <c r="E3080" t="s">
        <v>24</v>
      </c>
      <c r="F3080" t="s">
        <v>237</v>
      </c>
      <c r="G3080">
        <v>20</v>
      </c>
      <c r="H3080" t="s">
        <v>464</v>
      </c>
      <c r="I3080" t="s">
        <v>579</v>
      </c>
      <c r="J3080" t="s">
        <v>1311</v>
      </c>
      <c r="K3080" t="s">
        <v>4561</v>
      </c>
    </row>
    <row r="3081" spans="1:18" x14ac:dyDescent="0.25">
      <c r="A3081" t="s">
        <v>4639</v>
      </c>
      <c r="B3081" s="1">
        <v>44593</v>
      </c>
      <c r="C3081" t="s">
        <v>804</v>
      </c>
      <c r="D3081" t="s">
        <v>23</v>
      </c>
      <c r="E3081" t="s">
        <v>24</v>
      </c>
      <c r="F3081" t="s">
        <v>292</v>
      </c>
      <c r="G3081">
        <v>30</v>
      </c>
      <c r="H3081" t="s">
        <v>1856</v>
      </c>
      <c r="I3081" t="s">
        <v>1857</v>
      </c>
      <c r="J3081" t="s">
        <v>4640</v>
      </c>
      <c r="K3081" t="s">
        <v>4641</v>
      </c>
      <c r="L3081">
        <v>0</v>
      </c>
      <c r="P3081">
        <v>0</v>
      </c>
      <c r="Q3081">
        <v>0</v>
      </c>
      <c r="R3081">
        <v>110</v>
      </c>
    </row>
    <row r="3082" spans="1:18" x14ac:dyDescent="0.25">
      <c r="A3082" t="s">
        <v>4642</v>
      </c>
      <c r="B3082" s="1">
        <v>44593</v>
      </c>
      <c r="C3082" t="s">
        <v>3644</v>
      </c>
      <c r="D3082" t="s">
        <v>23</v>
      </c>
      <c r="E3082" t="s">
        <v>24</v>
      </c>
      <c r="F3082" t="s">
        <v>180</v>
      </c>
      <c r="G3082">
        <v>10</v>
      </c>
      <c r="H3082" t="s">
        <v>194</v>
      </c>
      <c r="I3082" t="s">
        <v>195</v>
      </c>
      <c r="J3082" t="s">
        <v>211</v>
      </c>
      <c r="K3082" t="s">
        <v>4524</v>
      </c>
      <c r="R3082">
        <v>46</v>
      </c>
    </row>
    <row r="3083" spans="1:18" x14ac:dyDescent="0.25">
      <c r="A3083" t="s">
        <v>4643</v>
      </c>
      <c r="B3083" s="1">
        <v>44593</v>
      </c>
      <c r="C3083" t="s">
        <v>3668</v>
      </c>
      <c r="D3083" t="s">
        <v>23</v>
      </c>
      <c r="E3083" t="s">
        <v>24</v>
      </c>
      <c r="F3083" t="s">
        <v>323</v>
      </c>
      <c r="G3083">
        <v>45</v>
      </c>
      <c r="H3083" t="s">
        <v>26</v>
      </c>
      <c r="I3083" t="s">
        <v>370</v>
      </c>
      <c r="J3083" t="s">
        <v>1256</v>
      </c>
      <c r="K3083" t="s">
        <v>1257</v>
      </c>
      <c r="L3083">
        <v>279</v>
      </c>
      <c r="M3083">
        <v>103</v>
      </c>
      <c r="N3083" s="2">
        <v>0.35</v>
      </c>
      <c r="O3083">
        <v>86</v>
      </c>
      <c r="P3083">
        <v>15.49</v>
      </c>
      <c r="Q3083">
        <v>11.53</v>
      </c>
      <c r="R3083">
        <v>344</v>
      </c>
    </row>
    <row r="3084" spans="1:18" x14ac:dyDescent="0.25">
      <c r="A3084" t="s">
        <v>4644</v>
      </c>
      <c r="B3084" s="1">
        <v>44593</v>
      </c>
      <c r="C3084" t="s">
        <v>4458</v>
      </c>
      <c r="D3084" t="s">
        <v>23</v>
      </c>
      <c r="E3084" t="s">
        <v>24</v>
      </c>
      <c r="F3084" t="s">
        <v>323</v>
      </c>
      <c r="G3084">
        <v>5</v>
      </c>
      <c r="H3084" t="s">
        <v>26</v>
      </c>
      <c r="I3084" t="s">
        <v>358</v>
      </c>
      <c r="J3084" t="s">
        <v>359</v>
      </c>
      <c r="K3084" t="s">
        <v>4332</v>
      </c>
      <c r="L3084">
        <v>17</v>
      </c>
      <c r="M3084">
        <v>58</v>
      </c>
      <c r="N3084" s="2">
        <v>0.28000000000000003</v>
      </c>
      <c r="O3084">
        <v>89</v>
      </c>
      <c r="P3084">
        <v>12.81</v>
      </c>
      <c r="Q3084">
        <v>1.07</v>
      </c>
      <c r="R3084">
        <v>21</v>
      </c>
    </row>
    <row r="3085" spans="1:18" x14ac:dyDescent="0.25">
      <c r="A3085" t="s">
        <v>4645</v>
      </c>
      <c r="B3085" s="1">
        <v>44593</v>
      </c>
      <c r="C3085" t="s">
        <v>3723</v>
      </c>
      <c r="D3085" t="s">
        <v>23</v>
      </c>
      <c r="E3085" t="s">
        <v>24</v>
      </c>
      <c r="F3085" t="s">
        <v>354</v>
      </c>
      <c r="G3085">
        <v>10</v>
      </c>
      <c r="H3085" t="s">
        <v>194</v>
      </c>
      <c r="I3085" t="s">
        <v>700</v>
      </c>
      <c r="J3085" t="s">
        <v>1282</v>
      </c>
      <c r="K3085" t="s">
        <v>4646</v>
      </c>
      <c r="R3085">
        <v>33</v>
      </c>
    </row>
    <row r="3086" spans="1:18" x14ac:dyDescent="0.25">
      <c r="A3086" t="s">
        <v>4647</v>
      </c>
      <c r="B3086" s="1">
        <v>44593</v>
      </c>
      <c r="C3086" t="s">
        <v>999</v>
      </c>
      <c r="D3086" t="s">
        <v>23</v>
      </c>
      <c r="E3086" t="s">
        <v>24</v>
      </c>
      <c r="F3086" t="s">
        <v>200</v>
      </c>
      <c r="G3086">
        <v>20</v>
      </c>
      <c r="H3086" t="s">
        <v>464</v>
      </c>
      <c r="I3086" t="s">
        <v>943</v>
      </c>
      <c r="J3086" t="s">
        <v>1347</v>
      </c>
      <c r="K3086" t="s">
        <v>4648</v>
      </c>
    </row>
    <row r="3087" spans="1:18" x14ac:dyDescent="0.25">
      <c r="A3087" t="s">
        <v>4649</v>
      </c>
      <c r="B3087" s="1">
        <v>44593</v>
      </c>
      <c r="C3087" t="s">
        <v>4650</v>
      </c>
      <c r="D3087" t="s">
        <v>23</v>
      </c>
      <c r="E3087" t="s">
        <v>24</v>
      </c>
      <c r="F3087" t="s">
        <v>459</v>
      </c>
      <c r="G3087">
        <v>10</v>
      </c>
      <c r="H3087" t="s">
        <v>464</v>
      </c>
      <c r="I3087" t="s">
        <v>943</v>
      </c>
      <c r="J3087" t="s">
        <v>944</v>
      </c>
      <c r="K3087" t="s">
        <v>4651</v>
      </c>
    </row>
    <row r="3088" spans="1:18" x14ac:dyDescent="0.25">
      <c r="A3088" t="s">
        <v>4723</v>
      </c>
      <c r="B3088" s="1">
        <v>44600</v>
      </c>
      <c r="C3088" t="s">
        <v>652</v>
      </c>
      <c r="D3088" t="s">
        <v>23</v>
      </c>
      <c r="E3088" t="s">
        <v>24</v>
      </c>
      <c r="F3088" t="s">
        <v>243</v>
      </c>
      <c r="G3088">
        <v>30</v>
      </c>
      <c r="H3088" t="s">
        <v>188</v>
      </c>
      <c r="I3088" t="s">
        <v>189</v>
      </c>
      <c r="J3088" t="s">
        <v>4475</v>
      </c>
      <c r="K3088" t="s">
        <v>4724</v>
      </c>
      <c r="R3088">
        <v>97</v>
      </c>
    </row>
    <row r="3089" spans="1:19" x14ac:dyDescent="0.25">
      <c r="A3089" t="s">
        <v>4725</v>
      </c>
      <c r="B3089" s="1">
        <v>44600</v>
      </c>
      <c r="C3089" t="s">
        <v>4726</v>
      </c>
      <c r="D3089" t="s">
        <v>23</v>
      </c>
      <c r="E3089" t="s">
        <v>24</v>
      </c>
      <c r="F3089" t="s">
        <v>297</v>
      </c>
      <c r="G3089">
        <v>20</v>
      </c>
      <c r="H3089" t="s">
        <v>1856</v>
      </c>
      <c r="I3089" t="s">
        <v>1857</v>
      </c>
      <c r="J3089" t="s">
        <v>4727</v>
      </c>
      <c r="K3089" t="s">
        <v>4728</v>
      </c>
      <c r="L3089">
        <v>0</v>
      </c>
      <c r="P3089">
        <v>0</v>
      </c>
      <c r="Q3089">
        <v>0</v>
      </c>
      <c r="R3089">
        <v>71</v>
      </c>
    </row>
    <row r="3090" spans="1:19" x14ac:dyDescent="0.25">
      <c r="A3090" t="s">
        <v>4729</v>
      </c>
      <c r="B3090" s="1">
        <v>44600</v>
      </c>
      <c r="C3090" t="s">
        <v>930</v>
      </c>
      <c r="D3090" t="s">
        <v>23</v>
      </c>
      <c r="E3090" t="s">
        <v>24</v>
      </c>
      <c r="F3090" t="s">
        <v>335</v>
      </c>
      <c r="G3090">
        <v>45</v>
      </c>
      <c r="H3090" t="s">
        <v>26</v>
      </c>
      <c r="I3090" t="s">
        <v>370</v>
      </c>
      <c r="J3090" t="s">
        <v>439</v>
      </c>
      <c r="K3090" t="s">
        <v>4730</v>
      </c>
      <c r="L3090">
        <v>267</v>
      </c>
      <c r="M3090">
        <v>99</v>
      </c>
      <c r="N3090" s="2">
        <v>0.36</v>
      </c>
      <c r="O3090">
        <v>87</v>
      </c>
      <c r="P3090">
        <v>16.059999999999999</v>
      </c>
      <c r="Q3090">
        <v>12.05</v>
      </c>
      <c r="R3090">
        <v>329</v>
      </c>
    </row>
    <row r="3091" spans="1:19" x14ac:dyDescent="0.25">
      <c r="A3091" t="s">
        <v>4731</v>
      </c>
      <c r="B3091" s="1">
        <v>44600</v>
      </c>
      <c r="C3091" t="s">
        <v>4732</v>
      </c>
      <c r="D3091" t="s">
        <v>23</v>
      </c>
      <c r="E3091" t="s">
        <v>24</v>
      </c>
      <c r="F3091" t="s">
        <v>459</v>
      </c>
      <c r="G3091">
        <v>20</v>
      </c>
      <c r="H3091" t="s">
        <v>464</v>
      </c>
      <c r="I3091" t="s">
        <v>763</v>
      </c>
      <c r="J3091" t="s">
        <v>2732</v>
      </c>
      <c r="K3091" t="s">
        <v>4733</v>
      </c>
    </row>
    <row r="3092" spans="1:19" x14ac:dyDescent="0.25">
      <c r="A3092" t="s">
        <v>4810</v>
      </c>
      <c r="B3092" s="1">
        <v>44607</v>
      </c>
      <c r="C3092" t="s">
        <v>122</v>
      </c>
      <c r="D3092" t="s">
        <v>23</v>
      </c>
      <c r="E3092" t="s">
        <v>24</v>
      </c>
      <c r="F3092" t="s">
        <v>314</v>
      </c>
      <c r="G3092">
        <v>45</v>
      </c>
      <c r="H3092" t="s">
        <v>1856</v>
      </c>
      <c r="I3092" t="s">
        <v>2096</v>
      </c>
      <c r="J3092" t="s">
        <v>4587</v>
      </c>
      <c r="K3092" t="s">
        <v>4811</v>
      </c>
      <c r="L3092">
        <v>0</v>
      </c>
      <c r="P3092">
        <v>0</v>
      </c>
      <c r="Q3092">
        <v>0</v>
      </c>
      <c r="R3092">
        <v>166</v>
      </c>
      <c r="S3092">
        <v>126.42</v>
      </c>
    </row>
    <row r="3093" spans="1:19" x14ac:dyDescent="0.25">
      <c r="A3093" t="s">
        <v>4812</v>
      </c>
      <c r="B3093" s="1">
        <v>44607</v>
      </c>
      <c r="C3093" t="s">
        <v>4813</v>
      </c>
      <c r="D3093" t="s">
        <v>23</v>
      </c>
      <c r="E3093" t="s">
        <v>24</v>
      </c>
      <c r="F3093" t="s">
        <v>243</v>
      </c>
      <c r="G3093">
        <v>5</v>
      </c>
      <c r="H3093" t="s">
        <v>26</v>
      </c>
      <c r="I3093" t="s">
        <v>423</v>
      </c>
      <c r="J3093" t="s">
        <v>505</v>
      </c>
      <c r="K3093" t="s">
        <v>4814</v>
      </c>
      <c r="L3093">
        <v>20</v>
      </c>
      <c r="M3093">
        <v>67</v>
      </c>
      <c r="N3093" s="2">
        <v>0.28999999999999998</v>
      </c>
      <c r="O3093">
        <v>89</v>
      </c>
      <c r="P3093">
        <v>13.31</v>
      </c>
      <c r="Q3093">
        <v>1.1100000000000001</v>
      </c>
      <c r="R3093">
        <v>25</v>
      </c>
    </row>
    <row r="3094" spans="1:19" x14ac:dyDescent="0.25">
      <c r="A3094" t="s">
        <v>4815</v>
      </c>
      <c r="B3094" s="1">
        <v>44607</v>
      </c>
      <c r="C3094" t="s">
        <v>4816</v>
      </c>
      <c r="D3094" t="s">
        <v>23</v>
      </c>
      <c r="E3094" t="s">
        <v>24</v>
      </c>
      <c r="F3094" t="s">
        <v>243</v>
      </c>
      <c r="G3094">
        <v>30</v>
      </c>
      <c r="H3094" t="s">
        <v>26</v>
      </c>
      <c r="I3094" t="s">
        <v>370</v>
      </c>
      <c r="J3094" t="s">
        <v>396</v>
      </c>
      <c r="K3094" t="s">
        <v>3552</v>
      </c>
      <c r="L3094">
        <v>176</v>
      </c>
      <c r="M3094">
        <v>98</v>
      </c>
      <c r="N3094" s="2">
        <v>0.36</v>
      </c>
      <c r="O3094">
        <v>87</v>
      </c>
      <c r="P3094">
        <v>15.88</v>
      </c>
      <c r="Q3094">
        <v>7.94</v>
      </c>
      <c r="R3094">
        <v>217</v>
      </c>
    </row>
    <row r="3095" spans="1:19" x14ac:dyDescent="0.25">
      <c r="A3095" t="s">
        <v>4817</v>
      </c>
      <c r="B3095" s="1">
        <v>44607</v>
      </c>
      <c r="C3095" t="s">
        <v>4818</v>
      </c>
      <c r="D3095" t="s">
        <v>23</v>
      </c>
      <c r="E3095" t="s">
        <v>24</v>
      </c>
      <c r="F3095" t="s">
        <v>33</v>
      </c>
      <c r="G3095">
        <v>5</v>
      </c>
      <c r="H3095" t="s">
        <v>49</v>
      </c>
      <c r="I3095" t="s">
        <v>50</v>
      </c>
      <c r="J3095" t="s">
        <v>51</v>
      </c>
      <c r="K3095" t="s">
        <v>4819</v>
      </c>
      <c r="R3095">
        <v>12</v>
      </c>
    </row>
    <row r="3096" spans="1:19" x14ac:dyDescent="0.25">
      <c r="A3096" t="s">
        <v>4820</v>
      </c>
      <c r="B3096" s="1">
        <v>44607</v>
      </c>
      <c r="C3096" t="s">
        <v>1801</v>
      </c>
      <c r="D3096" t="s">
        <v>23</v>
      </c>
      <c r="E3096" t="s">
        <v>24</v>
      </c>
      <c r="F3096" t="s">
        <v>200</v>
      </c>
      <c r="G3096">
        <v>20</v>
      </c>
      <c r="H3096" t="s">
        <v>464</v>
      </c>
      <c r="I3096" t="s">
        <v>763</v>
      </c>
      <c r="J3096" t="s">
        <v>1385</v>
      </c>
      <c r="K3096" t="s">
        <v>4821</v>
      </c>
    </row>
    <row r="3097" spans="1:19" x14ac:dyDescent="0.25">
      <c r="A3097" t="s">
        <v>4871</v>
      </c>
      <c r="B3097" s="1">
        <v>44614</v>
      </c>
      <c r="C3097" t="s">
        <v>626</v>
      </c>
      <c r="D3097" t="s">
        <v>23</v>
      </c>
      <c r="E3097" t="s">
        <v>24</v>
      </c>
      <c r="F3097" t="s">
        <v>243</v>
      </c>
      <c r="G3097">
        <v>30</v>
      </c>
      <c r="H3097" t="s">
        <v>188</v>
      </c>
      <c r="I3097" t="s">
        <v>254</v>
      </c>
      <c r="J3097" t="s">
        <v>255</v>
      </c>
      <c r="K3097" t="s">
        <v>4872</v>
      </c>
      <c r="R3097">
        <v>91</v>
      </c>
    </row>
    <row r="3098" spans="1:19" x14ac:dyDescent="0.25">
      <c r="A3098" t="s">
        <v>4873</v>
      </c>
      <c r="B3098" s="1">
        <v>44614</v>
      </c>
      <c r="C3098" t="s">
        <v>4874</v>
      </c>
      <c r="D3098" t="s">
        <v>23</v>
      </c>
      <c r="E3098" t="s">
        <v>24</v>
      </c>
      <c r="F3098" t="s">
        <v>305</v>
      </c>
      <c r="G3098">
        <v>30</v>
      </c>
      <c r="H3098" t="s">
        <v>1856</v>
      </c>
      <c r="I3098" t="s">
        <v>1857</v>
      </c>
      <c r="J3098" t="s">
        <v>4875</v>
      </c>
      <c r="K3098" t="s">
        <v>4876</v>
      </c>
      <c r="L3098">
        <v>0</v>
      </c>
      <c r="P3098">
        <v>0</v>
      </c>
      <c r="Q3098">
        <v>0</v>
      </c>
      <c r="R3098">
        <v>170</v>
      </c>
      <c r="S3098">
        <v>122.24</v>
      </c>
    </row>
    <row r="3099" spans="1:19" x14ac:dyDescent="0.25">
      <c r="A3099" t="s">
        <v>4877</v>
      </c>
      <c r="B3099" s="1">
        <v>44614</v>
      </c>
      <c r="C3099" t="s">
        <v>4878</v>
      </c>
      <c r="D3099" t="s">
        <v>23</v>
      </c>
      <c r="E3099" t="s">
        <v>24</v>
      </c>
      <c r="F3099" t="s">
        <v>323</v>
      </c>
      <c r="G3099">
        <v>45</v>
      </c>
      <c r="H3099" t="s">
        <v>26</v>
      </c>
      <c r="I3099" t="s">
        <v>370</v>
      </c>
      <c r="J3099" t="s">
        <v>479</v>
      </c>
      <c r="K3099" t="s">
        <v>4879</v>
      </c>
      <c r="L3099">
        <v>301</v>
      </c>
      <c r="M3099">
        <v>111</v>
      </c>
      <c r="N3099" s="2">
        <v>0.38</v>
      </c>
      <c r="O3099">
        <v>86</v>
      </c>
      <c r="P3099">
        <v>16.8</v>
      </c>
      <c r="Q3099">
        <v>12.6</v>
      </c>
      <c r="R3099">
        <v>371</v>
      </c>
    </row>
    <row r="3100" spans="1:19" x14ac:dyDescent="0.25">
      <c r="A3100" t="s">
        <v>4880</v>
      </c>
      <c r="B3100" s="1">
        <v>44614</v>
      </c>
      <c r="C3100" t="s">
        <v>4881</v>
      </c>
      <c r="D3100" t="s">
        <v>23</v>
      </c>
      <c r="E3100" t="s">
        <v>24</v>
      </c>
      <c r="F3100" t="s">
        <v>490</v>
      </c>
      <c r="G3100">
        <v>5</v>
      </c>
      <c r="H3100" t="s">
        <v>26</v>
      </c>
      <c r="I3100" t="s">
        <v>358</v>
      </c>
      <c r="J3100" t="s">
        <v>359</v>
      </c>
      <c r="K3100" t="s">
        <v>4882</v>
      </c>
      <c r="L3100">
        <v>24</v>
      </c>
      <c r="M3100">
        <v>80</v>
      </c>
      <c r="N3100" s="2">
        <v>0.34</v>
      </c>
      <c r="O3100">
        <v>86</v>
      </c>
      <c r="P3100">
        <v>14.76</v>
      </c>
      <c r="Q3100">
        <v>1.23</v>
      </c>
      <c r="R3100">
        <v>30</v>
      </c>
    </row>
    <row r="3101" spans="1:19" x14ac:dyDescent="0.25">
      <c r="A3101" t="s">
        <v>4883</v>
      </c>
      <c r="B3101" s="1">
        <v>44614</v>
      </c>
      <c r="C3101" t="s">
        <v>3902</v>
      </c>
      <c r="D3101" t="s">
        <v>23</v>
      </c>
      <c r="E3101" t="s">
        <v>24</v>
      </c>
      <c r="F3101" t="s">
        <v>1203</v>
      </c>
      <c r="G3101">
        <v>10</v>
      </c>
      <c r="H3101" t="s">
        <v>194</v>
      </c>
      <c r="I3101" t="s">
        <v>195</v>
      </c>
      <c r="J3101" t="s">
        <v>211</v>
      </c>
      <c r="K3101" t="s">
        <v>4884</v>
      </c>
      <c r="R3101">
        <v>46</v>
      </c>
    </row>
    <row r="3102" spans="1:19" x14ac:dyDescent="0.25">
      <c r="A3102" t="s">
        <v>4885</v>
      </c>
      <c r="B3102" s="1">
        <v>44614</v>
      </c>
      <c r="C3102" t="s">
        <v>1649</v>
      </c>
      <c r="D3102" t="s">
        <v>23</v>
      </c>
      <c r="E3102" t="s">
        <v>24</v>
      </c>
      <c r="F3102" t="s">
        <v>459</v>
      </c>
      <c r="G3102">
        <v>20</v>
      </c>
      <c r="H3102" t="s">
        <v>464</v>
      </c>
      <c r="I3102" t="s">
        <v>579</v>
      </c>
      <c r="J3102" t="s">
        <v>1758</v>
      </c>
      <c r="K3102" t="s">
        <v>4886</v>
      </c>
    </row>
    <row r="3103" spans="1:19" x14ac:dyDescent="0.25">
      <c r="A3103" t="s">
        <v>4952</v>
      </c>
      <c r="B3103" s="1">
        <v>44621</v>
      </c>
      <c r="C3103" t="s">
        <v>4953</v>
      </c>
      <c r="D3103" t="s">
        <v>23</v>
      </c>
      <c r="E3103" t="s">
        <v>24</v>
      </c>
      <c r="F3103" t="s">
        <v>215</v>
      </c>
      <c r="G3103">
        <v>10</v>
      </c>
      <c r="H3103" t="s">
        <v>464</v>
      </c>
      <c r="I3103" t="s">
        <v>1617</v>
      </c>
      <c r="J3103" t="s">
        <v>3543</v>
      </c>
      <c r="K3103" t="s">
        <v>4954</v>
      </c>
    </row>
    <row r="3104" spans="1:19" x14ac:dyDescent="0.25">
      <c r="A3104" t="s">
        <v>4955</v>
      </c>
      <c r="B3104" s="1">
        <v>44621</v>
      </c>
      <c r="C3104" t="s">
        <v>4956</v>
      </c>
      <c r="D3104" t="s">
        <v>23</v>
      </c>
      <c r="E3104" t="s">
        <v>24</v>
      </c>
      <c r="F3104" t="s">
        <v>215</v>
      </c>
      <c r="G3104">
        <v>10</v>
      </c>
      <c r="H3104" t="s">
        <v>464</v>
      </c>
      <c r="I3104" t="s">
        <v>763</v>
      </c>
      <c r="J3104" t="s">
        <v>764</v>
      </c>
      <c r="K3104" t="s">
        <v>4957</v>
      </c>
    </row>
    <row r="3105" spans="1:19" x14ac:dyDescent="0.25">
      <c r="A3105" t="s">
        <v>4958</v>
      </c>
      <c r="B3105" s="1">
        <v>44621</v>
      </c>
      <c r="C3105" t="s">
        <v>3910</v>
      </c>
      <c r="D3105" t="s">
        <v>23</v>
      </c>
      <c r="E3105" t="s">
        <v>24</v>
      </c>
      <c r="F3105" t="s">
        <v>1203</v>
      </c>
      <c r="G3105">
        <v>10</v>
      </c>
      <c r="H3105" t="s">
        <v>194</v>
      </c>
      <c r="I3105" t="s">
        <v>195</v>
      </c>
      <c r="J3105" t="s">
        <v>211</v>
      </c>
      <c r="K3105" t="s">
        <v>4959</v>
      </c>
      <c r="R3105">
        <v>45</v>
      </c>
    </row>
    <row r="3106" spans="1:19" x14ac:dyDescent="0.25">
      <c r="A3106" t="s">
        <v>4960</v>
      </c>
      <c r="B3106" s="1">
        <v>44621</v>
      </c>
      <c r="C3106" t="s">
        <v>1105</v>
      </c>
      <c r="D3106" t="s">
        <v>23</v>
      </c>
      <c r="E3106" t="s">
        <v>24</v>
      </c>
      <c r="F3106" t="s">
        <v>215</v>
      </c>
      <c r="G3106">
        <v>30</v>
      </c>
      <c r="H3106" t="s">
        <v>188</v>
      </c>
      <c r="I3106" t="s">
        <v>238</v>
      </c>
      <c r="J3106" t="s">
        <v>1696</v>
      </c>
      <c r="K3106" t="s">
        <v>4961</v>
      </c>
      <c r="R3106">
        <v>97</v>
      </c>
    </row>
    <row r="3107" spans="1:19" x14ac:dyDescent="0.25">
      <c r="A3107" t="s">
        <v>4962</v>
      </c>
      <c r="B3107" s="1">
        <v>44621</v>
      </c>
      <c r="C3107" t="s">
        <v>31</v>
      </c>
      <c r="D3107" t="s">
        <v>23</v>
      </c>
      <c r="E3107" t="s">
        <v>24</v>
      </c>
      <c r="F3107" t="s">
        <v>231</v>
      </c>
      <c r="G3107">
        <v>45</v>
      </c>
      <c r="H3107" t="s">
        <v>1856</v>
      </c>
      <c r="I3107" t="s">
        <v>2096</v>
      </c>
      <c r="J3107" t="s">
        <v>4587</v>
      </c>
      <c r="K3107" t="s">
        <v>4963</v>
      </c>
      <c r="L3107">
        <v>0</v>
      </c>
      <c r="P3107">
        <v>0</v>
      </c>
      <c r="Q3107">
        <v>0</v>
      </c>
      <c r="R3107">
        <v>175</v>
      </c>
      <c r="S3107">
        <v>116.42</v>
      </c>
    </row>
    <row r="3108" spans="1:19" x14ac:dyDescent="0.25">
      <c r="A3108" t="s">
        <v>4964</v>
      </c>
      <c r="B3108" s="1">
        <v>44621</v>
      </c>
      <c r="C3108" t="s">
        <v>4965</v>
      </c>
      <c r="D3108" t="s">
        <v>23</v>
      </c>
      <c r="E3108" t="s">
        <v>24</v>
      </c>
      <c r="F3108" t="s">
        <v>554</v>
      </c>
      <c r="G3108">
        <v>10</v>
      </c>
      <c r="H3108" t="s">
        <v>49</v>
      </c>
      <c r="I3108" t="s">
        <v>1960</v>
      </c>
      <c r="J3108" t="s">
        <v>3284</v>
      </c>
      <c r="K3108" t="s">
        <v>4966</v>
      </c>
      <c r="R3108">
        <v>22</v>
      </c>
    </row>
    <row r="3109" spans="1:19" x14ac:dyDescent="0.25">
      <c r="A3109" t="s">
        <v>4967</v>
      </c>
      <c r="B3109" s="1">
        <v>44621</v>
      </c>
      <c r="C3109" t="s">
        <v>4447</v>
      </c>
      <c r="D3109" t="s">
        <v>23</v>
      </c>
      <c r="E3109" t="s">
        <v>24</v>
      </c>
      <c r="F3109" t="s">
        <v>554</v>
      </c>
      <c r="G3109">
        <v>10</v>
      </c>
      <c r="H3109" t="s">
        <v>49</v>
      </c>
      <c r="I3109" t="s">
        <v>1960</v>
      </c>
      <c r="J3109" t="s">
        <v>3287</v>
      </c>
      <c r="K3109" t="s">
        <v>4966</v>
      </c>
      <c r="R3109">
        <v>22</v>
      </c>
    </row>
    <row r="3110" spans="1:19" x14ac:dyDescent="0.25">
      <c r="A3110" t="s">
        <v>4968</v>
      </c>
      <c r="B3110" s="1">
        <v>44621</v>
      </c>
      <c r="C3110" t="s">
        <v>4969</v>
      </c>
      <c r="D3110" t="s">
        <v>23</v>
      </c>
      <c r="E3110" t="s">
        <v>24</v>
      </c>
      <c r="F3110" t="s">
        <v>215</v>
      </c>
      <c r="G3110">
        <v>10</v>
      </c>
      <c r="H3110" t="s">
        <v>188</v>
      </c>
      <c r="I3110" t="s">
        <v>238</v>
      </c>
      <c r="J3110" t="s">
        <v>4970</v>
      </c>
      <c r="K3110" t="s">
        <v>4971</v>
      </c>
      <c r="R3110">
        <v>33</v>
      </c>
    </row>
    <row r="3111" spans="1:19" x14ac:dyDescent="0.25">
      <c r="A3111" t="s">
        <v>4972</v>
      </c>
      <c r="B3111" s="1">
        <v>44621</v>
      </c>
      <c r="C3111" t="s">
        <v>1552</v>
      </c>
      <c r="D3111" t="s">
        <v>23</v>
      </c>
      <c r="E3111" t="s">
        <v>24</v>
      </c>
      <c r="F3111" t="s">
        <v>208</v>
      </c>
      <c r="G3111">
        <v>15</v>
      </c>
      <c r="H3111" t="s">
        <v>464</v>
      </c>
      <c r="I3111" t="s">
        <v>943</v>
      </c>
      <c r="J3111" t="s">
        <v>1709</v>
      </c>
      <c r="K3111" t="s">
        <v>4973</v>
      </c>
    </row>
    <row r="3112" spans="1:19" x14ac:dyDescent="0.25">
      <c r="A3112" t="s">
        <v>5038</v>
      </c>
      <c r="B3112" s="1">
        <v>44628</v>
      </c>
      <c r="C3112" t="s">
        <v>626</v>
      </c>
      <c r="D3112" t="s">
        <v>23</v>
      </c>
      <c r="E3112" t="s">
        <v>24</v>
      </c>
      <c r="F3112" t="s">
        <v>215</v>
      </c>
      <c r="G3112">
        <v>30</v>
      </c>
      <c r="H3112" t="s">
        <v>188</v>
      </c>
      <c r="I3112" t="s">
        <v>189</v>
      </c>
      <c r="J3112" t="s">
        <v>3149</v>
      </c>
      <c r="K3112" t="s">
        <v>5039</v>
      </c>
      <c r="R3112">
        <v>92</v>
      </c>
    </row>
    <row r="3113" spans="1:19" x14ac:dyDescent="0.25">
      <c r="A3113" t="s">
        <v>5040</v>
      </c>
      <c r="B3113" s="1">
        <v>44628</v>
      </c>
      <c r="C3113" t="s">
        <v>5041</v>
      </c>
      <c r="D3113" t="s">
        <v>23</v>
      </c>
      <c r="E3113" t="s">
        <v>24</v>
      </c>
      <c r="F3113" t="s">
        <v>5042</v>
      </c>
      <c r="G3113">
        <v>30</v>
      </c>
      <c r="H3113" t="s">
        <v>1856</v>
      </c>
      <c r="I3113" t="s">
        <v>5043</v>
      </c>
      <c r="J3113" t="s">
        <v>5044</v>
      </c>
      <c r="K3113" t="s">
        <v>5045</v>
      </c>
      <c r="L3113">
        <v>0</v>
      </c>
      <c r="P3113">
        <v>0</v>
      </c>
      <c r="Q3113">
        <v>0</v>
      </c>
      <c r="R3113">
        <v>117</v>
      </c>
    </row>
    <row r="3114" spans="1:19" x14ac:dyDescent="0.25">
      <c r="A3114" t="s">
        <v>5046</v>
      </c>
      <c r="B3114" s="1">
        <v>44628</v>
      </c>
      <c r="C3114" t="s">
        <v>5047</v>
      </c>
      <c r="D3114" t="s">
        <v>23</v>
      </c>
      <c r="E3114" t="s">
        <v>24</v>
      </c>
      <c r="F3114" t="s">
        <v>180</v>
      </c>
      <c r="G3114">
        <v>15</v>
      </c>
      <c r="H3114" t="s">
        <v>194</v>
      </c>
      <c r="I3114" t="s">
        <v>195</v>
      </c>
      <c r="J3114" t="s">
        <v>5048</v>
      </c>
      <c r="K3114" t="s">
        <v>5049</v>
      </c>
      <c r="R3114">
        <v>69</v>
      </c>
    </row>
    <row r="3115" spans="1:19" x14ac:dyDescent="0.25">
      <c r="A3115" t="s">
        <v>5050</v>
      </c>
      <c r="B3115" s="1">
        <v>44628</v>
      </c>
      <c r="C3115" t="s">
        <v>5051</v>
      </c>
      <c r="D3115" t="s">
        <v>23</v>
      </c>
      <c r="E3115" t="s">
        <v>24</v>
      </c>
      <c r="F3115" t="s">
        <v>323</v>
      </c>
      <c r="G3115">
        <v>20</v>
      </c>
      <c r="H3115" t="s">
        <v>26</v>
      </c>
      <c r="I3115" t="s">
        <v>39</v>
      </c>
      <c r="J3115" t="s">
        <v>2657</v>
      </c>
      <c r="K3115" t="s">
        <v>5002</v>
      </c>
      <c r="L3115">
        <v>93</v>
      </c>
      <c r="M3115">
        <v>78</v>
      </c>
      <c r="N3115" s="2">
        <v>0.31</v>
      </c>
      <c r="O3115">
        <v>91</v>
      </c>
      <c r="P3115">
        <v>14.57</v>
      </c>
      <c r="Q3115">
        <v>4.8499999999999996</v>
      </c>
      <c r="R3115">
        <v>115</v>
      </c>
    </row>
    <row r="3116" spans="1:19" x14ac:dyDescent="0.25">
      <c r="A3116" t="s">
        <v>5052</v>
      </c>
      <c r="B3116" s="1">
        <v>44628</v>
      </c>
      <c r="C3116" t="s">
        <v>3856</v>
      </c>
      <c r="D3116" t="s">
        <v>23</v>
      </c>
      <c r="E3116" t="s">
        <v>24</v>
      </c>
      <c r="F3116" t="s">
        <v>2833</v>
      </c>
      <c r="G3116">
        <v>10</v>
      </c>
      <c r="H3116" t="s">
        <v>194</v>
      </c>
      <c r="I3116" t="s">
        <v>700</v>
      </c>
      <c r="J3116" t="s">
        <v>1282</v>
      </c>
      <c r="K3116" t="s">
        <v>5053</v>
      </c>
      <c r="R3116">
        <v>46</v>
      </c>
    </row>
    <row r="3117" spans="1:19" x14ac:dyDescent="0.25">
      <c r="A3117" t="s">
        <v>5054</v>
      </c>
      <c r="B3117" s="1">
        <v>44628</v>
      </c>
      <c r="C3117" t="s">
        <v>2804</v>
      </c>
      <c r="D3117" t="s">
        <v>23</v>
      </c>
      <c r="E3117" t="s">
        <v>24</v>
      </c>
      <c r="F3117" t="s">
        <v>208</v>
      </c>
      <c r="G3117">
        <v>20</v>
      </c>
      <c r="H3117" t="s">
        <v>464</v>
      </c>
      <c r="I3117" t="s">
        <v>763</v>
      </c>
      <c r="J3117" t="s">
        <v>1335</v>
      </c>
      <c r="K3117" t="s">
        <v>5055</v>
      </c>
    </row>
    <row r="3118" spans="1:19" x14ac:dyDescent="0.25">
      <c r="A3118" t="s">
        <v>5130</v>
      </c>
      <c r="B3118" s="1">
        <v>44635</v>
      </c>
      <c r="C3118" t="s">
        <v>475</v>
      </c>
      <c r="D3118" t="s">
        <v>23</v>
      </c>
      <c r="E3118" t="s">
        <v>24</v>
      </c>
      <c r="F3118" t="s">
        <v>200</v>
      </c>
      <c r="G3118">
        <v>30</v>
      </c>
      <c r="H3118" t="s">
        <v>188</v>
      </c>
      <c r="I3118" t="s">
        <v>254</v>
      </c>
      <c r="J3118" t="s">
        <v>5131</v>
      </c>
      <c r="K3118" t="s">
        <v>5132</v>
      </c>
      <c r="R3118">
        <v>102</v>
      </c>
    </row>
    <row r="3119" spans="1:19" x14ac:dyDescent="0.25">
      <c r="A3119" t="s">
        <v>5133</v>
      </c>
      <c r="B3119" s="1">
        <v>44635</v>
      </c>
      <c r="C3119" t="s">
        <v>5134</v>
      </c>
      <c r="D3119" t="s">
        <v>23</v>
      </c>
      <c r="E3119" t="s">
        <v>24</v>
      </c>
      <c r="F3119" t="s">
        <v>5135</v>
      </c>
      <c r="G3119">
        <v>30</v>
      </c>
      <c r="H3119" t="s">
        <v>1856</v>
      </c>
      <c r="I3119" t="s">
        <v>5043</v>
      </c>
      <c r="J3119" t="s">
        <v>5136</v>
      </c>
      <c r="K3119" t="s">
        <v>5137</v>
      </c>
      <c r="L3119">
        <v>0</v>
      </c>
      <c r="P3119">
        <v>3.74</v>
      </c>
      <c r="Q3119">
        <v>1.77</v>
      </c>
      <c r="R3119">
        <v>196</v>
      </c>
      <c r="S3119">
        <v>135.80000000000001</v>
      </c>
    </row>
    <row r="3120" spans="1:19" x14ac:dyDescent="0.25">
      <c r="A3120" t="s">
        <v>5138</v>
      </c>
      <c r="B3120" s="1">
        <v>44635</v>
      </c>
      <c r="C3120" t="s">
        <v>5139</v>
      </c>
      <c r="D3120" t="s">
        <v>23</v>
      </c>
      <c r="E3120" t="s">
        <v>24</v>
      </c>
      <c r="F3120" t="s">
        <v>323</v>
      </c>
      <c r="G3120">
        <v>30</v>
      </c>
      <c r="H3120" t="s">
        <v>26</v>
      </c>
      <c r="I3120" t="s">
        <v>370</v>
      </c>
      <c r="J3120" t="s">
        <v>880</v>
      </c>
      <c r="K3120" t="s">
        <v>5140</v>
      </c>
      <c r="L3120">
        <v>160</v>
      </c>
      <c r="M3120">
        <v>89</v>
      </c>
      <c r="N3120" s="2">
        <v>0.34</v>
      </c>
      <c r="O3120">
        <v>87</v>
      </c>
      <c r="P3120">
        <v>15.32</v>
      </c>
      <c r="Q3120">
        <v>7.66</v>
      </c>
      <c r="R3120">
        <v>301</v>
      </c>
      <c r="S3120">
        <v>154.26</v>
      </c>
    </row>
    <row r="3121" spans="1:19" x14ac:dyDescent="0.25">
      <c r="A3121" t="s">
        <v>5141</v>
      </c>
      <c r="B3121" s="1">
        <v>44635</v>
      </c>
      <c r="C3121" t="s">
        <v>1725</v>
      </c>
      <c r="D3121" t="s">
        <v>23</v>
      </c>
      <c r="E3121" t="s">
        <v>24</v>
      </c>
      <c r="F3121" t="s">
        <v>5142</v>
      </c>
      <c r="G3121">
        <v>20</v>
      </c>
      <c r="H3121" t="s">
        <v>194</v>
      </c>
      <c r="I3121" t="s">
        <v>631</v>
      </c>
      <c r="J3121" t="s">
        <v>2145</v>
      </c>
      <c r="K3121" t="s">
        <v>5143</v>
      </c>
      <c r="R3121">
        <v>140</v>
      </c>
      <c r="S3121">
        <v>126.85</v>
      </c>
    </row>
    <row r="3122" spans="1:19" x14ac:dyDescent="0.25">
      <c r="A3122" t="s">
        <v>5144</v>
      </c>
      <c r="B3122" s="1">
        <v>44635</v>
      </c>
      <c r="C3122" t="s">
        <v>1658</v>
      </c>
      <c r="D3122" t="s">
        <v>23</v>
      </c>
      <c r="E3122" t="s">
        <v>24</v>
      </c>
      <c r="F3122" t="s">
        <v>237</v>
      </c>
      <c r="G3122">
        <v>20</v>
      </c>
      <c r="H3122" t="s">
        <v>464</v>
      </c>
      <c r="I3122" t="s">
        <v>763</v>
      </c>
      <c r="J3122" t="s">
        <v>1335</v>
      </c>
      <c r="K3122" t="s">
        <v>5145</v>
      </c>
    </row>
    <row r="3123" spans="1:19" x14ac:dyDescent="0.25">
      <c r="A3123" t="s">
        <v>5230</v>
      </c>
      <c r="B3123" s="1">
        <v>44642</v>
      </c>
      <c r="C3123" t="s">
        <v>1601</v>
      </c>
      <c r="D3123" t="s">
        <v>23</v>
      </c>
      <c r="E3123" t="s">
        <v>24</v>
      </c>
      <c r="F3123" t="s">
        <v>180</v>
      </c>
      <c r="G3123">
        <v>20</v>
      </c>
      <c r="H3123" t="s">
        <v>26</v>
      </c>
      <c r="I3123" t="s">
        <v>39</v>
      </c>
      <c r="J3123" t="s">
        <v>870</v>
      </c>
      <c r="K3123" t="s">
        <v>5231</v>
      </c>
      <c r="L3123">
        <v>94</v>
      </c>
      <c r="M3123">
        <v>79</v>
      </c>
      <c r="N3123" s="2">
        <v>0.34</v>
      </c>
      <c r="O3123">
        <v>81</v>
      </c>
      <c r="P3123">
        <v>14.54</v>
      </c>
      <c r="Q3123">
        <v>4.8499999999999996</v>
      </c>
      <c r="R3123">
        <v>187</v>
      </c>
      <c r="S3123">
        <v>148.43</v>
      </c>
    </row>
    <row r="3124" spans="1:19" x14ac:dyDescent="0.25">
      <c r="A3124" t="s">
        <v>5232</v>
      </c>
      <c r="B3124" s="1">
        <v>44642</v>
      </c>
      <c r="C3124" t="s">
        <v>2804</v>
      </c>
      <c r="D3124" t="s">
        <v>23</v>
      </c>
      <c r="E3124" t="s">
        <v>24</v>
      </c>
      <c r="F3124" t="s">
        <v>2708</v>
      </c>
      <c r="G3124">
        <v>10</v>
      </c>
      <c r="H3124" t="s">
        <v>464</v>
      </c>
      <c r="I3124" t="s">
        <v>763</v>
      </c>
      <c r="J3124" t="s">
        <v>764</v>
      </c>
      <c r="K3124" t="s">
        <v>5233</v>
      </c>
    </row>
    <row r="3125" spans="1:19" x14ac:dyDescent="0.25">
      <c r="A3125" t="s">
        <v>5307</v>
      </c>
      <c r="B3125" s="1">
        <v>44649</v>
      </c>
      <c r="C3125" t="s">
        <v>5308</v>
      </c>
      <c r="D3125" t="s">
        <v>23</v>
      </c>
      <c r="E3125" t="s">
        <v>24</v>
      </c>
      <c r="F3125" t="s">
        <v>5309</v>
      </c>
      <c r="G3125">
        <v>30</v>
      </c>
      <c r="H3125" t="s">
        <v>1856</v>
      </c>
      <c r="I3125" t="s">
        <v>5043</v>
      </c>
      <c r="J3125" t="s">
        <v>5310</v>
      </c>
      <c r="K3125" t="s">
        <v>5311</v>
      </c>
      <c r="L3125">
        <v>0</v>
      </c>
      <c r="P3125">
        <v>3.49</v>
      </c>
      <c r="Q3125">
        <v>1.68</v>
      </c>
      <c r="R3125">
        <v>183</v>
      </c>
      <c r="S3125">
        <v>120.79</v>
      </c>
    </row>
    <row r="3126" spans="1:19" x14ac:dyDescent="0.25">
      <c r="A3126" t="s">
        <v>5312</v>
      </c>
      <c r="B3126" s="1">
        <v>44649</v>
      </c>
      <c r="C3126" t="s">
        <v>5313</v>
      </c>
      <c r="D3126" t="s">
        <v>23</v>
      </c>
      <c r="E3126" t="s">
        <v>24</v>
      </c>
      <c r="F3126" t="s">
        <v>747</v>
      </c>
      <c r="G3126">
        <v>5</v>
      </c>
      <c r="H3126" t="s">
        <v>26</v>
      </c>
      <c r="I3126" t="s">
        <v>423</v>
      </c>
      <c r="J3126" t="s">
        <v>505</v>
      </c>
      <c r="K3126" t="s">
        <v>5314</v>
      </c>
      <c r="L3126">
        <v>22</v>
      </c>
      <c r="M3126">
        <v>73</v>
      </c>
      <c r="N3126" s="2">
        <v>0.28999999999999998</v>
      </c>
      <c r="O3126">
        <v>97</v>
      </c>
      <c r="P3126">
        <v>14.19</v>
      </c>
      <c r="Q3126">
        <v>1.18</v>
      </c>
      <c r="R3126">
        <v>31</v>
      </c>
      <c r="S3126">
        <v>126.01</v>
      </c>
    </row>
    <row r="3127" spans="1:19" x14ac:dyDescent="0.25">
      <c r="A3127" t="s">
        <v>5315</v>
      </c>
      <c r="B3127" s="1">
        <v>44649</v>
      </c>
      <c r="C3127" t="s">
        <v>3120</v>
      </c>
      <c r="D3127" t="s">
        <v>23</v>
      </c>
      <c r="E3127" t="s">
        <v>24</v>
      </c>
      <c r="F3127" t="s">
        <v>323</v>
      </c>
      <c r="G3127">
        <v>45</v>
      </c>
      <c r="H3127" t="s">
        <v>26</v>
      </c>
      <c r="I3127" t="s">
        <v>370</v>
      </c>
      <c r="J3127" t="s">
        <v>479</v>
      </c>
      <c r="K3127" t="s">
        <v>5316</v>
      </c>
      <c r="L3127">
        <v>283</v>
      </c>
      <c r="M3127">
        <v>105</v>
      </c>
      <c r="N3127" s="2">
        <v>0.36</v>
      </c>
      <c r="O3127">
        <v>86</v>
      </c>
      <c r="P3127">
        <v>16.03</v>
      </c>
      <c r="Q3127">
        <v>12.03</v>
      </c>
      <c r="R3127">
        <v>458</v>
      </c>
      <c r="S3127">
        <v>156.9</v>
      </c>
    </row>
    <row r="3128" spans="1:19" x14ac:dyDescent="0.25">
      <c r="A3128" t="s">
        <v>5317</v>
      </c>
      <c r="B3128" s="1">
        <v>44649</v>
      </c>
      <c r="C3128" t="s">
        <v>2594</v>
      </c>
      <c r="D3128" t="s">
        <v>23</v>
      </c>
      <c r="E3128" t="s">
        <v>24</v>
      </c>
      <c r="F3128" t="s">
        <v>2876</v>
      </c>
      <c r="G3128">
        <v>5</v>
      </c>
      <c r="H3128" t="s">
        <v>26</v>
      </c>
      <c r="I3128" t="s">
        <v>358</v>
      </c>
      <c r="J3128" t="s">
        <v>359</v>
      </c>
      <c r="K3128" t="s">
        <v>5318</v>
      </c>
      <c r="L3128">
        <v>16</v>
      </c>
      <c r="M3128">
        <v>52</v>
      </c>
      <c r="N3128" s="2">
        <v>0.28000000000000003</v>
      </c>
      <c r="O3128">
        <v>83</v>
      </c>
      <c r="P3128">
        <v>12.19</v>
      </c>
      <c r="Q3128">
        <v>1.01</v>
      </c>
      <c r="R3128">
        <v>31</v>
      </c>
      <c r="S3128">
        <v>124.68</v>
      </c>
    </row>
    <row r="3129" spans="1:19" x14ac:dyDescent="0.25">
      <c r="A3129" t="s">
        <v>5319</v>
      </c>
      <c r="B3129" s="1">
        <v>44649</v>
      </c>
      <c r="C3129" t="s">
        <v>5320</v>
      </c>
      <c r="D3129" t="s">
        <v>23</v>
      </c>
      <c r="E3129" t="s">
        <v>24</v>
      </c>
      <c r="F3129" t="s">
        <v>243</v>
      </c>
      <c r="G3129">
        <v>5</v>
      </c>
      <c r="H3129" t="s">
        <v>49</v>
      </c>
      <c r="I3129" t="s">
        <v>50</v>
      </c>
      <c r="J3129" t="s">
        <v>51</v>
      </c>
      <c r="K3129" t="s">
        <v>5162</v>
      </c>
      <c r="R3129">
        <v>21</v>
      </c>
      <c r="S3129">
        <v>103.55</v>
      </c>
    </row>
    <row r="3130" spans="1:19" x14ac:dyDescent="0.25">
      <c r="A3130" t="s">
        <v>5321</v>
      </c>
      <c r="B3130" s="1">
        <v>44649</v>
      </c>
      <c r="C3130" t="s">
        <v>841</v>
      </c>
      <c r="D3130" t="s">
        <v>23</v>
      </c>
      <c r="E3130" t="s">
        <v>24</v>
      </c>
      <c r="F3130" t="s">
        <v>200</v>
      </c>
      <c r="G3130">
        <v>10</v>
      </c>
      <c r="H3130" t="s">
        <v>464</v>
      </c>
      <c r="I3130" t="s">
        <v>943</v>
      </c>
      <c r="J3130" t="s">
        <v>944</v>
      </c>
      <c r="K3130" t="s">
        <v>5322</v>
      </c>
    </row>
    <row r="3131" spans="1:19" x14ac:dyDescent="0.25">
      <c r="A3131" t="s">
        <v>5367</v>
      </c>
      <c r="B3131" s="1">
        <v>44656</v>
      </c>
      <c r="C3131" t="s">
        <v>122</v>
      </c>
      <c r="D3131" t="s">
        <v>23</v>
      </c>
      <c r="E3131" t="s">
        <v>24</v>
      </c>
      <c r="F3131" t="s">
        <v>5368</v>
      </c>
      <c r="G3131">
        <v>30</v>
      </c>
      <c r="H3131" t="s">
        <v>1856</v>
      </c>
      <c r="I3131" t="s">
        <v>5043</v>
      </c>
      <c r="J3131" t="s">
        <v>5369</v>
      </c>
      <c r="K3131" t="s">
        <v>5370</v>
      </c>
      <c r="L3131">
        <v>0</v>
      </c>
      <c r="P3131">
        <v>3.46</v>
      </c>
      <c r="Q3131">
        <v>1.67</v>
      </c>
      <c r="R3131">
        <v>170</v>
      </c>
      <c r="S3131">
        <v>115.32</v>
      </c>
    </row>
    <row r="3132" spans="1:19" x14ac:dyDescent="0.25">
      <c r="A3132" t="s">
        <v>5371</v>
      </c>
      <c r="B3132" s="1">
        <v>44656</v>
      </c>
      <c r="C3132" t="s">
        <v>5372</v>
      </c>
      <c r="D3132" t="s">
        <v>23</v>
      </c>
      <c r="E3132" t="s">
        <v>24</v>
      </c>
      <c r="F3132" t="s">
        <v>323</v>
      </c>
      <c r="G3132">
        <v>45</v>
      </c>
      <c r="H3132" t="s">
        <v>26</v>
      </c>
      <c r="I3132" t="s">
        <v>370</v>
      </c>
      <c r="J3132" t="s">
        <v>5373</v>
      </c>
      <c r="K3132" t="s">
        <v>5374</v>
      </c>
      <c r="L3132">
        <v>279</v>
      </c>
      <c r="M3132">
        <v>103</v>
      </c>
      <c r="N3132" s="2">
        <v>0.37</v>
      </c>
      <c r="O3132">
        <v>86</v>
      </c>
      <c r="P3132">
        <v>16.329999999999998</v>
      </c>
      <c r="Q3132">
        <v>12.25</v>
      </c>
      <c r="R3132">
        <v>428</v>
      </c>
      <c r="S3132">
        <v>149.72999999999999</v>
      </c>
    </row>
    <row r="3133" spans="1:19" x14ac:dyDescent="0.25">
      <c r="A3133" t="s">
        <v>5375</v>
      </c>
      <c r="B3133" s="1">
        <v>44656</v>
      </c>
      <c r="C3133" t="s">
        <v>3421</v>
      </c>
      <c r="D3133" t="s">
        <v>23</v>
      </c>
      <c r="E3133" t="s">
        <v>24</v>
      </c>
      <c r="F3133" t="s">
        <v>660</v>
      </c>
      <c r="G3133">
        <v>5</v>
      </c>
      <c r="H3133" t="s">
        <v>26</v>
      </c>
      <c r="I3133" t="s">
        <v>358</v>
      </c>
      <c r="J3133" t="s">
        <v>359</v>
      </c>
      <c r="K3133" t="s">
        <v>5340</v>
      </c>
      <c r="L3133">
        <v>22</v>
      </c>
      <c r="M3133">
        <v>73</v>
      </c>
      <c r="N3133" s="2">
        <v>0.35</v>
      </c>
      <c r="O3133">
        <v>76</v>
      </c>
      <c r="P3133">
        <v>14.15</v>
      </c>
      <c r="Q3133">
        <v>1.18</v>
      </c>
      <c r="R3133">
        <v>35</v>
      </c>
      <c r="S3133">
        <v>129.21</v>
      </c>
    </row>
    <row r="3134" spans="1:19" x14ac:dyDescent="0.25">
      <c r="A3134" t="s">
        <v>5376</v>
      </c>
      <c r="B3134" s="1">
        <v>44656</v>
      </c>
      <c r="C3134" t="s">
        <v>3369</v>
      </c>
      <c r="D3134" t="s">
        <v>23</v>
      </c>
      <c r="E3134" t="s">
        <v>24</v>
      </c>
      <c r="F3134" t="s">
        <v>170</v>
      </c>
      <c r="G3134">
        <v>5</v>
      </c>
      <c r="H3134" t="s">
        <v>49</v>
      </c>
      <c r="I3134" t="s">
        <v>50</v>
      </c>
      <c r="J3134" t="s">
        <v>51</v>
      </c>
      <c r="K3134" t="s">
        <v>5377</v>
      </c>
      <c r="R3134">
        <v>19</v>
      </c>
      <c r="S3134">
        <v>100.74</v>
      </c>
    </row>
    <row r="3135" spans="1:19" x14ac:dyDescent="0.25">
      <c r="A3135" t="s">
        <v>5378</v>
      </c>
      <c r="B3135" s="1">
        <v>44656</v>
      </c>
      <c r="C3135" t="s">
        <v>5379</v>
      </c>
      <c r="D3135" t="s">
        <v>23</v>
      </c>
      <c r="E3135" t="s">
        <v>24</v>
      </c>
      <c r="F3135" t="s">
        <v>237</v>
      </c>
      <c r="G3135">
        <v>20</v>
      </c>
      <c r="H3135" t="s">
        <v>188</v>
      </c>
      <c r="I3135" t="s">
        <v>238</v>
      </c>
      <c r="J3135" t="s">
        <v>796</v>
      </c>
      <c r="K3135" t="s">
        <v>5380</v>
      </c>
      <c r="R3135">
        <v>66</v>
      </c>
    </row>
    <row r="3136" spans="1:19" x14ac:dyDescent="0.25">
      <c r="A3136" t="s">
        <v>5381</v>
      </c>
      <c r="B3136" s="1">
        <v>44656</v>
      </c>
      <c r="C3136" t="s">
        <v>5382</v>
      </c>
      <c r="D3136" t="s">
        <v>23</v>
      </c>
      <c r="E3136" t="s">
        <v>24</v>
      </c>
      <c r="F3136" t="s">
        <v>2708</v>
      </c>
      <c r="G3136">
        <v>10</v>
      </c>
      <c r="H3136" t="s">
        <v>188</v>
      </c>
      <c r="I3136" t="s">
        <v>238</v>
      </c>
      <c r="J3136" t="s">
        <v>731</v>
      </c>
      <c r="K3136" t="s">
        <v>5383</v>
      </c>
      <c r="R3136">
        <v>35</v>
      </c>
    </row>
    <row r="3137" spans="1:19" x14ac:dyDescent="0.25">
      <c r="A3137" t="s">
        <v>5384</v>
      </c>
      <c r="B3137" s="1">
        <v>44656</v>
      </c>
      <c r="C3137" t="s">
        <v>5385</v>
      </c>
      <c r="D3137" t="s">
        <v>23</v>
      </c>
      <c r="E3137" t="s">
        <v>24</v>
      </c>
      <c r="F3137" t="s">
        <v>554</v>
      </c>
      <c r="G3137">
        <v>10</v>
      </c>
      <c r="H3137" t="s">
        <v>49</v>
      </c>
      <c r="I3137" t="s">
        <v>1960</v>
      </c>
      <c r="J3137" t="s">
        <v>3284</v>
      </c>
      <c r="K3137" t="s">
        <v>4966</v>
      </c>
      <c r="R3137">
        <v>23</v>
      </c>
    </row>
    <row r="3138" spans="1:19" x14ac:dyDescent="0.25">
      <c r="A3138" t="s">
        <v>5386</v>
      </c>
      <c r="B3138" s="1">
        <v>44656</v>
      </c>
      <c r="C3138" t="s">
        <v>1909</v>
      </c>
      <c r="D3138" t="s">
        <v>23</v>
      </c>
      <c r="E3138" t="s">
        <v>24</v>
      </c>
      <c r="F3138" t="s">
        <v>459</v>
      </c>
      <c r="G3138">
        <v>20</v>
      </c>
      <c r="H3138" t="s">
        <v>464</v>
      </c>
      <c r="I3138" t="s">
        <v>763</v>
      </c>
      <c r="J3138" t="s">
        <v>2732</v>
      </c>
      <c r="K3138" t="s">
        <v>5387</v>
      </c>
    </row>
    <row r="3139" spans="1:19" x14ac:dyDescent="0.25">
      <c r="A3139" t="s">
        <v>5477</v>
      </c>
      <c r="B3139" s="1">
        <v>44663</v>
      </c>
      <c r="C3139" t="s">
        <v>1111</v>
      </c>
      <c r="D3139" t="s">
        <v>23</v>
      </c>
      <c r="E3139" t="s">
        <v>24</v>
      </c>
      <c r="F3139" t="s">
        <v>237</v>
      </c>
      <c r="G3139">
        <v>30</v>
      </c>
      <c r="H3139" t="s">
        <v>188</v>
      </c>
      <c r="I3139" t="s">
        <v>254</v>
      </c>
      <c r="J3139" t="s">
        <v>255</v>
      </c>
      <c r="K3139" t="s">
        <v>5478</v>
      </c>
      <c r="R3139">
        <v>101</v>
      </c>
    </row>
    <row r="3140" spans="1:19" x14ac:dyDescent="0.25">
      <c r="A3140" t="s">
        <v>5479</v>
      </c>
      <c r="B3140" s="1">
        <v>44663</v>
      </c>
      <c r="C3140" t="s">
        <v>5480</v>
      </c>
      <c r="D3140" t="s">
        <v>23</v>
      </c>
      <c r="E3140" t="s">
        <v>24</v>
      </c>
      <c r="F3140" t="s">
        <v>323</v>
      </c>
      <c r="G3140">
        <v>30</v>
      </c>
      <c r="H3140" t="s">
        <v>194</v>
      </c>
      <c r="I3140" t="s">
        <v>5481</v>
      </c>
      <c r="J3140" t="s">
        <v>5482</v>
      </c>
      <c r="K3140" t="s">
        <v>5483</v>
      </c>
      <c r="R3140">
        <v>200</v>
      </c>
      <c r="S3140">
        <v>131.47</v>
      </c>
    </row>
    <row r="3141" spans="1:19" x14ac:dyDescent="0.25">
      <c r="A3141" t="s">
        <v>5484</v>
      </c>
      <c r="B3141" s="1">
        <v>44663</v>
      </c>
      <c r="C3141" t="s">
        <v>5485</v>
      </c>
      <c r="D3141" t="s">
        <v>23</v>
      </c>
      <c r="E3141" t="s">
        <v>24</v>
      </c>
      <c r="F3141" t="s">
        <v>554</v>
      </c>
      <c r="G3141">
        <v>10</v>
      </c>
      <c r="H3141" t="s">
        <v>194</v>
      </c>
      <c r="I3141" t="s">
        <v>5421</v>
      </c>
      <c r="J3141" t="s">
        <v>5486</v>
      </c>
      <c r="K3141" t="s">
        <v>5465</v>
      </c>
      <c r="R3141">
        <v>42</v>
      </c>
      <c r="S3141">
        <v>102.41</v>
      </c>
    </row>
    <row r="3142" spans="1:19" x14ac:dyDescent="0.25">
      <c r="A3142" t="s">
        <v>5487</v>
      </c>
      <c r="B3142" s="1">
        <v>44663</v>
      </c>
      <c r="C3142" t="s">
        <v>5488</v>
      </c>
      <c r="D3142" t="s">
        <v>23</v>
      </c>
      <c r="E3142" t="s">
        <v>24</v>
      </c>
      <c r="F3142" t="s">
        <v>314</v>
      </c>
      <c r="G3142">
        <v>10</v>
      </c>
      <c r="H3142" t="s">
        <v>194</v>
      </c>
      <c r="I3142" t="s">
        <v>195</v>
      </c>
      <c r="J3142" t="s">
        <v>211</v>
      </c>
      <c r="K3142" t="s">
        <v>5489</v>
      </c>
      <c r="R3142">
        <v>47</v>
      </c>
      <c r="S3142">
        <v>108.72</v>
      </c>
    </row>
    <row r="3143" spans="1:19" x14ac:dyDescent="0.25">
      <c r="A3143" t="s">
        <v>5490</v>
      </c>
      <c r="B3143" s="1">
        <v>44663</v>
      </c>
      <c r="C3143" t="s">
        <v>3203</v>
      </c>
      <c r="D3143" t="s">
        <v>23</v>
      </c>
      <c r="E3143" t="s">
        <v>24</v>
      </c>
      <c r="F3143" t="s">
        <v>490</v>
      </c>
      <c r="G3143">
        <v>15</v>
      </c>
      <c r="H3143" t="s">
        <v>26</v>
      </c>
      <c r="I3143" t="s">
        <v>39</v>
      </c>
      <c r="J3143" t="s">
        <v>366</v>
      </c>
      <c r="K3143" t="s">
        <v>5491</v>
      </c>
      <c r="L3143">
        <v>73</v>
      </c>
      <c r="M3143">
        <v>81</v>
      </c>
      <c r="N3143" s="2">
        <v>0.33</v>
      </c>
      <c r="O3143">
        <v>88</v>
      </c>
      <c r="P3143">
        <v>14.68</v>
      </c>
      <c r="Q3143">
        <v>3.68</v>
      </c>
      <c r="R3143">
        <v>119</v>
      </c>
      <c r="S3143">
        <v>136.78</v>
      </c>
    </row>
    <row r="3144" spans="1:19" x14ac:dyDescent="0.25">
      <c r="A3144" t="s">
        <v>5558</v>
      </c>
      <c r="B3144" s="1">
        <v>44670</v>
      </c>
      <c r="C3144" t="s">
        <v>589</v>
      </c>
      <c r="D3144" t="s">
        <v>23</v>
      </c>
      <c r="E3144" t="s">
        <v>24</v>
      </c>
      <c r="F3144" t="s">
        <v>237</v>
      </c>
      <c r="G3144">
        <v>30</v>
      </c>
      <c r="H3144" t="s">
        <v>188</v>
      </c>
      <c r="I3144" t="s">
        <v>254</v>
      </c>
      <c r="J3144" t="s">
        <v>255</v>
      </c>
      <c r="K3144" t="s">
        <v>5559</v>
      </c>
      <c r="R3144">
        <v>98</v>
      </c>
    </row>
    <row r="3145" spans="1:19" x14ac:dyDescent="0.25">
      <c r="A3145" t="s">
        <v>5560</v>
      </c>
      <c r="B3145" s="1">
        <v>44670</v>
      </c>
      <c r="C3145" t="s">
        <v>287</v>
      </c>
      <c r="D3145" t="s">
        <v>23</v>
      </c>
      <c r="E3145" t="s">
        <v>24</v>
      </c>
      <c r="F3145" t="s">
        <v>5561</v>
      </c>
      <c r="G3145">
        <v>30</v>
      </c>
      <c r="H3145" t="s">
        <v>1856</v>
      </c>
      <c r="I3145" t="s">
        <v>5043</v>
      </c>
      <c r="J3145" t="s">
        <v>5562</v>
      </c>
      <c r="K3145" t="s">
        <v>5563</v>
      </c>
      <c r="L3145">
        <v>0</v>
      </c>
      <c r="P3145">
        <v>1.82</v>
      </c>
      <c r="Q3145">
        <v>0.86</v>
      </c>
      <c r="R3145">
        <v>160</v>
      </c>
      <c r="S3145">
        <v>116.44</v>
      </c>
    </row>
    <row r="3146" spans="1:19" x14ac:dyDescent="0.25">
      <c r="A3146" t="s">
        <v>5564</v>
      </c>
      <c r="B3146" s="1">
        <v>44670</v>
      </c>
      <c r="C3146" t="s">
        <v>2881</v>
      </c>
      <c r="D3146" t="s">
        <v>23</v>
      </c>
      <c r="E3146" t="s">
        <v>24</v>
      </c>
      <c r="F3146" t="s">
        <v>5142</v>
      </c>
      <c r="G3146">
        <v>10</v>
      </c>
      <c r="H3146" t="s">
        <v>194</v>
      </c>
      <c r="I3146" t="s">
        <v>195</v>
      </c>
      <c r="J3146" t="s">
        <v>211</v>
      </c>
      <c r="K3146" t="s">
        <v>5565</v>
      </c>
      <c r="R3146">
        <v>36</v>
      </c>
      <c r="S3146">
        <v>95.79</v>
      </c>
    </row>
    <row r="3147" spans="1:19" x14ac:dyDescent="0.25">
      <c r="A3147" t="s">
        <v>5566</v>
      </c>
      <c r="B3147" s="1">
        <v>44670</v>
      </c>
      <c r="C3147" t="s">
        <v>2985</v>
      </c>
      <c r="D3147" t="s">
        <v>23</v>
      </c>
      <c r="E3147" t="s">
        <v>24</v>
      </c>
      <c r="F3147" t="s">
        <v>5567</v>
      </c>
      <c r="G3147">
        <v>20</v>
      </c>
      <c r="H3147" t="s">
        <v>194</v>
      </c>
      <c r="I3147" t="s">
        <v>1445</v>
      </c>
      <c r="J3147" t="s">
        <v>3313</v>
      </c>
      <c r="K3147" t="s">
        <v>5568</v>
      </c>
      <c r="R3147">
        <v>79</v>
      </c>
      <c r="S3147">
        <v>99.06</v>
      </c>
    </row>
    <row r="3148" spans="1:19" x14ac:dyDescent="0.25">
      <c r="A3148" t="s">
        <v>5569</v>
      </c>
      <c r="B3148" s="1">
        <v>44670</v>
      </c>
      <c r="C3148" t="s">
        <v>2847</v>
      </c>
      <c r="D3148" t="s">
        <v>23</v>
      </c>
      <c r="E3148" t="s">
        <v>24</v>
      </c>
      <c r="F3148" t="s">
        <v>180</v>
      </c>
      <c r="G3148">
        <v>20</v>
      </c>
      <c r="H3148" t="s">
        <v>26</v>
      </c>
      <c r="I3148" t="s">
        <v>39</v>
      </c>
      <c r="J3148" t="s">
        <v>2657</v>
      </c>
      <c r="K3148" t="s">
        <v>5570</v>
      </c>
      <c r="L3148">
        <v>83</v>
      </c>
      <c r="M3148">
        <v>69</v>
      </c>
      <c r="N3148" s="2">
        <v>0.3</v>
      </c>
      <c r="O3148">
        <v>89</v>
      </c>
      <c r="P3148">
        <v>13.79</v>
      </c>
      <c r="Q3148">
        <v>4.5999999999999996</v>
      </c>
      <c r="R3148">
        <v>118</v>
      </c>
      <c r="S3148">
        <v>135.47</v>
      </c>
    </row>
    <row r="3149" spans="1:19" x14ac:dyDescent="0.25">
      <c r="A3149" t="s">
        <v>5571</v>
      </c>
      <c r="B3149" s="1">
        <v>44670</v>
      </c>
      <c r="C3149" t="s">
        <v>3351</v>
      </c>
      <c r="D3149" t="s">
        <v>23</v>
      </c>
      <c r="E3149" t="s">
        <v>24</v>
      </c>
      <c r="F3149" t="s">
        <v>208</v>
      </c>
      <c r="G3149">
        <v>15</v>
      </c>
      <c r="H3149" t="s">
        <v>464</v>
      </c>
      <c r="I3149" t="s">
        <v>763</v>
      </c>
      <c r="J3149" t="s">
        <v>2508</v>
      </c>
      <c r="K3149" t="s">
        <v>5530</v>
      </c>
    </row>
    <row r="3150" spans="1:19" x14ac:dyDescent="0.25">
      <c r="A3150" t="s">
        <v>5643</v>
      </c>
      <c r="B3150" s="1">
        <v>44677</v>
      </c>
      <c r="C3150" t="s">
        <v>2921</v>
      </c>
      <c r="D3150" t="s">
        <v>23</v>
      </c>
      <c r="E3150" t="s">
        <v>24</v>
      </c>
      <c r="F3150" t="s">
        <v>2708</v>
      </c>
      <c r="G3150">
        <v>30</v>
      </c>
      <c r="H3150" t="s">
        <v>188</v>
      </c>
      <c r="I3150" t="s">
        <v>189</v>
      </c>
      <c r="J3150" t="s">
        <v>5644</v>
      </c>
      <c r="K3150" t="s">
        <v>5645</v>
      </c>
      <c r="R3150">
        <v>95</v>
      </c>
    </row>
    <row r="3151" spans="1:19" x14ac:dyDescent="0.25">
      <c r="A3151" t="s">
        <v>5646</v>
      </c>
      <c r="B3151" s="1">
        <v>44677</v>
      </c>
      <c r="C3151" t="s">
        <v>2483</v>
      </c>
      <c r="D3151" t="s">
        <v>23</v>
      </c>
      <c r="E3151" t="s">
        <v>24</v>
      </c>
      <c r="F3151" t="s">
        <v>200</v>
      </c>
      <c r="G3151">
        <v>20</v>
      </c>
      <c r="H3151" t="s">
        <v>464</v>
      </c>
      <c r="I3151" t="s">
        <v>763</v>
      </c>
      <c r="J3151" t="s">
        <v>1385</v>
      </c>
      <c r="K3151" t="s">
        <v>5647</v>
      </c>
    </row>
    <row r="3152" spans="1:19" x14ac:dyDescent="0.25">
      <c r="A3152" t="s">
        <v>5704</v>
      </c>
      <c r="B3152" s="1">
        <v>44684</v>
      </c>
      <c r="C3152" t="s">
        <v>589</v>
      </c>
      <c r="D3152" t="s">
        <v>23</v>
      </c>
      <c r="E3152" t="s">
        <v>24</v>
      </c>
      <c r="F3152" t="s">
        <v>237</v>
      </c>
      <c r="G3152">
        <v>30</v>
      </c>
      <c r="H3152" t="s">
        <v>188</v>
      </c>
      <c r="I3152" t="s">
        <v>254</v>
      </c>
      <c r="J3152" t="s">
        <v>255</v>
      </c>
      <c r="K3152" t="s">
        <v>5705</v>
      </c>
      <c r="R3152">
        <v>101</v>
      </c>
    </row>
    <row r="3153" spans="1:19" x14ac:dyDescent="0.25">
      <c r="A3153" t="s">
        <v>5706</v>
      </c>
      <c r="B3153" s="1">
        <v>44684</v>
      </c>
      <c r="C3153" t="s">
        <v>5443</v>
      </c>
      <c r="D3153" t="s">
        <v>23</v>
      </c>
      <c r="E3153" t="s">
        <v>24</v>
      </c>
      <c r="F3153" t="s">
        <v>231</v>
      </c>
      <c r="G3153">
        <v>10</v>
      </c>
      <c r="H3153" t="s">
        <v>194</v>
      </c>
      <c r="I3153" t="s">
        <v>195</v>
      </c>
      <c r="J3153" t="s">
        <v>211</v>
      </c>
      <c r="K3153" t="s">
        <v>5707</v>
      </c>
    </row>
    <row r="3154" spans="1:19" x14ac:dyDescent="0.25">
      <c r="A3154" t="s">
        <v>5708</v>
      </c>
      <c r="B3154" s="1">
        <v>44684</v>
      </c>
      <c r="C3154" t="s">
        <v>4726</v>
      </c>
      <c r="D3154" t="s">
        <v>23</v>
      </c>
      <c r="E3154" t="s">
        <v>24</v>
      </c>
      <c r="F3154" t="s">
        <v>5709</v>
      </c>
      <c r="G3154">
        <v>30</v>
      </c>
      <c r="H3154" t="s">
        <v>1856</v>
      </c>
      <c r="I3154" t="s">
        <v>5043</v>
      </c>
      <c r="J3154" t="s">
        <v>5710</v>
      </c>
      <c r="K3154" t="s">
        <v>5711</v>
      </c>
      <c r="L3154">
        <v>0</v>
      </c>
      <c r="P3154">
        <v>3.13</v>
      </c>
      <c r="Q3154">
        <v>1.49</v>
      </c>
      <c r="R3154">
        <v>141</v>
      </c>
    </row>
    <row r="3155" spans="1:19" x14ac:dyDescent="0.25">
      <c r="A3155" t="s">
        <v>5712</v>
      </c>
      <c r="B3155" s="1">
        <v>44684</v>
      </c>
      <c r="C3155" t="s">
        <v>1546</v>
      </c>
      <c r="D3155" t="s">
        <v>23</v>
      </c>
      <c r="E3155" t="s">
        <v>24</v>
      </c>
      <c r="F3155" t="s">
        <v>323</v>
      </c>
      <c r="G3155">
        <v>45</v>
      </c>
      <c r="H3155" t="s">
        <v>26</v>
      </c>
      <c r="I3155" t="s">
        <v>370</v>
      </c>
      <c r="J3155" t="s">
        <v>439</v>
      </c>
      <c r="K3155" t="s">
        <v>5713</v>
      </c>
      <c r="L3155">
        <v>271</v>
      </c>
      <c r="M3155">
        <v>100</v>
      </c>
      <c r="N3155" s="2">
        <v>0.37</v>
      </c>
      <c r="O3155">
        <v>85</v>
      </c>
      <c r="P3155">
        <v>16.11</v>
      </c>
      <c r="Q3155">
        <v>12.08</v>
      </c>
      <c r="R3155">
        <v>425</v>
      </c>
      <c r="S3155">
        <v>149.54</v>
      </c>
    </row>
    <row r="3156" spans="1:19" x14ac:dyDescent="0.25">
      <c r="A3156" t="s">
        <v>5714</v>
      </c>
      <c r="B3156" s="1">
        <v>44684</v>
      </c>
      <c r="C3156" t="s">
        <v>5715</v>
      </c>
      <c r="D3156" t="s">
        <v>23</v>
      </c>
      <c r="E3156" t="s">
        <v>24</v>
      </c>
      <c r="F3156" t="s">
        <v>2876</v>
      </c>
      <c r="G3156">
        <v>5</v>
      </c>
      <c r="H3156" t="s">
        <v>49</v>
      </c>
      <c r="I3156" t="s">
        <v>50</v>
      </c>
      <c r="J3156" t="s">
        <v>51</v>
      </c>
      <c r="K3156" t="s">
        <v>5408</v>
      </c>
      <c r="R3156">
        <v>11</v>
      </c>
    </row>
    <row r="3157" spans="1:19" x14ac:dyDescent="0.25">
      <c r="A3157" t="s">
        <v>5716</v>
      </c>
      <c r="B3157" s="1">
        <v>44684</v>
      </c>
      <c r="C3157" t="s">
        <v>1496</v>
      </c>
      <c r="D3157" t="s">
        <v>23</v>
      </c>
      <c r="E3157" t="s">
        <v>24</v>
      </c>
      <c r="F3157" t="s">
        <v>237</v>
      </c>
      <c r="G3157">
        <v>10</v>
      </c>
      <c r="H3157" t="s">
        <v>464</v>
      </c>
      <c r="I3157" t="s">
        <v>579</v>
      </c>
      <c r="J3157" t="s">
        <v>986</v>
      </c>
      <c r="K3157" t="s">
        <v>5717</v>
      </c>
    </row>
    <row r="3158" spans="1:19" x14ac:dyDescent="0.25">
      <c r="A3158" t="s">
        <v>5792</v>
      </c>
      <c r="B3158" s="1">
        <v>44691</v>
      </c>
      <c r="C3158" t="s">
        <v>652</v>
      </c>
      <c r="D3158" t="s">
        <v>23</v>
      </c>
      <c r="E3158" t="s">
        <v>24</v>
      </c>
      <c r="F3158" t="s">
        <v>215</v>
      </c>
      <c r="G3158">
        <v>30</v>
      </c>
      <c r="H3158" t="s">
        <v>188</v>
      </c>
      <c r="I3158" t="s">
        <v>189</v>
      </c>
      <c r="J3158" t="s">
        <v>201</v>
      </c>
      <c r="K3158" t="s">
        <v>5793</v>
      </c>
      <c r="R3158">
        <v>97</v>
      </c>
    </row>
    <row r="3159" spans="1:19" x14ac:dyDescent="0.25">
      <c r="A3159" t="s">
        <v>5794</v>
      </c>
      <c r="B3159" s="1">
        <v>44691</v>
      </c>
      <c r="C3159" t="s">
        <v>199</v>
      </c>
      <c r="D3159" t="s">
        <v>23</v>
      </c>
      <c r="E3159" t="s">
        <v>24</v>
      </c>
      <c r="F3159" t="s">
        <v>297</v>
      </c>
      <c r="G3159">
        <v>30</v>
      </c>
      <c r="H3159" t="s">
        <v>1856</v>
      </c>
      <c r="I3159" t="s">
        <v>1857</v>
      </c>
      <c r="J3159" t="s">
        <v>5150</v>
      </c>
      <c r="K3159" t="s">
        <v>5151</v>
      </c>
      <c r="L3159">
        <v>0</v>
      </c>
      <c r="P3159">
        <v>3.88</v>
      </c>
      <c r="Q3159">
        <v>1.93</v>
      </c>
      <c r="R3159">
        <v>188</v>
      </c>
    </row>
    <row r="3160" spans="1:19" x14ac:dyDescent="0.25">
      <c r="A3160" t="s">
        <v>5795</v>
      </c>
      <c r="B3160" s="1">
        <v>44691</v>
      </c>
      <c r="C3160" t="s">
        <v>3390</v>
      </c>
      <c r="D3160" t="s">
        <v>23</v>
      </c>
      <c r="E3160" t="s">
        <v>24</v>
      </c>
      <c r="F3160" t="s">
        <v>459</v>
      </c>
      <c r="G3160">
        <v>15</v>
      </c>
      <c r="H3160" t="s">
        <v>464</v>
      </c>
      <c r="I3160" t="s">
        <v>1571</v>
      </c>
      <c r="J3160" t="s">
        <v>2322</v>
      </c>
      <c r="K3160" t="s">
        <v>5796</v>
      </c>
    </row>
    <row r="3161" spans="1:19" x14ac:dyDescent="0.25">
      <c r="A3161" t="s">
        <v>5842</v>
      </c>
      <c r="B3161" s="1">
        <v>44698</v>
      </c>
      <c r="C3161" t="s">
        <v>5843</v>
      </c>
      <c r="D3161" t="s">
        <v>23</v>
      </c>
      <c r="E3161" t="s">
        <v>24</v>
      </c>
      <c r="F3161" t="s">
        <v>2708</v>
      </c>
      <c r="G3161">
        <v>5</v>
      </c>
      <c r="H3161" t="s">
        <v>464</v>
      </c>
      <c r="I3161" t="s">
        <v>1617</v>
      </c>
      <c r="J3161" t="s">
        <v>5844</v>
      </c>
      <c r="K3161" t="s">
        <v>5845</v>
      </c>
    </row>
    <row r="3162" spans="1:19" x14ac:dyDescent="0.25">
      <c r="A3162" t="s">
        <v>5846</v>
      </c>
      <c r="B3162" s="1">
        <v>44698</v>
      </c>
      <c r="C3162" t="s">
        <v>5847</v>
      </c>
      <c r="D3162" t="s">
        <v>23</v>
      </c>
      <c r="E3162" t="s">
        <v>24</v>
      </c>
      <c r="F3162" t="s">
        <v>237</v>
      </c>
      <c r="G3162">
        <v>5</v>
      </c>
      <c r="H3162" t="s">
        <v>464</v>
      </c>
      <c r="I3162" t="s">
        <v>579</v>
      </c>
      <c r="J3162" t="s">
        <v>2129</v>
      </c>
      <c r="K3162" t="s">
        <v>5848</v>
      </c>
    </row>
    <row r="3163" spans="1:19" x14ac:dyDescent="0.25">
      <c r="A3163" t="s">
        <v>5849</v>
      </c>
      <c r="B3163" s="1">
        <v>44698</v>
      </c>
      <c r="C3163" t="s">
        <v>1012</v>
      </c>
      <c r="D3163" t="s">
        <v>23</v>
      </c>
      <c r="E3163" t="s">
        <v>24</v>
      </c>
      <c r="F3163" t="s">
        <v>215</v>
      </c>
      <c r="G3163">
        <v>30</v>
      </c>
      <c r="H3163" t="s">
        <v>188</v>
      </c>
      <c r="I3163" t="s">
        <v>238</v>
      </c>
      <c r="J3163" t="s">
        <v>982</v>
      </c>
      <c r="K3163" t="s">
        <v>5850</v>
      </c>
      <c r="R3163">
        <v>101</v>
      </c>
    </row>
    <row r="3164" spans="1:19" x14ac:dyDescent="0.25">
      <c r="A3164" t="s">
        <v>5851</v>
      </c>
      <c r="B3164" s="1">
        <v>44698</v>
      </c>
      <c r="C3164" t="s">
        <v>2516</v>
      </c>
      <c r="D3164" t="s">
        <v>23</v>
      </c>
      <c r="E3164" t="s">
        <v>24</v>
      </c>
      <c r="F3164" t="s">
        <v>328</v>
      </c>
      <c r="G3164">
        <v>30</v>
      </c>
      <c r="H3164" t="s">
        <v>1856</v>
      </c>
      <c r="I3164" t="s">
        <v>5177</v>
      </c>
      <c r="J3164" t="s">
        <v>5260</v>
      </c>
      <c r="K3164" t="s">
        <v>5852</v>
      </c>
      <c r="L3164">
        <v>0</v>
      </c>
      <c r="P3164">
        <v>4.24</v>
      </c>
      <c r="Q3164">
        <v>2.0099999999999998</v>
      </c>
      <c r="R3164">
        <v>259</v>
      </c>
    </row>
    <row r="3165" spans="1:19" x14ac:dyDescent="0.25">
      <c r="A3165" t="s">
        <v>5853</v>
      </c>
      <c r="B3165" s="1">
        <v>44698</v>
      </c>
      <c r="C3165" t="s">
        <v>5854</v>
      </c>
      <c r="D3165" t="s">
        <v>23</v>
      </c>
      <c r="E3165" t="s">
        <v>24</v>
      </c>
      <c r="F3165" t="s">
        <v>180</v>
      </c>
      <c r="G3165">
        <v>10</v>
      </c>
      <c r="H3165" t="s">
        <v>194</v>
      </c>
      <c r="I3165" t="s">
        <v>195</v>
      </c>
      <c r="J3165" t="s">
        <v>5855</v>
      </c>
      <c r="K3165" t="s">
        <v>5856</v>
      </c>
      <c r="R3165">
        <v>46</v>
      </c>
    </row>
    <row r="3166" spans="1:19" x14ac:dyDescent="0.25">
      <c r="A3166" t="s">
        <v>5857</v>
      </c>
      <c r="B3166" s="1">
        <v>44698</v>
      </c>
      <c r="C3166" t="s">
        <v>2969</v>
      </c>
      <c r="D3166" t="s">
        <v>23</v>
      </c>
      <c r="E3166" t="s">
        <v>24</v>
      </c>
      <c r="F3166" t="s">
        <v>323</v>
      </c>
      <c r="G3166">
        <v>45</v>
      </c>
      <c r="H3166" t="s">
        <v>26</v>
      </c>
      <c r="I3166" t="s">
        <v>370</v>
      </c>
      <c r="J3166" t="s">
        <v>439</v>
      </c>
      <c r="K3166" t="s">
        <v>5858</v>
      </c>
      <c r="L3166">
        <v>280</v>
      </c>
      <c r="M3166">
        <v>104</v>
      </c>
      <c r="N3166" s="2">
        <v>0.38</v>
      </c>
      <c r="O3166">
        <v>82</v>
      </c>
      <c r="P3166">
        <v>16.350000000000001</v>
      </c>
      <c r="Q3166">
        <v>12.26</v>
      </c>
      <c r="R3166">
        <v>438</v>
      </c>
      <c r="S3166">
        <v>150.85</v>
      </c>
    </row>
    <row r="3167" spans="1:19" x14ac:dyDescent="0.25">
      <c r="A3167" t="s">
        <v>5859</v>
      </c>
      <c r="B3167" s="1">
        <v>44698</v>
      </c>
      <c r="C3167" t="s">
        <v>3448</v>
      </c>
      <c r="D3167" t="s">
        <v>23</v>
      </c>
      <c r="E3167" t="s">
        <v>24</v>
      </c>
      <c r="F3167" t="s">
        <v>323</v>
      </c>
      <c r="G3167">
        <v>5</v>
      </c>
      <c r="H3167" t="s">
        <v>49</v>
      </c>
      <c r="I3167" t="s">
        <v>50</v>
      </c>
      <c r="J3167" t="s">
        <v>51</v>
      </c>
      <c r="K3167" t="s">
        <v>5860</v>
      </c>
      <c r="R3167">
        <v>11</v>
      </c>
    </row>
    <row r="3168" spans="1:19" x14ac:dyDescent="0.25">
      <c r="A3168" t="s">
        <v>5861</v>
      </c>
      <c r="B3168" s="1">
        <v>44698</v>
      </c>
      <c r="C3168" t="s">
        <v>1649</v>
      </c>
      <c r="D3168" t="s">
        <v>23</v>
      </c>
      <c r="E3168" t="s">
        <v>24</v>
      </c>
      <c r="F3168" t="s">
        <v>215</v>
      </c>
      <c r="G3168">
        <v>10</v>
      </c>
      <c r="H3168" t="s">
        <v>464</v>
      </c>
      <c r="I3168" t="s">
        <v>103</v>
      </c>
      <c r="J3168" t="s">
        <v>1920</v>
      </c>
      <c r="K3168" t="s">
        <v>5862</v>
      </c>
    </row>
    <row r="3169" spans="1:19" x14ac:dyDescent="0.25">
      <c r="A3169" t="s">
        <v>5928</v>
      </c>
      <c r="B3169" s="1">
        <v>44705</v>
      </c>
      <c r="C3169" t="s">
        <v>5929</v>
      </c>
      <c r="D3169" t="s">
        <v>23</v>
      </c>
      <c r="E3169" t="s">
        <v>24</v>
      </c>
      <c r="F3169" t="s">
        <v>215</v>
      </c>
      <c r="G3169">
        <v>30</v>
      </c>
      <c r="H3169" t="s">
        <v>188</v>
      </c>
      <c r="I3169" t="s">
        <v>254</v>
      </c>
      <c r="J3169" t="s">
        <v>4013</v>
      </c>
      <c r="K3169" t="s">
        <v>5930</v>
      </c>
      <c r="R3169">
        <v>91</v>
      </c>
    </row>
    <row r="3170" spans="1:19" x14ac:dyDescent="0.25">
      <c r="A3170" t="s">
        <v>5931</v>
      </c>
      <c r="B3170" s="1">
        <v>44705</v>
      </c>
      <c r="C3170" t="s">
        <v>5932</v>
      </c>
      <c r="D3170" t="s">
        <v>23</v>
      </c>
      <c r="E3170" t="s">
        <v>24</v>
      </c>
      <c r="F3170" t="s">
        <v>180</v>
      </c>
      <c r="G3170">
        <v>10</v>
      </c>
      <c r="H3170" t="s">
        <v>194</v>
      </c>
      <c r="I3170" t="s">
        <v>195</v>
      </c>
      <c r="J3170" t="s">
        <v>211</v>
      </c>
      <c r="K3170" t="s">
        <v>5933</v>
      </c>
      <c r="R3170">
        <v>44</v>
      </c>
    </row>
    <row r="3171" spans="1:19" x14ac:dyDescent="0.25">
      <c r="A3171" t="s">
        <v>5934</v>
      </c>
      <c r="B3171" s="1">
        <v>44705</v>
      </c>
      <c r="C3171" t="s">
        <v>5935</v>
      </c>
      <c r="D3171" t="s">
        <v>23</v>
      </c>
      <c r="E3171" t="s">
        <v>24</v>
      </c>
      <c r="F3171" t="s">
        <v>490</v>
      </c>
      <c r="G3171">
        <v>20</v>
      </c>
      <c r="H3171" t="s">
        <v>1856</v>
      </c>
      <c r="I3171" t="s">
        <v>1857</v>
      </c>
      <c r="J3171" t="s">
        <v>5936</v>
      </c>
      <c r="K3171" t="s">
        <v>5852</v>
      </c>
      <c r="L3171">
        <v>0</v>
      </c>
      <c r="P3171">
        <v>3.61</v>
      </c>
      <c r="Q3171">
        <v>1.2</v>
      </c>
      <c r="R3171">
        <v>73</v>
      </c>
    </row>
    <row r="3172" spans="1:19" x14ac:dyDescent="0.25">
      <c r="A3172" t="s">
        <v>5937</v>
      </c>
      <c r="B3172" s="1">
        <v>44705</v>
      </c>
      <c r="C3172" t="s">
        <v>113</v>
      </c>
      <c r="D3172" t="s">
        <v>23</v>
      </c>
      <c r="E3172" t="s">
        <v>24</v>
      </c>
      <c r="F3172" t="s">
        <v>314</v>
      </c>
      <c r="G3172">
        <v>20</v>
      </c>
      <c r="H3172" t="s">
        <v>1856</v>
      </c>
      <c r="I3172" t="s">
        <v>5938</v>
      </c>
      <c r="J3172" t="s">
        <v>5939</v>
      </c>
      <c r="K3172" t="s">
        <v>5623</v>
      </c>
      <c r="L3172">
        <v>0</v>
      </c>
      <c r="P3172">
        <v>3.39</v>
      </c>
      <c r="Q3172">
        <v>1.07</v>
      </c>
      <c r="R3172">
        <v>70</v>
      </c>
    </row>
    <row r="3173" spans="1:19" x14ac:dyDescent="0.25">
      <c r="A3173" t="s">
        <v>5940</v>
      </c>
      <c r="B3173" s="1">
        <v>44705</v>
      </c>
      <c r="C3173" t="s">
        <v>3533</v>
      </c>
      <c r="D3173" t="s">
        <v>23</v>
      </c>
      <c r="E3173" t="s">
        <v>24</v>
      </c>
      <c r="F3173" t="s">
        <v>200</v>
      </c>
      <c r="G3173">
        <v>10</v>
      </c>
      <c r="H3173" t="s">
        <v>464</v>
      </c>
      <c r="I3173" t="s">
        <v>763</v>
      </c>
      <c r="J3173" t="s">
        <v>764</v>
      </c>
      <c r="K3173" t="s">
        <v>5941</v>
      </c>
    </row>
    <row r="3174" spans="1:19" x14ac:dyDescent="0.25">
      <c r="A3174" t="s">
        <v>5998</v>
      </c>
      <c r="B3174" s="1">
        <v>44712</v>
      </c>
      <c r="C3174" t="s">
        <v>5999</v>
      </c>
      <c r="D3174" t="s">
        <v>23</v>
      </c>
      <c r="E3174" t="s">
        <v>24</v>
      </c>
      <c r="F3174" t="s">
        <v>4915</v>
      </c>
      <c r="G3174">
        <v>20</v>
      </c>
      <c r="H3174" t="s">
        <v>1856</v>
      </c>
      <c r="I3174" t="s">
        <v>5938</v>
      </c>
      <c r="J3174" t="s">
        <v>6000</v>
      </c>
      <c r="K3174" t="s">
        <v>6001</v>
      </c>
      <c r="L3174">
        <v>0</v>
      </c>
      <c r="P3174">
        <v>3.59</v>
      </c>
      <c r="Q3174">
        <v>1.2</v>
      </c>
      <c r="R3174">
        <v>73</v>
      </c>
    </row>
    <row r="3175" spans="1:19" x14ac:dyDescent="0.25">
      <c r="A3175" t="s">
        <v>6002</v>
      </c>
      <c r="B3175" s="1">
        <v>44712</v>
      </c>
      <c r="C3175" t="s">
        <v>6003</v>
      </c>
      <c r="D3175" t="s">
        <v>23</v>
      </c>
      <c r="E3175" t="s">
        <v>24</v>
      </c>
      <c r="F3175" t="s">
        <v>328</v>
      </c>
      <c r="G3175">
        <v>20</v>
      </c>
      <c r="H3175" t="s">
        <v>1856</v>
      </c>
      <c r="I3175" t="s">
        <v>1857</v>
      </c>
      <c r="J3175" t="s">
        <v>5951</v>
      </c>
      <c r="K3175" t="s">
        <v>5032</v>
      </c>
      <c r="L3175">
        <v>0</v>
      </c>
      <c r="P3175">
        <v>3.52</v>
      </c>
      <c r="Q3175">
        <v>1.17</v>
      </c>
      <c r="R3175">
        <v>73</v>
      </c>
    </row>
    <row r="3176" spans="1:19" x14ac:dyDescent="0.25">
      <c r="A3176" t="s">
        <v>6004</v>
      </c>
      <c r="B3176" s="1">
        <v>44712</v>
      </c>
      <c r="C3176" t="s">
        <v>1876</v>
      </c>
      <c r="D3176" t="s">
        <v>23</v>
      </c>
      <c r="E3176" t="s">
        <v>24</v>
      </c>
      <c r="F3176" t="s">
        <v>459</v>
      </c>
      <c r="G3176">
        <v>15</v>
      </c>
      <c r="H3176" t="s">
        <v>464</v>
      </c>
      <c r="I3176" t="s">
        <v>1617</v>
      </c>
      <c r="J3176" t="s">
        <v>2866</v>
      </c>
      <c r="K3176" t="s">
        <v>6005</v>
      </c>
    </row>
    <row r="3177" spans="1:19" x14ac:dyDescent="0.25">
      <c r="A3177" t="s">
        <v>6065</v>
      </c>
      <c r="B3177" s="1">
        <v>44719</v>
      </c>
      <c r="C3177" t="s">
        <v>384</v>
      </c>
      <c r="D3177" t="s">
        <v>23</v>
      </c>
      <c r="E3177" t="s">
        <v>24</v>
      </c>
      <c r="F3177" t="s">
        <v>2708</v>
      </c>
      <c r="G3177">
        <v>30</v>
      </c>
      <c r="H3177" t="s">
        <v>188</v>
      </c>
      <c r="I3177" t="s">
        <v>189</v>
      </c>
      <c r="J3177" t="s">
        <v>6066</v>
      </c>
      <c r="K3177" t="s">
        <v>6067</v>
      </c>
      <c r="R3177">
        <v>90</v>
      </c>
    </row>
    <row r="3178" spans="1:19" x14ac:dyDescent="0.25">
      <c r="A3178" t="s">
        <v>6068</v>
      </c>
      <c r="B3178" s="1">
        <v>44719</v>
      </c>
      <c r="C3178" t="s">
        <v>2853</v>
      </c>
      <c r="D3178" t="s">
        <v>23</v>
      </c>
      <c r="E3178" t="s">
        <v>24</v>
      </c>
      <c r="F3178" t="s">
        <v>6030</v>
      </c>
      <c r="G3178">
        <v>10</v>
      </c>
      <c r="H3178" t="s">
        <v>194</v>
      </c>
      <c r="I3178" t="s">
        <v>195</v>
      </c>
      <c r="J3178" t="s">
        <v>211</v>
      </c>
      <c r="K3178" t="s">
        <v>6069</v>
      </c>
      <c r="R3178">
        <v>42</v>
      </c>
      <c r="S3178">
        <v>101.06</v>
      </c>
    </row>
    <row r="3179" spans="1:19" x14ac:dyDescent="0.25">
      <c r="A3179" t="s">
        <v>6070</v>
      </c>
      <c r="B3179" s="1">
        <v>44719</v>
      </c>
      <c r="C3179" t="s">
        <v>5313</v>
      </c>
      <c r="D3179" t="s">
        <v>23</v>
      </c>
      <c r="E3179" t="s">
        <v>24</v>
      </c>
      <c r="F3179" t="s">
        <v>323</v>
      </c>
      <c r="G3179">
        <v>45</v>
      </c>
      <c r="H3179" t="s">
        <v>26</v>
      </c>
      <c r="I3179" t="s">
        <v>370</v>
      </c>
      <c r="J3179" t="s">
        <v>439</v>
      </c>
      <c r="K3179" t="s">
        <v>6071</v>
      </c>
      <c r="L3179">
        <v>284</v>
      </c>
      <c r="M3179">
        <v>105</v>
      </c>
      <c r="N3179" s="2">
        <v>0.37</v>
      </c>
      <c r="O3179">
        <v>86</v>
      </c>
      <c r="P3179">
        <v>16.45</v>
      </c>
      <c r="Q3179">
        <v>12.34</v>
      </c>
      <c r="R3179">
        <v>349</v>
      </c>
    </row>
    <row r="3180" spans="1:19" x14ac:dyDescent="0.25">
      <c r="A3180" t="s">
        <v>6072</v>
      </c>
      <c r="B3180" s="1">
        <v>44719</v>
      </c>
      <c r="C3180" t="s">
        <v>2967</v>
      </c>
      <c r="D3180" t="s">
        <v>23</v>
      </c>
      <c r="E3180" t="s">
        <v>24</v>
      </c>
      <c r="F3180" t="s">
        <v>354</v>
      </c>
      <c r="G3180">
        <v>10</v>
      </c>
      <c r="H3180" t="s">
        <v>194</v>
      </c>
      <c r="I3180" t="s">
        <v>700</v>
      </c>
      <c r="J3180" t="s">
        <v>1282</v>
      </c>
      <c r="K3180" t="s">
        <v>6073</v>
      </c>
      <c r="R3180">
        <v>55</v>
      </c>
      <c r="S3180">
        <v>114.2</v>
      </c>
    </row>
    <row r="3181" spans="1:19" x14ac:dyDescent="0.25">
      <c r="A3181" t="s">
        <v>6074</v>
      </c>
      <c r="B3181" s="1">
        <v>44719</v>
      </c>
      <c r="C3181" t="s">
        <v>6075</v>
      </c>
      <c r="D3181" t="s">
        <v>23</v>
      </c>
      <c r="E3181" t="s">
        <v>24</v>
      </c>
      <c r="F3181" t="s">
        <v>215</v>
      </c>
      <c r="G3181">
        <v>20</v>
      </c>
      <c r="H3181" t="s">
        <v>188</v>
      </c>
      <c r="I3181" t="s">
        <v>238</v>
      </c>
      <c r="J3181" t="s">
        <v>796</v>
      </c>
      <c r="K3181" t="s">
        <v>6076</v>
      </c>
      <c r="R3181">
        <v>76</v>
      </c>
      <c r="S3181">
        <v>97.82</v>
      </c>
    </row>
    <row r="3182" spans="1:19" x14ac:dyDescent="0.25">
      <c r="A3182" t="s">
        <v>6077</v>
      </c>
      <c r="B3182" s="1">
        <v>44719</v>
      </c>
      <c r="C3182" t="s">
        <v>2059</v>
      </c>
      <c r="D3182" t="s">
        <v>23</v>
      </c>
      <c r="E3182" t="s">
        <v>24</v>
      </c>
      <c r="F3182" t="s">
        <v>459</v>
      </c>
      <c r="G3182">
        <v>5</v>
      </c>
      <c r="H3182" t="s">
        <v>464</v>
      </c>
      <c r="I3182" t="s">
        <v>943</v>
      </c>
      <c r="J3182" t="s">
        <v>2205</v>
      </c>
      <c r="K3182" t="s">
        <v>6078</v>
      </c>
    </row>
    <row r="3183" spans="1:19" x14ac:dyDescent="0.25">
      <c r="A3183" t="s">
        <v>6132</v>
      </c>
      <c r="B3183" s="1">
        <v>44726</v>
      </c>
      <c r="C3183" t="s">
        <v>3910</v>
      </c>
      <c r="D3183" t="s">
        <v>23</v>
      </c>
      <c r="E3183" t="s">
        <v>24</v>
      </c>
      <c r="F3183" t="s">
        <v>200</v>
      </c>
      <c r="G3183">
        <v>30</v>
      </c>
      <c r="H3183" t="s">
        <v>188</v>
      </c>
      <c r="I3183" t="s">
        <v>103</v>
      </c>
      <c r="J3183" t="s">
        <v>6133</v>
      </c>
      <c r="K3183" t="s">
        <v>6134</v>
      </c>
      <c r="R3183">
        <v>88</v>
      </c>
    </row>
    <row r="3184" spans="1:19" x14ac:dyDescent="0.25">
      <c r="A3184" t="s">
        <v>6135</v>
      </c>
      <c r="B3184" s="1">
        <v>44726</v>
      </c>
      <c r="C3184" t="s">
        <v>6136</v>
      </c>
      <c r="D3184" t="s">
        <v>23</v>
      </c>
      <c r="E3184" t="s">
        <v>24</v>
      </c>
      <c r="F3184" t="s">
        <v>554</v>
      </c>
      <c r="G3184">
        <v>10</v>
      </c>
      <c r="H3184" t="s">
        <v>194</v>
      </c>
      <c r="I3184" t="s">
        <v>5421</v>
      </c>
      <c r="J3184" t="s">
        <v>5486</v>
      </c>
      <c r="K3184" t="s">
        <v>6137</v>
      </c>
      <c r="R3184">
        <v>39</v>
      </c>
      <c r="S3184">
        <v>97.05</v>
      </c>
    </row>
    <row r="3185" spans="1:19" x14ac:dyDescent="0.25">
      <c r="A3185" t="s">
        <v>6138</v>
      </c>
      <c r="B3185" s="1">
        <v>44726</v>
      </c>
      <c r="C3185" t="s">
        <v>3359</v>
      </c>
      <c r="D3185" t="s">
        <v>23</v>
      </c>
      <c r="E3185" t="s">
        <v>24</v>
      </c>
      <c r="F3185" t="s">
        <v>297</v>
      </c>
      <c r="G3185">
        <v>10</v>
      </c>
      <c r="H3185" t="s">
        <v>194</v>
      </c>
      <c r="I3185" t="s">
        <v>195</v>
      </c>
      <c r="J3185" t="s">
        <v>211</v>
      </c>
      <c r="K3185" t="s">
        <v>6139</v>
      </c>
      <c r="R3185">
        <v>50</v>
      </c>
      <c r="S3185">
        <v>108.6</v>
      </c>
    </row>
    <row r="3186" spans="1:19" x14ac:dyDescent="0.25">
      <c r="A3186" t="s">
        <v>6140</v>
      </c>
      <c r="B3186" s="1">
        <v>44726</v>
      </c>
      <c r="C3186" t="s">
        <v>6141</v>
      </c>
      <c r="D3186" t="s">
        <v>23</v>
      </c>
      <c r="E3186" t="s">
        <v>24</v>
      </c>
      <c r="F3186" t="s">
        <v>2256</v>
      </c>
      <c r="G3186">
        <v>10</v>
      </c>
      <c r="H3186" t="s">
        <v>194</v>
      </c>
      <c r="I3186" t="s">
        <v>1445</v>
      </c>
      <c r="J3186" t="s">
        <v>5404</v>
      </c>
      <c r="K3186" t="s">
        <v>6142</v>
      </c>
      <c r="R3186">
        <v>63</v>
      </c>
      <c r="S3186">
        <v>111.81</v>
      </c>
    </row>
    <row r="3187" spans="1:19" x14ac:dyDescent="0.25">
      <c r="A3187" t="s">
        <v>6143</v>
      </c>
      <c r="B3187" s="1">
        <v>44726</v>
      </c>
      <c r="C3187" t="s">
        <v>1367</v>
      </c>
      <c r="D3187" t="s">
        <v>23</v>
      </c>
      <c r="E3187" t="s">
        <v>24</v>
      </c>
      <c r="F3187" t="s">
        <v>459</v>
      </c>
      <c r="G3187">
        <v>10</v>
      </c>
      <c r="H3187" t="s">
        <v>464</v>
      </c>
      <c r="I3187" t="s">
        <v>763</v>
      </c>
      <c r="J3187" t="s">
        <v>4348</v>
      </c>
      <c r="K3187" t="s">
        <v>6144</v>
      </c>
    </row>
    <row r="3188" spans="1:19" x14ac:dyDescent="0.25">
      <c r="A3188" t="s">
        <v>6200</v>
      </c>
      <c r="B3188" s="1">
        <v>44733</v>
      </c>
      <c r="C3188" t="s">
        <v>6201</v>
      </c>
      <c r="D3188" t="s">
        <v>23</v>
      </c>
      <c r="E3188" t="s">
        <v>24</v>
      </c>
      <c r="F3188" t="s">
        <v>328</v>
      </c>
      <c r="G3188">
        <v>20</v>
      </c>
      <c r="H3188" t="s">
        <v>1856</v>
      </c>
      <c r="I3188" t="s">
        <v>1857</v>
      </c>
      <c r="J3188" t="s">
        <v>5815</v>
      </c>
      <c r="K3188" t="s">
        <v>4656</v>
      </c>
      <c r="L3188">
        <v>0</v>
      </c>
      <c r="P3188">
        <v>6.48</v>
      </c>
      <c r="Q3188">
        <v>1.54</v>
      </c>
      <c r="R3188">
        <v>73</v>
      </c>
    </row>
    <row r="3189" spans="1:19" x14ac:dyDescent="0.25">
      <c r="A3189" t="s">
        <v>6202</v>
      </c>
      <c r="B3189" s="1">
        <v>44733</v>
      </c>
      <c r="C3189" t="s">
        <v>6203</v>
      </c>
      <c r="D3189" t="s">
        <v>23</v>
      </c>
      <c r="E3189" t="s">
        <v>24</v>
      </c>
      <c r="F3189" t="s">
        <v>314</v>
      </c>
      <c r="G3189">
        <v>20</v>
      </c>
      <c r="H3189" t="s">
        <v>1856</v>
      </c>
      <c r="I3189" t="s">
        <v>1857</v>
      </c>
      <c r="J3189" t="s">
        <v>6204</v>
      </c>
      <c r="K3189" t="s">
        <v>6205</v>
      </c>
      <c r="L3189">
        <v>0</v>
      </c>
      <c r="P3189">
        <v>5.4</v>
      </c>
      <c r="Q3189">
        <v>1.42</v>
      </c>
      <c r="R3189">
        <v>61</v>
      </c>
    </row>
    <row r="3190" spans="1:19" x14ac:dyDescent="0.25">
      <c r="A3190" t="s">
        <v>6206</v>
      </c>
      <c r="B3190" s="1">
        <v>44733</v>
      </c>
      <c r="C3190" t="s">
        <v>1476</v>
      </c>
      <c r="D3190" t="s">
        <v>23</v>
      </c>
      <c r="E3190" t="s">
        <v>24</v>
      </c>
      <c r="F3190" t="s">
        <v>459</v>
      </c>
      <c r="G3190">
        <v>10</v>
      </c>
      <c r="H3190" t="s">
        <v>464</v>
      </c>
      <c r="I3190" t="s">
        <v>763</v>
      </c>
      <c r="J3190" t="s">
        <v>764</v>
      </c>
      <c r="K3190" t="s">
        <v>6207</v>
      </c>
    </row>
    <row r="3191" spans="1:19" x14ac:dyDescent="0.25">
      <c r="A3191" t="s">
        <v>6248</v>
      </c>
      <c r="B3191" s="1">
        <v>44740</v>
      </c>
      <c r="C3191" t="s">
        <v>6249</v>
      </c>
      <c r="D3191" t="s">
        <v>23</v>
      </c>
      <c r="E3191" t="s">
        <v>24</v>
      </c>
      <c r="F3191" t="s">
        <v>2708</v>
      </c>
      <c r="G3191">
        <v>10</v>
      </c>
      <c r="H3191" t="s">
        <v>464</v>
      </c>
      <c r="I3191" t="s">
        <v>579</v>
      </c>
      <c r="J3191" t="s">
        <v>808</v>
      </c>
      <c r="K3191" t="s">
        <v>6250</v>
      </c>
    </row>
    <row r="3192" spans="1:19" x14ac:dyDescent="0.25">
      <c r="A3192" t="s">
        <v>6251</v>
      </c>
      <c r="B3192" s="1">
        <v>44740</v>
      </c>
      <c r="C3192" t="s">
        <v>6252</v>
      </c>
      <c r="D3192" t="s">
        <v>23</v>
      </c>
      <c r="E3192" t="s">
        <v>24</v>
      </c>
      <c r="F3192" t="s">
        <v>237</v>
      </c>
      <c r="G3192">
        <v>30</v>
      </c>
      <c r="H3192" t="s">
        <v>188</v>
      </c>
      <c r="I3192" t="s">
        <v>575</v>
      </c>
      <c r="J3192" t="s">
        <v>6253</v>
      </c>
      <c r="K3192" t="s">
        <v>6254</v>
      </c>
      <c r="R3192">
        <v>97</v>
      </c>
    </row>
    <row r="3193" spans="1:19" x14ac:dyDescent="0.25">
      <c r="A3193" t="s">
        <v>6255</v>
      </c>
      <c r="B3193" s="1">
        <v>44740</v>
      </c>
      <c r="C3193" t="s">
        <v>746</v>
      </c>
      <c r="D3193" t="s">
        <v>23</v>
      </c>
      <c r="E3193" t="s">
        <v>24</v>
      </c>
      <c r="F3193" t="s">
        <v>2256</v>
      </c>
      <c r="G3193">
        <v>10</v>
      </c>
      <c r="H3193" t="s">
        <v>194</v>
      </c>
      <c r="I3193" t="s">
        <v>195</v>
      </c>
      <c r="J3193" t="s">
        <v>5762</v>
      </c>
      <c r="K3193" t="s">
        <v>6256</v>
      </c>
      <c r="R3193">
        <v>43</v>
      </c>
    </row>
    <row r="3194" spans="1:19" x14ac:dyDescent="0.25">
      <c r="A3194" t="s">
        <v>6317</v>
      </c>
      <c r="B3194" s="1">
        <v>44747</v>
      </c>
      <c r="C3194" t="s">
        <v>6318</v>
      </c>
      <c r="D3194" t="s">
        <v>23</v>
      </c>
      <c r="E3194" t="s">
        <v>24</v>
      </c>
      <c r="F3194" t="s">
        <v>237</v>
      </c>
      <c r="G3194">
        <v>10</v>
      </c>
      <c r="H3194" t="s">
        <v>464</v>
      </c>
      <c r="I3194" t="s">
        <v>763</v>
      </c>
      <c r="J3194" t="s">
        <v>914</v>
      </c>
      <c r="K3194" t="s">
        <v>6319</v>
      </c>
    </row>
    <row r="3195" spans="1:19" x14ac:dyDescent="0.25">
      <c r="A3195" t="s">
        <v>6320</v>
      </c>
      <c r="B3195" s="1">
        <v>44747</v>
      </c>
      <c r="C3195" t="s">
        <v>5603</v>
      </c>
      <c r="D3195" t="s">
        <v>23</v>
      </c>
      <c r="E3195" t="s">
        <v>24</v>
      </c>
      <c r="F3195" t="s">
        <v>200</v>
      </c>
      <c r="G3195">
        <v>30</v>
      </c>
      <c r="H3195" t="s">
        <v>188</v>
      </c>
      <c r="I3195" t="s">
        <v>189</v>
      </c>
      <c r="J3195" t="s">
        <v>201</v>
      </c>
      <c r="K3195" t="s">
        <v>6321</v>
      </c>
      <c r="R3195">
        <v>97</v>
      </c>
    </row>
    <row r="3196" spans="1:19" x14ac:dyDescent="0.25">
      <c r="A3196" t="s">
        <v>6322</v>
      </c>
      <c r="B3196" s="1">
        <v>44747</v>
      </c>
      <c r="C3196" t="s">
        <v>5552</v>
      </c>
      <c r="D3196" t="s">
        <v>23</v>
      </c>
      <c r="E3196" t="s">
        <v>24</v>
      </c>
      <c r="F3196" t="s">
        <v>231</v>
      </c>
      <c r="G3196">
        <v>15</v>
      </c>
      <c r="H3196" t="s">
        <v>194</v>
      </c>
      <c r="I3196" t="s">
        <v>195</v>
      </c>
      <c r="J3196" t="s">
        <v>1217</v>
      </c>
      <c r="K3196" t="s">
        <v>6323</v>
      </c>
      <c r="R3196">
        <v>74</v>
      </c>
      <c r="S3196">
        <v>106.62</v>
      </c>
    </row>
    <row r="3197" spans="1:19" x14ac:dyDescent="0.25">
      <c r="A3197" t="s">
        <v>6324</v>
      </c>
      <c r="B3197" s="1">
        <v>44747</v>
      </c>
      <c r="C3197" t="s">
        <v>6325</v>
      </c>
      <c r="D3197" t="s">
        <v>23</v>
      </c>
      <c r="E3197" t="s">
        <v>24</v>
      </c>
      <c r="F3197" t="s">
        <v>1203</v>
      </c>
      <c r="G3197">
        <v>20</v>
      </c>
      <c r="H3197" t="s">
        <v>194</v>
      </c>
      <c r="I3197" t="s">
        <v>1445</v>
      </c>
      <c r="J3197" t="s">
        <v>4217</v>
      </c>
      <c r="K3197" t="s">
        <v>6326</v>
      </c>
      <c r="R3197">
        <v>92</v>
      </c>
    </row>
    <row r="3198" spans="1:19" x14ac:dyDescent="0.25">
      <c r="A3198" t="s">
        <v>6327</v>
      </c>
      <c r="B3198" s="1">
        <v>44747</v>
      </c>
      <c r="C3198" t="s">
        <v>5407</v>
      </c>
      <c r="D3198" t="s">
        <v>23</v>
      </c>
      <c r="E3198" t="s">
        <v>24</v>
      </c>
      <c r="F3198" t="s">
        <v>231</v>
      </c>
      <c r="G3198">
        <v>10</v>
      </c>
      <c r="H3198" t="s">
        <v>194</v>
      </c>
      <c r="I3198" t="s">
        <v>691</v>
      </c>
      <c r="J3198" t="s">
        <v>692</v>
      </c>
      <c r="K3198" t="s">
        <v>6328</v>
      </c>
      <c r="R3198">
        <v>59</v>
      </c>
      <c r="S3198">
        <v>117.63</v>
      </c>
    </row>
    <row r="3199" spans="1:19" x14ac:dyDescent="0.25">
      <c r="A3199" t="s">
        <v>6329</v>
      </c>
      <c r="B3199" s="1">
        <v>44747</v>
      </c>
      <c r="C3199" t="s">
        <v>5556</v>
      </c>
      <c r="D3199" t="s">
        <v>23</v>
      </c>
      <c r="E3199" t="s">
        <v>24</v>
      </c>
      <c r="F3199" t="s">
        <v>323</v>
      </c>
      <c r="G3199">
        <v>15</v>
      </c>
      <c r="H3199" t="s">
        <v>26</v>
      </c>
      <c r="I3199" t="s">
        <v>39</v>
      </c>
      <c r="J3199" t="s">
        <v>6330</v>
      </c>
      <c r="K3199" t="s">
        <v>6331</v>
      </c>
      <c r="L3199">
        <v>65</v>
      </c>
      <c r="M3199">
        <v>72</v>
      </c>
      <c r="N3199" s="2">
        <v>0.32</v>
      </c>
      <c r="O3199">
        <v>85</v>
      </c>
      <c r="P3199">
        <v>13.98</v>
      </c>
      <c r="Q3199">
        <v>3.5</v>
      </c>
      <c r="R3199">
        <v>102</v>
      </c>
      <c r="S3199">
        <v>125.43</v>
      </c>
    </row>
    <row r="3200" spans="1:19" x14ac:dyDescent="0.25">
      <c r="A3200" t="s">
        <v>6394</v>
      </c>
      <c r="B3200" s="1">
        <v>44754</v>
      </c>
      <c r="C3200" t="s">
        <v>6395</v>
      </c>
      <c r="D3200" t="s">
        <v>23</v>
      </c>
      <c r="E3200" t="s">
        <v>24</v>
      </c>
      <c r="F3200" t="s">
        <v>200</v>
      </c>
      <c r="G3200">
        <v>30</v>
      </c>
      <c r="H3200" t="s">
        <v>188</v>
      </c>
      <c r="I3200" t="s">
        <v>189</v>
      </c>
      <c r="J3200" t="s">
        <v>4627</v>
      </c>
      <c r="K3200" t="s">
        <v>6396</v>
      </c>
      <c r="R3200">
        <v>94</v>
      </c>
    </row>
    <row r="3201" spans="1:19" x14ac:dyDescent="0.25">
      <c r="A3201" t="s">
        <v>6397</v>
      </c>
      <c r="B3201" s="1">
        <v>44754</v>
      </c>
      <c r="C3201" t="s">
        <v>5474</v>
      </c>
      <c r="D3201" t="s">
        <v>23</v>
      </c>
      <c r="E3201" t="s">
        <v>24</v>
      </c>
      <c r="F3201" t="s">
        <v>354</v>
      </c>
      <c r="G3201">
        <v>5</v>
      </c>
      <c r="H3201" t="s">
        <v>194</v>
      </c>
      <c r="I3201" t="s">
        <v>423</v>
      </c>
      <c r="J3201" t="s">
        <v>6398</v>
      </c>
      <c r="K3201" t="s">
        <v>6399</v>
      </c>
      <c r="R3201">
        <v>15</v>
      </c>
      <c r="S3201">
        <v>92.88</v>
      </c>
    </row>
    <row r="3202" spans="1:19" x14ac:dyDescent="0.25">
      <c r="A3202" t="s">
        <v>6400</v>
      </c>
      <c r="B3202" s="1">
        <v>44754</v>
      </c>
      <c r="C3202" t="s">
        <v>1692</v>
      </c>
      <c r="D3202" t="s">
        <v>23</v>
      </c>
      <c r="E3202" t="s">
        <v>24</v>
      </c>
      <c r="F3202" t="s">
        <v>354</v>
      </c>
      <c r="G3202">
        <v>10</v>
      </c>
      <c r="H3202" t="s">
        <v>194</v>
      </c>
      <c r="I3202" t="s">
        <v>1445</v>
      </c>
      <c r="J3202" t="s">
        <v>2809</v>
      </c>
      <c r="K3202" t="s">
        <v>6399</v>
      </c>
      <c r="R3202">
        <v>56</v>
      </c>
      <c r="S3202">
        <v>114.29</v>
      </c>
    </row>
    <row r="3203" spans="1:19" x14ac:dyDescent="0.25">
      <c r="A3203" t="s">
        <v>6401</v>
      </c>
      <c r="B3203" s="1">
        <v>44754</v>
      </c>
      <c r="C3203" t="s">
        <v>3086</v>
      </c>
      <c r="D3203" t="s">
        <v>23</v>
      </c>
      <c r="E3203" t="s">
        <v>24</v>
      </c>
      <c r="F3203" t="s">
        <v>1203</v>
      </c>
      <c r="G3203">
        <v>10</v>
      </c>
      <c r="H3203" t="s">
        <v>194</v>
      </c>
      <c r="I3203" t="s">
        <v>195</v>
      </c>
      <c r="J3203" t="s">
        <v>5727</v>
      </c>
      <c r="K3203" t="s">
        <v>6402</v>
      </c>
      <c r="R3203">
        <v>43</v>
      </c>
      <c r="S3203">
        <v>99.92</v>
      </c>
    </row>
    <row r="3204" spans="1:19" x14ac:dyDescent="0.25">
      <c r="A3204" t="s">
        <v>6403</v>
      </c>
      <c r="B3204" s="1">
        <v>44754</v>
      </c>
      <c r="C3204" t="s">
        <v>2980</v>
      </c>
      <c r="D3204" t="s">
        <v>23</v>
      </c>
      <c r="E3204" t="s">
        <v>24</v>
      </c>
      <c r="F3204" t="s">
        <v>323</v>
      </c>
      <c r="G3204">
        <v>45</v>
      </c>
      <c r="H3204" t="s">
        <v>26</v>
      </c>
      <c r="I3204" t="s">
        <v>370</v>
      </c>
      <c r="J3204" t="s">
        <v>1256</v>
      </c>
      <c r="K3204" t="s">
        <v>6404</v>
      </c>
      <c r="L3204">
        <v>309</v>
      </c>
      <c r="M3204">
        <v>114</v>
      </c>
      <c r="N3204" s="2">
        <v>0.38</v>
      </c>
      <c r="O3204">
        <v>85</v>
      </c>
      <c r="P3204">
        <v>16.59</v>
      </c>
      <c r="Q3204">
        <v>12.45</v>
      </c>
      <c r="R3204">
        <v>401</v>
      </c>
      <c r="S3204">
        <v>143.86000000000001</v>
      </c>
    </row>
    <row r="3205" spans="1:19" x14ac:dyDescent="0.25">
      <c r="A3205" t="s">
        <v>6405</v>
      </c>
      <c r="B3205" s="1">
        <v>44754</v>
      </c>
      <c r="C3205" t="s">
        <v>6406</v>
      </c>
      <c r="D3205" t="s">
        <v>23</v>
      </c>
      <c r="E3205" t="s">
        <v>24</v>
      </c>
      <c r="F3205" t="s">
        <v>335</v>
      </c>
      <c r="G3205">
        <v>10</v>
      </c>
      <c r="H3205" t="s">
        <v>26</v>
      </c>
      <c r="I3205" t="s">
        <v>358</v>
      </c>
      <c r="J3205" t="s">
        <v>389</v>
      </c>
      <c r="K3205" t="s">
        <v>6407</v>
      </c>
      <c r="L3205">
        <v>35</v>
      </c>
      <c r="M3205">
        <v>59</v>
      </c>
      <c r="N3205" s="2">
        <v>0.3</v>
      </c>
      <c r="O3205">
        <v>81</v>
      </c>
      <c r="P3205">
        <v>12.88</v>
      </c>
      <c r="Q3205">
        <v>2.15</v>
      </c>
      <c r="R3205">
        <v>56</v>
      </c>
      <c r="S3205">
        <v>111.98</v>
      </c>
    </row>
    <row r="3206" spans="1:19" x14ac:dyDescent="0.25">
      <c r="A3206" t="s">
        <v>6408</v>
      </c>
      <c r="B3206" s="1">
        <v>44754</v>
      </c>
      <c r="C3206" t="s">
        <v>6409</v>
      </c>
      <c r="D3206" t="s">
        <v>23</v>
      </c>
      <c r="E3206" t="s">
        <v>24</v>
      </c>
      <c r="F3206" t="s">
        <v>2833</v>
      </c>
      <c r="G3206">
        <v>5</v>
      </c>
      <c r="H3206" t="s">
        <v>49</v>
      </c>
      <c r="I3206" t="s">
        <v>50</v>
      </c>
      <c r="J3206" t="s">
        <v>51</v>
      </c>
      <c r="K3206" t="s">
        <v>5554</v>
      </c>
      <c r="R3206">
        <v>16</v>
      </c>
      <c r="S3206">
        <v>97.03</v>
      </c>
    </row>
    <row r="3207" spans="1:19" x14ac:dyDescent="0.25">
      <c r="A3207" t="s">
        <v>6410</v>
      </c>
      <c r="B3207" s="1">
        <v>44754</v>
      </c>
      <c r="C3207" t="s">
        <v>1367</v>
      </c>
      <c r="D3207" t="s">
        <v>23</v>
      </c>
      <c r="E3207" t="s">
        <v>24</v>
      </c>
      <c r="F3207" t="s">
        <v>215</v>
      </c>
      <c r="G3207">
        <v>10</v>
      </c>
      <c r="H3207" t="s">
        <v>464</v>
      </c>
      <c r="I3207" t="s">
        <v>579</v>
      </c>
      <c r="J3207" t="s">
        <v>1975</v>
      </c>
      <c r="K3207" t="s">
        <v>6411</v>
      </c>
    </row>
    <row r="3208" spans="1:19" x14ac:dyDescent="0.25">
      <c r="A3208" t="s">
        <v>6472</v>
      </c>
      <c r="B3208" s="1">
        <v>44761</v>
      </c>
      <c r="C3208" t="s">
        <v>6473</v>
      </c>
      <c r="D3208" t="s">
        <v>23</v>
      </c>
      <c r="E3208" t="s">
        <v>24</v>
      </c>
      <c r="F3208" t="s">
        <v>231</v>
      </c>
      <c r="G3208">
        <v>10</v>
      </c>
      <c r="H3208" t="s">
        <v>194</v>
      </c>
      <c r="I3208" t="s">
        <v>195</v>
      </c>
      <c r="J3208" t="s">
        <v>211</v>
      </c>
      <c r="K3208" t="s">
        <v>6474</v>
      </c>
      <c r="R3208">
        <v>44</v>
      </c>
    </row>
    <row r="3209" spans="1:19" x14ac:dyDescent="0.25">
      <c r="A3209" t="s">
        <v>6475</v>
      </c>
      <c r="B3209" s="1">
        <v>44761</v>
      </c>
      <c r="C3209" t="s">
        <v>6476</v>
      </c>
      <c r="D3209" t="s">
        <v>23</v>
      </c>
      <c r="E3209" t="s">
        <v>24</v>
      </c>
      <c r="F3209" t="s">
        <v>323</v>
      </c>
      <c r="G3209">
        <v>60</v>
      </c>
      <c r="H3209" t="s">
        <v>26</v>
      </c>
      <c r="I3209" t="s">
        <v>370</v>
      </c>
      <c r="J3209" t="s">
        <v>498</v>
      </c>
      <c r="K3209" t="s">
        <v>6477</v>
      </c>
      <c r="L3209">
        <v>378</v>
      </c>
      <c r="M3209">
        <v>105</v>
      </c>
      <c r="N3209" s="2">
        <v>0.38</v>
      </c>
      <c r="O3209">
        <v>85</v>
      </c>
      <c r="P3209">
        <v>16.43</v>
      </c>
      <c r="Q3209">
        <v>16.43</v>
      </c>
      <c r="R3209">
        <v>568</v>
      </c>
      <c r="S3209">
        <v>148.58000000000001</v>
      </c>
    </row>
    <row r="3210" spans="1:19" x14ac:dyDescent="0.25">
      <c r="A3210" t="s">
        <v>6478</v>
      </c>
      <c r="B3210" s="1">
        <v>44761</v>
      </c>
      <c r="C3210" t="s">
        <v>5425</v>
      </c>
      <c r="D3210" t="s">
        <v>23</v>
      </c>
      <c r="E3210" t="s">
        <v>24</v>
      </c>
      <c r="F3210" t="s">
        <v>335</v>
      </c>
      <c r="G3210">
        <v>5</v>
      </c>
      <c r="H3210" t="s">
        <v>49</v>
      </c>
      <c r="I3210" t="s">
        <v>298</v>
      </c>
      <c r="J3210" t="s">
        <v>299</v>
      </c>
      <c r="K3210" t="s">
        <v>6479</v>
      </c>
      <c r="R3210">
        <v>14</v>
      </c>
      <c r="S3210">
        <v>96.6</v>
      </c>
    </row>
    <row r="3211" spans="1:19" x14ac:dyDescent="0.25">
      <c r="A3211" t="s">
        <v>6480</v>
      </c>
      <c r="B3211" s="1">
        <v>44761</v>
      </c>
      <c r="C3211" t="s">
        <v>6296</v>
      </c>
      <c r="D3211" t="s">
        <v>23</v>
      </c>
      <c r="E3211" t="s">
        <v>24</v>
      </c>
      <c r="F3211" t="s">
        <v>237</v>
      </c>
      <c r="G3211">
        <v>20</v>
      </c>
      <c r="H3211" t="s">
        <v>464</v>
      </c>
      <c r="I3211" t="s">
        <v>943</v>
      </c>
      <c r="J3211" t="s">
        <v>1347</v>
      </c>
      <c r="K3211" t="s">
        <v>6481</v>
      </c>
    </row>
    <row r="3212" spans="1:19" x14ac:dyDescent="0.25">
      <c r="A3212" t="s">
        <v>6534</v>
      </c>
      <c r="B3212" s="1">
        <v>44768</v>
      </c>
      <c r="C3212" t="s">
        <v>489</v>
      </c>
      <c r="D3212" t="s">
        <v>23</v>
      </c>
      <c r="E3212" t="s">
        <v>24</v>
      </c>
      <c r="F3212" t="s">
        <v>243</v>
      </c>
      <c r="G3212">
        <v>45</v>
      </c>
      <c r="H3212" t="s">
        <v>188</v>
      </c>
      <c r="I3212" t="s">
        <v>189</v>
      </c>
      <c r="J3212" t="s">
        <v>244</v>
      </c>
      <c r="K3212" t="s">
        <v>6535</v>
      </c>
      <c r="R3212">
        <v>136</v>
      </c>
    </row>
    <row r="3213" spans="1:19" x14ac:dyDescent="0.25">
      <c r="A3213" t="s">
        <v>6536</v>
      </c>
      <c r="B3213" s="1">
        <v>44768</v>
      </c>
      <c r="C3213" t="s">
        <v>6465</v>
      </c>
      <c r="D3213" t="s">
        <v>23</v>
      </c>
      <c r="E3213" t="s">
        <v>24</v>
      </c>
      <c r="F3213" t="s">
        <v>323</v>
      </c>
      <c r="G3213">
        <v>30</v>
      </c>
      <c r="H3213" t="s">
        <v>26</v>
      </c>
      <c r="I3213" t="s">
        <v>370</v>
      </c>
      <c r="J3213" t="s">
        <v>396</v>
      </c>
      <c r="K3213" t="s">
        <v>6537</v>
      </c>
      <c r="L3213">
        <v>205</v>
      </c>
      <c r="M3213">
        <v>114</v>
      </c>
      <c r="N3213" s="2">
        <v>0.39</v>
      </c>
      <c r="O3213">
        <v>85</v>
      </c>
      <c r="P3213">
        <v>16.91</v>
      </c>
      <c r="Q3213">
        <v>8.4499999999999993</v>
      </c>
      <c r="R3213">
        <v>307</v>
      </c>
      <c r="S3213">
        <v>155.41</v>
      </c>
    </row>
    <row r="3214" spans="1:19" x14ac:dyDescent="0.25">
      <c r="A3214" t="s">
        <v>6538</v>
      </c>
      <c r="B3214" s="1">
        <v>44768</v>
      </c>
      <c r="C3214" t="s">
        <v>5455</v>
      </c>
      <c r="D3214" t="s">
        <v>23</v>
      </c>
      <c r="E3214" t="s">
        <v>24</v>
      </c>
      <c r="F3214" t="s">
        <v>354</v>
      </c>
      <c r="G3214">
        <v>15</v>
      </c>
      <c r="H3214" t="s">
        <v>194</v>
      </c>
      <c r="I3214" t="s">
        <v>1445</v>
      </c>
      <c r="J3214" t="s">
        <v>2082</v>
      </c>
      <c r="K3214" t="s">
        <v>6399</v>
      </c>
      <c r="R3214">
        <v>69</v>
      </c>
    </row>
    <row r="3215" spans="1:19" x14ac:dyDescent="0.25">
      <c r="A3215" t="s">
        <v>6539</v>
      </c>
      <c r="B3215" s="1">
        <v>44768</v>
      </c>
      <c r="C3215" t="s">
        <v>6540</v>
      </c>
      <c r="D3215" t="s">
        <v>23</v>
      </c>
      <c r="E3215" t="s">
        <v>24</v>
      </c>
      <c r="F3215" t="s">
        <v>309</v>
      </c>
      <c r="G3215">
        <v>20</v>
      </c>
      <c r="H3215" t="s">
        <v>194</v>
      </c>
      <c r="I3215" t="s">
        <v>5481</v>
      </c>
      <c r="J3215" t="s">
        <v>6541</v>
      </c>
      <c r="K3215" t="s">
        <v>6542</v>
      </c>
      <c r="R3215">
        <v>173</v>
      </c>
      <c r="S3215">
        <v>141.61000000000001</v>
      </c>
    </row>
    <row r="3216" spans="1:19" x14ac:dyDescent="0.25">
      <c r="A3216" t="s">
        <v>6543</v>
      </c>
      <c r="B3216" s="1">
        <v>44768</v>
      </c>
      <c r="C3216" t="s">
        <v>1398</v>
      </c>
      <c r="D3216" t="s">
        <v>23</v>
      </c>
      <c r="E3216" t="s">
        <v>24</v>
      </c>
      <c r="F3216" t="s">
        <v>459</v>
      </c>
      <c r="G3216">
        <v>5</v>
      </c>
      <c r="H3216" t="s">
        <v>464</v>
      </c>
      <c r="I3216" t="s">
        <v>1617</v>
      </c>
      <c r="J3216" t="s">
        <v>5844</v>
      </c>
      <c r="K3216" t="s">
        <v>6544</v>
      </c>
    </row>
    <row r="3217" spans="1:19" x14ac:dyDescent="0.25">
      <c r="A3217" t="s">
        <v>6602</v>
      </c>
      <c r="B3217" s="1">
        <v>44775</v>
      </c>
      <c r="C3217" t="s">
        <v>5149</v>
      </c>
      <c r="D3217" t="s">
        <v>23</v>
      </c>
      <c r="E3217" t="s">
        <v>24</v>
      </c>
      <c r="F3217" t="s">
        <v>490</v>
      </c>
      <c r="G3217">
        <v>20</v>
      </c>
      <c r="H3217" t="s">
        <v>1856</v>
      </c>
      <c r="I3217" t="s">
        <v>1857</v>
      </c>
      <c r="J3217" t="s">
        <v>4394</v>
      </c>
      <c r="K3217" t="s">
        <v>6454</v>
      </c>
      <c r="L3217">
        <v>0</v>
      </c>
      <c r="P3217">
        <v>3.74</v>
      </c>
      <c r="Q3217">
        <v>1.18</v>
      </c>
      <c r="R3217">
        <v>77</v>
      </c>
    </row>
    <row r="3218" spans="1:19" x14ac:dyDescent="0.25">
      <c r="A3218" t="s">
        <v>6603</v>
      </c>
      <c r="B3218" s="1">
        <v>44775</v>
      </c>
      <c r="C3218" t="s">
        <v>784</v>
      </c>
      <c r="D3218" t="s">
        <v>23</v>
      </c>
      <c r="E3218" t="s">
        <v>24</v>
      </c>
      <c r="F3218" t="s">
        <v>305</v>
      </c>
      <c r="G3218">
        <v>10</v>
      </c>
      <c r="H3218" t="s">
        <v>1856</v>
      </c>
      <c r="I3218" t="s">
        <v>6604</v>
      </c>
      <c r="J3218" t="s">
        <v>4916</v>
      </c>
      <c r="K3218" t="s">
        <v>6454</v>
      </c>
      <c r="L3218">
        <v>0</v>
      </c>
      <c r="P3218">
        <v>3.85</v>
      </c>
      <c r="Q3218">
        <v>0.59</v>
      </c>
      <c r="R3218">
        <v>37</v>
      </c>
    </row>
    <row r="3219" spans="1:19" x14ac:dyDescent="0.25">
      <c r="A3219" t="s">
        <v>6605</v>
      </c>
      <c r="B3219" s="1">
        <v>44775</v>
      </c>
      <c r="C3219" t="s">
        <v>3712</v>
      </c>
      <c r="D3219" t="s">
        <v>23</v>
      </c>
      <c r="E3219" t="s">
        <v>24</v>
      </c>
      <c r="F3219" t="s">
        <v>215</v>
      </c>
      <c r="G3219">
        <v>15</v>
      </c>
      <c r="H3219" t="s">
        <v>464</v>
      </c>
      <c r="I3219" t="s">
        <v>763</v>
      </c>
      <c r="J3219" t="s">
        <v>2508</v>
      </c>
      <c r="K3219" t="s">
        <v>6606</v>
      </c>
    </row>
    <row r="3220" spans="1:19" x14ac:dyDescent="0.25">
      <c r="A3220" t="s">
        <v>6607</v>
      </c>
      <c r="B3220" s="1">
        <v>44775</v>
      </c>
      <c r="C3220" t="s">
        <v>2015</v>
      </c>
      <c r="D3220" t="s">
        <v>23</v>
      </c>
      <c r="E3220" t="s">
        <v>24</v>
      </c>
      <c r="F3220" t="s">
        <v>200</v>
      </c>
      <c r="G3220">
        <v>15</v>
      </c>
      <c r="H3220" t="s">
        <v>464</v>
      </c>
      <c r="I3220" t="s">
        <v>943</v>
      </c>
      <c r="J3220" t="s">
        <v>1709</v>
      </c>
      <c r="K3220" t="s">
        <v>6608</v>
      </c>
    </row>
    <row r="3221" spans="1:19" x14ac:dyDescent="0.25">
      <c r="A3221" t="s">
        <v>6648</v>
      </c>
      <c r="B3221" s="1">
        <v>44782</v>
      </c>
      <c r="C3221" t="s">
        <v>508</v>
      </c>
      <c r="D3221" t="s">
        <v>23</v>
      </c>
      <c r="E3221" t="s">
        <v>24</v>
      </c>
      <c r="F3221" t="s">
        <v>180</v>
      </c>
      <c r="G3221">
        <v>15</v>
      </c>
      <c r="H3221" t="s">
        <v>194</v>
      </c>
      <c r="I3221" t="s">
        <v>195</v>
      </c>
      <c r="J3221" t="s">
        <v>1217</v>
      </c>
      <c r="K3221" t="s">
        <v>6649</v>
      </c>
      <c r="R3221">
        <v>62</v>
      </c>
      <c r="S3221">
        <v>96.33</v>
      </c>
    </row>
    <row r="3222" spans="1:19" x14ac:dyDescent="0.25">
      <c r="A3222" t="s">
        <v>6650</v>
      </c>
      <c r="B3222" s="1">
        <v>44782</v>
      </c>
      <c r="C3222" t="s">
        <v>2012</v>
      </c>
      <c r="D3222" t="s">
        <v>23</v>
      </c>
      <c r="E3222" t="s">
        <v>24</v>
      </c>
      <c r="F3222" t="s">
        <v>215</v>
      </c>
      <c r="G3222">
        <v>45</v>
      </c>
      <c r="H3222" t="s">
        <v>188</v>
      </c>
      <c r="I3222" t="s">
        <v>189</v>
      </c>
      <c r="J3222" t="s">
        <v>244</v>
      </c>
      <c r="K3222" t="s">
        <v>6651</v>
      </c>
      <c r="R3222">
        <v>151</v>
      </c>
      <c r="S3222">
        <v>89.1</v>
      </c>
    </row>
    <row r="3223" spans="1:19" x14ac:dyDescent="0.25">
      <c r="A3223" t="s">
        <v>6687</v>
      </c>
      <c r="B3223" s="1">
        <v>44789</v>
      </c>
      <c r="C3223" t="s">
        <v>5673</v>
      </c>
      <c r="D3223" t="s">
        <v>23</v>
      </c>
      <c r="E3223" t="s">
        <v>24</v>
      </c>
      <c r="F3223" t="s">
        <v>2708</v>
      </c>
      <c r="G3223">
        <v>30</v>
      </c>
      <c r="H3223" t="s">
        <v>188</v>
      </c>
      <c r="I3223" t="s">
        <v>189</v>
      </c>
      <c r="J3223" t="s">
        <v>6688</v>
      </c>
      <c r="K3223" t="s">
        <v>6689</v>
      </c>
      <c r="R3223">
        <v>69</v>
      </c>
    </row>
    <row r="3224" spans="1:19" x14ac:dyDescent="0.25">
      <c r="A3224" t="s">
        <v>6690</v>
      </c>
      <c r="B3224" s="1">
        <v>44789</v>
      </c>
      <c r="C3224" t="s">
        <v>1876</v>
      </c>
      <c r="D3224" t="s">
        <v>23</v>
      </c>
      <c r="E3224" t="s">
        <v>24</v>
      </c>
      <c r="F3224" t="s">
        <v>215</v>
      </c>
      <c r="G3224">
        <v>10</v>
      </c>
      <c r="H3224" t="s">
        <v>464</v>
      </c>
      <c r="I3224" t="s">
        <v>943</v>
      </c>
      <c r="J3224" t="s">
        <v>944</v>
      </c>
      <c r="K3224" t="s">
        <v>6653</v>
      </c>
    </row>
    <row r="3225" spans="1:19" x14ac:dyDescent="0.25">
      <c r="A3225" t="s">
        <v>6744</v>
      </c>
      <c r="B3225" s="1">
        <v>44796</v>
      </c>
      <c r="C3225" t="s">
        <v>6151</v>
      </c>
      <c r="D3225" t="s">
        <v>23</v>
      </c>
      <c r="E3225" t="s">
        <v>24</v>
      </c>
      <c r="F3225" t="s">
        <v>6030</v>
      </c>
      <c r="G3225">
        <v>10</v>
      </c>
      <c r="H3225" t="s">
        <v>194</v>
      </c>
      <c r="I3225" t="s">
        <v>195</v>
      </c>
      <c r="J3225" t="s">
        <v>211</v>
      </c>
      <c r="K3225" t="s">
        <v>6745</v>
      </c>
      <c r="R3225">
        <v>57</v>
      </c>
      <c r="S3225">
        <v>114.59</v>
      </c>
    </row>
    <row r="3226" spans="1:19" x14ac:dyDescent="0.25">
      <c r="A3226" t="s">
        <v>6746</v>
      </c>
      <c r="B3226" s="1">
        <v>44796</v>
      </c>
      <c r="C3226" t="s">
        <v>1444</v>
      </c>
      <c r="D3226" t="s">
        <v>23</v>
      </c>
      <c r="E3226" t="s">
        <v>24</v>
      </c>
      <c r="F3226" t="s">
        <v>554</v>
      </c>
      <c r="G3226">
        <v>10</v>
      </c>
      <c r="H3226" t="s">
        <v>194</v>
      </c>
      <c r="I3226" t="s">
        <v>5421</v>
      </c>
      <c r="J3226" t="s">
        <v>6747</v>
      </c>
      <c r="K3226" t="s">
        <v>6748</v>
      </c>
      <c r="R3226">
        <v>67</v>
      </c>
      <c r="S3226">
        <v>124.39</v>
      </c>
    </row>
    <row r="3227" spans="1:19" x14ac:dyDescent="0.25">
      <c r="A3227" t="s">
        <v>6749</v>
      </c>
      <c r="B3227" s="1">
        <v>44796</v>
      </c>
      <c r="C3227" t="s">
        <v>6378</v>
      </c>
      <c r="D3227" t="s">
        <v>23</v>
      </c>
      <c r="E3227" t="s">
        <v>24</v>
      </c>
      <c r="F3227" t="s">
        <v>554</v>
      </c>
      <c r="G3227">
        <v>20</v>
      </c>
      <c r="H3227" t="s">
        <v>194</v>
      </c>
      <c r="I3227" t="s">
        <v>5421</v>
      </c>
      <c r="J3227" t="s">
        <v>6750</v>
      </c>
      <c r="K3227" t="s">
        <v>6751</v>
      </c>
      <c r="R3227">
        <v>122</v>
      </c>
      <c r="S3227">
        <v>119.23</v>
      </c>
    </row>
    <row r="3228" spans="1:19" x14ac:dyDescent="0.25">
      <c r="A3228" t="s">
        <v>6752</v>
      </c>
      <c r="B3228" s="1">
        <v>44796</v>
      </c>
      <c r="C3228" t="s">
        <v>5556</v>
      </c>
      <c r="D3228" t="s">
        <v>23</v>
      </c>
      <c r="E3228" t="s">
        <v>24</v>
      </c>
      <c r="F3228" t="s">
        <v>354</v>
      </c>
      <c r="G3228">
        <v>10</v>
      </c>
      <c r="H3228" t="s">
        <v>194</v>
      </c>
      <c r="I3228" t="s">
        <v>1445</v>
      </c>
      <c r="J3228" t="s">
        <v>6753</v>
      </c>
      <c r="K3228" t="s">
        <v>6738</v>
      </c>
      <c r="R3228">
        <v>61</v>
      </c>
      <c r="S3228">
        <v>122.67</v>
      </c>
    </row>
    <row r="3229" spans="1:19" x14ac:dyDescent="0.25">
      <c r="A3229" t="s">
        <v>6754</v>
      </c>
      <c r="B3229" s="1">
        <v>44796</v>
      </c>
      <c r="C3229" t="s">
        <v>3858</v>
      </c>
      <c r="D3229" t="s">
        <v>23</v>
      </c>
      <c r="E3229" t="s">
        <v>24</v>
      </c>
      <c r="F3229" t="s">
        <v>215</v>
      </c>
      <c r="G3229">
        <v>10</v>
      </c>
      <c r="H3229" t="s">
        <v>464</v>
      </c>
      <c r="I3229" t="s">
        <v>103</v>
      </c>
      <c r="J3229" t="s">
        <v>6755</v>
      </c>
      <c r="K3229" t="s">
        <v>6756</v>
      </c>
    </row>
    <row r="3230" spans="1:19" x14ac:dyDescent="0.25">
      <c r="A3230" t="s">
        <v>6814</v>
      </c>
      <c r="B3230" s="1">
        <v>44803</v>
      </c>
      <c r="C3230" t="s">
        <v>6815</v>
      </c>
      <c r="D3230" t="s">
        <v>23</v>
      </c>
      <c r="E3230" t="s">
        <v>24</v>
      </c>
      <c r="F3230" t="s">
        <v>243</v>
      </c>
      <c r="G3230">
        <v>45</v>
      </c>
      <c r="H3230" t="s">
        <v>26</v>
      </c>
      <c r="I3230" t="s">
        <v>370</v>
      </c>
      <c r="J3230" t="s">
        <v>439</v>
      </c>
      <c r="K3230" t="s">
        <v>6816</v>
      </c>
      <c r="L3230">
        <v>307</v>
      </c>
      <c r="M3230">
        <v>114</v>
      </c>
      <c r="N3230" s="2">
        <v>0.39</v>
      </c>
      <c r="O3230">
        <v>84</v>
      </c>
      <c r="P3230">
        <v>16.940000000000001</v>
      </c>
      <c r="Q3230">
        <v>12.71</v>
      </c>
      <c r="R3230">
        <v>437</v>
      </c>
      <c r="S3230">
        <v>150.91999999999999</v>
      </c>
    </row>
    <row r="3231" spans="1:19" x14ac:dyDescent="0.25">
      <c r="A3231" t="s">
        <v>6817</v>
      </c>
      <c r="B3231" s="1">
        <v>44803</v>
      </c>
      <c r="C3231" t="s">
        <v>1499</v>
      </c>
      <c r="D3231" t="s">
        <v>23</v>
      </c>
      <c r="E3231" t="s">
        <v>24</v>
      </c>
      <c r="F3231" t="s">
        <v>768</v>
      </c>
      <c r="G3231">
        <v>10</v>
      </c>
      <c r="H3231" t="s">
        <v>194</v>
      </c>
      <c r="I3231" t="s">
        <v>700</v>
      </c>
      <c r="J3231" t="s">
        <v>6818</v>
      </c>
      <c r="K3231" t="s">
        <v>6819</v>
      </c>
      <c r="R3231">
        <v>59</v>
      </c>
      <c r="S3231">
        <v>118.06</v>
      </c>
    </row>
    <row r="3232" spans="1:19" x14ac:dyDescent="0.25">
      <c r="A3232" t="s">
        <v>6820</v>
      </c>
      <c r="B3232" s="1">
        <v>44803</v>
      </c>
      <c r="C3232" t="s">
        <v>1388</v>
      </c>
      <c r="D3232" t="s">
        <v>23</v>
      </c>
      <c r="E3232" t="s">
        <v>24</v>
      </c>
      <c r="F3232" t="s">
        <v>747</v>
      </c>
      <c r="G3232">
        <v>5</v>
      </c>
      <c r="H3232" t="s">
        <v>49</v>
      </c>
      <c r="I3232" t="s">
        <v>50</v>
      </c>
      <c r="J3232" t="s">
        <v>6821</v>
      </c>
      <c r="K3232" t="s">
        <v>6738</v>
      </c>
      <c r="R3232">
        <v>18</v>
      </c>
      <c r="S3232">
        <v>100.64</v>
      </c>
    </row>
    <row r="3233" spans="1:19" x14ac:dyDescent="0.25">
      <c r="A3233" t="s">
        <v>6822</v>
      </c>
      <c r="B3233" s="1">
        <v>44803</v>
      </c>
      <c r="C3233" t="s">
        <v>2307</v>
      </c>
      <c r="D3233" t="s">
        <v>23</v>
      </c>
      <c r="E3233" t="s">
        <v>24</v>
      </c>
      <c r="F3233" t="s">
        <v>237</v>
      </c>
      <c r="G3233">
        <v>10</v>
      </c>
      <c r="H3233" t="s">
        <v>464</v>
      </c>
      <c r="I3233" t="s">
        <v>1571</v>
      </c>
      <c r="J3233" t="s">
        <v>2704</v>
      </c>
      <c r="K3233" t="s">
        <v>6823</v>
      </c>
    </row>
    <row r="3234" spans="1:19" x14ac:dyDescent="0.25">
      <c r="A3234" t="s">
        <v>6873</v>
      </c>
      <c r="B3234" s="1">
        <v>44810</v>
      </c>
      <c r="C3234" t="s">
        <v>6874</v>
      </c>
      <c r="D3234" t="s">
        <v>23</v>
      </c>
      <c r="E3234" t="s">
        <v>24</v>
      </c>
      <c r="F3234" t="s">
        <v>459</v>
      </c>
      <c r="G3234">
        <v>10</v>
      </c>
      <c r="H3234" t="s">
        <v>464</v>
      </c>
      <c r="I3234" t="s">
        <v>763</v>
      </c>
      <c r="J3234" t="s">
        <v>4348</v>
      </c>
      <c r="K3234" t="s">
        <v>1563</v>
      </c>
    </row>
    <row r="3235" spans="1:19" x14ac:dyDescent="0.25">
      <c r="A3235" t="s">
        <v>6875</v>
      </c>
      <c r="B3235" s="1">
        <v>44810</v>
      </c>
      <c r="C3235" t="s">
        <v>5593</v>
      </c>
      <c r="D3235" t="s">
        <v>23</v>
      </c>
      <c r="E3235" t="s">
        <v>24</v>
      </c>
      <c r="F3235" t="s">
        <v>328</v>
      </c>
      <c r="G3235">
        <v>45</v>
      </c>
      <c r="H3235" t="s">
        <v>26</v>
      </c>
      <c r="I3235" t="s">
        <v>370</v>
      </c>
      <c r="J3235" t="s">
        <v>439</v>
      </c>
      <c r="K3235" t="s">
        <v>6399</v>
      </c>
      <c r="L3235">
        <v>321</v>
      </c>
      <c r="M3235">
        <v>119</v>
      </c>
      <c r="N3235" s="2">
        <v>0.39</v>
      </c>
      <c r="O3235">
        <v>87</v>
      </c>
      <c r="P3235">
        <v>17.29</v>
      </c>
      <c r="Q3235">
        <v>12.96</v>
      </c>
      <c r="R3235">
        <v>432</v>
      </c>
      <c r="S3235">
        <v>151.9</v>
      </c>
    </row>
    <row r="3236" spans="1:19" x14ac:dyDescent="0.25">
      <c r="A3236" t="s">
        <v>6876</v>
      </c>
      <c r="B3236" s="1">
        <v>44810</v>
      </c>
      <c r="C3236" t="s">
        <v>2985</v>
      </c>
      <c r="D3236" t="s">
        <v>23</v>
      </c>
      <c r="E3236" t="s">
        <v>24</v>
      </c>
      <c r="F3236" t="s">
        <v>6877</v>
      </c>
      <c r="G3236">
        <v>5</v>
      </c>
      <c r="H3236" t="s">
        <v>26</v>
      </c>
      <c r="I3236" t="s">
        <v>358</v>
      </c>
      <c r="J3236" t="s">
        <v>359</v>
      </c>
      <c r="K3236" t="s">
        <v>6878</v>
      </c>
      <c r="L3236">
        <v>21</v>
      </c>
      <c r="M3236">
        <v>69</v>
      </c>
      <c r="N3236" s="2">
        <v>0.32</v>
      </c>
      <c r="O3236">
        <v>82</v>
      </c>
      <c r="P3236">
        <v>13.85</v>
      </c>
      <c r="Q3236">
        <v>1.1499999999999999</v>
      </c>
      <c r="R3236">
        <v>25</v>
      </c>
    </row>
    <row r="3237" spans="1:19" x14ac:dyDescent="0.25">
      <c r="A3237" t="s">
        <v>6879</v>
      </c>
      <c r="B3237" s="1">
        <v>44810</v>
      </c>
      <c r="C3237" t="s">
        <v>2360</v>
      </c>
      <c r="D3237" t="s">
        <v>23</v>
      </c>
      <c r="E3237" t="s">
        <v>24</v>
      </c>
      <c r="F3237" t="s">
        <v>2256</v>
      </c>
      <c r="G3237">
        <v>10</v>
      </c>
      <c r="H3237" t="s">
        <v>194</v>
      </c>
      <c r="I3237" t="s">
        <v>195</v>
      </c>
      <c r="J3237" t="s">
        <v>5762</v>
      </c>
      <c r="K3237" t="s">
        <v>6880</v>
      </c>
      <c r="R3237">
        <v>46</v>
      </c>
      <c r="S3237">
        <v>106.33</v>
      </c>
    </row>
    <row r="3238" spans="1:19" x14ac:dyDescent="0.25">
      <c r="A3238" t="s">
        <v>6881</v>
      </c>
      <c r="B3238" s="1">
        <v>44810</v>
      </c>
      <c r="C3238" t="s">
        <v>1876</v>
      </c>
      <c r="D3238" t="s">
        <v>23</v>
      </c>
      <c r="E3238" t="s">
        <v>24</v>
      </c>
      <c r="F3238" t="s">
        <v>208</v>
      </c>
      <c r="G3238">
        <v>10</v>
      </c>
      <c r="H3238" t="s">
        <v>464</v>
      </c>
      <c r="I3238" t="s">
        <v>579</v>
      </c>
      <c r="J3238" t="s">
        <v>1975</v>
      </c>
      <c r="K3238" t="s">
        <v>6882</v>
      </c>
    </row>
    <row r="3239" spans="1:19" x14ac:dyDescent="0.25">
      <c r="A3239" t="s">
        <v>6919</v>
      </c>
      <c r="B3239" s="1">
        <v>44817</v>
      </c>
      <c r="C3239" t="s">
        <v>6249</v>
      </c>
      <c r="D3239" t="s">
        <v>23</v>
      </c>
      <c r="E3239" t="s">
        <v>24</v>
      </c>
      <c r="F3239" t="s">
        <v>208</v>
      </c>
      <c r="G3239">
        <v>10</v>
      </c>
      <c r="H3239" t="s">
        <v>464</v>
      </c>
      <c r="I3239" t="s">
        <v>763</v>
      </c>
      <c r="J3239" t="s">
        <v>914</v>
      </c>
      <c r="K3239" t="s">
        <v>4651</v>
      </c>
    </row>
    <row r="3240" spans="1:19" x14ac:dyDescent="0.25">
      <c r="A3240" t="s">
        <v>6920</v>
      </c>
      <c r="B3240" s="1">
        <v>44817</v>
      </c>
      <c r="C3240" t="s">
        <v>1496</v>
      </c>
      <c r="D3240" t="s">
        <v>23</v>
      </c>
      <c r="E3240" t="s">
        <v>24</v>
      </c>
      <c r="F3240" t="s">
        <v>459</v>
      </c>
      <c r="G3240">
        <v>10</v>
      </c>
      <c r="H3240" t="s">
        <v>464</v>
      </c>
      <c r="I3240" t="s">
        <v>1571</v>
      </c>
      <c r="J3240" t="s">
        <v>6921</v>
      </c>
      <c r="K3240" t="s">
        <v>6922</v>
      </c>
    </row>
    <row r="3241" spans="1:19" x14ac:dyDescent="0.25">
      <c r="A3241" t="s">
        <v>6961</v>
      </c>
      <c r="B3241" s="1">
        <v>44824</v>
      </c>
      <c r="C3241" t="s">
        <v>6962</v>
      </c>
      <c r="D3241" t="s">
        <v>23</v>
      </c>
      <c r="E3241" t="s">
        <v>24</v>
      </c>
      <c r="F3241" t="s">
        <v>6030</v>
      </c>
      <c r="G3241">
        <v>10</v>
      </c>
      <c r="H3241" t="s">
        <v>194</v>
      </c>
      <c r="I3241" t="s">
        <v>195</v>
      </c>
      <c r="J3241" t="s">
        <v>211</v>
      </c>
      <c r="K3241" t="s">
        <v>6963</v>
      </c>
      <c r="R3241">
        <v>47</v>
      </c>
      <c r="S3241">
        <v>107.21</v>
      </c>
    </row>
    <row r="3242" spans="1:19" x14ac:dyDescent="0.25">
      <c r="A3242" t="s">
        <v>6964</v>
      </c>
      <c r="B3242" s="1">
        <v>44824</v>
      </c>
      <c r="C3242" t="s">
        <v>5107</v>
      </c>
      <c r="D3242" t="s">
        <v>23</v>
      </c>
      <c r="E3242" t="s">
        <v>24</v>
      </c>
      <c r="F3242" t="s">
        <v>323</v>
      </c>
      <c r="G3242">
        <v>30</v>
      </c>
      <c r="H3242" t="s">
        <v>26</v>
      </c>
      <c r="I3242" t="s">
        <v>370</v>
      </c>
      <c r="J3242" t="s">
        <v>396</v>
      </c>
      <c r="K3242" t="s">
        <v>6965</v>
      </c>
      <c r="L3242">
        <v>196</v>
      </c>
      <c r="M3242">
        <v>109</v>
      </c>
      <c r="N3242" s="2">
        <v>0.37</v>
      </c>
      <c r="O3242">
        <v>87</v>
      </c>
      <c r="P3242">
        <v>16.48</v>
      </c>
      <c r="Q3242">
        <v>8.24</v>
      </c>
      <c r="R3242">
        <v>240</v>
      </c>
    </row>
    <row r="3243" spans="1:19" x14ac:dyDescent="0.25">
      <c r="A3243" t="s">
        <v>7005</v>
      </c>
      <c r="B3243" s="1">
        <v>44831</v>
      </c>
      <c r="C3243" t="s">
        <v>399</v>
      </c>
      <c r="D3243" t="s">
        <v>23</v>
      </c>
      <c r="E3243" t="s">
        <v>24</v>
      </c>
      <c r="F3243" t="s">
        <v>243</v>
      </c>
      <c r="G3243">
        <v>30</v>
      </c>
      <c r="H3243" t="s">
        <v>188</v>
      </c>
      <c r="I3243" t="s">
        <v>238</v>
      </c>
      <c r="J3243" t="s">
        <v>7006</v>
      </c>
      <c r="K3243" t="s">
        <v>7007</v>
      </c>
      <c r="R3243">
        <v>95</v>
      </c>
    </row>
    <row r="3244" spans="1:19" x14ac:dyDescent="0.25">
      <c r="A3244" t="s">
        <v>7008</v>
      </c>
      <c r="B3244" s="1">
        <v>44831</v>
      </c>
      <c r="C3244" t="s">
        <v>2215</v>
      </c>
      <c r="D3244" t="s">
        <v>23</v>
      </c>
      <c r="E3244" t="s">
        <v>24</v>
      </c>
      <c r="F3244" t="s">
        <v>2256</v>
      </c>
      <c r="G3244">
        <v>15</v>
      </c>
      <c r="H3244" t="s">
        <v>194</v>
      </c>
      <c r="I3244" t="s">
        <v>195</v>
      </c>
      <c r="J3244" t="s">
        <v>6498</v>
      </c>
      <c r="K3244" t="s">
        <v>7009</v>
      </c>
      <c r="R3244">
        <v>76</v>
      </c>
      <c r="S3244">
        <v>108.5</v>
      </c>
    </row>
    <row r="3245" spans="1:19" x14ac:dyDescent="0.25">
      <c r="A3245" t="s">
        <v>7010</v>
      </c>
      <c r="B3245" s="1">
        <v>44831</v>
      </c>
      <c r="C3245" t="s">
        <v>2171</v>
      </c>
      <c r="D3245" t="s">
        <v>23</v>
      </c>
      <c r="E3245" t="s">
        <v>24</v>
      </c>
      <c r="F3245" t="s">
        <v>323</v>
      </c>
      <c r="G3245">
        <v>30</v>
      </c>
      <c r="H3245" t="s">
        <v>26</v>
      </c>
      <c r="I3245" t="s">
        <v>370</v>
      </c>
      <c r="J3245" t="s">
        <v>396</v>
      </c>
      <c r="K3245" t="s">
        <v>3494</v>
      </c>
      <c r="L3245">
        <v>200</v>
      </c>
      <c r="M3245">
        <v>111</v>
      </c>
      <c r="N3245" s="2">
        <v>0.37</v>
      </c>
      <c r="O3245">
        <v>90</v>
      </c>
      <c r="P3245">
        <v>16.82</v>
      </c>
      <c r="Q3245">
        <v>8.41</v>
      </c>
      <c r="R3245">
        <v>291</v>
      </c>
      <c r="S3245">
        <v>150.77000000000001</v>
      </c>
    </row>
    <row r="3246" spans="1:19" x14ac:dyDescent="0.25">
      <c r="A3246" t="s">
        <v>7011</v>
      </c>
      <c r="B3246" s="1">
        <v>44831</v>
      </c>
      <c r="C3246" t="s">
        <v>3446</v>
      </c>
      <c r="D3246" t="s">
        <v>23</v>
      </c>
      <c r="E3246" t="s">
        <v>24</v>
      </c>
      <c r="F3246" t="s">
        <v>292</v>
      </c>
      <c r="G3246">
        <v>30</v>
      </c>
      <c r="H3246" t="s">
        <v>194</v>
      </c>
      <c r="I3246" t="s">
        <v>232</v>
      </c>
      <c r="J3246" t="s">
        <v>7012</v>
      </c>
      <c r="K3246" t="s">
        <v>7013</v>
      </c>
      <c r="R3246">
        <v>221</v>
      </c>
      <c r="S3246">
        <v>130.69</v>
      </c>
    </row>
    <row r="3247" spans="1:19" x14ac:dyDescent="0.25">
      <c r="A3247" t="s">
        <v>7014</v>
      </c>
      <c r="B3247" s="1">
        <v>44831</v>
      </c>
      <c r="C3247" t="s">
        <v>3234</v>
      </c>
      <c r="D3247" t="s">
        <v>23</v>
      </c>
      <c r="E3247" t="s">
        <v>24</v>
      </c>
      <c r="F3247" t="s">
        <v>243</v>
      </c>
      <c r="G3247">
        <v>10</v>
      </c>
      <c r="H3247" t="s">
        <v>188</v>
      </c>
      <c r="I3247" t="s">
        <v>238</v>
      </c>
      <c r="J3247" t="s">
        <v>7015</v>
      </c>
      <c r="K3247" t="s">
        <v>7016</v>
      </c>
      <c r="R3247">
        <v>32</v>
      </c>
      <c r="S3247">
        <v>92.17</v>
      </c>
    </row>
    <row r="3248" spans="1:19" x14ac:dyDescent="0.25">
      <c r="A3248" t="s">
        <v>7017</v>
      </c>
      <c r="B3248" s="1">
        <v>44831</v>
      </c>
      <c r="C3248" t="s">
        <v>1919</v>
      </c>
      <c r="D3248" t="s">
        <v>23</v>
      </c>
      <c r="E3248" t="s">
        <v>24</v>
      </c>
      <c r="F3248" t="s">
        <v>237</v>
      </c>
      <c r="G3248">
        <v>20</v>
      </c>
      <c r="H3248" t="s">
        <v>464</v>
      </c>
      <c r="I3248" t="s">
        <v>103</v>
      </c>
      <c r="J3248" t="s">
        <v>7018</v>
      </c>
      <c r="K3248" t="s">
        <v>7019</v>
      </c>
    </row>
    <row r="3249" spans="1:19" x14ac:dyDescent="0.25">
      <c r="A3249" t="s">
        <v>7071</v>
      </c>
      <c r="B3249" s="1">
        <v>44838</v>
      </c>
      <c r="C3249" t="s">
        <v>7072</v>
      </c>
      <c r="D3249" t="s">
        <v>23</v>
      </c>
      <c r="E3249" t="s">
        <v>24</v>
      </c>
      <c r="F3249" t="s">
        <v>292</v>
      </c>
      <c r="G3249">
        <v>30</v>
      </c>
      <c r="H3249" t="s">
        <v>194</v>
      </c>
      <c r="I3249" t="s">
        <v>232</v>
      </c>
      <c r="J3249" t="s">
        <v>6886</v>
      </c>
      <c r="K3249" t="s">
        <v>7073</v>
      </c>
      <c r="R3249">
        <v>273</v>
      </c>
      <c r="S3249">
        <v>146.61000000000001</v>
      </c>
    </row>
    <row r="3250" spans="1:19" x14ac:dyDescent="0.25">
      <c r="A3250" t="s">
        <v>7074</v>
      </c>
      <c r="B3250" s="1">
        <v>44838</v>
      </c>
      <c r="C3250" t="s">
        <v>5508</v>
      </c>
      <c r="D3250" t="s">
        <v>23</v>
      </c>
      <c r="E3250" t="s">
        <v>24</v>
      </c>
      <c r="F3250" t="s">
        <v>243</v>
      </c>
      <c r="G3250">
        <v>30</v>
      </c>
      <c r="H3250" t="s">
        <v>26</v>
      </c>
      <c r="I3250" t="s">
        <v>370</v>
      </c>
      <c r="J3250" t="s">
        <v>396</v>
      </c>
      <c r="K3250" t="s">
        <v>7075</v>
      </c>
      <c r="L3250">
        <v>199</v>
      </c>
      <c r="M3250">
        <v>110</v>
      </c>
      <c r="N3250" s="2">
        <v>0.38</v>
      </c>
      <c r="O3250">
        <v>86</v>
      </c>
      <c r="P3250">
        <v>16.73</v>
      </c>
      <c r="Q3250">
        <v>8.3699999999999992</v>
      </c>
      <c r="R3250">
        <v>321</v>
      </c>
      <c r="S3250">
        <v>159.34</v>
      </c>
    </row>
    <row r="3251" spans="1:19" x14ac:dyDescent="0.25">
      <c r="A3251" t="s">
        <v>7115</v>
      </c>
      <c r="B3251" s="1">
        <v>44845</v>
      </c>
      <c r="C3251" t="s">
        <v>7116</v>
      </c>
      <c r="D3251" t="s">
        <v>23</v>
      </c>
      <c r="E3251" t="s">
        <v>24</v>
      </c>
      <c r="F3251" t="s">
        <v>1203</v>
      </c>
      <c r="G3251">
        <v>45</v>
      </c>
      <c r="H3251" t="s">
        <v>1856</v>
      </c>
      <c r="I3251" t="s">
        <v>1857</v>
      </c>
      <c r="J3251" t="s">
        <v>5496</v>
      </c>
      <c r="K3251" t="s">
        <v>7117</v>
      </c>
      <c r="L3251">
        <v>0</v>
      </c>
      <c r="P3251">
        <v>3.46</v>
      </c>
      <c r="Q3251">
        <v>2.12</v>
      </c>
      <c r="R3251">
        <v>158</v>
      </c>
      <c r="S3251">
        <v>145.31</v>
      </c>
    </row>
    <row r="3252" spans="1:19" x14ac:dyDescent="0.25">
      <c r="A3252" t="s">
        <v>7173</v>
      </c>
      <c r="B3252" s="1">
        <v>44852</v>
      </c>
      <c r="C3252" t="s">
        <v>7174</v>
      </c>
      <c r="D3252" t="s">
        <v>23</v>
      </c>
      <c r="E3252" t="s">
        <v>24</v>
      </c>
      <c r="F3252" t="s">
        <v>170</v>
      </c>
      <c r="G3252">
        <v>20</v>
      </c>
      <c r="H3252" t="s">
        <v>194</v>
      </c>
      <c r="I3252" t="s">
        <v>195</v>
      </c>
      <c r="J3252" t="s">
        <v>2247</v>
      </c>
      <c r="K3252" t="s">
        <v>7175</v>
      </c>
      <c r="R3252">
        <v>85</v>
      </c>
      <c r="S3252">
        <v>100.82</v>
      </c>
    </row>
    <row r="3253" spans="1:19" x14ac:dyDescent="0.25">
      <c r="A3253" t="s">
        <v>7176</v>
      </c>
      <c r="B3253" s="1">
        <v>44852</v>
      </c>
      <c r="C3253" t="s">
        <v>3214</v>
      </c>
      <c r="D3253" t="s">
        <v>23</v>
      </c>
      <c r="E3253" t="s">
        <v>24</v>
      </c>
      <c r="F3253" t="s">
        <v>292</v>
      </c>
      <c r="G3253">
        <v>30</v>
      </c>
      <c r="H3253" t="s">
        <v>194</v>
      </c>
      <c r="I3253" t="s">
        <v>232</v>
      </c>
      <c r="J3253" t="s">
        <v>6886</v>
      </c>
      <c r="K3253" t="s">
        <v>7177</v>
      </c>
      <c r="R3253">
        <v>262</v>
      </c>
      <c r="S3253">
        <v>144.27000000000001</v>
      </c>
    </row>
    <row r="3254" spans="1:19" x14ac:dyDescent="0.25">
      <c r="A3254" t="s">
        <v>7178</v>
      </c>
      <c r="B3254" s="1">
        <v>44852</v>
      </c>
      <c r="C3254" t="s">
        <v>1801</v>
      </c>
      <c r="D3254" t="s">
        <v>23</v>
      </c>
      <c r="E3254" t="s">
        <v>24</v>
      </c>
      <c r="F3254" t="s">
        <v>459</v>
      </c>
      <c r="G3254">
        <v>10</v>
      </c>
      <c r="H3254" t="s">
        <v>464</v>
      </c>
      <c r="I3254" t="s">
        <v>579</v>
      </c>
      <c r="J3254" t="s">
        <v>2432</v>
      </c>
      <c r="K3254" t="s">
        <v>7179</v>
      </c>
    </row>
    <row r="3255" spans="1:19" x14ac:dyDescent="0.25">
      <c r="A3255" t="s">
        <v>7227</v>
      </c>
      <c r="B3255" s="1">
        <v>44859</v>
      </c>
      <c r="C3255" t="s">
        <v>695</v>
      </c>
      <c r="D3255" t="s">
        <v>23</v>
      </c>
      <c r="E3255" t="s">
        <v>24</v>
      </c>
      <c r="F3255" t="s">
        <v>243</v>
      </c>
      <c r="G3255">
        <v>30</v>
      </c>
      <c r="H3255" t="s">
        <v>188</v>
      </c>
      <c r="I3255" t="s">
        <v>189</v>
      </c>
      <c r="J3255" t="s">
        <v>201</v>
      </c>
      <c r="K3255" t="s">
        <v>7228</v>
      </c>
      <c r="R3255">
        <v>92</v>
      </c>
    </row>
    <row r="3256" spans="1:19" x14ac:dyDescent="0.25">
      <c r="A3256" t="s">
        <v>7229</v>
      </c>
      <c r="B3256" s="1">
        <v>44859</v>
      </c>
      <c r="C3256" t="s">
        <v>7230</v>
      </c>
      <c r="D3256" t="s">
        <v>23</v>
      </c>
      <c r="E3256" t="s">
        <v>24</v>
      </c>
      <c r="F3256" t="s">
        <v>1203</v>
      </c>
      <c r="G3256">
        <v>10</v>
      </c>
      <c r="H3256" t="s">
        <v>1856</v>
      </c>
      <c r="I3256" t="s">
        <v>6604</v>
      </c>
      <c r="J3256" t="s">
        <v>6762</v>
      </c>
      <c r="K3256" t="s">
        <v>7231</v>
      </c>
      <c r="L3256">
        <v>0</v>
      </c>
      <c r="P3256">
        <v>3.4</v>
      </c>
      <c r="Q3256">
        <v>0.56999999999999995</v>
      </c>
      <c r="R3256">
        <v>47</v>
      </c>
      <c r="S3256">
        <v>120.69</v>
      </c>
    </row>
    <row r="3257" spans="1:19" x14ac:dyDescent="0.25">
      <c r="A3257" t="s">
        <v>7232</v>
      </c>
      <c r="B3257" s="1">
        <v>44859</v>
      </c>
      <c r="C3257" t="s">
        <v>563</v>
      </c>
      <c r="D3257" t="s">
        <v>23</v>
      </c>
      <c r="E3257" t="s">
        <v>24</v>
      </c>
      <c r="F3257" t="s">
        <v>314</v>
      </c>
      <c r="G3257">
        <v>20</v>
      </c>
      <c r="H3257" t="s">
        <v>1856</v>
      </c>
      <c r="I3257" t="s">
        <v>1857</v>
      </c>
      <c r="J3257" t="s">
        <v>7233</v>
      </c>
      <c r="K3257" t="s">
        <v>7234</v>
      </c>
      <c r="L3257">
        <v>0</v>
      </c>
      <c r="P3257">
        <v>3.32</v>
      </c>
      <c r="Q3257">
        <v>1.1399999999999999</v>
      </c>
      <c r="R3257">
        <v>73</v>
      </c>
    </row>
    <row r="3258" spans="1:19" x14ac:dyDescent="0.25">
      <c r="A3258" t="s">
        <v>7235</v>
      </c>
      <c r="B3258" s="1">
        <v>44859</v>
      </c>
      <c r="C3258" t="s">
        <v>7236</v>
      </c>
      <c r="D3258" t="s">
        <v>23</v>
      </c>
      <c r="E3258" t="s">
        <v>24</v>
      </c>
      <c r="F3258" t="s">
        <v>215</v>
      </c>
      <c r="G3258">
        <v>10</v>
      </c>
      <c r="H3258" t="s">
        <v>464</v>
      </c>
      <c r="I3258" t="s">
        <v>579</v>
      </c>
      <c r="J3258" t="s">
        <v>808</v>
      </c>
      <c r="K3258" t="s">
        <v>3764</v>
      </c>
      <c r="S3258">
        <v>72.209999999999994</v>
      </c>
    </row>
    <row r="3259" spans="1:19" x14ac:dyDescent="0.25">
      <c r="A3259" t="s">
        <v>7237</v>
      </c>
      <c r="B3259" s="1">
        <v>44859</v>
      </c>
      <c r="C3259" t="s">
        <v>1496</v>
      </c>
      <c r="D3259" t="s">
        <v>23</v>
      </c>
      <c r="E3259" t="s">
        <v>24</v>
      </c>
      <c r="F3259" t="s">
        <v>2708</v>
      </c>
      <c r="G3259">
        <v>5</v>
      </c>
      <c r="H3259" t="s">
        <v>464</v>
      </c>
      <c r="I3259" t="s">
        <v>579</v>
      </c>
      <c r="J3259" t="s">
        <v>2484</v>
      </c>
      <c r="K3259" t="s">
        <v>7238</v>
      </c>
    </row>
    <row r="3260" spans="1:19" x14ac:dyDescent="0.25">
      <c r="A3260" t="s">
        <v>7280</v>
      </c>
      <c r="B3260" s="1">
        <v>44866</v>
      </c>
      <c r="C3260" t="s">
        <v>7281</v>
      </c>
      <c r="D3260" t="s">
        <v>23</v>
      </c>
      <c r="E3260" t="s">
        <v>24</v>
      </c>
      <c r="F3260" t="s">
        <v>215</v>
      </c>
      <c r="G3260">
        <v>10</v>
      </c>
      <c r="H3260" t="s">
        <v>464</v>
      </c>
      <c r="I3260" t="s">
        <v>103</v>
      </c>
      <c r="J3260" t="s">
        <v>3441</v>
      </c>
      <c r="K3260" t="s">
        <v>7282</v>
      </c>
    </row>
    <row r="3261" spans="1:19" x14ac:dyDescent="0.25">
      <c r="A3261" t="s">
        <v>7357</v>
      </c>
      <c r="B3261" s="1">
        <v>44880</v>
      </c>
      <c r="C3261" t="s">
        <v>7358</v>
      </c>
      <c r="D3261" t="s">
        <v>23</v>
      </c>
      <c r="E3261" t="s">
        <v>24</v>
      </c>
      <c r="F3261" t="s">
        <v>243</v>
      </c>
      <c r="G3261">
        <v>30</v>
      </c>
      <c r="H3261" t="s">
        <v>188</v>
      </c>
      <c r="I3261" t="s">
        <v>238</v>
      </c>
      <c r="J3261" t="s">
        <v>3393</v>
      </c>
      <c r="K3261" t="s">
        <v>7359</v>
      </c>
      <c r="R3261">
        <v>131</v>
      </c>
      <c r="S3261">
        <v>102.89</v>
      </c>
    </row>
    <row r="3262" spans="1:19" x14ac:dyDescent="0.25">
      <c r="A3262" t="s">
        <v>7360</v>
      </c>
      <c r="B3262" s="1">
        <v>44880</v>
      </c>
      <c r="C3262" t="s">
        <v>7361</v>
      </c>
      <c r="D3262" t="s">
        <v>23</v>
      </c>
      <c r="E3262" t="s">
        <v>24</v>
      </c>
      <c r="F3262" t="s">
        <v>292</v>
      </c>
      <c r="G3262">
        <v>10</v>
      </c>
      <c r="H3262" t="s">
        <v>194</v>
      </c>
      <c r="I3262" t="s">
        <v>195</v>
      </c>
      <c r="J3262" t="s">
        <v>211</v>
      </c>
      <c r="K3262" t="s">
        <v>7362</v>
      </c>
      <c r="R3262">
        <v>58</v>
      </c>
      <c r="S3262">
        <v>116.62</v>
      </c>
    </row>
    <row r="3263" spans="1:19" x14ac:dyDescent="0.25">
      <c r="A3263" t="s">
        <v>7363</v>
      </c>
      <c r="B3263" s="1">
        <v>44880</v>
      </c>
      <c r="C3263" t="s">
        <v>7364</v>
      </c>
      <c r="D3263" t="s">
        <v>23</v>
      </c>
      <c r="E3263" t="s">
        <v>24</v>
      </c>
      <c r="F3263" t="s">
        <v>2708</v>
      </c>
      <c r="G3263">
        <v>15</v>
      </c>
      <c r="H3263" t="s">
        <v>464</v>
      </c>
      <c r="I3263" t="s">
        <v>943</v>
      </c>
      <c r="J3263" t="s">
        <v>1709</v>
      </c>
      <c r="K3263" t="s">
        <v>7365</v>
      </c>
    </row>
    <row r="3264" spans="1:19" x14ac:dyDescent="0.25">
      <c r="A3264" t="s">
        <v>7418</v>
      </c>
      <c r="B3264" s="1">
        <v>44887</v>
      </c>
      <c r="C3264" t="s">
        <v>7419</v>
      </c>
      <c r="D3264" t="s">
        <v>23</v>
      </c>
      <c r="E3264" t="s">
        <v>24</v>
      </c>
      <c r="F3264" t="s">
        <v>215</v>
      </c>
      <c r="G3264">
        <v>30</v>
      </c>
      <c r="H3264" t="s">
        <v>188</v>
      </c>
      <c r="I3264" t="s">
        <v>189</v>
      </c>
      <c r="J3264" t="s">
        <v>898</v>
      </c>
      <c r="K3264" t="s">
        <v>7420</v>
      </c>
      <c r="R3264">
        <v>98</v>
      </c>
    </row>
    <row r="3265" spans="1:21" x14ac:dyDescent="0.25">
      <c r="A3265" t="s">
        <v>7421</v>
      </c>
      <c r="B3265" s="1">
        <v>44887</v>
      </c>
      <c r="C3265" t="s">
        <v>7422</v>
      </c>
      <c r="D3265" t="s">
        <v>23</v>
      </c>
      <c r="E3265" t="s">
        <v>24</v>
      </c>
      <c r="F3265" t="s">
        <v>335</v>
      </c>
      <c r="G3265">
        <v>10</v>
      </c>
      <c r="H3265" t="s">
        <v>194</v>
      </c>
      <c r="I3265" t="s">
        <v>195</v>
      </c>
      <c r="J3265" t="s">
        <v>211</v>
      </c>
      <c r="K3265" t="s">
        <v>7423</v>
      </c>
      <c r="R3265">
        <v>44</v>
      </c>
    </row>
    <row r="3266" spans="1:21" x14ac:dyDescent="0.25">
      <c r="A3266" t="s">
        <v>7424</v>
      </c>
      <c r="B3266" s="1">
        <v>44887</v>
      </c>
      <c r="C3266" t="s">
        <v>3066</v>
      </c>
      <c r="D3266" t="s">
        <v>23</v>
      </c>
      <c r="E3266" t="s">
        <v>24</v>
      </c>
      <c r="F3266" t="s">
        <v>554</v>
      </c>
      <c r="G3266">
        <v>10</v>
      </c>
      <c r="H3266" t="s">
        <v>194</v>
      </c>
      <c r="I3266" t="s">
        <v>5421</v>
      </c>
      <c r="J3266" t="s">
        <v>7425</v>
      </c>
      <c r="K3266" t="s">
        <v>7426</v>
      </c>
      <c r="R3266">
        <v>43</v>
      </c>
    </row>
    <row r="3267" spans="1:21" x14ac:dyDescent="0.25">
      <c r="A3267" t="s">
        <v>7427</v>
      </c>
      <c r="B3267" s="1">
        <v>44887</v>
      </c>
      <c r="C3267" t="s">
        <v>7428</v>
      </c>
      <c r="D3267" t="s">
        <v>23</v>
      </c>
      <c r="E3267" t="s">
        <v>24</v>
      </c>
      <c r="F3267" t="s">
        <v>3955</v>
      </c>
      <c r="G3267">
        <v>20</v>
      </c>
      <c r="H3267" t="s">
        <v>1856</v>
      </c>
      <c r="I3267" t="s">
        <v>2096</v>
      </c>
      <c r="J3267" t="s">
        <v>2097</v>
      </c>
      <c r="K3267" t="s">
        <v>7429</v>
      </c>
      <c r="L3267">
        <v>0</v>
      </c>
      <c r="P3267">
        <v>3.1</v>
      </c>
      <c r="Q3267">
        <v>1.03</v>
      </c>
      <c r="R3267">
        <v>166</v>
      </c>
      <c r="S3267">
        <v>143.78</v>
      </c>
    </row>
    <row r="3268" spans="1:21" x14ac:dyDescent="0.25">
      <c r="A3268" t="s">
        <v>7430</v>
      </c>
      <c r="B3268" s="1">
        <v>44887</v>
      </c>
      <c r="C3268" t="s">
        <v>7431</v>
      </c>
      <c r="D3268" t="s">
        <v>23</v>
      </c>
      <c r="E3268" t="s">
        <v>24</v>
      </c>
      <c r="F3268" t="s">
        <v>6276</v>
      </c>
      <c r="G3268">
        <v>15</v>
      </c>
      <c r="H3268" t="s">
        <v>1856</v>
      </c>
      <c r="I3268" t="s">
        <v>1857</v>
      </c>
      <c r="J3268" t="s">
        <v>7432</v>
      </c>
      <c r="K3268" t="s">
        <v>7433</v>
      </c>
      <c r="L3268">
        <v>0</v>
      </c>
      <c r="P3268">
        <v>3.13</v>
      </c>
      <c r="Q3268">
        <v>0.79</v>
      </c>
      <c r="R3268">
        <v>117</v>
      </c>
      <c r="S3268">
        <v>135.04</v>
      </c>
    </row>
    <row r="3269" spans="1:21" x14ac:dyDescent="0.25">
      <c r="A3269" t="s">
        <v>7434</v>
      </c>
      <c r="B3269" s="1">
        <v>44887</v>
      </c>
      <c r="C3269" t="s">
        <v>4294</v>
      </c>
      <c r="D3269" t="s">
        <v>23</v>
      </c>
      <c r="E3269" t="s">
        <v>24</v>
      </c>
      <c r="F3269" t="s">
        <v>323</v>
      </c>
      <c r="G3269">
        <v>30</v>
      </c>
      <c r="H3269" t="s">
        <v>26</v>
      </c>
      <c r="I3269" t="s">
        <v>370</v>
      </c>
      <c r="J3269" t="s">
        <v>396</v>
      </c>
      <c r="K3269" t="s">
        <v>7435</v>
      </c>
      <c r="L3269">
        <v>176</v>
      </c>
      <c r="M3269">
        <v>98</v>
      </c>
      <c r="N3269" s="2">
        <v>0.36</v>
      </c>
      <c r="O3269">
        <v>85</v>
      </c>
      <c r="P3269">
        <v>15.96</v>
      </c>
      <c r="Q3269">
        <v>7.98</v>
      </c>
      <c r="R3269">
        <v>334</v>
      </c>
      <c r="S3269">
        <v>166.38</v>
      </c>
    </row>
    <row r="3270" spans="1:21" x14ac:dyDescent="0.25">
      <c r="A3270" t="s">
        <v>7436</v>
      </c>
      <c r="B3270" s="1">
        <v>44887</v>
      </c>
      <c r="C3270" t="s">
        <v>3719</v>
      </c>
      <c r="D3270" t="s">
        <v>23</v>
      </c>
      <c r="E3270" t="s">
        <v>24</v>
      </c>
      <c r="F3270" t="s">
        <v>354</v>
      </c>
      <c r="G3270">
        <v>10</v>
      </c>
      <c r="H3270" t="s">
        <v>194</v>
      </c>
      <c r="I3270" t="s">
        <v>700</v>
      </c>
      <c r="J3270" t="s">
        <v>1282</v>
      </c>
      <c r="K3270" t="s">
        <v>7437</v>
      </c>
      <c r="R3270">
        <v>88</v>
      </c>
      <c r="S3270">
        <v>143.21</v>
      </c>
    </row>
    <row r="3271" spans="1:21" x14ac:dyDescent="0.25">
      <c r="A3271" t="s">
        <v>7456</v>
      </c>
      <c r="B3271" s="1">
        <v>44894</v>
      </c>
      <c r="C3271" t="s">
        <v>3783</v>
      </c>
      <c r="D3271" t="s">
        <v>23</v>
      </c>
      <c r="E3271" t="s">
        <v>24</v>
      </c>
      <c r="F3271" t="s">
        <v>243</v>
      </c>
      <c r="G3271">
        <v>45</v>
      </c>
      <c r="H3271" t="s">
        <v>26</v>
      </c>
      <c r="I3271" t="s">
        <v>370</v>
      </c>
      <c r="J3271" t="s">
        <v>439</v>
      </c>
      <c r="K3271" t="s">
        <v>7457</v>
      </c>
      <c r="L3271">
        <v>269</v>
      </c>
      <c r="M3271">
        <v>100</v>
      </c>
      <c r="N3271" s="2">
        <v>0.37</v>
      </c>
      <c r="O3271">
        <v>84</v>
      </c>
      <c r="P3271">
        <v>16.09</v>
      </c>
      <c r="Q3271">
        <v>12.07</v>
      </c>
      <c r="R3271">
        <v>482</v>
      </c>
      <c r="S3271">
        <v>169.79</v>
      </c>
    </row>
    <row r="3272" spans="1:21" x14ac:dyDescent="0.25">
      <c r="A3272" t="s">
        <v>7458</v>
      </c>
      <c r="B3272" s="1">
        <v>44894</v>
      </c>
      <c r="C3272" t="s">
        <v>4574</v>
      </c>
      <c r="D3272" t="s">
        <v>23</v>
      </c>
      <c r="E3272" t="s">
        <v>24</v>
      </c>
      <c r="F3272" t="s">
        <v>660</v>
      </c>
      <c r="G3272">
        <v>5</v>
      </c>
      <c r="H3272" t="s">
        <v>26</v>
      </c>
      <c r="I3272" t="s">
        <v>358</v>
      </c>
      <c r="J3272" t="s">
        <v>359</v>
      </c>
      <c r="K3272" t="s">
        <v>7459</v>
      </c>
      <c r="L3272">
        <v>11</v>
      </c>
      <c r="M3272">
        <v>38</v>
      </c>
      <c r="N3272" s="2">
        <v>0.24</v>
      </c>
      <c r="O3272">
        <v>81</v>
      </c>
      <c r="P3272">
        <v>10.44</v>
      </c>
      <c r="Q3272">
        <v>0.87</v>
      </c>
      <c r="R3272">
        <v>37</v>
      </c>
      <c r="S3272">
        <v>129</v>
      </c>
    </row>
    <row r="3273" spans="1:21" x14ac:dyDescent="0.25">
      <c r="A3273" t="s">
        <v>7460</v>
      </c>
      <c r="B3273" s="1">
        <v>44894</v>
      </c>
      <c r="C3273" t="s">
        <v>3647</v>
      </c>
      <c r="D3273" t="s">
        <v>23</v>
      </c>
      <c r="E3273" t="s">
        <v>24</v>
      </c>
      <c r="F3273" t="s">
        <v>660</v>
      </c>
      <c r="G3273">
        <v>10</v>
      </c>
      <c r="H3273" t="s">
        <v>194</v>
      </c>
      <c r="I3273" t="s">
        <v>700</v>
      </c>
      <c r="J3273" t="s">
        <v>1282</v>
      </c>
      <c r="K3273" t="s">
        <v>7461</v>
      </c>
      <c r="R3273">
        <v>75</v>
      </c>
      <c r="S3273">
        <v>130.61000000000001</v>
      </c>
    </row>
    <row r="3274" spans="1:21" x14ac:dyDescent="0.25">
      <c r="A3274" t="s">
        <v>7462</v>
      </c>
      <c r="B3274" s="1">
        <v>44894</v>
      </c>
      <c r="C3274" t="s">
        <v>854</v>
      </c>
      <c r="D3274" t="s">
        <v>23</v>
      </c>
      <c r="E3274" t="s">
        <v>24</v>
      </c>
      <c r="F3274" t="s">
        <v>243</v>
      </c>
      <c r="G3274">
        <v>30</v>
      </c>
      <c r="H3274" t="s">
        <v>188</v>
      </c>
      <c r="I3274" t="s">
        <v>189</v>
      </c>
      <c r="J3274" t="s">
        <v>7463</v>
      </c>
      <c r="K3274" t="s">
        <v>7464</v>
      </c>
      <c r="R3274">
        <v>94</v>
      </c>
    </row>
    <row r="3275" spans="1:21" x14ac:dyDescent="0.25">
      <c r="A3275" t="s">
        <v>7465</v>
      </c>
      <c r="B3275" s="1">
        <v>44894</v>
      </c>
      <c r="C3275" t="s">
        <v>2049</v>
      </c>
      <c r="D3275" t="s">
        <v>23</v>
      </c>
      <c r="E3275" t="s">
        <v>24</v>
      </c>
      <c r="F3275" t="s">
        <v>208</v>
      </c>
      <c r="G3275">
        <v>15</v>
      </c>
      <c r="H3275" t="s">
        <v>464</v>
      </c>
      <c r="I3275" t="s">
        <v>763</v>
      </c>
      <c r="J3275" t="s">
        <v>2926</v>
      </c>
      <c r="K3275" t="s">
        <v>7466</v>
      </c>
    </row>
    <row r="3276" spans="1:21" x14ac:dyDescent="0.25">
      <c r="A3276" t="s">
        <v>7523</v>
      </c>
      <c r="B3276" s="1">
        <v>44901</v>
      </c>
      <c r="C3276" t="s">
        <v>7524</v>
      </c>
      <c r="D3276" t="s">
        <v>23</v>
      </c>
      <c r="E3276" t="s">
        <v>24</v>
      </c>
      <c r="F3276" t="s">
        <v>237</v>
      </c>
      <c r="G3276">
        <v>10</v>
      </c>
      <c r="H3276" t="s">
        <v>464</v>
      </c>
      <c r="I3276" t="s">
        <v>7525</v>
      </c>
      <c r="J3276" t="s">
        <v>7526</v>
      </c>
      <c r="K3276" t="s">
        <v>7527</v>
      </c>
    </row>
    <row r="3277" spans="1:21" x14ac:dyDescent="0.25">
      <c r="A3277" t="s">
        <v>7528</v>
      </c>
      <c r="B3277" s="1">
        <v>44901</v>
      </c>
      <c r="C3277" t="s">
        <v>157</v>
      </c>
      <c r="D3277" t="s">
        <v>23</v>
      </c>
      <c r="E3277" t="s">
        <v>24</v>
      </c>
      <c r="F3277" t="s">
        <v>5394</v>
      </c>
      <c r="G3277">
        <v>20</v>
      </c>
      <c r="H3277" t="s">
        <v>1856</v>
      </c>
      <c r="I3277" t="s">
        <v>5938</v>
      </c>
      <c r="J3277" t="s">
        <v>7529</v>
      </c>
      <c r="K3277" t="s">
        <v>7530</v>
      </c>
      <c r="L3277">
        <v>0</v>
      </c>
      <c r="P3277">
        <v>3.25</v>
      </c>
      <c r="Q3277">
        <v>1.06</v>
      </c>
      <c r="R3277">
        <v>143</v>
      </c>
      <c r="S3277">
        <v>130.51</v>
      </c>
    </row>
    <row r="3278" spans="1:21" x14ac:dyDescent="0.25">
      <c r="A3278" t="s">
        <v>7531</v>
      </c>
      <c r="B3278" s="1">
        <v>44901</v>
      </c>
      <c r="C3278" t="s">
        <v>7532</v>
      </c>
      <c r="D3278" t="s">
        <v>23</v>
      </c>
      <c r="E3278" t="s">
        <v>24</v>
      </c>
      <c r="F3278" t="s">
        <v>5394</v>
      </c>
      <c r="G3278">
        <v>10</v>
      </c>
      <c r="H3278" t="s">
        <v>6420</v>
      </c>
      <c r="I3278" t="s">
        <v>6421</v>
      </c>
      <c r="J3278" t="s">
        <v>6430</v>
      </c>
      <c r="K3278" t="s">
        <v>6783</v>
      </c>
      <c r="L3278">
        <v>0</v>
      </c>
      <c r="P3278">
        <v>3.51</v>
      </c>
      <c r="Q3278">
        <v>0.57999999999999996</v>
      </c>
      <c r="R3278">
        <v>52</v>
      </c>
      <c r="T3278">
        <v>0</v>
      </c>
      <c r="U3278" s="3">
        <v>0.71180555555555558</v>
      </c>
    </row>
    <row r="3279" spans="1:21" x14ac:dyDescent="0.25">
      <c r="A3279" t="s">
        <v>7533</v>
      </c>
      <c r="B3279" s="1">
        <v>44901</v>
      </c>
      <c r="C3279" t="s">
        <v>7534</v>
      </c>
      <c r="D3279" t="s">
        <v>23</v>
      </c>
      <c r="E3279" t="s">
        <v>24</v>
      </c>
      <c r="F3279" t="s">
        <v>335</v>
      </c>
      <c r="G3279">
        <v>30</v>
      </c>
      <c r="H3279" t="s">
        <v>26</v>
      </c>
      <c r="I3279" t="s">
        <v>370</v>
      </c>
      <c r="J3279" t="s">
        <v>1260</v>
      </c>
      <c r="K3279" t="s">
        <v>7535</v>
      </c>
      <c r="L3279">
        <v>171</v>
      </c>
      <c r="M3279">
        <v>95</v>
      </c>
      <c r="N3279" s="2">
        <v>0.35</v>
      </c>
      <c r="O3279">
        <v>86</v>
      </c>
      <c r="P3279">
        <v>15.73</v>
      </c>
      <c r="Q3279">
        <v>7.86</v>
      </c>
      <c r="R3279">
        <v>311</v>
      </c>
      <c r="S3279">
        <v>156.47</v>
      </c>
    </row>
    <row r="3280" spans="1:21" x14ac:dyDescent="0.25">
      <c r="A3280" t="s">
        <v>7536</v>
      </c>
      <c r="B3280" s="1">
        <v>44901</v>
      </c>
      <c r="C3280" t="s">
        <v>4936</v>
      </c>
      <c r="D3280" t="s">
        <v>23</v>
      </c>
      <c r="E3280" t="s">
        <v>24</v>
      </c>
      <c r="F3280" t="s">
        <v>231</v>
      </c>
      <c r="G3280">
        <v>20</v>
      </c>
      <c r="H3280" t="s">
        <v>194</v>
      </c>
      <c r="I3280" t="s">
        <v>1445</v>
      </c>
      <c r="J3280" t="s">
        <v>3191</v>
      </c>
      <c r="K3280" t="s">
        <v>7537</v>
      </c>
      <c r="R3280">
        <v>117</v>
      </c>
      <c r="S3280">
        <v>120.35</v>
      </c>
    </row>
    <row r="3281" spans="1:19" x14ac:dyDescent="0.25">
      <c r="A3281" t="s">
        <v>7538</v>
      </c>
      <c r="B3281" s="1">
        <v>44901</v>
      </c>
      <c r="C3281" t="s">
        <v>3783</v>
      </c>
      <c r="D3281" t="s">
        <v>23</v>
      </c>
      <c r="E3281" t="s">
        <v>24</v>
      </c>
      <c r="F3281" t="s">
        <v>180</v>
      </c>
      <c r="G3281">
        <v>20</v>
      </c>
      <c r="H3281" t="s">
        <v>194</v>
      </c>
      <c r="I3281" t="s">
        <v>195</v>
      </c>
      <c r="J3281" t="s">
        <v>2247</v>
      </c>
      <c r="K3281" t="s">
        <v>7539</v>
      </c>
      <c r="R3281">
        <v>106</v>
      </c>
      <c r="S3281">
        <v>110.25</v>
      </c>
    </row>
    <row r="3282" spans="1:19" x14ac:dyDescent="0.25">
      <c r="A3282" t="s">
        <v>7540</v>
      </c>
      <c r="B3282" s="1">
        <v>44901</v>
      </c>
      <c r="C3282" t="s">
        <v>3789</v>
      </c>
      <c r="D3282" t="s">
        <v>23</v>
      </c>
      <c r="E3282" t="s">
        <v>24</v>
      </c>
      <c r="F3282" t="s">
        <v>590</v>
      </c>
      <c r="G3282">
        <v>5</v>
      </c>
      <c r="H3282" t="s">
        <v>49</v>
      </c>
      <c r="I3282" t="s">
        <v>50</v>
      </c>
      <c r="J3282" t="s">
        <v>51</v>
      </c>
      <c r="K3282" t="s">
        <v>7541</v>
      </c>
      <c r="R3282">
        <v>12</v>
      </c>
    </row>
    <row r="3283" spans="1:19" x14ac:dyDescent="0.25">
      <c r="A3283" t="s">
        <v>7542</v>
      </c>
      <c r="B3283" s="1">
        <v>44901</v>
      </c>
      <c r="C3283" t="s">
        <v>2240</v>
      </c>
      <c r="D3283" t="s">
        <v>23</v>
      </c>
      <c r="E3283" t="s">
        <v>24</v>
      </c>
      <c r="F3283" t="s">
        <v>2708</v>
      </c>
      <c r="G3283">
        <v>15</v>
      </c>
      <c r="H3283" t="s">
        <v>464</v>
      </c>
      <c r="I3283" t="s">
        <v>579</v>
      </c>
      <c r="J3283" t="s">
        <v>4098</v>
      </c>
      <c r="K3283" t="s">
        <v>7543</v>
      </c>
    </row>
    <row r="3284" spans="1:19" x14ac:dyDescent="0.25">
      <c r="A3284" t="s">
        <v>7621</v>
      </c>
      <c r="B3284" s="1">
        <v>44908</v>
      </c>
      <c r="C3284" t="s">
        <v>7622</v>
      </c>
      <c r="D3284" t="s">
        <v>23</v>
      </c>
      <c r="E3284" t="s">
        <v>24</v>
      </c>
      <c r="F3284" t="s">
        <v>243</v>
      </c>
      <c r="G3284">
        <v>45</v>
      </c>
      <c r="H3284" t="s">
        <v>188</v>
      </c>
      <c r="I3284" t="s">
        <v>254</v>
      </c>
      <c r="J3284" t="s">
        <v>1741</v>
      </c>
      <c r="K3284" t="s">
        <v>7623</v>
      </c>
      <c r="R3284">
        <v>154</v>
      </c>
      <c r="S3284">
        <v>92.09</v>
      </c>
    </row>
    <row r="3285" spans="1:19" x14ac:dyDescent="0.25">
      <c r="A3285" t="s">
        <v>7624</v>
      </c>
      <c r="B3285" s="1">
        <v>44908</v>
      </c>
      <c r="C3285" t="s">
        <v>7625</v>
      </c>
      <c r="D3285" t="s">
        <v>23</v>
      </c>
      <c r="E3285" t="s">
        <v>24</v>
      </c>
      <c r="F3285" t="s">
        <v>208</v>
      </c>
      <c r="G3285">
        <v>10</v>
      </c>
      <c r="H3285" t="s">
        <v>464</v>
      </c>
      <c r="I3285" t="s">
        <v>103</v>
      </c>
      <c r="J3285" t="s">
        <v>3291</v>
      </c>
      <c r="K3285" t="s">
        <v>7626</v>
      </c>
    </row>
    <row r="3286" spans="1:19" x14ac:dyDescent="0.25">
      <c r="A3286" t="s">
        <v>7709</v>
      </c>
      <c r="B3286" s="1">
        <v>44915</v>
      </c>
      <c r="C3286" t="s">
        <v>7710</v>
      </c>
      <c r="D3286" t="s">
        <v>23</v>
      </c>
      <c r="E3286" t="s">
        <v>24</v>
      </c>
      <c r="F3286" t="s">
        <v>215</v>
      </c>
      <c r="G3286">
        <v>30</v>
      </c>
      <c r="H3286" t="s">
        <v>188</v>
      </c>
      <c r="I3286" t="s">
        <v>238</v>
      </c>
      <c r="J3286" t="s">
        <v>7711</v>
      </c>
      <c r="K3286" t="s">
        <v>7712</v>
      </c>
      <c r="R3286">
        <v>101</v>
      </c>
      <c r="S3286">
        <v>86.91</v>
      </c>
    </row>
    <row r="3287" spans="1:19" x14ac:dyDescent="0.25">
      <c r="A3287" t="s">
        <v>7713</v>
      </c>
      <c r="B3287" s="1">
        <v>44915</v>
      </c>
      <c r="C3287" t="s">
        <v>7714</v>
      </c>
      <c r="D3287" t="s">
        <v>23</v>
      </c>
      <c r="E3287" t="s">
        <v>24</v>
      </c>
      <c r="F3287" t="s">
        <v>237</v>
      </c>
      <c r="G3287">
        <v>10</v>
      </c>
      <c r="H3287" t="s">
        <v>464</v>
      </c>
      <c r="I3287" t="s">
        <v>579</v>
      </c>
      <c r="J3287" t="s">
        <v>1975</v>
      </c>
      <c r="K3287" t="s">
        <v>7715</v>
      </c>
    </row>
    <row r="3288" spans="1:19" x14ac:dyDescent="0.25">
      <c r="A3288" t="s">
        <v>7773</v>
      </c>
      <c r="B3288" s="1">
        <v>44922</v>
      </c>
      <c r="C3288" t="s">
        <v>4585</v>
      </c>
      <c r="D3288" t="s">
        <v>23</v>
      </c>
      <c r="E3288" t="s">
        <v>24</v>
      </c>
      <c r="F3288" t="s">
        <v>200</v>
      </c>
      <c r="G3288">
        <v>30</v>
      </c>
      <c r="H3288" t="s">
        <v>188</v>
      </c>
      <c r="I3288" t="s">
        <v>254</v>
      </c>
      <c r="J3288" t="s">
        <v>255</v>
      </c>
      <c r="K3288" t="s">
        <v>7774</v>
      </c>
      <c r="R3288">
        <v>97</v>
      </c>
    </row>
    <row r="3289" spans="1:19" x14ac:dyDescent="0.25">
      <c r="A3289" t="s">
        <v>7775</v>
      </c>
      <c r="B3289" s="1">
        <v>44922</v>
      </c>
      <c r="C3289" t="s">
        <v>4313</v>
      </c>
      <c r="D3289" t="s">
        <v>23</v>
      </c>
      <c r="E3289" t="s">
        <v>24</v>
      </c>
      <c r="F3289" t="s">
        <v>297</v>
      </c>
      <c r="G3289">
        <v>45</v>
      </c>
      <c r="H3289" t="s">
        <v>7750</v>
      </c>
      <c r="I3289" t="s">
        <v>663</v>
      </c>
      <c r="J3289" t="s">
        <v>769</v>
      </c>
      <c r="K3289" t="s">
        <v>7564</v>
      </c>
      <c r="L3289">
        <v>139</v>
      </c>
      <c r="P3289">
        <v>2.99</v>
      </c>
      <c r="Q3289">
        <v>3.08</v>
      </c>
      <c r="R3289">
        <v>464</v>
      </c>
      <c r="S3289">
        <v>154.69999999999999</v>
      </c>
    </row>
    <row r="3290" spans="1:19" x14ac:dyDescent="0.25">
      <c r="A3290" t="s">
        <v>7776</v>
      </c>
      <c r="B3290" s="1">
        <v>44922</v>
      </c>
      <c r="C3290" t="s">
        <v>4749</v>
      </c>
      <c r="D3290" t="s">
        <v>23</v>
      </c>
      <c r="E3290" t="s">
        <v>24</v>
      </c>
      <c r="F3290" t="s">
        <v>7777</v>
      </c>
      <c r="G3290">
        <v>5</v>
      </c>
      <c r="H3290" t="s">
        <v>7562</v>
      </c>
      <c r="I3290" t="s">
        <v>7567</v>
      </c>
      <c r="J3290" t="s">
        <v>7778</v>
      </c>
      <c r="K3290" t="s">
        <v>7564</v>
      </c>
      <c r="L3290">
        <v>12</v>
      </c>
      <c r="P3290">
        <v>2.76</v>
      </c>
      <c r="Q3290">
        <v>0.41</v>
      </c>
      <c r="R3290">
        <v>35</v>
      </c>
      <c r="S3290">
        <v>126.35</v>
      </c>
    </row>
    <row r="3291" spans="1:19" x14ac:dyDescent="0.25">
      <c r="A3291" t="s">
        <v>7779</v>
      </c>
      <c r="B3291" s="1">
        <v>44922</v>
      </c>
      <c r="C3291" t="s">
        <v>4402</v>
      </c>
      <c r="D3291" t="s">
        <v>23</v>
      </c>
      <c r="E3291" t="s">
        <v>24</v>
      </c>
      <c r="F3291" t="s">
        <v>3250</v>
      </c>
      <c r="G3291">
        <v>10</v>
      </c>
      <c r="H3291" t="s">
        <v>194</v>
      </c>
      <c r="I3291" t="s">
        <v>700</v>
      </c>
      <c r="J3291" t="s">
        <v>1282</v>
      </c>
      <c r="K3291" t="s">
        <v>7780</v>
      </c>
      <c r="R3291">
        <v>49</v>
      </c>
      <c r="S3291">
        <v>106.65</v>
      </c>
    </row>
    <row r="3292" spans="1:19" x14ac:dyDescent="0.25">
      <c r="A3292" t="s">
        <v>7781</v>
      </c>
      <c r="B3292" s="1">
        <v>44922</v>
      </c>
      <c r="C3292" t="s">
        <v>3919</v>
      </c>
      <c r="D3292" t="s">
        <v>23</v>
      </c>
      <c r="E3292" t="s">
        <v>24</v>
      </c>
      <c r="F3292" t="s">
        <v>297</v>
      </c>
      <c r="G3292">
        <v>5</v>
      </c>
      <c r="H3292" t="s">
        <v>49</v>
      </c>
      <c r="I3292" t="s">
        <v>7782</v>
      </c>
      <c r="J3292" t="s">
        <v>7783</v>
      </c>
      <c r="K3292" t="s">
        <v>7784</v>
      </c>
      <c r="R3292">
        <v>16</v>
      </c>
      <c r="S3292">
        <v>89.55</v>
      </c>
    </row>
    <row r="3293" spans="1:19" x14ac:dyDescent="0.25">
      <c r="A3293" t="s">
        <v>7785</v>
      </c>
      <c r="B3293" s="1">
        <v>44922</v>
      </c>
      <c r="C3293" t="s">
        <v>2307</v>
      </c>
      <c r="D3293" t="s">
        <v>23</v>
      </c>
      <c r="E3293" t="s">
        <v>24</v>
      </c>
      <c r="F3293" t="s">
        <v>459</v>
      </c>
      <c r="G3293">
        <v>10</v>
      </c>
      <c r="H3293" t="s">
        <v>464</v>
      </c>
      <c r="I3293" t="s">
        <v>943</v>
      </c>
      <c r="J3293" t="s">
        <v>944</v>
      </c>
      <c r="K3293" t="s">
        <v>2098</v>
      </c>
    </row>
    <row r="3294" spans="1:19" x14ac:dyDescent="0.25">
      <c r="A3294" t="s">
        <v>7843</v>
      </c>
      <c r="B3294" s="1">
        <v>44929</v>
      </c>
      <c r="C3294" t="s">
        <v>3678</v>
      </c>
      <c r="D3294" t="s">
        <v>23</v>
      </c>
      <c r="E3294" t="s">
        <v>24</v>
      </c>
      <c r="F3294" t="s">
        <v>208</v>
      </c>
      <c r="G3294">
        <v>10</v>
      </c>
      <c r="H3294" t="s">
        <v>464</v>
      </c>
      <c r="I3294" t="s">
        <v>1571</v>
      </c>
      <c r="J3294" t="s">
        <v>2704</v>
      </c>
      <c r="K3294" t="s">
        <v>7844</v>
      </c>
    </row>
    <row r="3295" spans="1:19" x14ac:dyDescent="0.25">
      <c r="A3295" t="s">
        <v>7845</v>
      </c>
      <c r="B3295" s="1">
        <v>44929</v>
      </c>
      <c r="C3295" t="s">
        <v>482</v>
      </c>
      <c r="D3295" t="s">
        <v>23</v>
      </c>
      <c r="E3295" t="s">
        <v>24</v>
      </c>
      <c r="F3295" t="s">
        <v>243</v>
      </c>
      <c r="G3295">
        <v>30</v>
      </c>
      <c r="H3295" t="s">
        <v>188</v>
      </c>
      <c r="I3295" t="s">
        <v>103</v>
      </c>
      <c r="J3295" t="s">
        <v>7846</v>
      </c>
      <c r="K3295" t="s">
        <v>7847</v>
      </c>
      <c r="R3295">
        <v>92</v>
      </c>
    </row>
    <row r="3296" spans="1:19" x14ac:dyDescent="0.25">
      <c r="A3296" t="s">
        <v>7848</v>
      </c>
      <c r="B3296" s="1">
        <v>44929</v>
      </c>
      <c r="C3296" t="s">
        <v>174</v>
      </c>
      <c r="D3296" t="s">
        <v>23</v>
      </c>
      <c r="E3296" t="s">
        <v>24</v>
      </c>
      <c r="F3296" t="s">
        <v>5394</v>
      </c>
      <c r="G3296">
        <v>30</v>
      </c>
      <c r="H3296" t="s">
        <v>1856</v>
      </c>
      <c r="I3296" t="s">
        <v>5938</v>
      </c>
      <c r="J3296" t="s">
        <v>7849</v>
      </c>
      <c r="K3296" t="s">
        <v>7850</v>
      </c>
      <c r="L3296">
        <v>0</v>
      </c>
      <c r="P3296">
        <v>3.36</v>
      </c>
      <c r="Q3296">
        <v>1.67</v>
      </c>
      <c r="R3296">
        <v>254</v>
      </c>
      <c r="S3296">
        <v>140.33000000000001</v>
      </c>
    </row>
    <row r="3297" spans="1:19" x14ac:dyDescent="0.25">
      <c r="A3297" t="s">
        <v>7851</v>
      </c>
      <c r="B3297" s="1">
        <v>44929</v>
      </c>
      <c r="C3297" t="s">
        <v>3934</v>
      </c>
      <c r="D3297" t="s">
        <v>23</v>
      </c>
      <c r="G3297">
        <v>3</v>
      </c>
      <c r="H3297" t="s">
        <v>1856</v>
      </c>
      <c r="J3297" t="s">
        <v>7852</v>
      </c>
      <c r="L3297">
        <v>0</v>
      </c>
      <c r="P3297">
        <v>3.16</v>
      </c>
      <c r="Q3297">
        <v>0.18</v>
      </c>
      <c r="R3297">
        <v>14</v>
      </c>
    </row>
    <row r="3298" spans="1:19" x14ac:dyDescent="0.25">
      <c r="A3298" t="s">
        <v>7853</v>
      </c>
      <c r="B3298" s="1">
        <v>44929</v>
      </c>
      <c r="C3298" t="s">
        <v>4276</v>
      </c>
      <c r="D3298" t="s">
        <v>23</v>
      </c>
      <c r="E3298" t="s">
        <v>24</v>
      </c>
      <c r="F3298" t="s">
        <v>323</v>
      </c>
      <c r="G3298">
        <v>45</v>
      </c>
      <c r="H3298" t="s">
        <v>26</v>
      </c>
      <c r="I3298" t="s">
        <v>370</v>
      </c>
      <c r="J3298" t="s">
        <v>479</v>
      </c>
      <c r="K3298" t="s">
        <v>7854</v>
      </c>
      <c r="L3298">
        <v>270</v>
      </c>
      <c r="M3298">
        <v>100</v>
      </c>
      <c r="N3298" s="2">
        <v>0.34</v>
      </c>
      <c r="O3298">
        <v>88</v>
      </c>
      <c r="P3298">
        <v>15.73</v>
      </c>
      <c r="Q3298">
        <v>11.8</v>
      </c>
      <c r="R3298">
        <v>482</v>
      </c>
      <c r="S3298">
        <v>158.81</v>
      </c>
    </row>
    <row r="3299" spans="1:19" x14ac:dyDescent="0.25">
      <c r="A3299" t="s">
        <v>7855</v>
      </c>
      <c r="B3299" s="1">
        <v>44929</v>
      </c>
      <c r="C3299" t="s">
        <v>7856</v>
      </c>
      <c r="D3299" t="s">
        <v>23</v>
      </c>
      <c r="E3299" t="s">
        <v>24</v>
      </c>
      <c r="F3299" t="s">
        <v>33</v>
      </c>
      <c r="G3299">
        <v>5</v>
      </c>
      <c r="H3299" t="s">
        <v>26</v>
      </c>
      <c r="I3299" t="s">
        <v>358</v>
      </c>
      <c r="J3299" t="s">
        <v>359</v>
      </c>
      <c r="K3299" t="s">
        <v>7857</v>
      </c>
      <c r="L3299">
        <v>15</v>
      </c>
      <c r="M3299">
        <v>50</v>
      </c>
      <c r="N3299" s="2">
        <v>0.26</v>
      </c>
      <c r="O3299">
        <v>88</v>
      </c>
      <c r="P3299">
        <v>12.01</v>
      </c>
      <c r="Q3299">
        <v>1</v>
      </c>
      <c r="R3299">
        <v>35</v>
      </c>
      <c r="S3299">
        <v>121.14</v>
      </c>
    </row>
    <row r="3300" spans="1:19" x14ac:dyDescent="0.25">
      <c r="A3300" t="s">
        <v>7858</v>
      </c>
      <c r="B3300" s="1">
        <v>44929</v>
      </c>
      <c r="C3300" t="s">
        <v>3668</v>
      </c>
      <c r="D3300" t="s">
        <v>23</v>
      </c>
      <c r="E3300" t="s">
        <v>24</v>
      </c>
      <c r="F3300" t="s">
        <v>323</v>
      </c>
      <c r="G3300">
        <v>5</v>
      </c>
      <c r="H3300" t="s">
        <v>49</v>
      </c>
      <c r="I3300" t="s">
        <v>50</v>
      </c>
      <c r="J3300" t="s">
        <v>51</v>
      </c>
      <c r="K3300" t="s">
        <v>7747</v>
      </c>
      <c r="R3300">
        <v>12</v>
      </c>
    </row>
    <row r="3301" spans="1:19" x14ac:dyDescent="0.25">
      <c r="A3301" t="s">
        <v>7859</v>
      </c>
      <c r="B3301" s="1">
        <v>44929</v>
      </c>
      <c r="C3301" t="s">
        <v>3712</v>
      </c>
      <c r="D3301" t="s">
        <v>23</v>
      </c>
      <c r="E3301" t="s">
        <v>24</v>
      </c>
      <c r="F3301" t="s">
        <v>208</v>
      </c>
      <c r="G3301">
        <v>10</v>
      </c>
      <c r="H3301" t="s">
        <v>464</v>
      </c>
      <c r="I3301" t="s">
        <v>579</v>
      </c>
      <c r="J3301" t="s">
        <v>1000</v>
      </c>
      <c r="K3301" t="s">
        <v>7860</v>
      </c>
    </row>
    <row r="3302" spans="1:19" x14ac:dyDescent="0.25">
      <c r="A3302" t="s">
        <v>7931</v>
      </c>
      <c r="B3302" s="1">
        <v>44936</v>
      </c>
      <c r="C3302" t="s">
        <v>7932</v>
      </c>
      <c r="D3302" t="s">
        <v>23</v>
      </c>
      <c r="E3302" t="s">
        <v>24</v>
      </c>
      <c r="F3302" t="s">
        <v>208</v>
      </c>
      <c r="G3302">
        <v>5</v>
      </c>
      <c r="H3302" t="s">
        <v>464</v>
      </c>
      <c r="I3302" t="s">
        <v>579</v>
      </c>
      <c r="J3302" t="s">
        <v>6638</v>
      </c>
      <c r="K3302" t="s">
        <v>7933</v>
      </c>
    </row>
    <row r="3303" spans="1:19" x14ac:dyDescent="0.25">
      <c r="A3303" t="s">
        <v>7934</v>
      </c>
      <c r="B3303" s="1">
        <v>44936</v>
      </c>
      <c r="C3303" t="s">
        <v>750</v>
      </c>
      <c r="D3303" t="s">
        <v>23</v>
      </c>
      <c r="E3303" t="s">
        <v>24</v>
      </c>
      <c r="F3303" t="s">
        <v>237</v>
      </c>
      <c r="G3303">
        <v>30</v>
      </c>
      <c r="H3303" t="s">
        <v>188</v>
      </c>
      <c r="I3303" t="s">
        <v>238</v>
      </c>
      <c r="J3303" t="s">
        <v>1322</v>
      </c>
      <c r="K3303" t="s">
        <v>7935</v>
      </c>
      <c r="R3303">
        <v>88</v>
      </c>
    </row>
    <row r="3304" spans="1:19" x14ac:dyDescent="0.25">
      <c r="A3304" t="s">
        <v>7936</v>
      </c>
      <c r="B3304" s="1">
        <v>44936</v>
      </c>
      <c r="C3304" t="s">
        <v>4109</v>
      </c>
      <c r="D3304" t="s">
        <v>23</v>
      </c>
      <c r="E3304" t="s">
        <v>24</v>
      </c>
      <c r="F3304" t="s">
        <v>33</v>
      </c>
      <c r="G3304">
        <v>45</v>
      </c>
      <c r="H3304" t="s">
        <v>26</v>
      </c>
      <c r="I3304" t="s">
        <v>370</v>
      </c>
      <c r="J3304" t="s">
        <v>439</v>
      </c>
      <c r="K3304" t="s">
        <v>7937</v>
      </c>
      <c r="L3304">
        <v>237</v>
      </c>
      <c r="M3304">
        <v>88</v>
      </c>
      <c r="N3304" s="2">
        <v>0.36</v>
      </c>
      <c r="O3304">
        <v>81</v>
      </c>
      <c r="P3304">
        <v>15.29</v>
      </c>
      <c r="Q3304">
        <v>11.47</v>
      </c>
      <c r="R3304">
        <v>429</v>
      </c>
      <c r="S3304">
        <v>148.37</v>
      </c>
    </row>
    <row r="3305" spans="1:19" x14ac:dyDescent="0.25">
      <c r="A3305" t="s">
        <v>7938</v>
      </c>
      <c r="B3305" s="1">
        <v>44936</v>
      </c>
      <c r="C3305" t="s">
        <v>7939</v>
      </c>
      <c r="D3305" t="s">
        <v>23</v>
      </c>
      <c r="E3305" t="s">
        <v>24</v>
      </c>
      <c r="F3305" t="s">
        <v>180</v>
      </c>
      <c r="G3305">
        <v>20</v>
      </c>
      <c r="H3305" t="s">
        <v>194</v>
      </c>
      <c r="I3305" t="s">
        <v>195</v>
      </c>
      <c r="J3305" t="s">
        <v>2247</v>
      </c>
      <c r="K3305" t="s">
        <v>7940</v>
      </c>
      <c r="R3305">
        <v>102</v>
      </c>
      <c r="S3305">
        <v>107.49</v>
      </c>
    </row>
    <row r="3306" spans="1:19" x14ac:dyDescent="0.25">
      <c r="A3306" t="s">
        <v>7941</v>
      </c>
      <c r="B3306" s="1">
        <v>44936</v>
      </c>
      <c r="C3306" t="s">
        <v>1248</v>
      </c>
      <c r="D3306" t="s">
        <v>23</v>
      </c>
      <c r="E3306" t="s">
        <v>24</v>
      </c>
      <c r="F3306" t="s">
        <v>2708</v>
      </c>
      <c r="G3306">
        <v>15</v>
      </c>
      <c r="H3306" t="s">
        <v>464</v>
      </c>
      <c r="I3306" t="s">
        <v>763</v>
      </c>
      <c r="J3306" t="s">
        <v>2926</v>
      </c>
      <c r="K3306" t="s">
        <v>7942</v>
      </c>
    </row>
    <row r="3307" spans="1:19" x14ac:dyDescent="0.25">
      <c r="A3307" t="s">
        <v>7974</v>
      </c>
      <c r="B3307" s="1">
        <v>44943</v>
      </c>
      <c r="C3307" t="s">
        <v>7787</v>
      </c>
      <c r="D3307" t="s">
        <v>23</v>
      </c>
      <c r="E3307" t="s">
        <v>24</v>
      </c>
      <c r="F3307" t="s">
        <v>200</v>
      </c>
      <c r="G3307">
        <v>30</v>
      </c>
      <c r="H3307" t="s">
        <v>188</v>
      </c>
      <c r="I3307" t="s">
        <v>254</v>
      </c>
      <c r="J3307" t="s">
        <v>5574</v>
      </c>
      <c r="K3307" t="s">
        <v>7975</v>
      </c>
      <c r="R3307">
        <v>98</v>
      </c>
    </row>
    <row r="3308" spans="1:19" x14ac:dyDescent="0.25">
      <c r="A3308" t="s">
        <v>7976</v>
      </c>
      <c r="B3308" s="1">
        <v>44943</v>
      </c>
      <c r="C3308" t="s">
        <v>7977</v>
      </c>
      <c r="D3308" t="s">
        <v>23</v>
      </c>
      <c r="E3308" t="s">
        <v>24</v>
      </c>
      <c r="F3308" t="s">
        <v>490</v>
      </c>
      <c r="G3308">
        <v>10</v>
      </c>
      <c r="H3308" t="s">
        <v>1856</v>
      </c>
      <c r="I3308" t="s">
        <v>6604</v>
      </c>
      <c r="J3308" t="s">
        <v>6762</v>
      </c>
      <c r="K3308" t="s">
        <v>7978</v>
      </c>
      <c r="L3308">
        <v>0</v>
      </c>
      <c r="P3308">
        <v>2.72</v>
      </c>
      <c r="Q3308">
        <v>0.01</v>
      </c>
      <c r="R3308">
        <v>2</v>
      </c>
    </row>
    <row r="3309" spans="1:19" x14ac:dyDescent="0.25">
      <c r="A3309" t="s">
        <v>7979</v>
      </c>
      <c r="B3309" s="1">
        <v>44943</v>
      </c>
      <c r="C3309" t="s">
        <v>3757</v>
      </c>
      <c r="D3309" t="s">
        <v>23</v>
      </c>
      <c r="E3309" t="s">
        <v>24</v>
      </c>
      <c r="F3309" t="s">
        <v>323</v>
      </c>
      <c r="G3309">
        <v>45</v>
      </c>
      <c r="H3309" t="s">
        <v>26</v>
      </c>
      <c r="I3309" t="s">
        <v>370</v>
      </c>
      <c r="J3309" t="s">
        <v>6547</v>
      </c>
      <c r="K3309" t="s">
        <v>7980</v>
      </c>
      <c r="L3309">
        <v>265</v>
      </c>
      <c r="M3309">
        <v>98</v>
      </c>
      <c r="N3309" s="2">
        <v>0.36</v>
      </c>
      <c r="O3309">
        <v>86</v>
      </c>
      <c r="P3309">
        <v>16.010000000000002</v>
      </c>
      <c r="Q3309">
        <v>12.01</v>
      </c>
      <c r="R3309">
        <v>506</v>
      </c>
      <c r="S3309">
        <v>163.76</v>
      </c>
    </row>
    <row r="3310" spans="1:19" x14ac:dyDescent="0.25">
      <c r="A3310" t="s">
        <v>7981</v>
      </c>
      <c r="B3310" s="1">
        <v>44943</v>
      </c>
      <c r="C3310" t="s">
        <v>3789</v>
      </c>
      <c r="D3310" t="s">
        <v>23</v>
      </c>
      <c r="E3310" t="s">
        <v>24</v>
      </c>
      <c r="F3310" t="s">
        <v>354</v>
      </c>
      <c r="G3310">
        <v>10</v>
      </c>
      <c r="H3310" t="s">
        <v>194</v>
      </c>
      <c r="I3310" t="s">
        <v>700</v>
      </c>
      <c r="J3310" t="s">
        <v>1282</v>
      </c>
      <c r="K3310" t="s">
        <v>7982</v>
      </c>
      <c r="R3310">
        <v>73</v>
      </c>
      <c r="S3310">
        <v>128.1</v>
      </c>
    </row>
    <row r="3311" spans="1:19" x14ac:dyDescent="0.25">
      <c r="A3311" t="s">
        <v>7983</v>
      </c>
      <c r="B3311" s="1">
        <v>44943</v>
      </c>
      <c r="C3311" t="s">
        <v>4801</v>
      </c>
      <c r="D3311" t="s">
        <v>23</v>
      </c>
      <c r="E3311" t="s">
        <v>24</v>
      </c>
      <c r="F3311" t="s">
        <v>170</v>
      </c>
      <c r="G3311">
        <v>5</v>
      </c>
      <c r="H3311" t="s">
        <v>194</v>
      </c>
      <c r="I3311" t="s">
        <v>195</v>
      </c>
      <c r="J3311" t="s">
        <v>196</v>
      </c>
      <c r="K3311" t="s">
        <v>7984</v>
      </c>
      <c r="R3311">
        <v>25</v>
      </c>
      <c r="S3311">
        <v>109.32</v>
      </c>
    </row>
    <row r="3312" spans="1:19" x14ac:dyDescent="0.25">
      <c r="A3312" t="s">
        <v>8029</v>
      </c>
      <c r="B3312" s="1">
        <v>44950</v>
      </c>
      <c r="C3312" t="s">
        <v>8030</v>
      </c>
      <c r="D3312" t="s">
        <v>23</v>
      </c>
      <c r="E3312" t="s">
        <v>24</v>
      </c>
      <c r="F3312" t="s">
        <v>2708</v>
      </c>
      <c r="G3312">
        <v>10</v>
      </c>
      <c r="H3312" t="s">
        <v>464</v>
      </c>
      <c r="I3312" t="s">
        <v>579</v>
      </c>
      <c r="J3312" t="s">
        <v>1000</v>
      </c>
      <c r="K3312" t="s">
        <v>8031</v>
      </c>
    </row>
    <row r="3313" spans="1:19" x14ac:dyDescent="0.25">
      <c r="A3313" t="s">
        <v>8032</v>
      </c>
      <c r="B3313" s="1">
        <v>44950</v>
      </c>
      <c r="C3313" t="s">
        <v>5165</v>
      </c>
      <c r="D3313" t="s">
        <v>23</v>
      </c>
      <c r="E3313" t="s">
        <v>24</v>
      </c>
      <c r="F3313" t="s">
        <v>200</v>
      </c>
      <c r="G3313">
        <v>30</v>
      </c>
      <c r="H3313" t="s">
        <v>188</v>
      </c>
      <c r="I3313" t="s">
        <v>238</v>
      </c>
      <c r="J3313" t="s">
        <v>1956</v>
      </c>
      <c r="K3313" t="s">
        <v>8033</v>
      </c>
      <c r="R3313">
        <v>91</v>
      </c>
    </row>
    <row r="3314" spans="1:19" x14ac:dyDescent="0.25">
      <c r="A3314" t="s">
        <v>8034</v>
      </c>
      <c r="B3314" s="1">
        <v>44950</v>
      </c>
      <c r="C3314" t="s">
        <v>8035</v>
      </c>
      <c r="D3314" t="s">
        <v>23</v>
      </c>
      <c r="E3314" t="s">
        <v>24</v>
      </c>
      <c r="F3314" t="s">
        <v>297</v>
      </c>
      <c r="G3314">
        <v>45</v>
      </c>
      <c r="H3314" t="s">
        <v>7750</v>
      </c>
      <c r="I3314" t="s">
        <v>663</v>
      </c>
      <c r="J3314" t="s">
        <v>632</v>
      </c>
      <c r="K3314" t="s">
        <v>7564</v>
      </c>
      <c r="L3314">
        <v>132</v>
      </c>
      <c r="P3314">
        <v>2.88</v>
      </c>
      <c r="Q3314">
        <v>2.94</v>
      </c>
      <c r="R3314">
        <v>415</v>
      </c>
      <c r="S3314">
        <v>138.74</v>
      </c>
    </row>
    <row r="3315" spans="1:19" x14ac:dyDescent="0.25">
      <c r="A3315" t="s">
        <v>8036</v>
      </c>
      <c r="B3315" s="1">
        <v>44950</v>
      </c>
      <c r="C3315" t="s">
        <v>4116</v>
      </c>
      <c r="D3315" t="s">
        <v>23</v>
      </c>
      <c r="G3315">
        <v>37</v>
      </c>
      <c r="H3315" t="s">
        <v>1856</v>
      </c>
      <c r="J3315" t="s">
        <v>8037</v>
      </c>
      <c r="L3315">
        <v>0</v>
      </c>
      <c r="P3315">
        <v>3.12</v>
      </c>
      <c r="Q3315">
        <v>1.86</v>
      </c>
      <c r="R3315">
        <v>141</v>
      </c>
    </row>
    <row r="3316" spans="1:19" x14ac:dyDescent="0.25">
      <c r="A3316" t="s">
        <v>8038</v>
      </c>
      <c r="B3316" s="1">
        <v>44950</v>
      </c>
      <c r="C3316" t="s">
        <v>8039</v>
      </c>
      <c r="D3316" t="s">
        <v>23</v>
      </c>
      <c r="E3316" t="s">
        <v>24</v>
      </c>
      <c r="F3316" t="s">
        <v>237</v>
      </c>
      <c r="G3316">
        <v>5</v>
      </c>
      <c r="H3316" t="s">
        <v>464</v>
      </c>
      <c r="I3316" t="s">
        <v>579</v>
      </c>
      <c r="J3316" t="s">
        <v>2959</v>
      </c>
      <c r="K3316" t="s">
        <v>8040</v>
      </c>
    </row>
    <row r="3317" spans="1:19" x14ac:dyDescent="0.25">
      <c r="A3317" t="s">
        <v>8087</v>
      </c>
      <c r="B3317" s="1">
        <v>44957</v>
      </c>
      <c r="C3317" t="s">
        <v>7311</v>
      </c>
      <c r="D3317" t="s">
        <v>23</v>
      </c>
      <c r="E3317" t="s">
        <v>24</v>
      </c>
      <c r="F3317" t="s">
        <v>323</v>
      </c>
      <c r="G3317">
        <v>45</v>
      </c>
      <c r="H3317" t="s">
        <v>26</v>
      </c>
      <c r="I3317" t="s">
        <v>370</v>
      </c>
      <c r="J3317" t="s">
        <v>479</v>
      </c>
      <c r="K3317" t="s">
        <v>8088</v>
      </c>
      <c r="L3317">
        <v>197</v>
      </c>
      <c r="M3317">
        <v>73</v>
      </c>
      <c r="N3317" s="2">
        <v>0.31</v>
      </c>
      <c r="O3317">
        <v>85</v>
      </c>
      <c r="P3317">
        <v>13.75</v>
      </c>
      <c r="Q3317">
        <v>10.31</v>
      </c>
      <c r="R3317">
        <v>481</v>
      </c>
      <c r="S3317">
        <v>158.41</v>
      </c>
    </row>
    <row r="3318" spans="1:19" x14ac:dyDescent="0.25">
      <c r="A3318" t="s">
        <v>8089</v>
      </c>
      <c r="B3318" s="1">
        <v>44957</v>
      </c>
      <c r="C3318" t="s">
        <v>8090</v>
      </c>
      <c r="D3318" t="s">
        <v>23</v>
      </c>
      <c r="E3318" t="s">
        <v>24</v>
      </c>
      <c r="F3318" t="s">
        <v>554</v>
      </c>
      <c r="G3318">
        <v>5</v>
      </c>
      <c r="H3318" t="s">
        <v>26</v>
      </c>
      <c r="I3318" t="s">
        <v>358</v>
      </c>
      <c r="J3318" t="s">
        <v>359</v>
      </c>
      <c r="K3318" t="s">
        <v>8091</v>
      </c>
      <c r="L3318">
        <v>6</v>
      </c>
      <c r="M3318">
        <v>20</v>
      </c>
      <c r="N3318" s="2">
        <v>0.15</v>
      </c>
      <c r="O3318">
        <v>78</v>
      </c>
      <c r="P3318">
        <v>7.31</v>
      </c>
      <c r="Q3318">
        <v>0.61</v>
      </c>
      <c r="R3318">
        <v>27</v>
      </c>
      <c r="S3318">
        <v>102.02</v>
      </c>
    </row>
    <row r="3319" spans="1:19" x14ac:dyDescent="0.25">
      <c r="A3319" t="s">
        <v>8092</v>
      </c>
      <c r="B3319" s="1">
        <v>44957</v>
      </c>
      <c r="C3319" t="s">
        <v>7696</v>
      </c>
      <c r="D3319" t="s">
        <v>23</v>
      </c>
      <c r="E3319" t="s">
        <v>24</v>
      </c>
      <c r="F3319" t="s">
        <v>2876</v>
      </c>
      <c r="G3319">
        <v>10</v>
      </c>
      <c r="H3319" t="s">
        <v>194</v>
      </c>
      <c r="I3319" t="s">
        <v>700</v>
      </c>
      <c r="J3319" t="s">
        <v>8093</v>
      </c>
      <c r="K3319" t="s">
        <v>8094</v>
      </c>
      <c r="R3319">
        <v>47</v>
      </c>
    </row>
    <row r="3320" spans="1:19" x14ac:dyDescent="0.25">
      <c r="A3320" t="s">
        <v>8095</v>
      </c>
      <c r="B3320" s="1">
        <v>44957</v>
      </c>
      <c r="C3320" t="s">
        <v>8096</v>
      </c>
      <c r="D3320" t="s">
        <v>23</v>
      </c>
      <c r="E3320" t="s">
        <v>24</v>
      </c>
      <c r="F3320" t="s">
        <v>6030</v>
      </c>
      <c r="G3320">
        <v>10</v>
      </c>
      <c r="H3320" t="s">
        <v>194</v>
      </c>
      <c r="I3320" t="s">
        <v>195</v>
      </c>
      <c r="J3320" t="s">
        <v>211</v>
      </c>
      <c r="K3320" t="s">
        <v>8097</v>
      </c>
      <c r="R3320">
        <v>47</v>
      </c>
    </row>
    <row r="3321" spans="1:19" x14ac:dyDescent="0.25">
      <c r="A3321" t="s">
        <v>8098</v>
      </c>
      <c r="B3321" s="1">
        <v>44957</v>
      </c>
      <c r="C3321" t="s">
        <v>8099</v>
      </c>
      <c r="D3321" t="s">
        <v>23</v>
      </c>
      <c r="E3321" t="s">
        <v>24</v>
      </c>
      <c r="F3321" t="s">
        <v>747</v>
      </c>
      <c r="G3321">
        <v>5</v>
      </c>
      <c r="H3321" t="s">
        <v>49</v>
      </c>
      <c r="I3321" t="s">
        <v>50</v>
      </c>
      <c r="J3321" t="s">
        <v>51</v>
      </c>
      <c r="K3321" t="s">
        <v>8100</v>
      </c>
      <c r="R3321">
        <v>12</v>
      </c>
    </row>
    <row r="3322" spans="1:19" x14ac:dyDescent="0.25">
      <c r="A3322" t="s">
        <v>8101</v>
      </c>
      <c r="B3322" s="1">
        <v>44957</v>
      </c>
      <c r="C3322" t="s">
        <v>8102</v>
      </c>
      <c r="D3322" t="s">
        <v>23</v>
      </c>
      <c r="E3322" t="s">
        <v>24</v>
      </c>
      <c r="F3322" t="s">
        <v>215</v>
      </c>
      <c r="G3322">
        <v>20</v>
      </c>
      <c r="H3322" t="s">
        <v>464</v>
      </c>
      <c r="I3322" t="s">
        <v>943</v>
      </c>
      <c r="J3322" t="s">
        <v>1347</v>
      </c>
      <c r="K3322" t="s">
        <v>8103</v>
      </c>
    </row>
    <row r="3323" spans="1:19" x14ac:dyDescent="0.25">
      <c r="A3323" t="s">
        <v>8157</v>
      </c>
      <c r="B3323" s="1">
        <v>44964</v>
      </c>
      <c r="C3323" t="s">
        <v>7634</v>
      </c>
      <c r="D3323" t="s">
        <v>23</v>
      </c>
      <c r="E3323" t="s">
        <v>24</v>
      </c>
      <c r="F3323" t="s">
        <v>323</v>
      </c>
      <c r="G3323">
        <v>45</v>
      </c>
      <c r="H3323" t="s">
        <v>26</v>
      </c>
      <c r="I3323" t="s">
        <v>370</v>
      </c>
      <c r="J3323" t="s">
        <v>479</v>
      </c>
      <c r="K3323" t="s">
        <v>8158</v>
      </c>
      <c r="L3323">
        <v>190</v>
      </c>
      <c r="M3323">
        <v>70</v>
      </c>
      <c r="N3323" s="2">
        <v>0.3</v>
      </c>
      <c r="O3323">
        <v>85</v>
      </c>
      <c r="P3323">
        <v>13.47</v>
      </c>
      <c r="Q3323">
        <v>10.1</v>
      </c>
      <c r="R3323">
        <v>455</v>
      </c>
      <c r="S3323">
        <v>153.75</v>
      </c>
    </row>
    <row r="3324" spans="1:19" x14ac:dyDescent="0.25">
      <c r="A3324" t="s">
        <v>8159</v>
      </c>
      <c r="B3324" s="1">
        <v>44964</v>
      </c>
      <c r="C3324" t="s">
        <v>8160</v>
      </c>
      <c r="D3324" t="s">
        <v>23</v>
      </c>
      <c r="E3324" t="s">
        <v>24</v>
      </c>
      <c r="F3324" t="s">
        <v>180</v>
      </c>
      <c r="G3324">
        <v>5</v>
      </c>
      <c r="H3324" t="s">
        <v>26</v>
      </c>
      <c r="I3324" t="s">
        <v>358</v>
      </c>
      <c r="J3324" t="s">
        <v>359</v>
      </c>
      <c r="K3324" t="s">
        <v>8161</v>
      </c>
      <c r="L3324">
        <v>10</v>
      </c>
      <c r="M3324">
        <v>33</v>
      </c>
      <c r="N3324" s="2">
        <v>0.25</v>
      </c>
      <c r="O3324">
        <v>71</v>
      </c>
      <c r="P3324">
        <v>9.65</v>
      </c>
      <c r="Q3324">
        <v>0.8</v>
      </c>
      <c r="R3324">
        <v>29</v>
      </c>
      <c r="S3324">
        <v>110.51</v>
      </c>
    </row>
    <row r="3325" spans="1:19" x14ac:dyDescent="0.25">
      <c r="A3325" t="s">
        <v>8162</v>
      </c>
      <c r="B3325" s="1">
        <v>44964</v>
      </c>
      <c r="C3325" t="s">
        <v>8163</v>
      </c>
      <c r="D3325" t="s">
        <v>23</v>
      </c>
      <c r="E3325" t="s">
        <v>24</v>
      </c>
      <c r="F3325" t="s">
        <v>180</v>
      </c>
      <c r="G3325">
        <v>20</v>
      </c>
      <c r="H3325" t="s">
        <v>194</v>
      </c>
      <c r="I3325" t="s">
        <v>195</v>
      </c>
      <c r="J3325" t="s">
        <v>2247</v>
      </c>
      <c r="K3325" t="s">
        <v>8164</v>
      </c>
      <c r="R3325">
        <v>97</v>
      </c>
      <c r="S3325">
        <v>108.53</v>
      </c>
    </row>
    <row r="3326" spans="1:19" x14ac:dyDescent="0.25">
      <c r="A3326" t="s">
        <v>8165</v>
      </c>
      <c r="B3326" s="1">
        <v>44964</v>
      </c>
      <c r="C3326" t="s">
        <v>8166</v>
      </c>
      <c r="D3326" t="s">
        <v>23</v>
      </c>
      <c r="E3326" t="s">
        <v>24</v>
      </c>
      <c r="F3326" t="s">
        <v>215</v>
      </c>
      <c r="G3326">
        <v>30</v>
      </c>
      <c r="H3326" t="s">
        <v>188</v>
      </c>
      <c r="I3326" t="s">
        <v>189</v>
      </c>
      <c r="J3326" t="s">
        <v>8167</v>
      </c>
      <c r="K3326" t="s">
        <v>8168</v>
      </c>
      <c r="R3326">
        <v>115</v>
      </c>
      <c r="S3326">
        <v>98.07</v>
      </c>
    </row>
    <row r="3327" spans="1:19" x14ac:dyDescent="0.25">
      <c r="A3327" t="s">
        <v>8169</v>
      </c>
      <c r="B3327" s="1">
        <v>44964</v>
      </c>
      <c r="C3327" t="s">
        <v>8170</v>
      </c>
      <c r="D3327" t="s">
        <v>23</v>
      </c>
      <c r="E3327" t="s">
        <v>24</v>
      </c>
      <c r="F3327" t="s">
        <v>200</v>
      </c>
      <c r="G3327">
        <v>10</v>
      </c>
      <c r="H3327" t="s">
        <v>464</v>
      </c>
      <c r="I3327" t="s">
        <v>579</v>
      </c>
      <c r="J3327" t="s">
        <v>1000</v>
      </c>
      <c r="K3327" t="s">
        <v>8171</v>
      </c>
    </row>
    <row r="3328" spans="1:19" x14ac:dyDescent="0.25">
      <c r="A3328" t="s">
        <v>8225</v>
      </c>
      <c r="B3328" s="1">
        <v>44971</v>
      </c>
      <c r="C3328" t="s">
        <v>3565</v>
      </c>
      <c r="D3328" t="s">
        <v>23</v>
      </c>
      <c r="E3328" t="s">
        <v>24</v>
      </c>
      <c r="F3328" t="s">
        <v>243</v>
      </c>
      <c r="G3328">
        <v>45</v>
      </c>
      <c r="H3328" t="s">
        <v>26</v>
      </c>
      <c r="I3328" t="s">
        <v>370</v>
      </c>
      <c r="J3328" t="s">
        <v>479</v>
      </c>
      <c r="K3328" t="s">
        <v>4943</v>
      </c>
      <c r="L3328">
        <v>265</v>
      </c>
      <c r="M3328">
        <v>98</v>
      </c>
      <c r="N3328" s="2">
        <v>0.35</v>
      </c>
      <c r="O3328">
        <v>85</v>
      </c>
      <c r="P3328">
        <v>15.53</v>
      </c>
      <c r="Q3328">
        <v>11.65</v>
      </c>
      <c r="R3328">
        <v>478</v>
      </c>
      <c r="S3328">
        <v>157.81</v>
      </c>
    </row>
    <row r="3329" spans="1:19" x14ac:dyDescent="0.25">
      <c r="A3329" t="s">
        <v>8226</v>
      </c>
      <c r="B3329" s="1">
        <v>44971</v>
      </c>
      <c r="C3329" t="s">
        <v>8227</v>
      </c>
      <c r="D3329" t="s">
        <v>23</v>
      </c>
      <c r="E3329" t="s">
        <v>24</v>
      </c>
      <c r="F3329" t="s">
        <v>180</v>
      </c>
      <c r="G3329">
        <v>15</v>
      </c>
      <c r="H3329" t="s">
        <v>26</v>
      </c>
      <c r="I3329" t="s">
        <v>39</v>
      </c>
      <c r="J3329" t="s">
        <v>366</v>
      </c>
      <c r="K3329" t="s">
        <v>8228</v>
      </c>
      <c r="L3329">
        <v>68</v>
      </c>
      <c r="M3329">
        <v>75</v>
      </c>
      <c r="N3329" s="2">
        <v>0.32</v>
      </c>
      <c r="O3329">
        <v>84</v>
      </c>
      <c r="P3329">
        <v>14.15</v>
      </c>
      <c r="Q3329">
        <v>3.54</v>
      </c>
      <c r="R3329">
        <v>143</v>
      </c>
      <c r="S3329">
        <v>148.54</v>
      </c>
    </row>
    <row r="3330" spans="1:19" x14ac:dyDescent="0.25">
      <c r="A3330" t="s">
        <v>8229</v>
      </c>
      <c r="B3330" s="1">
        <v>44971</v>
      </c>
      <c r="C3330" t="s">
        <v>8230</v>
      </c>
      <c r="D3330" t="s">
        <v>23</v>
      </c>
      <c r="E3330" t="s">
        <v>24</v>
      </c>
      <c r="F3330" t="s">
        <v>2256</v>
      </c>
      <c r="G3330">
        <v>20</v>
      </c>
      <c r="H3330" t="s">
        <v>194</v>
      </c>
      <c r="I3330" t="s">
        <v>1445</v>
      </c>
      <c r="J3330" t="s">
        <v>4217</v>
      </c>
      <c r="K3330" t="s">
        <v>8231</v>
      </c>
      <c r="R3330">
        <v>117</v>
      </c>
      <c r="S3330">
        <v>111.97</v>
      </c>
    </row>
    <row r="3331" spans="1:19" x14ac:dyDescent="0.25">
      <c r="A3331" t="s">
        <v>8232</v>
      </c>
      <c r="B3331" s="1">
        <v>44971</v>
      </c>
      <c r="C3331" t="s">
        <v>8233</v>
      </c>
      <c r="D3331" t="s">
        <v>23</v>
      </c>
      <c r="E3331" t="s">
        <v>24</v>
      </c>
      <c r="F3331" t="s">
        <v>2256</v>
      </c>
      <c r="G3331">
        <v>15</v>
      </c>
      <c r="H3331" t="s">
        <v>194</v>
      </c>
      <c r="I3331" t="s">
        <v>195</v>
      </c>
      <c r="J3331" t="s">
        <v>6498</v>
      </c>
      <c r="K3331" t="s">
        <v>8234</v>
      </c>
      <c r="R3331">
        <v>65</v>
      </c>
      <c r="S3331">
        <v>103.81</v>
      </c>
    </row>
    <row r="3332" spans="1:19" x14ac:dyDescent="0.25">
      <c r="A3332" t="s">
        <v>8278</v>
      </c>
      <c r="B3332" s="1">
        <v>44978</v>
      </c>
      <c r="C3332" t="s">
        <v>3693</v>
      </c>
      <c r="D3332" t="s">
        <v>23</v>
      </c>
      <c r="E3332" t="s">
        <v>24</v>
      </c>
      <c r="F3332" t="s">
        <v>297</v>
      </c>
      <c r="G3332">
        <v>45</v>
      </c>
      <c r="H3332" t="s">
        <v>7750</v>
      </c>
      <c r="I3332" t="s">
        <v>8279</v>
      </c>
      <c r="J3332" t="s">
        <v>681</v>
      </c>
      <c r="K3332" t="s">
        <v>7564</v>
      </c>
      <c r="L3332">
        <v>129</v>
      </c>
      <c r="P3332">
        <v>2.83</v>
      </c>
      <c r="Q3332">
        <v>2.9</v>
      </c>
      <c r="R3332">
        <v>442</v>
      </c>
      <c r="S3332">
        <v>150.78</v>
      </c>
    </row>
    <row r="3333" spans="1:19" x14ac:dyDescent="0.25">
      <c r="A3333" t="s">
        <v>8280</v>
      </c>
      <c r="B3333" s="1">
        <v>44978</v>
      </c>
      <c r="C3333" t="s">
        <v>8281</v>
      </c>
      <c r="D3333" t="s">
        <v>23</v>
      </c>
      <c r="E3333" t="s">
        <v>24</v>
      </c>
      <c r="F3333" t="s">
        <v>7754</v>
      </c>
      <c r="G3333">
        <v>5</v>
      </c>
      <c r="H3333" t="s">
        <v>7562</v>
      </c>
      <c r="I3333" t="s">
        <v>7567</v>
      </c>
      <c r="J3333" t="s">
        <v>7778</v>
      </c>
      <c r="K3333" t="s">
        <v>8282</v>
      </c>
      <c r="L3333">
        <v>16</v>
      </c>
      <c r="P3333">
        <v>2.66</v>
      </c>
      <c r="Q3333">
        <v>0.44</v>
      </c>
      <c r="R3333">
        <v>33</v>
      </c>
      <c r="S3333">
        <v>133.30000000000001</v>
      </c>
    </row>
    <row r="3334" spans="1:19" x14ac:dyDescent="0.25">
      <c r="A3334" t="s">
        <v>8283</v>
      </c>
      <c r="B3334" s="1">
        <v>44978</v>
      </c>
      <c r="C3334" t="s">
        <v>8284</v>
      </c>
      <c r="D3334" t="s">
        <v>23</v>
      </c>
      <c r="E3334" t="s">
        <v>24</v>
      </c>
      <c r="F3334" t="s">
        <v>6030</v>
      </c>
      <c r="G3334">
        <v>10</v>
      </c>
      <c r="H3334" t="s">
        <v>194</v>
      </c>
      <c r="I3334" t="s">
        <v>1445</v>
      </c>
      <c r="J3334" t="s">
        <v>2809</v>
      </c>
      <c r="K3334" t="s">
        <v>8285</v>
      </c>
      <c r="R3334">
        <v>44</v>
      </c>
      <c r="S3334">
        <v>103.63</v>
      </c>
    </row>
    <row r="3335" spans="1:19" x14ac:dyDescent="0.25">
      <c r="A3335" t="s">
        <v>8286</v>
      </c>
      <c r="B3335" s="1">
        <v>44978</v>
      </c>
      <c r="C3335" t="s">
        <v>4063</v>
      </c>
      <c r="D3335" t="s">
        <v>23</v>
      </c>
      <c r="E3335" t="s">
        <v>24</v>
      </c>
      <c r="F3335" t="s">
        <v>305</v>
      </c>
      <c r="G3335">
        <v>5</v>
      </c>
      <c r="H3335" t="s">
        <v>194</v>
      </c>
      <c r="I3335" t="s">
        <v>195</v>
      </c>
      <c r="J3335" t="s">
        <v>196</v>
      </c>
      <c r="K3335" t="s">
        <v>8287</v>
      </c>
      <c r="R3335">
        <v>26</v>
      </c>
      <c r="S3335">
        <v>111.12</v>
      </c>
    </row>
    <row r="3336" spans="1:19" x14ac:dyDescent="0.25">
      <c r="A3336" t="s">
        <v>8288</v>
      </c>
      <c r="B3336" s="1">
        <v>44978</v>
      </c>
      <c r="C3336" t="s">
        <v>8289</v>
      </c>
      <c r="D3336" t="s">
        <v>23</v>
      </c>
      <c r="E3336" t="s">
        <v>24</v>
      </c>
      <c r="F3336" t="s">
        <v>200</v>
      </c>
      <c r="G3336">
        <v>30</v>
      </c>
      <c r="H3336" t="s">
        <v>188</v>
      </c>
      <c r="I3336" t="s">
        <v>189</v>
      </c>
      <c r="J3336" t="s">
        <v>4627</v>
      </c>
      <c r="K3336" t="s">
        <v>8290</v>
      </c>
      <c r="R3336">
        <v>98</v>
      </c>
    </row>
    <row r="3337" spans="1:19" x14ac:dyDescent="0.25">
      <c r="A3337" t="s">
        <v>8291</v>
      </c>
      <c r="B3337" s="1">
        <v>44978</v>
      </c>
      <c r="C3337" t="s">
        <v>1819</v>
      </c>
      <c r="D3337" t="s">
        <v>23</v>
      </c>
      <c r="E3337" t="s">
        <v>24</v>
      </c>
      <c r="F3337" t="s">
        <v>215</v>
      </c>
      <c r="G3337">
        <v>5</v>
      </c>
      <c r="H3337" t="s">
        <v>464</v>
      </c>
      <c r="I3337" t="s">
        <v>1571</v>
      </c>
      <c r="J3337" t="s">
        <v>8292</v>
      </c>
      <c r="K3337" t="s">
        <v>8293</v>
      </c>
    </row>
    <row r="3338" spans="1:19" x14ac:dyDescent="0.25">
      <c r="A3338" t="s">
        <v>8336</v>
      </c>
      <c r="B3338" s="1">
        <v>44985</v>
      </c>
      <c r="C3338" t="s">
        <v>144</v>
      </c>
      <c r="D3338" t="s">
        <v>23</v>
      </c>
      <c r="E3338" t="s">
        <v>24</v>
      </c>
      <c r="F3338" t="s">
        <v>200</v>
      </c>
      <c r="G3338">
        <v>45</v>
      </c>
      <c r="H3338" t="s">
        <v>188</v>
      </c>
      <c r="I3338" t="s">
        <v>254</v>
      </c>
      <c r="J3338" t="s">
        <v>1741</v>
      </c>
      <c r="K3338" t="s">
        <v>8337</v>
      </c>
      <c r="R3338">
        <v>140</v>
      </c>
    </row>
    <row r="3339" spans="1:19" x14ac:dyDescent="0.25">
      <c r="A3339" t="s">
        <v>8338</v>
      </c>
      <c r="B3339" s="1">
        <v>44985</v>
      </c>
      <c r="C3339" t="s">
        <v>3464</v>
      </c>
      <c r="D3339" t="s">
        <v>23</v>
      </c>
      <c r="E3339" t="s">
        <v>24</v>
      </c>
      <c r="F3339" t="s">
        <v>2708</v>
      </c>
      <c r="G3339">
        <v>15</v>
      </c>
      <c r="H3339" t="s">
        <v>464</v>
      </c>
      <c r="I3339" t="s">
        <v>763</v>
      </c>
      <c r="J3339" t="s">
        <v>2508</v>
      </c>
      <c r="K3339" t="s">
        <v>8339</v>
      </c>
    </row>
    <row r="3340" spans="1:19" x14ac:dyDescent="0.25">
      <c r="A3340" t="s">
        <v>8407</v>
      </c>
      <c r="B3340" s="1">
        <v>44992</v>
      </c>
      <c r="C3340" t="s">
        <v>1078</v>
      </c>
      <c r="D3340" t="s">
        <v>23</v>
      </c>
      <c r="E3340" t="s">
        <v>24</v>
      </c>
      <c r="F3340" t="s">
        <v>2708</v>
      </c>
      <c r="G3340">
        <v>30</v>
      </c>
      <c r="H3340" t="s">
        <v>188</v>
      </c>
      <c r="I3340" t="s">
        <v>254</v>
      </c>
      <c r="J3340" t="s">
        <v>255</v>
      </c>
      <c r="K3340" t="s">
        <v>8408</v>
      </c>
      <c r="R3340">
        <v>92</v>
      </c>
    </row>
    <row r="3341" spans="1:19" x14ac:dyDescent="0.25">
      <c r="A3341" t="s">
        <v>8409</v>
      </c>
      <c r="B3341" s="1">
        <v>44992</v>
      </c>
      <c r="C3341" t="s">
        <v>8410</v>
      </c>
      <c r="D3341" t="s">
        <v>23</v>
      </c>
      <c r="G3341">
        <v>41</v>
      </c>
      <c r="H3341" t="s">
        <v>1856</v>
      </c>
      <c r="J3341" t="s">
        <v>8411</v>
      </c>
      <c r="L3341">
        <v>0</v>
      </c>
      <c r="P3341">
        <v>3.11</v>
      </c>
      <c r="Q3341">
        <v>2.1</v>
      </c>
      <c r="R3341">
        <v>271</v>
      </c>
      <c r="S3341">
        <v>131.16999999999999</v>
      </c>
    </row>
    <row r="3342" spans="1:19" x14ac:dyDescent="0.25">
      <c r="A3342" t="s">
        <v>8412</v>
      </c>
      <c r="B3342" s="1">
        <v>44992</v>
      </c>
      <c r="C3342" t="s">
        <v>3568</v>
      </c>
      <c r="D3342" t="s">
        <v>23</v>
      </c>
      <c r="E3342" t="s">
        <v>24</v>
      </c>
      <c r="F3342" t="s">
        <v>231</v>
      </c>
      <c r="G3342">
        <v>10</v>
      </c>
      <c r="H3342" t="s">
        <v>194</v>
      </c>
      <c r="I3342" t="s">
        <v>195</v>
      </c>
      <c r="J3342" t="s">
        <v>211</v>
      </c>
      <c r="K3342" t="s">
        <v>7961</v>
      </c>
      <c r="R3342">
        <v>48</v>
      </c>
      <c r="S3342">
        <v>105.44</v>
      </c>
    </row>
    <row r="3343" spans="1:19" x14ac:dyDescent="0.25">
      <c r="A3343" t="s">
        <v>8413</v>
      </c>
      <c r="B3343" s="1">
        <v>44992</v>
      </c>
      <c r="C3343" t="s">
        <v>8414</v>
      </c>
      <c r="D3343" t="s">
        <v>23</v>
      </c>
      <c r="E3343" t="s">
        <v>24</v>
      </c>
      <c r="F3343" t="s">
        <v>323</v>
      </c>
      <c r="G3343">
        <v>90</v>
      </c>
      <c r="H3343" t="s">
        <v>26</v>
      </c>
      <c r="I3343" t="s">
        <v>370</v>
      </c>
      <c r="J3343" t="s">
        <v>1278</v>
      </c>
      <c r="K3343" t="s">
        <v>8415</v>
      </c>
      <c r="L3343">
        <v>556</v>
      </c>
      <c r="M3343">
        <v>103</v>
      </c>
      <c r="N3343" s="2">
        <v>0.37</v>
      </c>
      <c r="O3343">
        <v>84</v>
      </c>
      <c r="P3343">
        <v>16.34</v>
      </c>
      <c r="Q3343">
        <v>24.5</v>
      </c>
      <c r="R3343">
        <v>909</v>
      </c>
      <c r="S3343">
        <v>153.31</v>
      </c>
    </row>
    <row r="3344" spans="1:19" x14ac:dyDescent="0.25">
      <c r="A3344" t="s">
        <v>8416</v>
      </c>
      <c r="B3344" s="1">
        <v>44992</v>
      </c>
      <c r="C3344" t="s">
        <v>8417</v>
      </c>
      <c r="D3344" t="s">
        <v>23</v>
      </c>
      <c r="E3344" t="s">
        <v>24</v>
      </c>
      <c r="F3344" t="s">
        <v>660</v>
      </c>
      <c r="G3344">
        <v>5</v>
      </c>
      <c r="H3344" t="s">
        <v>49</v>
      </c>
      <c r="I3344" t="s">
        <v>50</v>
      </c>
      <c r="J3344" t="s">
        <v>51</v>
      </c>
      <c r="K3344" t="s">
        <v>8418</v>
      </c>
      <c r="R3344">
        <v>28</v>
      </c>
      <c r="S3344">
        <v>114.77</v>
      </c>
    </row>
    <row r="3345" spans="1:19" x14ac:dyDescent="0.25">
      <c r="A3345" t="s">
        <v>8419</v>
      </c>
      <c r="B3345" s="1">
        <v>44992</v>
      </c>
      <c r="C3345" t="s">
        <v>1801</v>
      </c>
      <c r="D3345" t="s">
        <v>23</v>
      </c>
      <c r="E3345" t="s">
        <v>24</v>
      </c>
      <c r="F3345" t="s">
        <v>237</v>
      </c>
      <c r="G3345">
        <v>5</v>
      </c>
      <c r="H3345" t="s">
        <v>464</v>
      </c>
      <c r="I3345" t="s">
        <v>579</v>
      </c>
      <c r="J3345" t="s">
        <v>2959</v>
      </c>
      <c r="K3345" t="s">
        <v>8420</v>
      </c>
    </row>
    <row r="3346" spans="1:19" x14ac:dyDescent="0.25">
      <c r="A3346" t="s">
        <v>8461</v>
      </c>
      <c r="B3346" s="1">
        <v>44999</v>
      </c>
      <c r="C3346" t="s">
        <v>6151</v>
      </c>
      <c r="D3346" t="s">
        <v>23</v>
      </c>
      <c r="E3346" t="s">
        <v>24</v>
      </c>
      <c r="F3346" t="s">
        <v>231</v>
      </c>
      <c r="G3346">
        <v>10</v>
      </c>
      <c r="H3346" t="s">
        <v>194</v>
      </c>
      <c r="I3346" t="s">
        <v>195</v>
      </c>
      <c r="J3346" t="s">
        <v>211</v>
      </c>
      <c r="K3346" t="s">
        <v>8452</v>
      </c>
      <c r="R3346">
        <v>67</v>
      </c>
      <c r="S3346">
        <v>118.05</v>
      </c>
    </row>
    <row r="3347" spans="1:19" x14ac:dyDescent="0.25">
      <c r="A3347" t="s">
        <v>8462</v>
      </c>
      <c r="B3347" s="1">
        <v>44999</v>
      </c>
      <c r="C3347" t="s">
        <v>7174</v>
      </c>
      <c r="D3347" t="s">
        <v>23</v>
      </c>
      <c r="E3347" t="s">
        <v>24</v>
      </c>
      <c r="F3347" t="s">
        <v>323</v>
      </c>
      <c r="G3347">
        <v>60</v>
      </c>
      <c r="H3347" t="s">
        <v>26</v>
      </c>
      <c r="I3347" t="s">
        <v>370</v>
      </c>
      <c r="J3347" t="s">
        <v>498</v>
      </c>
      <c r="K3347" t="s">
        <v>8463</v>
      </c>
      <c r="L3347">
        <v>325</v>
      </c>
      <c r="M3347">
        <v>90</v>
      </c>
      <c r="N3347" s="2">
        <v>0.37</v>
      </c>
      <c r="O3347">
        <v>81</v>
      </c>
      <c r="P3347">
        <v>15.52</v>
      </c>
      <c r="Q3347">
        <v>15.52</v>
      </c>
      <c r="R3347">
        <v>537</v>
      </c>
      <c r="S3347">
        <v>143.41999999999999</v>
      </c>
    </row>
    <row r="3348" spans="1:19" x14ac:dyDescent="0.25">
      <c r="A3348" t="s">
        <v>8464</v>
      </c>
      <c r="B3348" s="1">
        <v>44999</v>
      </c>
      <c r="C3348" t="s">
        <v>6029</v>
      </c>
      <c r="D3348" t="s">
        <v>23</v>
      </c>
      <c r="E3348" t="s">
        <v>24</v>
      </c>
      <c r="F3348" t="s">
        <v>25</v>
      </c>
      <c r="G3348">
        <v>10</v>
      </c>
      <c r="H3348" t="s">
        <v>194</v>
      </c>
      <c r="I3348" t="s">
        <v>700</v>
      </c>
      <c r="J3348" t="s">
        <v>8465</v>
      </c>
      <c r="K3348" t="s">
        <v>8466</v>
      </c>
      <c r="R3348">
        <v>35</v>
      </c>
      <c r="S3348">
        <v>3.42</v>
      </c>
    </row>
    <row r="3349" spans="1:19" x14ac:dyDescent="0.25">
      <c r="A3349" t="s">
        <v>8467</v>
      </c>
      <c r="B3349" s="1">
        <v>44999</v>
      </c>
      <c r="C3349" t="s">
        <v>3194</v>
      </c>
      <c r="D3349" t="s">
        <v>23</v>
      </c>
      <c r="E3349" t="s">
        <v>24</v>
      </c>
      <c r="F3349" t="s">
        <v>768</v>
      </c>
      <c r="G3349">
        <v>5</v>
      </c>
      <c r="H3349" t="s">
        <v>49</v>
      </c>
      <c r="I3349" t="s">
        <v>50</v>
      </c>
      <c r="J3349" t="s">
        <v>51</v>
      </c>
      <c r="K3349" t="s">
        <v>8468</v>
      </c>
      <c r="R3349">
        <v>15</v>
      </c>
      <c r="S3349">
        <v>90.47</v>
      </c>
    </row>
    <row r="3350" spans="1:19" x14ac:dyDescent="0.25">
      <c r="A3350" t="s">
        <v>8469</v>
      </c>
      <c r="B3350" s="1">
        <v>44999</v>
      </c>
      <c r="C3350" t="s">
        <v>2415</v>
      </c>
      <c r="D3350" t="s">
        <v>23</v>
      </c>
      <c r="E3350" t="s">
        <v>24</v>
      </c>
      <c r="F3350" t="s">
        <v>2708</v>
      </c>
      <c r="G3350">
        <v>10</v>
      </c>
      <c r="H3350" t="s">
        <v>464</v>
      </c>
      <c r="I3350" t="s">
        <v>579</v>
      </c>
      <c r="J3350" t="s">
        <v>580</v>
      </c>
      <c r="K3350" t="s">
        <v>8470</v>
      </c>
    </row>
    <row r="3351" spans="1:19" x14ac:dyDescent="0.25">
      <c r="A3351" t="s">
        <v>8514</v>
      </c>
      <c r="B3351" s="1">
        <v>45006</v>
      </c>
      <c r="C3351" t="s">
        <v>8515</v>
      </c>
      <c r="D3351" t="s">
        <v>23</v>
      </c>
      <c r="E3351" t="s">
        <v>24</v>
      </c>
      <c r="F3351" t="s">
        <v>323</v>
      </c>
      <c r="G3351">
        <v>30</v>
      </c>
      <c r="H3351" t="s">
        <v>26</v>
      </c>
      <c r="I3351" t="s">
        <v>370</v>
      </c>
      <c r="J3351" t="s">
        <v>3243</v>
      </c>
      <c r="K3351" t="s">
        <v>8516</v>
      </c>
      <c r="L3351">
        <v>142</v>
      </c>
      <c r="M3351">
        <v>79</v>
      </c>
      <c r="N3351" s="2">
        <v>0.32</v>
      </c>
      <c r="O3351">
        <v>89</v>
      </c>
      <c r="P3351">
        <v>14.49</v>
      </c>
      <c r="Q3351">
        <v>7.24</v>
      </c>
      <c r="R3351">
        <v>297</v>
      </c>
      <c r="S3351">
        <v>151.81</v>
      </c>
    </row>
    <row r="3352" spans="1:19" x14ac:dyDescent="0.25">
      <c r="A3352" t="s">
        <v>8517</v>
      </c>
      <c r="B3352" s="1">
        <v>45006</v>
      </c>
      <c r="C3352" t="s">
        <v>8518</v>
      </c>
      <c r="D3352" t="s">
        <v>23</v>
      </c>
      <c r="E3352" t="s">
        <v>24</v>
      </c>
      <c r="F3352" t="s">
        <v>354</v>
      </c>
      <c r="G3352">
        <v>10</v>
      </c>
      <c r="H3352" t="s">
        <v>26</v>
      </c>
      <c r="I3352" t="s">
        <v>39</v>
      </c>
      <c r="J3352" t="s">
        <v>7372</v>
      </c>
      <c r="K3352" t="s">
        <v>8519</v>
      </c>
      <c r="L3352">
        <v>44</v>
      </c>
      <c r="M3352">
        <v>73</v>
      </c>
      <c r="N3352" s="2">
        <v>0.32</v>
      </c>
      <c r="O3352">
        <v>86</v>
      </c>
      <c r="P3352">
        <v>14.2</v>
      </c>
      <c r="Q3352">
        <v>2.36</v>
      </c>
      <c r="R3352">
        <v>68</v>
      </c>
      <c r="S3352">
        <v>140.1</v>
      </c>
    </row>
    <row r="3353" spans="1:19" x14ac:dyDescent="0.25">
      <c r="A3353" t="s">
        <v>8520</v>
      </c>
      <c r="B3353" s="1">
        <v>45006</v>
      </c>
      <c r="C3353" t="s">
        <v>8521</v>
      </c>
      <c r="D3353" t="s">
        <v>23</v>
      </c>
      <c r="E3353" t="s">
        <v>24</v>
      </c>
      <c r="F3353" t="s">
        <v>33</v>
      </c>
      <c r="G3353">
        <v>5</v>
      </c>
      <c r="H3353" t="s">
        <v>26</v>
      </c>
      <c r="I3353" t="s">
        <v>358</v>
      </c>
      <c r="J3353" t="s">
        <v>359</v>
      </c>
      <c r="K3353" t="s">
        <v>8522</v>
      </c>
      <c r="L3353">
        <v>14</v>
      </c>
      <c r="M3353">
        <v>48</v>
      </c>
      <c r="N3353" s="2">
        <v>0.26</v>
      </c>
      <c r="O3353">
        <v>86</v>
      </c>
      <c r="P3353">
        <v>11.63</v>
      </c>
      <c r="Q3353">
        <v>0.97</v>
      </c>
      <c r="R3353">
        <v>37</v>
      </c>
      <c r="S3353">
        <v>134.28</v>
      </c>
    </row>
    <row r="3354" spans="1:19" x14ac:dyDescent="0.25">
      <c r="A3354" t="s">
        <v>8523</v>
      </c>
      <c r="B3354" s="1">
        <v>45006</v>
      </c>
      <c r="C3354" t="s">
        <v>8524</v>
      </c>
      <c r="D3354" t="s">
        <v>23</v>
      </c>
      <c r="E3354" t="s">
        <v>24</v>
      </c>
      <c r="F3354" t="s">
        <v>231</v>
      </c>
      <c r="G3354">
        <v>30</v>
      </c>
      <c r="H3354" t="s">
        <v>194</v>
      </c>
      <c r="I3354" t="s">
        <v>195</v>
      </c>
      <c r="J3354" t="s">
        <v>4224</v>
      </c>
      <c r="K3354" t="s">
        <v>8525</v>
      </c>
      <c r="R3354">
        <v>150</v>
      </c>
      <c r="S3354">
        <v>108.75</v>
      </c>
    </row>
    <row r="3355" spans="1:19" x14ac:dyDescent="0.25">
      <c r="A3355" t="s">
        <v>8526</v>
      </c>
      <c r="B3355" s="1">
        <v>45006</v>
      </c>
      <c r="C3355" t="s">
        <v>8527</v>
      </c>
      <c r="D3355" t="s">
        <v>23</v>
      </c>
      <c r="E3355" t="s">
        <v>24</v>
      </c>
      <c r="F3355" t="s">
        <v>243</v>
      </c>
      <c r="G3355">
        <v>10</v>
      </c>
      <c r="H3355" t="s">
        <v>188</v>
      </c>
      <c r="I3355" t="s">
        <v>238</v>
      </c>
      <c r="J3355" t="s">
        <v>8528</v>
      </c>
      <c r="K3355" t="s">
        <v>8529</v>
      </c>
      <c r="R3355">
        <v>38</v>
      </c>
      <c r="S3355">
        <v>98.83</v>
      </c>
    </row>
    <row r="3356" spans="1:19" x14ac:dyDescent="0.25">
      <c r="A3356" t="s">
        <v>8530</v>
      </c>
      <c r="B3356" s="1">
        <v>45006</v>
      </c>
      <c r="C3356" t="s">
        <v>8531</v>
      </c>
      <c r="D3356" t="s">
        <v>23</v>
      </c>
      <c r="E3356" t="s">
        <v>24</v>
      </c>
      <c r="F3356" t="s">
        <v>208</v>
      </c>
      <c r="G3356">
        <v>30</v>
      </c>
      <c r="H3356" t="s">
        <v>464</v>
      </c>
      <c r="I3356" t="s">
        <v>943</v>
      </c>
      <c r="J3356" t="s">
        <v>1621</v>
      </c>
      <c r="K3356" t="s">
        <v>8532</v>
      </c>
    </row>
    <row r="3357" spans="1:19" x14ac:dyDescent="0.25">
      <c r="A3357" t="s">
        <v>8575</v>
      </c>
      <c r="B3357" s="1">
        <v>45013</v>
      </c>
      <c r="C3357" t="s">
        <v>546</v>
      </c>
      <c r="D3357" t="s">
        <v>23</v>
      </c>
      <c r="E3357" t="s">
        <v>24</v>
      </c>
      <c r="F3357" t="s">
        <v>200</v>
      </c>
      <c r="G3357">
        <v>30</v>
      </c>
      <c r="H3357" t="s">
        <v>188</v>
      </c>
      <c r="I3357" t="s">
        <v>254</v>
      </c>
      <c r="J3357" t="s">
        <v>8576</v>
      </c>
      <c r="K3357" t="s">
        <v>8577</v>
      </c>
      <c r="R3357">
        <v>94</v>
      </c>
    </row>
    <row r="3358" spans="1:19" x14ac:dyDescent="0.25">
      <c r="A3358" t="s">
        <v>8578</v>
      </c>
      <c r="B3358" s="1">
        <v>45013</v>
      </c>
      <c r="C3358" t="s">
        <v>7021</v>
      </c>
      <c r="D3358" t="s">
        <v>23</v>
      </c>
      <c r="E3358" t="s">
        <v>24</v>
      </c>
      <c r="F3358" t="s">
        <v>2256</v>
      </c>
      <c r="G3358">
        <v>10</v>
      </c>
      <c r="H3358" t="s">
        <v>194</v>
      </c>
      <c r="I3358" t="s">
        <v>195</v>
      </c>
      <c r="J3358" t="s">
        <v>5762</v>
      </c>
      <c r="K3358" t="s">
        <v>8579</v>
      </c>
      <c r="R3358">
        <v>50</v>
      </c>
      <c r="S3358">
        <v>108.91</v>
      </c>
    </row>
    <row r="3359" spans="1:19" x14ac:dyDescent="0.25">
      <c r="A3359" t="s">
        <v>8580</v>
      </c>
      <c r="B3359" s="1">
        <v>45013</v>
      </c>
      <c r="C3359" t="s">
        <v>8581</v>
      </c>
      <c r="D3359" t="s">
        <v>23</v>
      </c>
      <c r="E3359" t="s">
        <v>24</v>
      </c>
      <c r="F3359" t="s">
        <v>335</v>
      </c>
      <c r="G3359">
        <v>45</v>
      </c>
      <c r="H3359" t="s">
        <v>26</v>
      </c>
      <c r="I3359" t="s">
        <v>370</v>
      </c>
      <c r="J3359" t="s">
        <v>4416</v>
      </c>
      <c r="K3359" t="s">
        <v>6152</v>
      </c>
      <c r="L3359">
        <v>290</v>
      </c>
      <c r="M3359">
        <v>107</v>
      </c>
      <c r="N3359" s="2">
        <v>0.38</v>
      </c>
      <c r="O3359">
        <v>84</v>
      </c>
      <c r="P3359">
        <v>16.579999999999998</v>
      </c>
      <c r="Q3359">
        <v>12.43</v>
      </c>
      <c r="R3359">
        <v>456</v>
      </c>
      <c r="S3359">
        <v>153.59</v>
      </c>
    </row>
    <row r="3360" spans="1:19" x14ac:dyDescent="0.25">
      <c r="A3360" t="s">
        <v>8582</v>
      </c>
      <c r="B3360" s="1">
        <v>45013</v>
      </c>
      <c r="C3360" t="s">
        <v>8583</v>
      </c>
      <c r="D3360" t="s">
        <v>23</v>
      </c>
      <c r="E3360" t="s">
        <v>24</v>
      </c>
      <c r="F3360" t="s">
        <v>243</v>
      </c>
      <c r="G3360">
        <v>10</v>
      </c>
      <c r="H3360" t="s">
        <v>194</v>
      </c>
      <c r="I3360" t="s">
        <v>700</v>
      </c>
      <c r="J3360" t="s">
        <v>1282</v>
      </c>
      <c r="K3360" t="s">
        <v>8584</v>
      </c>
      <c r="R3360">
        <v>53</v>
      </c>
      <c r="S3360">
        <v>111.87</v>
      </c>
    </row>
    <row r="3361" spans="1:19" x14ac:dyDescent="0.25">
      <c r="A3361" t="s">
        <v>8585</v>
      </c>
      <c r="B3361" s="1">
        <v>45013</v>
      </c>
      <c r="C3361" t="s">
        <v>7894</v>
      </c>
      <c r="D3361" t="s">
        <v>23</v>
      </c>
      <c r="G3361">
        <v>34</v>
      </c>
      <c r="H3361" t="s">
        <v>1856</v>
      </c>
      <c r="J3361" t="s">
        <v>8586</v>
      </c>
      <c r="L3361">
        <v>0</v>
      </c>
      <c r="P3361">
        <v>3.16</v>
      </c>
      <c r="Q3361">
        <v>1.71</v>
      </c>
      <c r="R3361">
        <v>243</v>
      </c>
      <c r="S3361">
        <v>127.36</v>
      </c>
    </row>
    <row r="3362" spans="1:19" x14ac:dyDescent="0.25">
      <c r="A3362" t="s">
        <v>8587</v>
      </c>
      <c r="B3362" s="1">
        <v>45013</v>
      </c>
      <c r="C3362" t="s">
        <v>6172</v>
      </c>
      <c r="D3362" t="s">
        <v>23</v>
      </c>
      <c r="E3362" t="s">
        <v>24</v>
      </c>
      <c r="F3362" t="s">
        <v>237</v>
      </c>
      <c r="G3362">
        <v>10</v>
      </c>
      <c r="H3362" t="s">
        <v>464</v>
      </c>
      <c r="I3362" t="s">
        <v>579</v>
      </c>
      <c r="J3362" t="s">
        <v>1470</v>
      </c>
      <c r="K3362" t="s">
        <v>8588</v>
      </c>
    </row>
    <row r="3363" spans="1:19" x14ac:dyDescent="0.25">
      <c r="A3363" t="s">
        <v>8633</v>
      </c>
      <c r="B3363" s="1">
        <v>45020</v>
      </c>
      <c r="C3363" t="s">
        <v>8634</v>
      </c>
      <c r="D3363" t="s">
        <v>23</v>
      </c>
      <c r="E3363" t="s">
        <v>24</v>
      </c>
      <c r="F3363" t="s">
        <v>243</v>
      </c>
      <c r="G3363">
        <v>45</v>
      </c>
      <c r="H3363" t="s">
        <v>188</v>
      </c>
      <c r="I3363" t="s">
        <v>254</v>
      </c>
      <c r="J3363" t="s">
        <v>1741</v>
      </c>
      <c r="K3363" t="s">
        <v>8635</v>
      </c>
      <c r="R3363">
        <v>141</v>
      </c>
    </row>
    <row r="3364" spans="1:19" x14ac:dyDescent="0.25">
      <c r="A3364" t="s">
        <v>8636</v>
      </c>
      <c r="B3364" s="1">
        <v>45020</v>
      </c>
      <c r="C3364" t="s">
        <v>3359</v>
      </c>
      <c r="D3364" t="s">
        <v>23</v>
      </c>
      <c r="E3364" t="s">
        <v>24</v>
      </c>
      <c r="F3364" t="s">
        <v>297</v>
      </c>
      <c r="G3364">
        <v>10</v>
      </c>
      <c r="H3364" t="s">
        <v>194</v>
      </c>
      <c r="I3364" t="s">
        <v>195</v>
      </c>
      <c r="J3364" t="s">
        <v>8637</v>
      </c>
      <c r="K3364" t="s">
        <v>8638</v>
      </c>
      <c r="R3364">
        <v>58</v>
      </c>
      <c r="S3364">
        <v>115.28</v>
      </c>
    </row>
    <row r="3365" spans="1:19" x14ac:dyDescent="0.25">
      <c r="A3365" t="s">
        <v>8639</v>
      </c>
      <c r="B3365" s="1">
        <v>45020</v>
      </c>
      <c r="C3365" t="s">
        <v>8640</v>
      </c>
      <c r="D3365" t="s">
        <v>23</v>
      </c>
      <c r="E3365" t="s">
        <v>24</v>
      </c>
      <c r="F3365" t="s">
        <v>323</v>
      </c>
      <c r="G3365">
        <v>60</v>
      </c>
      <c r="H3365" t="s">
        <v>26</v>
      </c>
      <c r="I3365" t="s">
        <v>370</v>
      </c>
      <c r="J3365" t="s">
        <v>498</v>
      </c>
      <c r="K3365" t="s">
        <v>8641</v>
      </c>
      <c r="L3365">
        <v>407</v>
      </c>
      <c r="M3365">
        <v>113</v>
      </c>
      <c r="N3365" s="2">
        <v>0.4</v>
      </c>
      <c r="O3365">
        <v>82</v>
      </c>
      <c r="P3365">
        <v>16.96</v>
      </c>
      <c r="Q3365">
        <v>16.96</v>
      </c>
      <c r="R3365">
        <v>623</v>
      </c>
      <c r="S3365">
        <v>155.71</v>
      </c>
    </row>
    <row r="3366" spans="1:19" x14ac:dyDescent="0.25">
      <c r="A3366" t="s">
        <v>8642</v>
      </c>
      <c r="B3366" s="1">
        <v>45020</v>
      </c>
      <c r="C3366" t="s">
        <v>6325</v>
      </c>
      <c r="D3366" t="s">
        <v>23</v>
      </c>
      <c r="E3366" t="s">
        <v>24</v>
      </c>
      <c r="F3366" t="s">
        <v>33</v>
      </c>
      <c r="G3366">
        <v>5</v>
      </c>
      <c r="H3366" t="s">
        <v>49</v>
      </c>
      <c r="I3366" t="s">
        <v>50</v>
      </c>
      <c r="J3366" t="s">
        <v>51</v>
      </c>
      <c r="K3366" t="s">
        <v>8643</v>
      </c>
      <c r="R3366">
        <v>25</v>
      </c>
      <c r="S3366">
        <v>110.9</v>
      </c>
    </row>
    <row r="3367" spans="1:19" x14ac:dyDescent="0.25">
      <c r="A3367" t="s">
        <v>8644</v>
      </c>
      <c r="B3367" s="1">
        <v>45020</v>
      </c>
      <c r="C3367" t="s">
        <v>1375</v>
      </c>
      <c r="D3367" t="s">
        <v>23</v>
      </c>
      <c r="E3367" t="s">
        <v>24</v>
      </c>
      <c r="F3367" t="s">
        <v>208</v>
      </c>
      <c r="G3367">
        <v>10</v>
      </c>
      <c r="H3367" t="s">
        <v>464</v>
      </c>
      <c r="I3367" t="s">
        <v>763</v>
      </c>
      <c r="J3367" t="s">
        <v>764</v>
      </c>
      <c r="K3367" t="s">
        <v>8645</v>
      </c>
    </row>
    <row r="3368" spans="1:19" x14ac:dyDescent="0.25">
      <c r="A3368" t="s">
        <v>8692</v>
      </c>
      <c r="B3368" s="1">
        <v>45027</v>
      </c>
      <c r="C3368" t="s">
        <v>340</v>
      </c>
      <c r="D3368" t="s">
        <v>23</v>
      </c>
      <c r="E3368" t="s">
        <v>24</v>
      </c>
      <c r="F3368" t="s">
        <v>215</v>
      </c>
      <c r="G3368">
        <v>30</v>
      </c>
      <c r="H3368" t="s">
        <v>188</v>
      </c>
      <c r="I3368" t="s">
        <v>254</v>
      </c>
      <c r="J3368" t="s">
        <v>255</v>
      </c>
      <c r="K3368" t="s">
        <v>8693</v>
      </c>
      <c r="R3368">
        <v>82</v>
      </c>
    </row>
    <row r="3369" spans="1:19" x14ac:dyDescent="0.25">
      <c r="A3369" t="s">
        <v>8694</v>
      </c>
      <c r="B3369" s="1">
        <v>45027</v>
      </c>
      <c r="C3369" t="s">
        <v>8695</v>
      </c>
      <c r="D3369" t="s">
        <v>23</v>
      </c>
      <c r="G3369">
        <v>38</v>
      </c>
      <c r="H3369" t="s">
        <v>1856</v>
      </c>
      <c r="J3369" t="s">
        <v>8696</v>
      </c>
      <c r="L3369">
        <v>0</v>
      </c>
      <c r="P3369">
        <v>3.09</v>
      </c>
      <c r="Q3369">
        <v>1.92</v>
      </c>
      <c r="R3369">
        <v>225</v>
      </c>
      <c r="S3369">
        <v>120.5</v>
      </c>
    </row>
    <row r="3370" spans="1:19" x14ac:dyDescent="0.25">
      <c r="A3370" t="s">
        <v>8697</v>
      </c>
      <c r="B3370" s="1">
        <v>45027</v>
      </c>
      <c r="C3370" t="s">
        <v>8698</v>
      </c>
      <c r="D3370" t="s">
        <v>23</v>
      </c>
      <c r="E3370" t="s">
        <v>24</v>
      </c>
      <c r="F3370" t="s">
        <v>6030</v>
      </c>
      <c r="G3370">
        <v>30</v>
      </c>
      <c r="H3370" t="s">
        <v>194</v>
      </c>
      <c r="I3370" t="s">
        <v>1445</v>
      </c>
      <c r="J3370" t="s">
        <v>4124</v>
      </c>
      <c r="K3370" t="s">
        <v>8699</v>
      </c>
      <c r="R3370">
        <v>160</v>
      </c>
      <c r="S3370">
        <v>115.98</v>
      </c>
    </row>
    <row r="3371" spans="1:19" x14ac:dyDescent="0.25">
      <c r="A3371" t="s">
        <v>8700</v>
      </c>
      <c r="B3371" s="1">
        <v>45027</v>
      </c>
      <c r="C3371" t="s">
        <v>6092</v>
      </c>
      <c r="D3371" t="s">
        <v>23</v>
      </c>
      <c r="E3371" t="s">
        <v>24</v>
      </c>
      <c r="F3371" t="s">
        <v>231</v>
      </c>
      <c r="G3371">
        <v>10</v>
      </c>
      <c r="H3371" t="s">
        <v>194</v>
      </c>
      <c r="I3371" t="s">
        <v>195</v>
      </c>
      <c r="J3371" t="s">
        <v>211</v>
      </c>
      <c r="K3371" t="s">
        <v>8701</v>
      </c>
      <c r="R3371">
        <v>48</v>
      </c>
      <c r="S3371">
        <v>106.5</v>
      </c>
    </row>
    <row r="3372" spans="1:19" x14ac:dyDescent="0.25">
      <c r="A3372" t="s">
        <v>8702</v>
      </c>
      <c r="B3372" s="1">
        <v>45027</v>
      </c>
      <c r="C3372" t="s">
        <v>6617</v>
      </c>
      <c r="D3372" t="s">
        <v>23</v>
      </c>
      <c r="E3372" t="s">
        <v>24</v>
      </c>
      <c r="F3372" t="s">
        <v>243</v>
      </c>
      <c r="G3372">
        <v>30</v>
      </c>
      <c r="H3372" t="s">
        <v>26</v>
      </c>
      <c r="I3372" t="s">
        <v>370</v>
      </c>
      <c r="J3372" t="s">
        <v>1392</v>
      </c>
      <c r="K3372" t="s">
        <v>1393</v>
      </c>
      <c r="L3372">
        <v>164</v>
      </c>
      <c r="M3372">
        <v>91</v>
      </c>
      <c r="N3372" s="2">
        <v>0.35</v>
      </c>
      <c r="O3372">
        <v>86</v>
      </c>
      <c r="P3372">
        <v>15.52</v>
      </c>
      <c r="Q3372">
        <v>7.76</v>
      </c>
      <c r="R3372">
        <v>273</v>
      </c>
      <c r="S3372">
        <v>144.71</v>
      </c>
    </row>
    <row r="3373" spans="1:19" x14ac:dyDescent="0.25">
      <c r="A3373" t="s">
        <v>8703</v>
      </c>
      <c r="B3373" s="1">
        <v>45027</v>
      </c>
      <c r="C3373" t="s">
        <v>7174</v>
      </c>
      <c r="D3373" t="s">
        <v>23</v>
      </c>
      <c r="E3373" t="s">
        <v>24</v>
      </c>
      <c r="F3373" t="s">
        <v>2833</v>
      </c>
      <c r="G3373">
        <v>5</v>
      </c>
      <c r="H3373" t="s">
        <v>49</v>
      </c>
      <c r="I3373" t="s">
        <v>50</v>
      </c>
      <c r="J3373" t="s">
        <v>51</v>
      </c>
      <c r="K3373" t="s">
        <v>8685</v>
      </c>
      <c r="R3373">
        <v>17</v>
      </c>
      <c r="S3373">
        <v>96.56</v>
      </c>
    </row>
    <row r="3374" spans="1:19" x14ac:dyDescent="0.25">
      <c r="A3374" t="s">
        <v>8704</v>
      </c>
      <c r="B3374" s="1">
        <v>45027</v>
      </c>
      <c r="C3374" t="s">
        <v>247</v>
      </c>
      <c r="D3374" t="s">
        <v>23</v>
      </c>
      <c r="E3374" t="s">
        <v>24</v>
      </c>
      <c r="F3374" t="s">
        <v>459</v>
      </c>
      <c r="G3374">
        <v>5</v>
      </c>
      <c r="H3374" t="s">
        <v>464</v>
      </c>
      <c r="I3374" t="s">
        <v>943</v>
      </c>
      <c r="J3374" t="s">
        <v>2205</v>
      </c>
      <c r="K3374" t="s">
        <v>8705</v>
      </c>
    </row>
    <row r="3375" spans="1:19" x14ac:dyDescent="0.25">
      <c r="A3375" t="s">
        <v>8750</v>
      </c>
      <c r="B3375" s="1">
        <v>45034</v>
      </c>
      <c r="C3375" t="s">
        <v>8751</v>
      </c>
      <c r="D3375" t="s">
        <v>23</v>
      </c>
      <c r="E3375" t="s">
        <v>24</v>
      </c>
      <c r="F3375" t="s">
        <v>215</v>
      </c>
      <c r="G3375">
        <v>20</v>
      </c>
      <c r="H3375" t="s">
        <v>188</v>
      </c>
      <c r="I3375" t="s">
        <v>238</v>
      </c>
      <c r="J3375" t="s">
        <v>2898</v>
      </c>
      <c r="K3375" t="s">
        <v>8752</v>
      </c>
      <c r="R3375">
        <v>66</v>
      </c>
    </row>
    <row r="3376" spans="1:19" x14ac:dyDescent="0.25">
      <c r="A3376" t="s">
        <v>8753</v>
      </c>
      <c r="B3376" s="1">
        <v>45034</v>
      </c>
      <c r="C3376" t="s">
        <v>8754</v>
      </c>
      <c r="D3376" t="s">
        <v>23</v>
      </c>
      <c r="E3376" t="s">
        <v>24</v>
      </c>
      <c r="F3376" t="s">
        <v>1203</v>
      </c>
      <c r="G3376">
        <v>30</v>
      </c>
      <c r="H3376" t="s">
        <v>1856</v>
      </c>
      <c r="I3376" t="s">
        <v>4912</v>
      </c>
      <c r="J3376" t="s">
        <v>4913</v>
      </c>
      <c r="K3376" t="s">
        <v>8755</v>
      </c>
      <c r="L3376">
        <v>0</v>
      </c>
      <c r="P3376">
        <v>3.31</v>
      </c>
      <c r="Q3376">
        <v>1.51</v>
      </c>
      <c r="R3376">
        <v>262</v>
      </c>
      <c r="S3376">
        <v>140.18</v>
      </c>
    </row>
    <row r="3377" spans="1:19" x14ac:dyDescent="0.25">
      <c r="A3377" t="s">
        <v>8756</v>
      </c>
      <c r="B3377" s="1">
        <v>45034</v>
      </c>
      <c r="C3377" t="s">
        <v>1565</v>
      </c>
      <c r="D3377" t="s">
        <v>23</v>
      </c>
      <c r="E3377" t="s">
        <v>24</v>
      </c>
      <c r="F3377" t="s">
        <v>6812</v>
      </c>
      <c r="G3377">
        <v>5</v>
      </c>
      <c r="H3377" t="s">
        <v>1856</v>
      </c>
      <c r="I3377" t="s">
        <v>358</v>
      </c>
      <c r="J3377" t="s">
        <v>8757</v>
      </c>
      <c r="K3377" t="s">
        <v>8758</v>
      </c>
      <c r="L3377">
        <v>0</v>
      </c>
      <c r="P3377">
        <v>3.31</v>
      </c>
      <c r="Q3377">
        <v>0.21</v>
      </c>
      <c r="R3377">
        <v>31</v>
      </c>
      <c r="S3377">
        <v>126.47</v>
      </c>
    </row>
    <row r="3378" spans="1:19" x14ac:dyDescent="0.25">
      <c r="A3378" t="s">
        <v>8759</v>
      </c>
      <c r="B3378" s="1">
        <v>45034</v>
      </c>
      <c r="C3378" t="s">
        <v>8760</v>
      </c>
      <c r="D3378" t="s">
        <v>23</v>
      </c>
      <c r="E3378" t="s">
        <v>24</v>
      </c>
      <c r="F3378" t="s">
        <v>354</v>
      </c>
      <c r="G3378">
        <v>5</v>
      </c>
      <c r="H3378" t="s">
        <v>194</v>
      </c>
      <c r="I3378" t="s">
        <v>195</v>
      </c>
      <c r="J3378" t="s">
        <v>196</v>
      </c>
      <c r="K3378" t="s">
        <v>8761</v>
      </c>
      <c r="R3378">
        <v>29</v>
      </c>
      <c r="S3378">
        <v>117.14</v>
      </c>
    </row>
    <row r="3379" spans="1:19" x14ac:dyDescent="0.25">
      <c r="A3379" t="s">
        <v>8808</v>
      </c>
      <c r="B3379" s="1">
        <v>45041</v>
      </c>
      <c r="C3379" t="s">
        <v>8809</v>
      </c>
      <c r="D3379" t="s">
        <v>23</v>
      </c>
      <c r="E3379" t="s">
        <v>24</v>
      </c>
      <c r="F3379" t="s">
        <v>200</v>
      </c>
      <c r="G3379">
        <v>30</v>
      </c>
      <c r="H3379" t="s">
        <v>188</v>
      </c>
      <c r="I3379" t="s">
        <v>189</v>
      </c>
      <c r="J3379" t="s">
        <v>6231</v>
      </c>
      <c r="K3379" t="s">
        <v>8810</v>
      </c>
      <c r="R3379">
        <v>101</v>
      </c>
    </row>
    <row r="3380" spans="1:19" x14ac:dyDescent="0.25">
      <c r="A3380" t="s">
        <v>8811</v>
      </c>
      <c r="B3380" s="1">
        <v>45041</v>
      </c>
      <c r="C3380" t="s">
        <v>8812</v>
      </c>
      <c r="D3380" t="s">
        <v>23</v>
      </c>
      <c r="G3380">
        <v>52</v>
      </c>
      <c r="H3380" t="s">
        <v>1856</v>
      </c>
      <c r="J3380" t="s">
        <v>8813</v>
      </c>
      <c r="L3380">
        <v>0</v>
      </c>
      <c r="P3380">
        <v>3.01</v>
      </c>
      <c r="Q3380">
        <v>1.97</v>
      </c>
      <c r="R3380">
        <v>398</v>
      </c>
      <c r="S3380">
        <v>132.87</v>
      </c>
    </row>
    <row r="3381" spans="1:19" x14ac:dyDescent="0.25">
      <c r="A3381" t="s">
        <v>8814</v>
      </c>
      <c r="B3381" s="1">
        <v>45041</v>
      </c>
      <c r="C3381" t="s">
        <v>942</v>
      </c>
      <c r="D3381" t="s">
        <v>23</v>
      </c>
      <c r="E3381" t="s">
        <v>24</v>
      </c>
      <c r="F3381" t="s">
        <v>2708</v>
      </c>
      <c r="G3381">
        <v>10</v>
      </c>
      <c r="H3381" t="s">
        <v>464</v>
      </c>
      <c r="I3381" t="s">
        <v>579</v>
      </c>
      <c r="J3381" t="s">
        <v>1820</v>
      </c>
      <c r="K3381" t="s">
        <v>8815</v>
      </c>
    </row>
    <row r="3382" spans="1:19" x14ac:dyDescent="0.25">
      <c r="A3382" t="s">
        <v>8890</v>
      </c>
      <c r="B3382" s="1">
        <v>45055</v>
      </c>
      <c r="C3382" t="s">
        <v>543</v>
      </c>
      <c r="D3382" t="s">
        <v>23</v>
      </c>
      <c r="G3382">
        <v>38</v>
      </c>
      <c r="H3382" t="s">
        <v>1856</v>
      </c>
      <c r="J3382" t="s">
        <v>8891</v>
      </c>
      <c r="L3382">
        <v>0</v>
      </c>
      <c r="P3382">
        <v>2.96</v>
      </c>
      <c r="Q3382">
        <v>1.8</v>
      </c>
      <c r="R3382">
        <v>144</v>
      </c>
      <c r="S3382">
        <v>102.8</v>
      </c>
    </row>
    <row r="3383" spans="1:19" x14ac:dyDescent="0.25">
      <c r="A3383" t="s">
        <v>8892</v>
      </c>
      <c r="B3383" s="1">
        <v>45055</v>
      </c>
      <c r="C3383" t="s">
        <v>6982</v>
      </c>
      <c r="D3383" t="s">
        <v>23</v>
      </c>
      <c r="E3383" t="s">
        <v>24</v>
      </c>
      <c r="F3383" t="s">
        <v>243</v>
      </c>
      <c r="G3383">
        <v>60</v>
      </c>
      <c r="H3383" t="s">
        <v>26</v>
      </c>
      <c r="I3383" t="s">
        <v>370</v>
      </c>
      <c r="J3383" t="s">
        <v>646</v>
      </c>
      <c r="K3383" t="s">
        <v>8893</v>
      </c>
      <c r="L3383">
        <v>399</v>
      </c>
      <c r="M3383">
        <v>111</v>
      </c>
      <c r="N3383" s="2">
        <v>0.37</v>
      </c>
      <c r="O3383">
        <v>85</v>
      </c>
      <c r="P3383">
        <v>16.45</v>
      </c>
      <c r="Q3383">
        <v>16.45</v>
      </c>
      <c r="R3383">
        <v>580</v>
      </c>
      <c r="S3383">
        <v>149.52000000000001</v>
      </c>
    </row>
    <row r="3384" spans="1:19" x14ac:dyDescent="0.25">
      <c r="A3384" t="s">
        <v>8894</v>
      </c>
      <c r="B3384" s="1">
        <v>45055</v>
      </c>
      <c r="C3384" t="s">
        <v>5431</v>
      </c>
      <c r="D3384" t="s">
        <v>23</v>
      </c>
      <c r="E3384" t="s">
        <v>24</v>
      </c>
      <c r="F3384" t="s">
        <v>305</v>
      </c>
      <c r="G3384">
        <v>10</v>
      </c>
      <c r="H3384" t="s">
        <v>194</v>
      </c>
      <c r="I3384" t="s">
        <v>195</v>
      </c>
      <c r="J3384" t="s">
        <v>211</v>
      </c>
      <c r="K3384" t="s">
        <v>8895</v>
      </c>
      <c r="R3384">
        <v>62</v>
      </c>
      <c r="S3384">
        <v>119.97</v>
      </c>
    </row>
    <row r="3385" spans="1:19" x14ac:dyDescent="0.25">
      <c r="A3385" t="s">
        <v>8896</v>
      </c>
      <c r="B3385" s="1">
        <v>45055</v>
      </c>
      <c r="C3385" t="s">
        <v>2353</v>
      </c>
      <c r="D3385" t="s">
        <v>23</v>
      </c>
      <c r="E3385" t="s">
        <v>24</v>
      </c>
      <c r="F3385" t="s">
        <v>459</v>
      </c>
      <c r="G3385">
        <v>10</v>
      </c>
      <c r="H3385" t="s">
        <v>464</v>
      </c>
      <c r="I3385" t="s">
        <v>763</v>
      </c>
      <c r="J3385" t="s">
        <v>4348</v>
      </c>
      <c r="K3385" t="s">
        <v>8897</v>
      </c>
    </row>
    <row r="3386" spans="1:19" x14ac:dyDescent="0.25">
      <c r="A3386" t="s">
        <v>8931</v>
      </c>
      <c r="B3386" s="1">
        <v>45062</v>
      </c>
      <c r="C3386" t="s">
        <v>3795</v>
      </c>
      <c r="D3386" t="s">
        <v>23</v>
      </c>
      <c r="E3386" t="s">
        <v>24</v>
      </c>
      <c r="F3386" t="s">
        <v>237</v>
      </c>
      <c r="G3386">
        <v>30</v>
      </c>
      <c r="H3386" t="s">
        <v>188</v>
      </c>
      <c r="I3386" t="s">
        <v>254</v>
      </c>
      <c r="J3386" t="s">
        <v>255</v>
      </c>
      <c r="K3386" t="s">
        <v>8932</v>
      </c>
      <c r="R3386">
        <v>99</v>
      </c>
    </row>
    <row r="3387" spans="1:19" x14ac:dyDescent="0.25">
      <c r="A3387" t="s">
        <v>8933</v>
      </c>
      <c r="B3387" s="1">
        <v>45062</v>
      </c>
      <c r="C3387" t="s">
        <v>1136</v>
      </c>
      <c r="D3387" t="s">
        <v>23</v>
      </c>
      <c r="G3387">
        <v>44</v>
      </c>
      <c r="H3387" t="s">
        <v>1856</v>
      </c>
      <c r="J3387" t="s">
        <v>8934</v>
      </c>
      <c r="L3387">
        <v>0</v>
      </c>
      <c r="P3387">
        <v>3.04</v>
      </c>
      <c r="Q3387">
        <v>2.08</v>
      </c>
      <c r="R3387">
        <v>167</v>
      </c>
      <c r="S3387">
        <v>100.86</v>
      </c>
    </row>
    <row r="3388" spans="1:19" x14ac:dyDescent="0.25">
      <c r="A3388" t="s">
        <v>8935</v>
      </c>
      <c r="B3388" s="1">
        <v>45062</v>
      </c>
      <c r="C3388" t="s">
        <v>1292</v>
      </c>
      <c r="D3388" t="s">
        <v>23</v>
      </c>
      <c r="E3388" t="s">
        <v>24</v>
      </c>
      <c r="F3388" t="s">
        <v>2708</v>
      </c>
      <c r="G3388">
        <v>15</v>
      </c>
      <c r="H3388" t="s">
        <v>464</v>
      </c>
      <c r="I3388" t="s">
        <v>103</v>
      </c>
      <c r="J3388" t="s">
        <v>8936</v>
      </c>
      <c r="K3388" t="s">
        <v>8937</v>
      </c>
    </row>
    <row r="3389" spans="1:19" x14ac:dyDescent="0.25">
      <c r="A3389" t="s">
        <v>8963</v>
      </c>
      <c r="B3389" s="1">
        <v>45069</v>
      </c>
      <c r="C3389" t="s">
        <v>8964</v>
      </c>
      <c r="D3389" t="s">
        <v>23</v>
      </c>
      <c r="E3389" t="s">
        <v>24</v>
      </c>
      <c r="F3389" t="s">
        <v>200</v>
      </c>
      <c r="G3389">
        <v>45</v>
      </c>
      <c r="H3389" t="s">
        <v>188</v>
      </c>
      <c r="I3389" t="s">
        <v>254</v>
      </c>
      <c r="J3389" t="s">
        <v>1741</v>
      </c>
      <c r="K3389" t="s">
        <v>8965</v>
      </c>
      <c r="R3389">
        <v>136</v>
      </c>
    </row>
    <row r="3390" spans="1:19" x14ac:dyDescent="0.25">
      <c r="A3390" t="s">
        <v>8966</v>
      </c>
      <c r="B3390" s="1">
        <v>45069</v>
      </c>
      <c r="C3390" t="s">
        <v>8967</v>
      </c>
      <c r="D3390" t="s">
        <v>23</v>
      </c>
      <c r="G3390">
        <v>39</v>
      </c>
      <c r="H3390" t="s">
        <v>1856</v>
      </c>
      <c r="J3390" t="s">
        <v>8968</v>
      </c>
      <c r="L3390">
        <v>0</v>
      </c>
      <c r="P3390">
        <v>3.01</v>
      </c>
      <c r="Q3390">
        <v>1.91</v>
      </c>
      <c r="R3390">
        <v>238</v>
      </c>
      <c r="S3390">
        <v>119.08</v>
      </c>
    </row>
    <row r="3391" spans="1:19" x14ac:dyDescent="0.25">
      <c r="A3391" t="s">
        <v>8969</v>
      </c>
      <c r="B3391" s="1">
        <v>45069</v>
      </c>
      <c r="C3391" t="s">
        <v>5474</v>
      </c>
      <c r="D3391" t="s">
        <v>23</v>
      </c>
      <c r="E3391" t="s">
        <v>24</v>
      </c>
      <c r="F3391" t="s">
        <v>243</v>
      </c>
      <c r="G3391">
        <v>30</v>
      </c>
      <c r="H3391" t="s">
        <v>26</v>
      </c>
      <c r="I3391" t="s">
        <v>370</v>
      </c>
      <c r="J3391" t="s">
        <v>396</v>
      </c>
      <c r="K3391" t="s">
        <v>8970</v>
      </c>
      <c r="L3391">
        <v>189</v>
      </c>
      <c r="M3391">
        <v>105</v>
      </c>
      <c r="N3391" s="2">
        <v>0.37</v>
      </c>
      <c r="O3391">
        <v>85</v>
      </c>
      <c r="P3391">
        <v>16.32</v>
      </c>
      <c r="Q3391">
        <v>8.16</v>
      </c>
      <c r="R3391">
        <v>268</v>
      </c>
      <c r="S3391">
        <v>142.5</v>
      </c>
    </row>
    <row r="3392" spans="1:19" x14ac:dyDescent="0.25">
      <c r="A3392" t="s">
        <v>8971</v>
      </c>
      <c r="B3392" s="1">
        <v>45069</v>
      </c>
      <c r="C3392" t="s">
        <v>2591</v>
      </c>
      <c r="D3392" t="s">
        <v>23</v>
      </c>
      <c r="E3392" t="s">
        <v>24</v>
      </c>
      <c r="F3392" t="s">
        <v>231</v>
      </c>
      <c r="G3392">
        <v>20</v>
      </c>
      <c r="H3392" t="s">
        <v>194</v>
      </c>
      <c r="I3392" t="s">
        <v>1445</v>
      </c>
      <c r="J3392" t="s">
        <v>4217</v>
      </c>
      <c r="K3392" t="s">
        <v>8972</v>
      </c>
      <c r="R3392">
        <v>98</v>
      </c>
      <c r="S3392">
        <v>109.62</v>
      </c>
    </row>
    <row r="3393" spans="1:19" x14ac:dyDescent="0.25">
      <c r="A3393" t="s">
        <v>8973</v>
      </c>
      <c r="B3393" s="1">
        <v>45069</v>
      </c>
      <c r="C3393" t="s">
        <v>2153</v>
      </c>
      <c r="D3393" t="s">
        <v>23</v>
      </c>
      <c r="E3393" t="s">
        <v>24</v>
      </c>
      <c r="F3393" t="s">
        <v>180</v>
      </c>
      <c r="G3393">
        <v>5</v>
      </c>
      <c r="H3393" t="s">
        <v>194</v>
      </c>
      <c r="I3393" t="s">
        <v>195</v>
      </c>
      <c r="J3393" t="s">
        <v>196</v>
      </c>
      <c r="K3393" t="s">
        <v>8974</v>
      </c>
      <c r="R3393">
        <v>19</v>
      </c>
      <c r="S3393">
        <v>98.14</v>
      </c>
    </row>
    <row r="3394" spans="1:19" x14ac:dyDescent="0.25">
      <c r="A3394" t="s">
        <v>8975</v>
      </c>
      <c r="B3394" s="1">
        <v>45069</v>
      </c>
      <c r="C3394" t="s">
        <v>1597</v>
      </c>
      <c r="D3394" t="s">
        <v>23</v>
      </c>
      <c r="E3394" t="s">
        <v>24</v>
      </c>
      <c r="F3394" t="s">
        <v>237</v>
      </c>
      <c r="G3394">
        <v>15</v>
      </c>
      <c r="H3394" t="s">
        <v>464</v>
      </c>
      <c r="I3394" t="s">
        <v>943</v>
      </c>
      <c r="J3394" t="s">
        <v>1709</v>
      </c>
      <c r="K3394" t="s">
        <v>8976</v>
      </c>
    </row>
    <row r="3395" spans="1:19" x14ac:dyDescent="0.25">
      <c r="A3395" t="s">
        <v>9009</v>
      </c>
      <c r="B3395" s="1">
        <v>45076</v>
      </c>
      <c r="C3395" t="s">
        <v>6658</v>
      </c>
      <c r="D3395" t="s">
        <v>23</v>
      </c>
      <c r="E3395" t="s">
        <v>24</v>
      </c>
      <c r="F3395" t="s">
        <v>243</v>
      </c>
      <c r="G3395">
        <v>45</v>
      </c>
      <c r="H3395" t="s">
        <v>26</v>
      </c>
      <c r="I3395" t="s">
        <v>370</v>
      </c>
      <c r="J3395" t="s">
        <v>439</v>
      </c>
      <c r="K3395" t="s">
        <v>2310</v>
      </c>
      <c r="L3395">
        <v>284</v>
      </c>
      <c r="M3395">
        <v>105</v>
      </c>
      <c r="N3395" s="2">
        <v>0.38</v>
      </c>
      <c r="O3395">
        <v>84</v>
      </c>
      <c r="P3395">
        <v>16.399999999999999</v>
      </c>
      <c r="Q3395">
        <v>12.3</v>
      </c>
      <c r="R3395">
        <v>414</v>
      </c>
      <c r="S3395">
        <v>145.02000000000001</v>
      </c>
    </row>
    <row r="3396" spans="1:19" x14ac:dyDescent="0.25">
      <c r="A3396" t="s">
        <v>9010</v>
      </c>
      <c r="B3396" s="1">
        <v>45076</v>
      </c>
      <c r="C3396" t="s">
        <v>9011</v>
      </c>
      <c r="D3396" t="s">
        <v>23</v>
      </c>
      <c r="E3396" t="s">
        <v>24</v>
      </c>
      <c r="F3396" t="s">
        <v>768</v>
      </c>
      <c r="G3396">
        <v>10</v>
      </c>
      <c r="H3396" t="s">
        <v>194</v>
      </c>
      <c r="I3396" t="s">
        <v>700</v>
      </c>
      <c r="J3396" t="s">
        <v>1282</v>
      </c>
      <c r="K3396" t="s">
        <v>9012</v>
      </c>
      <c r="R3396">
        <v>62</v>
      </c>
      <c r="S3396">
        <v>118.27</v>
      </c>
    </row>
    <row r="3397" spans="1:19" x14ac:dyDescent="0.25">
      <c r="A3397" t="s">
        <v>9013</v>
      </c>
      <c r="B3397" s="1">
        <v>45076</v>
      </c>
      <c r="C3397" t="s">
        <v>6024</v>
      </c>
      <c r="D3397" t="s">
        <v>23</v>
      </c>
      <c r="E3397" t="s">
        <v>24</v>
      </c>
      <c r="F3397" t="s">
        <v>768</v>
      </c>
      <c r="G3397">
        <v>5</v>
      </c>
      <c r="H3397" t="s">
        <v>49</v>
      </c>
      <c r="I3397" t="s">
        <v>50</v>
      </c>
      <c r="J3397" t="s">
        <v>51</v>
      </c>
      <c r="K3397" t="s">
        <v>8785</v>
      </c>
      <c r="R3397">
        <v>23</v>
      </c>
      <c r="S3397">
        <v>106.69</v>
      </c>
    </row>
    <row r="3398" spans="1:19" x14ac:dyDescent="0.25">
      <c r="A3398" t="s">
        <v>9014</v>
      </c>
      <c r="B3398" s="1">
        <v>45076</v>
      </c>
      <c r="C3398" t="s">
        <v>2629</v>
      </c>
      <c r="D3398" t="s">
        <v>23</v>
      </c>
      <c r="E3398" t="s">
        <v>24</v>
      </c>
      <c r="F3398" t="s">
        <v>208</v>
      </c>
      <c r="G3398">
        <v>10</v>
      </c>
      <c r="H3398" t="s">
        <v>464</v>
      </c>
      <c r="I3398" t="s">
        <v>579</v>
      </c>
      <c r="J3398" t="s">
        <v>2432</v>
      </c>
      <c r="K3398" t="s">
        <v>9015</v>
      </c>
    </row>
    <row r="3399" spans="1:19" x14ac:dyDescent="0.25">
      <c r="A3399" t="s">
        <v>9016</v>
      </c>
      <c r="B3399" s="1">
        <v>45076</v>
      </c>
      <c r="C3399" t="s">
        <v>2726</v>
      </c>
      <c r="D3399" t="s">
        <v>23</v>
      </c>
      <c r="E3399" t="s">
        <v>24</v>
      </c>
      <c r="F3399" t="s">
        <v>215</v>
      </c>
      <c r="G3399">
        <v>10</v>
      </c>
      <c r="H3399" t="s">
        <v>464</v>
      </c>
      <c r="I3399" t="s">
        <v>579</v>
      </c>
      <c r="J3399" t="s">
        <v>808</v>
      </c>
      <c r="K3399" t="s">
        <v>9017</v>
      </c>
    </row>
    <row r="3400" spans="1:19" x14ac:dyDescent="0.25">
      <c r="A3400" t="s">
        <v>9047</v>
      </c>
      <c r="B3400" s="1">
        <v>45083</v>
      </c>
      <c r="C3400" t="s">
        <v>1597</v>
      </c>
      <c r="D3400" t="s">
        <v>23</v>
      </c>
      <c r="E3400" t="s">
        <v>24</v>
      </c>
      <c r="F3400" t="s">
        <v>237</v>
      </c>
      <c r="G3400">
        <v>10</v>
      </c>
      <c r="H3400" t="s">
        <v>464</v>
      </c>
      <c r="I3400" t="s">
        <v>1571</v>
      </c>
      <c r="J3400" t="s">
        <v>2704</v>
      </c>
      <c r="K3400" t="s">
        <v>9048</v>
      </c>
    </row>
    <row r="3401" spans="1:19" x14ac:dyDescent="0.25">
      <c r="A3401" t="s">
        <v>9086</v>
      </c>
      <c r="B3401" s="1">
        <v>45090</v>
      </c>
      <c r="C3401" t="s">
        <v>8817</v>
      </c>
      <c r="D3401" t="s">
        <v>23</v>
      </c>
      <c r="E3401" t="s">
        <v>24</v>
      </c>
      <c r="F3401" t="s">
        <v>200</v>
      </c>
      <c r="G3401">
        <v>30</v>
      </c>
      <c r="H3401" t="s">
        <v>188</v>
      </c>
      <c r="I3401" t="s">
        <v>575</v>
      </c>
      <c r="J3401" t="s">
        <v>6253</v>
      </c>
      <c r="K3401" t="s">
        <v>9087</v>
      </c>
      <c r="R3401">
        <v>95</v>
      </c>
    </row>
    <row r="3402" spans="1:19" x14ac:dyDescent="0.25">
      <c r="A3402" t="s">
        <v>9088</v>
      </c>
      <c r="B3402" s="1">
        <v>45090</v>
      </c>
      <c r="C3402" t="s">
        <v>9089</v>
      </c>
      <c r="D3402" t="s">
        <v>23</v>
      </c>
      <c r="G3402">
        <v>39</v>
      </c>
      <c r="H3402" t="s">
        <v>1856</v>
      </c>
      <c r="J3402" t="s">
        <v>9090</v>
      </c>
      <c r="L3402">
        <v>0</v>
      </c>
      <c r="P3402">
        <v>3.16</v>
      </c>
      <c r="Q3402">
        <v>2.0299999999999998</v>
      </c>
      <c r="R3402">
        <v>289</v>
      </c>
      <c r="S3402">
        <v>129.26</v>
      </c>
    </row>
    <row r="3403" spans="1:19" x14ac:dyDescent="0.25">
      <c r="A3403" t="s">
        <v>9091</v>
      </c>
      <c r="B3403" s="1">
        <v>45090</v>
      </c>
      <c r="C3403" t="s">
        <v>1292</v>
      </c>
      <c r="D3403" t="s">
        <v>23</v>
      </c>
      <c r="E3403" t="s">
        <v>24</v>
      </c>
      <c r="F3403" t="s">
        <v>2708</v>
      </c>
      <c r="G3403">
        <v>10</v>
      </c>
      <c r="H3403" t="s">
        <v>464</v>
      </c>
      <c r="I3403" t="s">
        <v>579</v>
      </c>
      <c r="J3403" t="s">
        <v>808</v>
      </c>
      <c r="K3403" t="s">
        <v>9092</v>
      </c>
    </row>
    <row r="3404" spans="1:19" x14ac:dyDescent="0.25">
      <c r="A3404" t="s">
        <v>9111</v>
      </c>
      <c r="B3404" s="1">
        <v>45097</v>
      </c>
      <c r="C3404" t="s">
        <v>6962</v>
      </c>
      <c r="D3404" t="s">
        <v>23</v>
      </c>
      <c r="E3404" t="s">
        <v>24</v>
      </c>
      <c r="F3404" t="s">
        <v>323</v>
      </c>
      <c r="G3404">
        <v>30</v>
      </c>
      <c r="H3404" t="s">
        <v>7562</v>
      </c>
      <c r="I3404" t="s">
        <v>7989</v>
      </c>
      <c r="J3404" t="s">
        <v>7990</v>
      </c>
      <c r="K3404" t="s">
        <v>9112</v>
      </c>
      <c r="L3404">
        <v>110</v>
      </c>
      <c r="P3404">
        <v>2.7</v>
      </c>
      <c r="Q3404">
        <v>3.02</v>
      </c>
      <c r="R3404">
        <v>245</v>
      </c>
      <c r="S3404">
        <v>138.87</v>
      </c>
    </row>
    <row r="3405" spans="1:19" x14ac:dyDescent="0.25">
      <c r="A3405" t="s">
        <v>9113</v>
      </c>
      <c r="B3405" s="1">
        <v>45097</v>
      </c>
      <c r="C3405" t="s">
        <v>1978</v>
      </c>
      <c r="D3405" t="s">
        <v>23</v>
      </c>
      <c r="E3405" t="s">
        <v>24</v>
      </c>
      <c r="F3405" t="s">
        <v>323</v>
      </c>
      <c r="G3405">
        <v>10</v>
      </c>
      <c r="H3405" t="s">
        <v>7562</v>
      </c>
      <c r="I3405" t="s">
        <v>7755</v>
      </c>
      <c r="J3405" t="s">
        <v>7756</v>
      </c>
      <c r="K3405" t="s">
        <v>9114</v>
      </c>
      <c r="L3405">
        <v>0</v>
      </c>
      <c r="P3405">
        <v>0</v>
      </c>
      <c r="Q3405">
        <v>0</v>
      </c>
      <c r="R3405">
        <v>4</v>
      </c>
      <c r="S3405">
        <v>108.93</v>
      </c>
    </row>
    <row r="3406" spans="1:19" x14ac:dyDescent="0.25">
      <c r="A3406" t="s">
        <v>9115</v>
      </c>
      <c r="B3406" s="1">
        <v>45097</v>
      </c>
      <c r="C3406" t="s">
        <v>5221</v>
      </c>
      <c r="D3406" t="s">
        <v>23</v>
      </c>
      <c r="E3406" t="s">
        <v>24</v>
      </c>
      <c r="F3406" t="s">
        <v>2256</v>
      </c>
      <c r="G3406">
        <v>20</v>
      </c>
      <c r="H3406" t="s">
        <v>194</v>
      </c>
      <c r="I3406" t="s">
        <v>1445</v>
      </c>
      <c r="J3406" t="s">
        <v>3313</v>
      </c>
      <c r="K3406" t="s">
        <v>9116</v>
      </c>
      <c r="R3406">
        <v>120</v>
      </c>
      <c r="S3406">
        <v>117.62</v>
      </c>
    </row>
    <row r="3407" spans="1:19" x14ac:dyDescent="0.25">
      <c r="A3407" t="s">
        <v>9117</v>
      </c>
      <c r="B3407" s="1">
        <v>45097</v>
      </c>
      <c r="C3407" t="s">
        <v>5372</v>
      </c>
      <c r="D3407" t="s">
        <v>23</v>
      </c>
      <c r="E3407" t="s">
        <v>24</v>
      </c>
      <c r="F3407" t="s">
        <v>180</v>
      </c>
      <c r="G3407">
        <v>10</v>
      </c>
      <c r="H3407" t="s">
        <v>194</v>
      </c>
      <c r="I3407" t="s">
        <v>195</v>
      </c>
      <c r="J3407" t="s">
        <v>211</v>
      </c>
      <c r="K3407" t="s">
        <v>9118</v>
      </c>
      <c r="R3407">
        <v>42</v>
      </c>
      <c r="S3407">
        <v>96.07</v>
      </c>
    </row>
    <row r="3408" spans="1:19" x14ac:dyDescent="0.25">
      <c r="A3408" t="s">
        <v>9119</v>
      </c>
      <c r="B3408" s="1">
        <v>45097</v>
      </c>
      <c r="C3408" t="s">
        <v>1398</v>
      </c>
      <c r="D3408" t="s">
        <v>23</v>
      </c>
      <c r="E3408" t="s">
        <v>24</v>
      </c>
      <c r="F3408" t="s">
        <v>2708</v>
      </c>
      <c r="G3408">
        <v>10</v>
      </c>
      <c r="H3408" t="s">
        <v>464</v>
      </c>
      <c r="I3408" t="s">
        <v>763</v>
      </c>
      <c r="J3408" t="s">
        <v>914</v>
      </c>
      <c r="K3408" t="s">
        <v>9120</v>
      </c>
    </row>
    <row r="3409" spans="1:19" x14ac:dyDescent="0.25">
      <c r="A3409" t="s">
        <v>9197</v>
      </c>
      <c r="B3409" s="1">
        <v>45111</v>
      </c>
      <c r="C3409" t="s">
        <v>1510</v>
      </c>
      <c r="D3409" t="s">
        <v>23</v>
      </c>
      <c r="E3409" t="s">
        <v>24</v>
      </c>
      <c r="F3409" t="s">
        <v>243</v>
      </c>
      <c r="G3409">
        <v>45</v>
      </c>
      <c r="H3409" t="s">
        <v>26</v>
      </c>
      <c r="I3409" t="s">
        <v>370</v>
      </c>
      <c r="J3409" t="s">
        <v>479</v>
      </c>
      <c r="K3409" t="s">
        <v>5581</v>
      </c>
      <c r="L3409">
        <v>310</v>
      </c>
      <c r="M3409">
        <v>115</v>
      </c>
      <c r="N3409" s="2">
        <v>0.38</v>
      </c>
      <c r="O3409">
        <v>84</v>
      </c>
      <c r="P3409">
        <v>16.79</v>
      </c>
      <c r="Q3409">
        <v>12.59</v>
      </c>
      <c r="R3409">
        <v>452</v>
      </c>
      <c r="S3409">
        <v>152.36000000000001</v>
      </c>
    </row>
    <row r="3410" spans="1:19" x14ac:dyDescent="0.25">
      <c r="A3410" t="s">
        <v>9198</v>
      </c>
      <c r="B3410" s="1">
        <v>45111</v>
      </c>
      <c r="C3410" t="s">
        <v>9199</v>
      </c>
      <c r="D3410" t="s">
        <v>23</v>
      </c>
      <c r="E3410" t="s">
        <v>24</v>
      </c>
      <c r="F3410" t="s">
        <v>33</v>
      </c>
      <c r="G3410">
        <v>10</v>
      </c>
      <c r="H3410" t="s">
        <v>26</v>
      </c>
      <c r="I3410" t="s">
        <v>358</v>
      </c>
      <c r="J3410" t="s">
        <v>389</v>
      </c>
      <c r="K3410" t="s">
        <v>9200</v>
      </c>
      <c r="L3410">
        <v>35</v>
      </c>
      <c r="M3410">
        <v>58</v>
      </c>
      <c r="N3410" s="2">
        <v>0.27</v>
      </c>
      <c r="O3410">
        <v>94</v>
      </c>
      <c r="P3410">
        <v>12.85</v>
      </c>
      <c r="Q3410">
        <v>2.14</v>
      </c>
      <c r="R3410">
        <v>63</v>
      </c>
      <c r="S3410">
        <v>120.07</v>
      </c>
    </row>
    <row r="3411" spans="1:19" x14ac:dyDescent="0.25">
      <c r="A3411" t="s">
        <v>9201</v>
      </c>
      <c r="B3411" s="1">
        <v>45111</v>
      </c>
      <c r="C3411" t="s">
        <v>9202</v>
      </c>
      <c r="D3411" t="s">
        <v>23</v>
      </c>
      <c r="E3411" t="s">
        <v>24</v>
      </c>
      <c r="F3411" t="s">
        <v>180</v>
      </c>
      <c r="G3411">
        <v>5</v>
      </c>
      <c r="H3411" t="s">
        <v>194</v>
      </c>
      <c r="I3411" t="s">
        <v>195</v>
      </c>
      <c r="J3411" t="s">
        <v>196</v>
      </c>
      <c r="K3411" t="s">
        <v>9203</v>
      </c>
      <c r="R3411">
        <v>23</v>
      </c>
      <c r="S3411">
        <v>104.99</v>
      </c>
    </row>
    <row r="3412" spans="1:19" x14ac:dyDescent="0.25">
      <c r="A3412" t="s">
        <v>9204</v>
      </c>
      <c r="B3412" s="1">
        <v>45111</v>
      </c>
      <c r="C3412" t="s">
        <v>9205</v>
      </c>
      <c r="D3412" t="s">
        <v>23</v>
      </c>
      <c r="E3412" t="s">
        <v>24</v>
      </c>
      <c r="F3412" t="s">
        <v>243</v>
      </c>
      <c r="G3412">
        <v>20</v>
      </c>
      <c r="H3412" t="s">
        <v>188</v>
      </c>
      <c r="I3412" t="s">
        <v>238</v>
      </c>
      <c r="J3412" t="s">
        <v>9206</v>
      </c>
      <c r="K3412" t="s">
        <v>9207</v>
      </c>
      <c r="R3412">
        <v>72</v>
      </c>
      <c r="S3412">
        <v>95.46</v>
      </c>
    </row>
    <row r="3413" spans="1:19" x14ac:dyDescent="0.25">
      <c r="A3413" t="s">
        <v>9250</v>
      </c>
      <c r="B3413" s="1">
        <v>45118</v>
      </c>
      <c r="C3413" t="s">
        <v>6191</v>
      </c>
      <c r="D3413" t="s">
        <v>23</v>
      </c>
      <c r="E3413" t="s">
        <v>24</v>
      </c>
      <c r="F3413" t="s">
        <v>7777</v>
      </c>
      <c r="G3413">
        <v>45</v>
      </c>
      <c r="H3413" t="s">
        <v>7750</v>
      </c>
      <c r="I3413" t="s">
        <v>8279</v>
      </c>
      <c r="J3413" t="s">
        <v>9251</v>
      </c>
      <c r="K3413" t="s">
        <v>9252</v>
      </c>
      <c r="L3413">
        <v>106</v>
      </c>
      <c r="P3413">
        <v>2.87</v>
      </c>
      <c r="Q3413">
        <v>2.36</v>
      </c>
      <c r="R3413">
        <v>381</v>
      </c>
      <c r="S3413">
        <v>138.72</v>
      </c>
    </row>
    <row r="3414" spans="1:19" x14ac:dyDescent="0.25">
      <c r="A3414" t="s">
        <v>9253</v>
      </c>
      <c r="B3414" s="1">
        <v>45118</v>
      </c>
      <c r="C3414" t="s">
        <v>5297</v>
      </c>
      <c r="D3414" t="s">
        <v>23</v>
      </c>
      <c r="E3414" t="s">
        <v>24</v>
      </c>
      <c r="F3414" t="s">
        <v>6030</v>
      </c>
      <c r="G3414">
        <v>5</v>
      </c>
      <c r="H3414" t="s">
        <v>194</v>
      </c>
      <c r="I3414" t="s">
        <v>195</v>
      </c>
      <c r="J3414" t="s">
        <v>196</v>
      </c>
      <c r="K3414" t="s">
        <v>9254</v>
      </c>
      <c r="R3414">
        <v>28</v>
      </c>
      <c r="S3414">
        <v>115.3</v>
      </c>
    </row>
    <row r="3415" spans="1:19" x14ac:dyDescent="0.25">
      <c r="A3415" t="s">
        <v>9255</v>
      </c>
      <c r="B3415" s="1">
        <v>45118</v>
      </c>
      <c r="C3415" t="s">
        <v>2100</v>
      </c>
      <c r="D3415" t="s">
        <v>23</v>
      </c>
      <c r="E3415" t="s">
        <v>24</v>
      </c>
      <c r="F3415" t="s">
        <v>215</v>
      </c>
      <c r="G3415">
        <v>15</v>
      </c>
      <c r="H3415" t="s">
        <v>464</v>
      </c>
      <c r="I3415" t="s">
        <v>1571</v>
      </c>
      <c r="J3415" t="s">
        <v>9172</v>
      </c>
      <c r="K3415" t="s">
        <v>9256</v>
      </c>
    </row>
    <row r="3416" spans="1:19" x14ac:dyDescent="0.25">
      <c r="A3416" t="s">
        <v>9304</v>
      </c>
      <c r="B3416" s="1">
        <v>45125</v>
      </c>
      <c r="C3416" t="s">
        <v>3047</v>
      </c>
      <c r="D3416" t="s">
        <v>23</v>
      </c>
      <c r="G3416">
        <v>38</v>
      </c>
      <c r="H3416" t="s">
        <v>1856</v>
      </c>
      <c r="J3416" t="s">
        <v>9305</v>
      </c>
      <c r="L3416">
        <v>0</v>
      </c>
      <c r="P3416">
        <v>3.48</v>
      </c>
      <c r="Q3416">
        <v>1.92</v>
      </c>
      <c r="R3416">
        <v>250</v>
      </c>
      <c r="S3416">
        <v>128.07</v>
      </c>
    </row>
    <row r="3417" spans="1:19" x14ac:dyDescent="0.25">
      <c r="A3417" t="s">
        <v>9306</v>
      </c>
      <c r="B3417" s="1">
        <v>45125</v>
      </c>
      <c r="C3417" t="s">
        <v>1753</v>
      </c>
      <c r="D3417" t="s">
        <v>23</v>
      </c>
      <c r="E3417" t="s">
        <v>24</v>
      </c>
      <c r="F3417" t="s">
        <v>7777</v>
      </c>
      <c r="G3417">
        <v>45</v>
      </c>
      <c r="H3417" t="s">
        <v>7750</v>
      </c>
      <c r="I3417" t="s">
        <v>663</v>
      </c>
      <c r="J3417" t="s">
        <v>769</v>
      </c>
      <c r="K3417" t="s">
        <v>9307</v>
      </c>
      <c r="L3417">
        <v>99</v>
      </c>
      <c r="P3417">
        <v>2.84</v>
      </c>
      <c r="Q3417">
        <v>2.37</v>
      </c>
      <c r="R3417">
        <v>364</v>
      </c>
      <c r="S3417">
        <v>136.16999999999999</v>
      </c>
    </row>
    <row r="3418" spans="1:19" x14ac:dyDescent="0.25">
      <c r="A3418" t="s">
        <v>9308</v>
      </c>
      <c r="B3418" s="1">
        <v>45125</v>
      </c>
      <c r="C3418" t="s">
        <v>1588</v>
      </c>
      <c r="D3418" t="s">
        <v>23</v>
      </c>
      <c r="E3418" t="s">
        <v>24</v>
      </c>
      <c r="F3418" t="s">
        <v>2708</v>
      </c>
      <c r="G3418">
        <v>10</v>
      </c>
      <c r="H3418" t="s">
        <v>464</v>
      </c>
      <c r="I3418" t="s">
        <v>579</v>
      </c>
      <c r="J3418" t="s">
        <v>1975</v>
      </c>
      <c r="K3418" t="s">
        <v>9309</v>
      </c>
    </row>
    <row r="3419" spans="1:19" x14ac:dyDescent="0.25">
      <c r="A3419" t="s">
        <v>9357</v>
      </c>
      <c r="B3419" s="1">
        <v>45132</v>
      </c>
      <c r="C3419" t="s">
        <v>9358</v>
      </c>
      <c r="D3419" t="s">
        <v>23</v>
      </c>
      <c r="E3419" t="s">
        <v>24</v>
      </c>
      <c r="F3419" t="s">
        <v>1203</v>
      </c>
      <c r="G3419">
        <v>30</v>
      </c>
      <c r="H3419" t="s">
        <v>1856</v>
      </c>
      <c r="I3419" t="s">
        <v>103</v>
      </c>
      <c r="J3419" t="s">
        <v>9359</v>
      </c>
      <c r="K3419" t="s">
        <v>9360</v>
      </c>
      <c r="L3419">
        <v>0</v>
      </c>
      <c r="P3419">
        <v>3.43</v>
      </c>
      <c r="Q3419">
        <v>1.6</v>
      </c>
      <c r="R3419">
        <v>200</v>
      </c>
      <c r="S3419">
        <v>122.3</v>
      </c>
    </row>
    <row r="3420" spans="1:19" x14ac:dyDescent="0.25">
      <c r="A3420" t="s">
        <v>9361</v>
      </c>
      <c r="B3420" s="1">
        <v>45132</v>
      </c>
      <c r="C3420" t="s">
        <v>9362</v>
      </c>
      <c r="D3420" t="s">
        <v>23</v>
      </c>
      <c r="E3420" t="s">
        <v>24</v>
      </c>
      <c r="F3420" t="s">
        <v>170</v>
      </c>
      <c r="G3420">
        <v>10</v>
      </c>
      <c r="H3420" t="s">
        <v>194</v>
      </c>
      <c r="I3420" t="s">
        <v>1445</v>
      </c>
      <c r="J3420" t="s">
        <v>1446</v>
      </c>
      <c r="K3420" t="s">
        <v>9363</v>
      </c>
      <c r="R3420">
        <v>64</v>
      </c>
      <c r="S3420">
        <v>119</v>
      </c>
    </row>
    <row r="3421" spans="1:19" x14ac:dyDescent="0.25">
      <c r="A3421" t="s">
        <v>9364</v>
      </c>
      <c r="B3421" s="1">
        <v>45132</v>
      </c>
      <c r="C3421" t="s">
        <v>9365</v>
      </c>
      <c r="D3421" t="s">
        <v>23</v>
      </c>
      <c r="E3421" t="s">
        <v>24</v>
      </c>
      <c r="F3421" t="s">
        <v>180</v>
      </c>
      <c r="G3421">
        <v>10</v>
      </c>
      <c r="H3421" t="s">
        <v>194</v>
      </c>
      <c r="I3421" t="s">
        <v>195</v>
      </c>
      <c r="J3421" t="s">
        <v>211</v>
      </c>
      <c r="K3421" t="s">
        <v>9366</v>
      </c>
      <c r="R3421">
        <v>44</v>
      </c>
      <c r="S3421">
        <v>101.57</v>
      </c>
    </row>
    <row r="3422" spans="1:19" x14ac:dyDescent="0.25">
      <c r="A3422" t="s">
        <v>9399</v>
      </c>
      <c r="B3422" s="1">
        <v>45139</v>
      </c>
      <c r="C3422" t="s">
        <v>9400</v>
      </c>
      <c r="D3422" t="s">
        <v>23</v>
      </c>
      <c r="G3422">
        <v>46</v>
      </c>
      <c r="H3422" t="s">
        <v>1856</v>
      </c>
      <c r="J3422" t="s">
        <v>9401</v>
      </c>
      <c r="L3422">
        <v>0</v>
      </c>
      <c r="P3422">
        <v>2.98</v>
      </c>
      <c r="Q3422">
        <v>1.95</v>
      </c>
      <c r="R3422">
        <v>270</v>
      </c>
      <c r="S3422">
        <v>115.93</v>
      </c>
    </row>
    <row r="3423" spans="1:19" x14ac:dyDescent="0.25">
      <c r="A3423" t="s">
        <v>9402</v>
      </c>
      <c r="B3423" s="1">
        <v>45139</v>
      </c>
      <c r="C3423" t="s">
        <v>9403</v>
      </c>
      <c r="D3423" t="s">
        <v>23</v>
      </c>
      <c r="E3423" t="s">
        <v>24</v>
      </c>
      <c r="F3423" t="s">
        <v>7754</v>
      </c>
      <c r="G3423">
        <v>30</v>
      </c>
      <c r="H3423" t="s">
        <v>7562</v>
      </c>
      <c r="I3423" t="s">
        <v>7989</v>
      </c>
      <c r="J3423" t="s">
        <v>7990</v>
      </c>
      <c r="K3423" t="s">
        <v>9404</v>
      </c>
      <c r="L3423">
        <v>107</v>
      </c>
      <c r="P3423">
        <v>2.68</v>
      </c>
      <c r="Q3423">
        <v>2.99</v>
      </c>
      <c r="R3423">
        <v>291</v>
      </c>
      <c r="S3423">
        <v>150.31</v>
      </c>
    </row>
    <row r="3424" spans="1:19" x14ac:dyDescent="0.25">
      <c r="A3424" t="s">
        <v>9405</v>
      </c>
      <c r="B3424" s="1">
        <v>45139</v>
      </c>
      <c r="C3424" t="s">
        <v>247</v>
      </c>
      <c r="D3424" t="s">
        <v>23</v>
      </c>
      <c r="E3424" t="s">
        <v>24</v>
      </c>
      <c r="F3424" t="s">
        <v>2708</v>
      </c>
      <c r="G3424">
        <v>10</v>
      </c>
      <c r="H3424" t="s">
        <v>464</v>
      </c>
      <c r="I3424" t="s">
        <v>579</v>
      </c>
      <c r="J3424" t="s">
        <v>580</v>
      </c>
      <c r="K3424" t="s">
        <v>9406</v>
      </c>
    </row>
    <row r="3425" spans="1:19" x14ac:dyDescent="0.25">
      <c r="A3425" t="s">
        <v>9440</v>
      </c>
      <c r="B3425" s="1">
        <v>45146</v>
      </c>
      <c r="C3425" t="s">
        <v>3101</v>
      </c>
      <c r="D3425" t="s">
        <v>23</v>
      </c>
      <c r="E3425" t="s">
        <v>24</v>
      </c>
      <c r="F3425" t="s">
        <v>2708</v>
      </c>
      <c r="G3425">
        <v>10</v>
      </c>
      <c r="H3425" t="s">
        <v>464</v>
      </c>
      <c r="I3425" t="s">
        <v>943</v>
      </c>
      <c r="J3425" t="s">
        <v>944</v>
      </c>
      <c r="K3425" t="s">
        <v>9441</v>
      </c>
    </row>
    <row r="3426" spans="1:19" x14ac:dyDescent="0.25">
      <c r="A3426" t="s">
        <v>9487</v>
      </c>
      <c r="B3426" s="1">
        <v>45153</v>
      </c>
      <c r="C3426" t="s">
        <v>3792</v>
      </c>
      <c r="D3426" t="s">
        <v>23</v>
      </c>
      <c r="E3426" t="s">
        <v>24</v>
      </c>
      <c r="F3426" t="s">
        <v>208</v>
      </c>
      <c r="G3426">
        <v>30</v>
      </c>
      <c r="H3426" t="s">
        <v>464</v>
      </c>
      <c r="I3426" t="s">
        <v>943</v>
      </c>
      <c r="J3426" t="s">
        <v>1621</v>
      </c>
      <c r="K3426" t="s">
        <v>9032</v>
      </c>
    </row>
    <row r="3427" spans="1:19" x14ac:dyDescent="0.25">
      <c r="A3427" t="s">
        <v>9545</v>
      </c>
      <c r="B3427" s="1">
        <v>45160</v>
      </c>
      <c r="C3427" t="s">
        <v>5297</v>
      </c>
      <c r="D3427" t="s">
        <v>23</v>
      </c>
      <c r="E3427" t="s">
        <v>24</v>
      </c>
      <c r="F3427" t="s">
        <v>305</v>
      </c>
      <c r="G3427">
        <v>20</v>
      </c>
      <c r="H3427" t="s">
        <v>194</v>
      </c>
      <c r="I3427" t="s">
        <v>232</v>
      </c>
      <c r="J3427" t="s">
        <v>9546</v>
      </c>
      <c r="K3427" t="s">
        <v>9518</v>
      </c>
      <c r="R3427">
        <v>94</v>
      </c>
    </row>
    <row r="3428" spans="1:19" x14ac:dyDescent="0.25">
      <c r="A3428" t="s">
        <v>9547</v>
      </c>
      <c r="B3428" s="1">
        <v>45160</v>
      </c>
      <c r="C3428" t="s">
        <v>6696</v>
      </c>
      <c r="D3428" t="s">
        <v>23</v>
      </c>
      <c r="E3428" t="s">
        <v>24</v>
      </c>
      <c r="F3428" t="s">
        <v>305</v>
      </c>
      <c r="G3428">
        <v>20</v>
      </c>
      <c r="H3428" t="s">
        <v>49</v>
      </c>
      <c r="I3428" t="s">
        <v>9548</v>
      </c>
      <c r="J3428" t="s">
        <v>9549</v>
      </c>
      <c r="K3428" t="s">
        <v>9518</v>
      </c>
      <c r="R3428">
        <v>80</v>
      </c>
      <c r="S3428">
        <v>84.7</v>
      </c>
    </row>
    <row r="3429" spans="1:19" x14ac:dyDescent="0.25">
      <c r="A3429" t="s">
        <v>9550</v>
      </c>
      <c r="B3429" s="1">
        <v>45160</v>
      </c>
      <c r="C3429" t="s">
        <v>4026</v>
      </c>
      <c r="D3429" t="s">
        <v>23</v>
      </c>
      <c r="E3429" t="s">
        <v>24</v>
      </c>
      <c r="F3429" t="s">
        <v>237</v>
      </c>
      <c r="G3429">
        <v>20</v>
      </c>
      <c r="H3429" t="s">
        <v>464</v>
      </c>
      <c r="I3429" t="s">
        <v>579</v>
      </c>
      <c r="J3429" t="s">
        <v>1598</v>
      </c>
      <c r="K3429" t="s">
        <v>9551</v>
      </c>
    </row>
    <row r="3430" spans="1:19" x14ac:dyDescent="0.25">
      <c r="A3430" t="s">
        <v>9600</v>
      </c>
      <c r="B3430" s="1">
        <v>45167</v>
      </c>
      <c r="C3430" t="s">
        <v>942</v>
      </c>
      <c r="D3430" t="s">
        <v>23</v>
      </c>
      <c r="E3430" t="s">
        <v>24</v>
      </c>
      <c r="F3430" t="s">
        <v>208</v>
      </c>
      <c r="G3430">
        <v>30</v>
      </c>
      <c r="H3430" t="s">
        <v>464</v>
      </c>
      <c r="I3430" t="s">
        <v>943</v>
      </c>
      <c r="J3430" t="s">
        <v>1621</v>
      </c>
      <c r="K3430" t="s">
        <v>8046</v>
      </c>
    </row>
    <row r="3431" spans="1:19" x14ac:dyDescent="0.25">
      <c r="A3431" t="s">
        <v>9657</v>
      </c>
      <c r="B3431" s="1">
        <v>45174</v>
      </c>
      <c r="C3431" t="s">
        <v>6258</v>
      </c>
      <c r="D3431" t="s">
        <v>23</v>
      </c>
      <c r="E3431" t="s">
        <v>24</v>
      </c>
      <c r="F3431" t="s">
        <v>459</v>
      </c>
      <c r="G3431">
        <v>15</v>
      </c>
      <c r="H3431" t="s">
        <v>464</v>
      </c>
      <c r="I3431" t="s">
        <v>1617</v>
      </c>
      <c r="J3431" t="s">
        <v>9658</v>
      </c>
      <c r="K3431" t="s">
        <v>9659</v>
      </c>
    </row>
    <row r="3432" spans="1:19" x14ac:dyDescent="0.25">
      <c r="A3432" t="s">
        <v>9660</v>
      </c>
      <c r="B3432" s="1">
        <v>45174</v>
      </c>
      <c r="C3432" t="s">
        <v>9661</v>
      </c>
      <c r="D3432" t="s">
        <v>23</v>
      </c>
      <c r="E3432" t="s">
        <v>24</v>
      </c>
      <c r="F3432" t="s">
        <v>215</v>
      </c>
      <c r="G3432">
        <v>15</v>
      </c>
      <c r="H3432" t="s">
        <v>464</v>
      </c>
      <c r="I3432" t="s">
        <v>1571</v>
      </c>
      <c r="J3432" t="s">
        <v>9172</v>
      </c>
      <c r="K3432" t="s">
        <v>9662</v>
      </c>
    </row>
    <row r="3433" spans="1:19" x14ac:dyDescent="0.25">
      <c r="A3433" t="s">
        <v>9712</v>
      </c>
      <c r="B3433" s="1">
        <v>45181</v>
      </c>
      <c r="C3433" t="s">
        <v>1131</v>
      </c>
      <c r="D3433" t="s">
        <v>23</v>
      </c>
      <c r="E3433" t="s">
        <v>24</v>
      </c>
      <c r="F3433" t="s">
        <v>215</v>
      </c>
      <c r="G3433">
        <v>30</v>
      </c>
      <c r="H3433" t="s">
        <v>188</v>
      </c>
      <c r="I3433" t="s">
        <v>189</v>
      </c>
      <c r="J3433" t="s">
        <v>9713</v>
      </c>
      <c r="K3433" t="s">
        <v>9714</v>
      </c>
      <c r="R3433">
        <v>82</v>
      </c>
    </row>
    <row r="3434" spans="1:19" x14ac:dyDescent="0.25">
      <c r="A3434" t="s">
        <v>9715</v>
      </c>
      <c r="B3434" s="1">
        <v>45181</v>
      </c>
      <c r="C3434" t="s">
        <v>6370</v>
      </c>
      <c r="D3434" t="s">
        <v>23</v>
      </c>
      <c r="E3434" t="s">
        <v>24</v>
      </c>
      <c r="F3434" t="s">
        <v>335</v>
      </c>
      <c r="G3434">
        <v>45</v>
      </c>
      <c r="H3434" t="s">
        <v>26</v>
      </c>
      <c r="I3434" t="s">
        <v>370</v>
      </c>
      <c r="J3434" t="s">
        <v>4001</v>
      </c>
      <c r="K3434" t="s">
        <v>9716</v>
      </c>
      <c r="L3434">
        <v>296</v>
      </c>
      <c r="M3434">
        <v>110</v>
      </c>
      <c r="N3434" s="2">
        <v>0.38</v>
      </c>
      <c r="O3434">
        <v>84</v>
      </c>
      <c r="P3434">
        <v>16.649999999999999</v>
      </c>
      <c r="Q3434">
        <v>12.48</v>
      </c>
      <c r="R3434">
        <v>493</v>
      </c>
      <c r="S3434">
        <v>160.29</v>
      </c>
    </row>
    <row r="3435" spans="1:19" x14ac:dyDescent="0.25">
      <c r="A3435" t="s">
        <v>9717</v>
      </c>
      <c r="B3435" s="1">
        <v>45181</v>
      </c>
      <c r="C3435" t="s">
        <v>6373</v>
      </c>
      <c r="D3435" t="s">
        <v>23</v>
      </c>
      <c r="E3435" t="s">
        <v>24</v>
      </c>
      <c r="F3435" t="s">
        <v>3250</v>
      </c>
      <c r="G3435">
        <v>10</v>
      </c>
      <c r="H3435" t="s">
        <v>26</v>
      </c>
      <c r="I3435" t="s">
        <v>39</v>
      </c>
      <c r="J3435" t="s">
        <v>7372</v>
      </c>
      <c r="K3435" t="s">
        <v>9718</v>
      </c>
      <c r="L3435">
        <v>36</v>
      </c>
      <c r="M3435">
        <v>60</v>
      </c>
      <c r="N3435" s="2">
        <v>0.32</v>
      </c>
      <c r="O3435">
        <v>77</v>
      </c>
      <c r="P3435">
        <v>12.96</v>
      </c>
      <c r="Q3435">
        <v>2.16</v>
      </c>
      <c r="R3435">
        <v>85</v>
      </c>
      <c r="S3435">
        <v>138.66999999999999</v>
      </c>
    </row>
    <row r="3436" spans="1:19" x14ac:dyDescent="0.25">
      <c r="A3436" t="s">
        <v>9719</v>
      </c>
      <c r="B3436" s="1">
        <v>45181</v>
      </c>
      <c r="C3436" t="s">
        <v>6353</v>
      </c>
      <c r="D3436" t="s">
        <v>23</v>
      </c>
      <c r="E3436" t="s">
        <v>24</v>
      </c>
      <c r="F3436" t="s">
        <v>3250</v>
      </c>
      <c r="G3436">
        <v>5</v>
      </c>
      <c r="H3436" t="s">
        <v>26</v>
      </c>
      <c r="I3436" t="s">
        <v>358</v>
      </c>
      <c r="J3436" t="s">
        <v>359</v>
      </c>
      <c r="K3436" t="s">
        <v>9720</v>
      </c>
      <c r="L3436">
        <v>12</v>
      </c>
      <c r="M3436">
        <v>40</v>
      </c>
      <c r="N3436" s="2">
        <v>0.25</v>
      </c>
      <c r="O3436">
        <v>79</v>
      </c>
      <c r="P3436">
        <v>10.72</v>
      </c>
      <c r="Q3436">
        <v>0.9</v>
      </c>
      <c r="R3436">
        <v>27</v>
      </c>
      <c r="S3436">
        <v>123.9</v>
      </c>
    </row>
    <row r="3437" spans="1:19" x14ac:dyDescent="0.25">
      <c r="A3437" t="s">
        <v>9721</v>
      </c>
      <c r="B3437" s="1">
        <v>45181</v>
      </c>
      <c r="C3437" t="s">
        <v>9218</v>
      </c>
      <c r="D3437" t="s">
        <v>23</v>
      </c>
      <c r="E3437" t="s">
        <v>24</v>
      </c>
      <c r="F3437" t="s">
        <v>323</v>
      </c>
      <c r="G3437">
        <v>5</v>
      </c>
      <c r="H3437" t="s">
        <v>49</v>
      </c>
      <c r="I3437" t="s">
        <v>50</v>
      </c>
      <c r="J3437" t="s">
        <v>51</v>
      </c>
      <c r="K3437" t="s">
        <v>9651</v>
      </c>
      <c r="R3437">
        <v>28</v>
      </c>
      <c r="S3437">
        <v>114.62</v>
      </c>
    </row>
    <row r="3438" spans="1:19" x14ac:dyDescent="0.25">
      <c r="A3438" t="s">
        <v>9722</v>
      </c>
      <c r="B3438" s="1">
        <v>45181</v>
      </c>
      <c r="C3438" t="s">
        <v>2888</v>
      </c>
      <c r="D3438" t="s">
        <v>23</v>
      </c>
      <c r="E3438" t="s">
        <v>24</v>
      </c>
      <c r="F3438" t="s">
        <v>200</v>
      </c>
      <c r="G3438">
        <v>15</v>
      </c>
      <c r="H3438" t="s">
        <v>464</v>
      </c>
      <c r="I3438" t="s">
        <v>763</v>
      </c>
      <c r="J3438" t="s">
        <v>2508</v>
      </c>
      <c r="K3438" t="s">
        <v>9723</v>
      </c>
    </row>
    <row r="3439" spans="1:19" x14ac:dyDescent="0.25">
      <c r="A3439" t="s">
        <v>9793</v>
      </c>
      <c r="B3439" s="1">
        <v>45195</v>
      </c>
      <c r="C3439" t="s">
        <v>9794</v>
      </c>
      <c r="D3439" t="s">
        <v>23</v>
      </c>
      <c r="E3439" t="s">
        <v>24</v>
      </c>
      <c r="F3439" t="s">
        <v>323</v>
      </c>
      <c r="G3439">
        <v>45</v>
      </c>
      <c r="H3439" t="s">
        <v>26</v>
      </c>
      <c r="I3439" t="s">
        <v>370</v>
      </c>
      <c r="J3439" t="s">
        <v>479</v>
      </c>
      <c r="K3439" t="s">
        <v>3438</v>
      </c>
      <c r="L3439">
        <v>302</v>
      </c>
      <c r="M3439">
        <v>112</v>
      </c>
      <c r="N3439" s="2">
        <v>0.37</v>
      </c>
      <c r="O3439">
        <v>84</v>
      </c>
      <c r="P3439">
        <v>16.52</v>
      </c>
      <c r="Q3439">
        <v>12.39</v>
      </c>
      <c r="R3439">
        <v>484</v>
      </c>
      <c r="S3439">
        <v>158.47</v>
      </c>
    </row>
    <row r="3440" spans="1:19" x14ac:dyDescent="0.25">
      <c r="A3440" t="s">
        <v>9795</v>
      </c>
      <c r="B3440" s="1">
        <v>45195</v>
      </c>
      <c r="C3440" t="s">
        <v>6795</v>
      </c>
      <c r="D3440" t="s">
        <v>23</v>
      </c>
      <c r="E3440" t="s">
        <v>24</v>
      </c>
      <c r="F3440" t="s">
        <v>905</v>
      </c>
      <c r="G3440">
        <v>5</v>
      </c>
      <c r="H3440" t="s">
        <v>26</v>
      </c>
      <c r="I3440" t="s">
        <v>358</v>
      </c>
      <c r="J3440" t="s">
        <v>359</v>
      </c>
      <c r="K3440" t="s">
        <v>9796</v>
      </c>
      <c r="L3440">
        <v>16</v>
      </c>
      <c r="M3440">
        <v>52</v>
      </c>
      <c r="N3440" s="2">
        <v>0.28999999999999998</v>
      </c>
      <c r="O3440">
        <v>76</v>
      </c>
      <c r="P3440">
        <v>11.9</v>
      </c>
      <c r="Q3440">
        <v>0.99</v>
      </c>
      <c r="R3440">
        <v>38</v>
      </c>
      <c r="S3440">
        <v>133.63999999999999</v>
      </c>
    </row>
    <row r="3441" spans="1:19" x14ac:dyDescent="0.25">
      <c r="A3441" t="s">
        <v>9797</v>
      </c>
      <c r="B3441" s="1">
        <v>45195</v>
      </c>
      <c r="C3441" t="s">
        <v>2442</v>
      </c>
      <c r="D3441" t="s">
        <v>23</v>
      </c>
      <c r="E3441" t="s">
        <v>24</v>
      </c>
      <c r="F3441" t="s">
        <v>2256</v>
      </c>
      <c r="G3441">
        <v>10</v>
      </c>
      <c r="H3441" t="s">
        <v>194</v>
      </c>
      <c r="I3441" t="s">
        <v>195</v>
      </c>
      <c r="J3441" t="s">
        <v>5762</v>
      </c>
      <c r="K3441" t="s">
        <v>9798</v>
      </c>
      <c r="R3441">
        <v>47</v>
      </c>
    </row>
    <row r="3442" spans="1:19" x14ac:dyDescent="0.25">
      <c r="A3442" t="s">
        <v>9799</v>
      </c>
      <c r="B3442" s="1">
        <v>45195</v>
      </c>
      <c r="C3442" t="s">
        <v>7189</v>
      </c>
      <c r="D3442" t="s">
        <v>23</v>
      </c>
      <c r="E3442" t="s">
        <v>24</v>
      </c>
      <c r="F3442" t="s">
        <v>25</v>
      </c>
      <c r="G3442">
        <v>5</v>
      </c>
      <c r="H3442" t="s">
        <v>49</v>
      </c>
      <c r="I3442" t="s">
        <v>50</v>
      </c>
      <c r="J3442" t="s">
        <v>51</v>
      </c>
      <c r="K3442" t="s">
        <v>9800</v>
      </c>
      <c r="R3442">
        <v>26</v>
      </c>
      <c r="S3442">
        <v>109.88</v>
      </c>
    </row>
    <row r="3443" spans="1:19" x14ac:dyDescent="0.25">
      <c r="A3443" t="s">
        <v>9801</v>
      </c>
      <c r="B3443" s="1">
        <v>45195</v>
      </c>
      <c r="C3443" t="s">
        <v>2295</v>
      </c>
      <c r="D3443" t="s">
        <v>23</v>
      </c>
      <c r="E3443" t="s">
        <v>24</v>
      </c>
      <c r="F3443" t="s">
        <v>2708</v>
      </c>
      <c r="G3443">
        <v>10</v>
      </c>
      <c r="H3443" t="s">
        <v>464</v>
      </c>
      <c r="I3443" t="s">
        <v>1571</v>
      </c>
      <c r="J3443" t="s">
        <v>6921</v>
      </c>
      <c r="K3443" t="s">
        <v>9802</v>
      </c>
    </row>
    <row r="3444" spans="1:19" x14ac:dyDescent="0.25">
      <c r="A3444" t="s">
        <v>9840</v>
      </c>
      <c r="B3444" s="1">
        <v>45202</v>
      </c>
      <c r="C3444" t="s">
        <v>8657</v>
      </c>
      <c r="D3444" t="s">
        <v>23</v>
      </c>
      <c r="E3444" t="s">
        <v>24</v>
      </c>
      <c r="F3444" t="s">
        <v>243</v>
      </c>
      <c r="G3444">
        <v>45</v>
      </c>
      <c r="H3444" t="s">
        <v>26</v>
      </c>
      <c r="I3444" t="s">
        <v>370</v>
      </c>
      <c r="J3444" t="s">
        <v>479</v>
      </c>
      <c r="K3444" t="s">
        <v>9841</v>
      </c>
      <c r="L3444">
        <v>290</v>
      </c>
      <c r="M3444">
        <v>107</v>
      </c>
      <c r="N3444" s="2">
        <v>0.36</v>
      </c>
      <c r="O3444">
        <v>86</v>
      </c>
      <c r="P3444">
        <v>16.18</v>
      </c>
      <c r="Q3444">
        <v>12.16</v>
      </c>
      <c r="R3444">
        <v>484</v>
      </c>
      <c r="S3444">
        <v>158.21</v>
      </c>
    </row>
    <row r="3445" spans="1:19" x14ac:dyDescent="0.25">
      <c r="A3445" t="s">
        <v>9842</v>
      </c>
      <c r="B3445" s="1">
        <v>45202</v>
      </c>
      <c r="C3445" t="s">
        <v>9843</v>
      </c>
      <c r="D3445" t="s">
        <v>23</v>
      </c>
      <c r="E3445" t="s">
        <v>24</v>
      </c>
      <c r="F3445" t="s">
        <v>25</v>
      </c>
      <c r="G3445">
        <v>10</v>
      </c>
      <c r="H3445" t="s">
        <v>26</v>
      </c>
      <c r="I3445" t="s">
        <v>358</v>
      </c>
      <c r="J3445" t="s">
        <v>389</v>
      </c>
      <c r="K3445" t="s">
        <v>9844</v>
      </c>
      <c r="L3445">
        <v>36</v>
      </c>
      <c r="M3445">
        <v>59</v>
      </c>
      <c r="N3445" s="2">
        <v>0.3</v>
      </c>
      <c r="O3445">
        <v>81</v>
      </c>
      <c r="P3445">
        <v>12.96</v>
      </c>
      <c r="Q3445">
        <v>2.16</v>
      </c>
      <c r="R3445">
        <v>45</v>
      </c>
    </row>
    <row r="3446" spans="1:19" x14ac:dyDescent="0.25">
      <c r="A3446" t="s">
        <v>9845</v>
      </c>
      <c r="B3446" s="1">
        <v>45202</v>
      </c>
      <c r="C3446" t="s">
        <v>1398</v>
      </c>
      <c r="D3446" t="s">
        <v>23</v>
      </c>
      <c r="E3446" t="s">
        <v>24</v>
      </c>
      <c r="F3446" t="s">
        <v>200</v>
      </c>
      <c r="G3446">
        <v>10</v>
      </c>
      <c r="H3446" t="s">
        <v>464</v>
      </c>
      <c r="I3446" t="s">
        <v>579</v>
      </c>
      <c r="J3446" t="s">
        <v>602</v>
      </c>
      <c r="K3446" t="s">
        <v>9846</v>
      </c>
    </row>
    <row r="3447" spans="1:19" x14ac:dyDescent="0.25">
      <c r="A3447" t="s">
        <v>9874</v>
      </c>
      <c r="B3447" s="1">
        <v>45209</v>
      </c>
      <c r="C3447" t="s">
        <v>9875</v>
      </c>
      <c r="D3447" t="s">
        <v>23</v>
      </c>
      <c r="E3447" t="s">
        <v>24</v>
      </c>
      <c r="F3447" t="s">
        <v>200</v>
      </c>
      <c r="G3447">
        <v>15</v>
      </c>
      <c r="H3447" t="s">
        <v>188</v>
      </c>
      <c r="I3447" t="s">
        <v>238</v>
      </c>
      <c r="J3447" t="s">
        <v>9876</v>
      </c>
      <c r="K3447" t="s">
        <v>9877</v>
      </c>
      <c r="R3447">
        <v>47</v>
      </c>
      <c r="S3447">
        <v>84.99</v>
      </c>
    </row>
    <row r="3448" spans="1:19" x14ac:dyDescent="0.25">
      <c r="A3448" t="s">
        <v>9930</v>
      </c>
      <c r="B3448" s="1">
        <v>45216</v>
      </c>
      <c r="C3448" t="s">
        <v>9931</v>
      </c>
      <c r="D3448" t="s">
        <v>23</v>
      </c>
      <c r="E3448" t="s">
        <v>24</v>
      </c>
      <c r="F3448" t="s">
        <v>2708</v>
      </c>
      <c r="G3448">
        <v>10</v>
      </c>
      <c r="H3448" t="s">
        <v>464</v>
      </c>
      <c r="I3448" t="s">
        <v>579</v>
      </c>
      <c r="J3448" t="s">
        <v>580</v>
      </c>
      <c r="K3448" t="s">
        <v>9932</v>
      </c>
    </row>
    <row r="3449" spans="1:19" x14ac:dyDescent="0.25">
      <c r="A3449" t="s">
        <v>9970</v>
      </c>
      <c r="B3449" s="1">
        <v>45223</v>
      </c>
      <c r="C3449" t="s">
        <v>515</v>
      </c>
      <c r="D3449" t="s">
        <v>23</v>
      </c>
      <c r="E3449" t="s">
        <v>24</v>
      </c>
      <c r="F3449" t="s">
        <v>215</v>
      </c>
      <c r="G3449">
        <v>30</v>
      </c>
      <c r="H3449" t="s">
        <v>188</v>
      </c>
      <c r="I3449" t="s">
        <v>189</v>
      </c>
      <c r="J3449" t="s">
        <v>3149</v>
      </c>
      <c r="K3449" t="s">
        <v>9971</v>
      </c>
      <c r="R3449">
        <v>95</v>
      </c>
    </row>
    <row r="3450" spans="1:19" x14ac:dyDescent="0.25">
      <c r="A3450" t="s">
        <v>9972</v>
      </c>
      <c r="B3450" s="1">
        <v>45223</v>
      </c>
      <c r="C3450" t="s">
        <v>2208</v>
      </c>
      <c r="D3450" t="s">
        <v>23</v>
      </c>
      <c r="E3450" t="s">
        <v>24</v>
      </c>
      <c r="F3450" t="s">
        <v>323</v>
      </c>
      <c r="G3450">
        <v>45</v>
      </c>
      <c r="H3450" t="s">
        <v>26</v>
      </c>
      <c r="I3450" t="s">
        <v>370</v>
      </c>
      <c r="J3450" t="s">
        <v>439</v>
      </c>
      <c r="K3450" t="s">
        <v>9973</v>
      </c>
      <c r="L3450">
        <v>261</v>
      </c>
      <c r="M3450">
        <v>97</v>
      </c>
      <c r="N3450" s="2">
        <v>0.38</v>
      </c>
      <c r="O3450">
        <v>82</v>
      </c>
      <c r="P3450">
        <v>15.94</v>
      </c>
      <c r="Q3450">
        <v>11.95</v>
      </c>
      <c r="R3450">
        <v>451</v>
      </c>
      <c r="S3450">
        <v>152.08000000000001</v>
      </c>
    </row>
    <row r="3451" spans="1:19" x14ac:dyDescent="0.25">
      <c r="A3451" t="s">
        <v>9974</v>
      </c>
      <c r="B3451" s="1">
        <v>45223</v>
      </c>
      <c r="C3451" t="s">
        <v>3369</v>
      </c>
      <c r="D3451" t="s">
        <v>23</v>
      </c>
      <c r="E3451" t="s">
        <v>24</v>
      </c>
      <c r="F3451" t="s">
        <v>490</v>
      </c>
      <c r="G3451">
        <v>5</v>
      </c>
      <c r="H3451" t="s">
        <v>26</v>
      </c>
      <c r="I3451" t="s">
        <v>358</v>
      </c>
      <c r="J3451" t="s">
        <v>359</v>
      </c>
      <c r="K3451" t="s">
        <v>9975</v>
      </c>
      <c r="L3451">
        <v>17</v>
      </c>
      <c r="M3451">
        <v>57</v>
      </c>
      <c r="N3451" s="2">
        <v>0.3</v>
      </c>
      <c r="O3451">
        <v>80</v>
      </c>
      <c r="P3451">
        <v>12.6</v>
      </c>
      <c r="Q3451">
        <v>1.05</v>
      </c>
      <c r="R3451">
        <v>34</v>
      </c>
      <c r="S3451">
        <v>122.3</v>
      </c>
    </row>
    <row r="3452" spans="1:19" x14ac:dyDescent="0.25">
      <c r="A3452" t="s">
        <v>9976</v>
      </c>
      <c r="B3452" s="1">
        <v>45223</v>
      </c>
      <c r="C3452" t="s">
        <v>6014</v>
      </c>
      <c r="D3452" t="s">
        <v>23</v>
      </c>
      <c r="E3452" t="s">
        <v>24</v>
      </c>
      <c r="F3452" t="s">
        <v>170</v>
      </c>
      <c r="G3452">
        <v>10</v>
      </c>
      <c r="H3452" t="s">
        <v>194</v>
      </c>
      <c r="I3452" t="s">
        <v>195</v>
      </c>
      <c r="J3452" t="s">
        <v>211</v>
      </c>
      <c r="K3452" t="s">
        <v>9977</v>
      </c>
      <c r="R3452">
        <v>47</v>
      </c>
    </row>
    <row r="3453" spans="1:19" x14ac:dyDescent="0.25">
      <c r="A3453" t="s">
        <v>9978</v>
      </c>
      <c r="B3453" s="1">
        <v>45223</v>
      </c>
      <c r="C3453" t="s">
        <v>2156</v>
      </c>
      <c r="D3453" t="s">
        <v>23</v>
      </c>
      <c r="E3453" t="s">
        <v>24</v>
      </c>
      <c r="F3453" t="s">
        <v>490</v>
      </c>
      <c r="G3453">
        <v>5</v>
      </c>
      <c r="H3453" t="s">
        <v>49</v>
      </c>
      <c r="I3453" t="s">
        <v>50</v>
      </c>
      <c r="J3453" t="s">
        <v>51</v>
      </c>
      <c r="K3453" t="s">
        <v>9950</v>
      </c>
      <c r="R3453">
        <v>12</v>
      </c>
    </row>
    <row r="3454" spans="1:19" x14ac:dyDescent="0.25">
      <c r="A3454" t="s">
        <v>9979</v>
      </c>
      <c r="B3454" s="1">
        <v>45223</v>
      </c>
      <c r="C3454" t="s">
        <v>1540</v>
      </c>
      <c r="D3454" t="s">
        <v>23</v>
      </c>
      <c r="E3454" t="s">
        <v>24</v>
      </c>
      <c r="F3454" t="s">
        <v>200</v>
      </c>
      <c r="G3454">
        <v>20</v>
      </c>
      <c r="H3454" t="s">
        <v>464</v>
      </c>
      <c r="I3454" t="s">
        <v>943</v>
      </c>
      <c r="J3454" t="s">
        <v>1347</v>
      </c>
      <c r="K3454" t="s">
        <v>9980</v>
      </c>
    </row>
    <row r="3455" spans="1:19" x14ac:dyDescent="0.25">
      <c r="A3455" t="s">
        <v>10010</v>
      </c>
      <c r="B3455" s="1">
        <v>45230</v>
      </c>
      <c r="C3455" t="s">
        <v>6828</v>
      </c>
      <c r="D3455" t="s">
        <v>23</v>
      </c>
      <c r="E3455" t="s">
        <v>24</v>
      </c>
      <c r="F3455" t="s">
        <v>7754</v>
      </c>
      <c r="G3455">
        <v>30</v>
      </c>
      <c r="H3455" t="s">
        <v>7562</v>
      </c>
      <c r="I3455" t="s">
        <v>7989</v>
      </c>
      <c r="J3455" t="s">
        <v>7990</v>
      </c>
      <c r="K3455" t="s">
        <v>8671</v>
      </c>
      <c r="L3455">
        <v>106</v>
      </c>
      <c r="P3455">
        <v>2.72</v>
      </c>
      <c r="Q3455">
        <v>2.85</v>
      </c>
      <c r="R3455">
        <v>270</v>
      </c>
      <c r="S3455">
        <v>144.25</v>
      </c>
    </row>
    <row r="3456" spans="1:19" x14ac:dyDescent="0.25">
      <c r="A3456" t="s">
        <v>10011</v>
      </c>
      <c r="B3456" s="1">
        <v>45230</v>
      </c>
      <c r="C3456" t="s">
        <v>9527</v>
      </c>
      <c r="D3456" t="s">
        <v>23</v>
      </c>
      <c r="E3456" t="s">
        <v>24</v>
      </c>
      <c r="F3456" t="s">
        <v>2256</v>
      </c>
      <c r="G3456">
        <v>20</v>
      </c>
      <c r="H3456" t="s">
        <v>194</v>
      </c>
      <c r="I3456" t="s">
        <v>1445</v>
      </c>
      <c r="J3456" t="s">
        <v>3191</v>
      </c>
      <c r="K3456" t="s">
        <v>10012</v>
      </c>
      <c r="R3456">
        <v>109</v>
      </c>
      <c r="S3456">
        <v>114.1</v>
      </c>
    </row>
    <row r="3457" spans="1:19" x14ac:dyDescent="0.25">
      <c r="A3457" t="s">
        <v>10013</v>
      </c>
      <c r="B3457" s="1">
        <v>45230</v>
      </c>
      <c r="C3457" t="s">
        <v>5191</v>
      </c>
      <c r="D3457" t="s">
        <v>23</v>
      </c>
      <c r="E3457" t="s">
        <v>24</v>
      </c>
      <c r="F3457" t="s">
        <v>6030</v>
      </c>
      <c r="G3457">
        <v>10</v>
      </c>
      <c r="H3457" t="s">
        <v>194</v>
      </c>
      <c r="I3457" t="s">
        <v>195</v>
      </c>
      <c r="J3457" t="s">
        <v>211</v>
      </c>
      <c r="K3457" t="s">
        <v>10014</v>
      </c>
      <c r="R3457">
        <v>54</v>
      </c>
      <c r="S3457">
        <v>112.75</v>
      </c>
    </row>
    <row r="3458" spans="1:19" x14ac:dyDescent="0.25">
      <c r="A3458" t="s">
        <v>10015</v>
      </c>
      <c r="B3458" s="1">
        <v>45230</v>
      </c>
      <c r="C3458" t="s">
        <v>4650</v>
      </c>
      <c r="D3458" t="s">
        <v>23</v>
      </c>
      <c r="E3458" t="s">
        <v>24</v>
      </c>
      <c r="F3458" t="s">
        <v>200</v>
      </c>
      <c r="G3458">
        <v>10</v>
      </c>
      <c r="H3458" t="s">
        <v>464</v>
      </c>
      <c r="I3458" t="s">
        <v>763</v>
      </c>
      <c r="J3458" t="s">
        <v>914</v>
      </c>
      <c r="K3458" t="s">
        <v>10016</v>
      </c>
    </row>
    <row r="3459" spans="1:19" x14ac:dyDescent="0.25">
      <c r="A3459" t="s">
        <v>10063</v>
      </c>
      <c r="B3459" s="1">
        <v>45237</v>
      </c>
      <c r="C3459" t="s">
        <v>10064</v>
      </c>
      <c r="D3459" t="s">
        <v>23</v>
      </c>
      <c r="E3459" t="s">
        <v>24</v>
      </c>
      <c r="F3459" t="s">
        <v>170</v>
      </c>
      <c r="G3459">
        <v>10</v>
      </c>
      <c r="H3459" t="s">
        <v>194</v>
      </c>
      <c r="I3459" t="s">
        <v>195</v>
      </c>
      <c r="J3459" t="s">
        <v>211</v>
      </c>
      <c r="K3459" t="s">
        <v>10065</v>
      </c>
      <c r="R3459">
        <v>58</v>
      </c>
      <c r="S3459">
        <v>115.25</v>
      </c>
    </row>
    <row r="3460" spans="1:19" x14ac:dyDescent="0.25">
      <c r="A3460" t="s">
        <v>10066</v>
      </c>
      <c r="B3460" s="1">
        <v>45237</v>
      </c>
      <c r="C3460" t="s">
        <v>10067</v>
      </c>
      <c r="D3460" t="s">
        <v>23</v>
      </c>
      <c r="E3460" t="s">
        <v>24</v>
      </c>
      <c r="F3460" t="s">
        <v>323</v>
      </c>
      <c r="G3460">
        <v>45</v>
      </c>
      <c r="H3460" t="s">
        <v>26</v>
      </c>
      <c r="I3460" t="s">
        <v>370</v>
      </c>
      <c r="J3460" t="s">
        <v>439</v>
      </c>
      <c r="K3460" t="s">
        <v>10068</v>
      </c>
      <c r="L3460">
        <v>283</v>
      </c>
      <c r="M3460">
        <v>105</v>
      </c>
      <c r="N3460" s="2">
        <v>0.37</v>
      </c>
      <c r="O3460">
        <v>87</v>
      </c>
      <c r="P3460">
        <v>16.420000000000002</v>
      </c>
      <c r="Q3460">
        <v>12.31</v>
      </c>
      <c r="R3460">
        <v>469</v>
      </c>
      <c r="S3460">
        <v>155.58000000000001</v>
      </c>
    </row>
    <row r="3461" spans="1:19" x14ac:dyDescent="0.25">
      <c r="A3461" t="s">
        <v>10069</v>
      </c>
      <c r="B3461" s="1">
        <v>45237</v>
      </c>
      <c r="C3461" t="s">
        <v>4601</v>
      </c>
      <c r="D3461" t="s">
        <v>23</v>
      </c>
      <c r="E3461" t="s">
        <v>24</v>
      </c>
      <c r="F3461" t="s">
        <v>554</v>
      </c>
      <c r="G3461">
        <v>10</v>
      </c>
      <c r="H3461" t="s">
        <v>26</v>
      </c>
      <c r="I3461" t="s">
        <v>358</v>
      </c>
      <c r="J3461" t="s">
        <v>389</v>
      </c>
      <c r="K3461" t="s">
        <v>10070</v>
      </c>
      <c r="L3461">
        <v>39</v>
      </c>
      <c r="M3461">
        <v>65</v>
      </c>
      <c r="N3461" s="2">
        <v>0.32</v>
      </c>
      <c r="O3461">
        <v>79</v>
      </c>
      <c r="P3461">
        <v>13.46</v>
      </c>
      <c r="Q3461">
        <v>2.2400000000000002</v>
      </c>
      <c r="R3461">
        <v>78</v>
      </c>
      <c r="S3461">
        <v>133.08000000000001</v>
      </c>
    </row>
    <row r="3462" spans="1:19" x14ac:dyDescent="0.25">
      <c r="A3462" t="s">
        <v>10071</v>
      </c>
      <c r="B3462" s="1">
        <v>45237</v>
      </c>
      <c r="C3462" t="s">
        <v>2366</v>
      </c>
      <c r="D3462" t="s">
        <v>23</v>
      </c>
      <c r="E3462" t="s">
        <v>24</v>
      </c>
      <c r="F3462" t="s">
        <v>237</v>
      </c>
      <c r="G3462">
        <v>10</v>
      </c>
      <c r="H3462" t="s">
        <v>464</v>
      </c>
      <c r="I3462" t="s">
        <v>579</v>
      </c>
      <c r="J3462" t="s">
        <v>602</v>
      </c>
      <c r="K3462" t="s">
        <v>10072</v>
      </c>
    </row>
    <row r="3463" spans="1:19" x14ac:dyDescent="0.25">
      <c r="A3463" t="s">
        <v>10123</v>
      </c>
      <c r="B3463" s="1">
        <v>45244</v>
      </c>
      <c r="C3463" t="s">
        <v>1454</v>
      </c>
      <c r="D3463" t="s">
        <v>23</v>
      </c>
      <c r="E3463" t="s">
        <v>24</v>
      </c>
      <c r="F3463" t="s">
        <v>2708</v>
      </c>
      <c r="G3463">
        <v>20</v>
      </c>
      <c r="H3463" t="s">
        <v>464</v>
      </c>
      <c r="I3463" t="s">
        <v>763</v>
      </c>
      <c r="J3463" t="s">
        <v>1385</v>
      </c>
      <c r="K3463" t="s">
        <v>10088</v>
      </c>
    </row>
    <row r="3464" spans="1:19" x14ac:dyDescent="0.25">
      <c r="A3464" t="s">
        <v>10167</v>
      </c>
      <c r="B3464" s="1">
        <v>45251</v>
      </c>
      <c r="C3464" t="s">
        <v>4911</v>
      </c>
      <c r="D3464" t="s">
        <v>23</v>
      </c>
      <c r="E3464" t="s">
        <v>24</v>
      </c>
      <c r="F3464" t="s">
        <v>200</v>
      </c>
      <c r="G3464">
        <v>45</v>
      </c>
      <c r="H3464" t="s">
        <v>188</v>
      </c>
      <c r="I3464" t="s">
        <v>254</v>
      </c>
      <c r="J3464" t="s">
        <v>1741</v>
      </c>
      <c r="K3464" t="s">
        <v>10168</v>
      </c>
      <c r="R3464">
        <v>149</v>
      </c>
    </row>
    <row r="3465" spans="1:19" x14ac:dyDescent="0.25">
      <c r="A3465" t="s">
        <v>10169</v>
      </c>
      <c r="B3465" s="1">
        <v>45251</v>
      </c>
      <c r="C3465" t="s">
        <v>1876</v>
      </c>
      <c r="D3465" t="s">
        <v>23</v>
      </c>
      <c r="E3465" t="s">
        <v>24</v>
      </c>
      <c r="F3465" t="s">
        <v>208</v>
      </c>
      <c r="G3465">
        <v>10</v>
      </c>
      <c r="H3465" t="s">
        <v>464</v>
      </c>
      <c r="I3465" t="s">
        <v>1571</v>
      </c>
      <c r="J3465" t="s">
        <v>602</v>
      </c>
      <c r="K3465" t="s">
        <v>10170</v>
      </c>
    </row>
    <row r="3466" spans="1:19" x14ac:dyDescent="0.25">
      <c r="A3466" t="s">
        <v>10198</v>
      </c>
      <c r="B3466" s="1">
        <v>45258</v>
      </c>
      <c r="C3466" t="s">
        <v>9137</v>
      </c>
      <c r="D3466" t="s">
        <v>23</v>
      </c>
      <c r="E3466" t="s">
        <v>24</v>
      </c>
      <c r="F3466" t="s">
        <v>243</v>
      </c>
      <c r="G3466">
        <v>30</v>
      </c>
      <c r="H3466" t="s">
        <v>188</v>
      </c>
      <c r="I3466" t="s">
        <v>103</v>
      </c>
      <c r="J3466" t="s">
        <v>10199</v>
      </c>
      <c r="K3466" t="s">
        <v>10200</v>
      </c>
      <c r="R3466">
        <v>131</v>
      </c>
      <c r="S3466">
        <v>101.1</v>
      </c>
    </row>
    <row r="3467" spans="1:19" x14ac:dyDescent="0.25">
      <c r="A3467" t="s">
        <v>10201</v>
      </c>
      <c r="B3467" s="1">
        <v>45258</v>
      </c>
      <c r="C3467" t="s">
        <v>3826</v>
      </c>
      <c r="D3467" t="s">
        <v>23</v>
      </c>
      <c r="E3467" t="s">
        <v>24</v>
      </c>
      <c r="F3467" t="s">
        <v>231</v>
      </c>
      <c r="G3467">
        <v>10</v>
      </c>
      <c r="H3467" t="s">
        <v>194</v>
      </c>
      <c r="I3467" t="s">
        <v>195</v>
      </c>
      <c r="J3467" t="s">
        <v>211</v>
      </c>
      <c r="K3467" t="s">
        <v>10202</v>
      </c>
      <c r="R3467">
        <v>39</v>
      </c>
      <c r="S3467">
        <v>96.78</v>
      </c>
    </row>
    <row r="3468" spans="1:19" x14ac:dyDescent="0.25">
      <c r="A3468" t="s">
        <v>10203</v>
      </c>
      <c r="B3468" s="1">
        <v>45258</v>
      </c>
      <c r="C3468" t="s">
        <v>746</v>
      </c>
      <c r="D3468" t="s">
        <v>23</v>
      </c>
      <c r="E3468" t="s">
        <v>24</v>
      </c>
      <c r="F3468" t="s">
        <v>459</v>
      </c>
      <c r="G3468">
        <v>10</v>
      </c>
      <c r="H3468" t="s">
        <v>464</v>
      </c>
      <c r="I3468" t="s">
        <v>1249</v>
      </c>
      <c r="J3468" t="s">
        <v>10204</v>
      </c>
      <c r="K3468" t="s">
        <v>10197</v>
      </c>
      <c r="S3468">
        <v>87.37</v>
      </c>
    </row>
    <row r="3469" spans="1:19" x14ac:dyDescent="0.25">
      <c r="A3469" t="s">
        <v>10205</v>
      </c>
      <c r="B3469" s="1">
        <v>45258</v>
      </c>
      <c r="C3469" t="s">
        <v>1637</v>
      </c>
      <c r="D3469" t="s">
        <v>23</v>
      </c>
      <c r="E3469" t="s">
        <v>24</v>
      </c>
      <c r="F3469" t="s">
        <v>215</v>
      </c>
      <c r="G3469">
        <v>10</v>
      </c>
      <c r="H3469" t="s">
        <v>464</v>
      </c>
      <c r="I3469" t="s">
        <v>103</v>
      </c>
      <c r="J3469" t="s">
        <v>3441</v>
      </c>
      <c r="K3469" t="s">
        <v>10206</v>
      </c>
    </row>
    <row r="3470" spans="1:19" x14ac:dyDescent="0.25">
      <c r="A3470" t="s">
        <v>10244</v>
      </c>
      <c r="B3470" s="1">
        <v>45265</v>
      </c>
      <c r="C3470" t="s">
        <v>10245</v>
      </c>
      <c r="D3470" t="s">
        <v>23</v>
      </c>
      <c r="E3470" t="s">
        <v>24</v>
      </c>
      <c r="F3470" t="s">
        <v>243</v>
      </c>
      <c r="G3470">
        <v>45</v>
      </c>
      <c r="H3470" t="s">
        <v>26</v>
      </c>
      <c r="I3470" t="s">
        <v>370</v>
      </c>
      <c r="J3470" t="s">
        <v>439</v>
      </c>
      <c r="K3470" t="s">
        <v>10246</v>
      </c>
      <c r="L3470">
        <v>271</v>
      </c>
      <c r="M3470">
        <v>100</v>
      </c>
      <c r="N3470" s="2">
        <v>0.37</v>
      </c>
      <c r="O3470">
        <v>85</v>
      </c>
      <c r="P3470">
        <v>16.14</v>
      </c>
      <c r="Q3470">
        <v>12.11</v>
      </c>
      <c r="R3470">
        <v>464</v>
      </c>
      <c r="S3470">
        <v>153.59</v>
      </c>
    </row>
    <row r="3471" spans="1:19" x14ac:dyDescent="0.25">
      <c r="A3471" t="s">
        <v>10247</v>
      </c>
      <c r="B3471" s="1">
        <v>45265</v>
      </c>
      <c r="C3471" t="s">
        <v>10248</v>
      </c>
      <c r="D3471" t="s">
        <v>23</v>
      </c>
      <c r="E3471" t="s">
        <v>24</v>
      </c>
      <c r="F3471" t="s">
        <v>323</v>
      </c>
      <c r="G3471">
        <v>5</v>
      </c>
      <c r="H3471" t="s">
        <v>26</v>
      </c>
      <c r="I3471" t="s">
        <v>358</v>
      </c>
      <c r="J3471" t="s">
        <v>359</v>
      </c>
      <c r="K3471" t="s">
        <v>10249</v>
      </c>
      <c r="L3471">
        <v>21</v>
      </c>
      <c r="M3471">
        <v>68</v>
      </c>
      <c r="N3471" s="2">
        <v>0.28999999999999998</v>
      </c>
      <c r="O3471">
        <v>90</v>
      </c>
      <c r="P3471">
        <v>13.65</v>
      </c>
      <c r="Q3471">
        <v>1.1399999999999999</v>
      </c>
      <c r="R3471">
        <v>41</v>
      </c>
      <c r="S3471">
        <v>135.6</v>
      </c>
    </row>
    <row r="3472" spans="1:19" x14ac:dyDescent="0.25">
      <c r="A3472" t="s">
        <v>10250</v>
      </c>
      <c r="B3472" s="1">
        <v>45265</v>
      </c>
      <c r="C3472" t="s">
        <v>10251</v>
      </c>
      <c r="D3472" t="s">
        <v>23</v>
      </c>
      <c r="E3472" t="s">
        <v>24</v>
      </c>
      <c r="F3472" t="s">
        <v>3250</v>
      </c>
      <c r="G3472">
        <v>10</v>
      </c>
      <c r="H3472" t="s">
        <v>194</v>
      </c>
      <c r="I3472" t="s">
        <v>700</v>
      </c>
      <c r="J3472" t="s">
        <v>1282</v>
      </c>
      <c r="K3472" t="s">
        <v>10252</v>
      </c>
      <c r="R3472">
        <v>62</v>
      </c>
      <c r="S3472">
        <v>117.55</v>
      </c>
    </row>
    <row r="3473" spans="1:19" x14ac:dyDescent="0.25">
      <c r="A3473" t="s">
        <v>10253</v>
      </c>
      <c r="B3473" s="1">
        <v>45265</v>
      </c>
      <c r="C3473" t="s">
        <v>4297</v>
      </c>
      <c r="D3473" t="s">
        <v>23</v>
      </c>
      <c r="E3473" t="s">
        <v>24</v>
      </c>
      <c r="F3473" t="s">
        <v>1203</v>
      </c>
      <c r="G3473">
        <v>10</v>
      </c>
      <c r="H3473" t="s">
        <v>194</v>
      </c>
      <c r="I3473" t="s">
        <v>195</v>
      </c>
      <c r="J3473" t="s">
        <v>211</v>
      </c>
      <c r="K3473" t="s">
        <v>10254</v>
      </c>
      <c r="R3473">
        <v>47</v>
      </c>
      <c r="S3473">
        <v>104.5</v>
      </c>
    </row>
    <row r="3474" spans="1:19" x14ac:dyDescent="0.25">
      <c r="A3474" t="s">
        <v>10255</v>
      </c>
      <c r="B3474" s="1">
        <v>45265</v>
      </c>
      <c r="C3474" t="s">
        <v>2059</v>
      </c>
      <c r="D3474" t="s">
        <v>23</v>
      </c>
      <c r="E3474" t="s">
        <v>24</v>
      </c>
      <c r="F3474" t="s">
        <v>459</v>
      </c>
      <c r="G3474">
        <v>10</v>
      </c>
      <c r="H3474" t="s">
        <v>464</v>
      </c>
      <c r="I3474" t="s">
        <v>943</v>
      </c>
      <c r="J3474" t="s">
        <v>944</v>
      </c>
      <c r="K3474" t="s">
        <v>10256</v>
      </c>
    </row>
    <row r="3475" spans="1:19" x14ac:dyDescent="0.25">
      <c r="A3475" t="s">
        <v>10299</v>
      </c>
      <c r="B3475" s="1">
        <v>45272</v>
      </c>
      <c r="C3475" t="s">
        <v>438</v>
      </c>
      <c r="D3475" t="s">
        <v>23</v>
      </c>
      <c r="E3475" t="s">
        <v>24</v>
      </c>
      <c r="F3475" t="s">
        <v>237</v>
      </c>
      <c r="G3475">
        <v>30</v>
      </c>
      <c r="H3475" t="s">
        <v>188</v>
      </c>
      <c r="I3475" t="s">
        <v>189</v>
      </c>
      <c r="J3475" t="s">
        <v>10300</v>
      </c>
      <c r="K3475" t="s">
        <v>10301</v>
      </c>
      <c r="R3475">
        <v>72</v>
      </c>
    </row>
    <row r="3476" spans="1:19" x14ac:dyDescent="0.25">
      <c r="A3476" t="s">
        <v>10302</v>
      </c>
      <c r="B3476" s="1">
        <v>45272</v>
      </c>
      <c r="C3476" t="s">
        <v>10303</v>
      </c>
      <c r="D3476" t="s">
        <v>23</v>
      </c>
      <c r="E3476" t="s">
        <v>24</v>
      </c>
      <c r="F3476" t="s">
        <v>6030</v>
      </c>
      <c r="G3476">
        <v>10</v>
      </c>
      <c r="H3476" t="s">
        <v>194</v>
      </c>
      <c r="I3476" t="s">
        <v>195</v>
      </c>
      <c r="J3476" t="s">
        <v>211</v>
      </c>
      <c r="K3476" t="s">
        <v>10304</v>
      </c>
      <c r="R3476">
        <v>58</v>
      </c>
      <c r="S3476">
        <v>114.52</v>
      </c>
    </row>
    <row r="3477" spans="1:19" x14ac:dyDescent="0.25">
      <c r="A3477" t="s">
        <v>10305</v>
      </c>
      <c r="B3477" s="1">
        <v>45272</v>
      </c>
      <c r="C3477" t="s">
        <v>10306</v>
      </c>
      <c r="D3477" t="s">
        <v>23</v>
      </c>
      <c r="E3477" t="s">
        <v>24</v>
      </c>
      <c r="F3477" t="s">
        <v>335</v>
      </c>
      <c r="G3477">
        <v>45</v>
      </c>
      <c r="H3477" t="s">
        <v>26</v>
      </c>
      <c r="I3477" t="s">
        <v>370</v>
      </c>
      <c r="J3477" t="s">
        <v>10307</v>
      </c>
      <c r="K3477" t="s">
        <v>10308</v>
      </c>
      <c r="L3477">
        <v>277</v>
      </c>
      <c r="M3477">
        <v>102</v>
      </c>
      <c r="N3477" s="2">
        <v>0.38</v>
      </c>
      <c r="O3477">
        <v>82</v>
      </c>
      <c r="P3477">
        <v>16.28</v>
      </c>
      <c r="Q3477">
        <v>12.21</v>
      </c>
      <c r="R3477">
        <v>496</v>
      </c>
      <c r="S3477">
        <v>159.96</v>
      </c>
    </row>
    <row r="3478" spans="1:19" x14ac:dyDescent="0.25">
      <c r="A3478" t="s">
        <v>10309</v>
      </c>
      <c r="B3478" s="1">
        <v>45272</v>
      </c>
      <c r="C3478" t="s">
        <v>10310</v>
      </c>
      <c r="D3478" t="s">
        <v>23</v>
      </c>
      <c r="E3478" t="s">
        <v>24</v>
      </c>
      <c r="F3478" t="s">
        <v>747</v>
      </c>
      <c r="G3478">
        <v>5</v>
      </c>
      <c r="H3478" t="s">
        <v>49</v>
      </c>
      <c r="I3478" t="s">
        <v>50</v>
      </c>
      <c r="J3478" t="s">
        <v>51</v>
      </c>
      <c r="K3478" t="s">
        <v>10311</v>
      </c>
      <c r="R3478">
        <v>30</v>
      </c>
      <c r="S3478">
        <v>117.01</v>
      </c>
    </row>
    <row r="3479" spans="1:19" x14ac:dyDescent="0.25">
      <c r="A3479" t="s">
        <v>10312</v>
      </c>
      <c r="B3479" s="1">
        <v>45272</v>
      </c>
      <c r="C3479" t="s">
        <v>1861</v>
      </c>
      <c r="D3479" t="s">
        <v>23</v>
      </c>
      <c r="E3479" t="s">
        <v>24</v>
      </c>
      <c r="F3479" t="s">
        <v>2708</v>
      </c>
      <c r="G3479">
        <v>15</v>
      </c>
      <c r="H3479" t="s">
        <v>464</v>
      </c>
      <c r="I3479" t="s">
        <v>763</v>
      </c>
      <c r="J3479" t="s">
        <v>2508</v>
      </c>
      <c r="K3479" t="s">
        <v>10313</v>
      </c>
    </row>
    <row r="3480" spans="1:19" x14ac:dyDescent="0.25">
      <c r="A3480" t="s">
        <v>10350</v>
      </c>
      <c r="B3480" s="1">
        <v>45279</v>
      </c>
      <c r="C3480" t="s">
        <v>7986</v>
      </c>
      <c r="D3480" t="s">
        <v>23</v>
      </c>
      <c r="E3480" t="s">
        <v>24</v>
      </c>
      <c r="F3480" t="s">
        <v>323</v>
      </c>
      <c r="G3480">
        <v>60</v>
      </c>
      <c r="H3480" t="s">
        <v>26</v>
      </c>
      <c r="I3480" t="s">
        <v>370</v>
      </c>
      <c r="J3480" t="s">
        <v>498</v>
      </c>
      <c r="K3480" t="s">
        <v>10351</v>
      </c>
      <c r="L3480">
        <v>379</v>
      </c>
      <c r="M3480">
        <v>105</v>
      </c>
      <c r="N3480" s="2">
        <v>0.38</v>
      </c>
      <c r="O3480">
        <v>83</v>
      </c>
      <c r="P3480">
        <v>16.489999999999998</v>
      </c>
      <c r="Q3480">
        <v>16.489999999999998</v>
      </c>
      <c r="R3480">
        <v>680</v>
      </c>
      <c r="S3480">
        <v>162.91999999999999</v>
      </c>
    </row>
    <row r="3481" spans="1:19" x14ac:dyDescent="0.25">
      <c r="A3481" t="s">
        <v>10352</v>
      </c>
      <c r="B3481" s="1">
        <v>45279</v>
      </c>
      <c r="C3481" t="s">
        <v>7518</v>
      </c>
      <c r="D3481" t="s">
        <v>23</v>
      </c>
      <c r="E3481" t="s">
        <v>24</v>
      </c>
      <c r="F3481" t="s">
        <v>354</v>
      </c>
      <c r="G3481">
        <v>5</v>
      </c>
      <c r="H3481" t="s">
        <v>26</v>
      </c>
      <c r="I3481" t="s">
        <v>358</v>
      </c>
      <c r="J3481" t="s">
        <v>359</v>
      </c>
      <c r="K3481" t="s">
        <v>10353</v>
      </c>
      <c r="L3481">
        <v>16</v>
      </c>
      <c r="M3481">
        <v>52</v>
      </c>
      <c r="N3481" s="2">
        <v>0.27</v>
      </c>
      <c r="O3481">
        <v>83</v>
      </c>
      <c r="P3481">
        <v>12.16</v>
      </c>
      <c r="Q3481">
        <v>1.01</v>
      </c>
      <c r="R3481">
        <v>20</v>
      </c>
    </row>
    <row r="3482" spans="1:19" x14ac:dyDescent="0.25">
      <c r="A3482" t="s">
        <v>10354</v>
      </c>
      <c r="B3482" s="1">
        <v>45279</v>
      </c>
      <c r="C3482" t="s">
        <v>10248</v>
      </c>
      <c r="D3482" t="s">
        <v>23</v>
      </c>
      <c r="E3482" t="s">
        <v>24</v>
      </c>
      <c r="F3482" t="s">
        <v>25</v>
      </c>
      <c r="G3482">
        <v>5</v>
      </c>
      <c r="H3482" t="s">
        <v>49</v>
      </c>
      <c r="I3482" t="s">
        <v>50</v>
      </c>
      <c r="J3482" t="s">
        <v>51</v>
      </c>
      <c r="K3482" t="s">
        <v>10355</v>
      </c>
      <c r="R3482">
        <v>12</v>
      </c>
    </row>
    <row r="3483" spans="1:19" x14ac:dyDescent="0.25">
      <c r="A3483" t="s">
        <v>10356</v>
      </c>
      <c r="B3483" s="1">
        <v>45279</v>
      </c>
      <c r="C3483" t="s">
        <v>839</v>
      </c>
      <c r="D3483" t="s">
        <v>23</v>
      </c>
      <c r="E3483" t="s">
        <v>24</v>
      </c>
      <c r="F3483" t="s">
        <v>459</v>
      </c>
      <c r="G3483">
        <v>15</v>
      </c>
      <c r="H3483" t="s">
        <v>464</v>
      </c>
      <c r="I3483" t="s">
        <v>103</v>
      </c>
      <c r="J3483" t="s">
        <v>10357</v>
      </c>
      <c r="K3483" t="s">
        <v>10358</v>
      </c>
    </row>
    <row r="3484" spans="1:19" x14ac:dyDescent="0.25">
      <c r="A3484" t="s">
        <v>10395</v>
      </c>
      <c r="B3484" s="1">
        <v>45286</v>
      </c>
      <c r="C3484" t="s">
        <v>5629</v>
      </c>
      <c r="D3484" t="s">
        <v>23</v>
      </c>
      <c r="E3484" t="s">
        <v>24</v>
      </c>
      <c r="F3484" t="s">
        <v>200</v>
      </c>
      <c r="G3484">
        <v>30</v>
      </c>
      <c r="H3484" t="s">
        <v>188</v>
      </c>
      <c r="I3484" t="s">
        <v>189</v>
      </c>
      <c r="J3484" t="s">
        <v>201</v>
      </c>
      <c r="K3484" t="s">
        <v>10396</v>
      </c>
      <c r="R3484">
        <v>103</v>
      </c>
    </row>
    <row r="3485" spans="1:19" x14ac:dyDescent="0.25">
      <c r="A3485" t="s">
        <v>10397</v>
      </c>
      <c r="B3485" s="1">
        <v>45286</v>
      </c>
      <c r="C3485" t="s">
        <v>4833</v>
      </c>
      <c r="D3485" t="s">
        <v>23</v>
      </c>
      <c r="E3485" t="s">
        <v>24</v>
      </c>
      <c r="F3485" t="s">
        <v>323</v>
      </c>
      <c r="G3485">
        <v>75</v>
      </c>
      <c r="H3485" t="s">
        <v>26</v>
      </c>
      <c r="I3485" t="s">
        <v>370</v>
      </c>
      <c r="J3485" t="s">
        <v>1081</v>
      </c>
      <c r="K3485" t="s">
        <v>10398</v>
      </c>
      <c r="L3485">
        <v>483</v>
      </c>
      <c r="M3485">
        <v>107</v>
      </c>
      <c r="N3485" s="2">
        <v>0.39</v>
      </c>
      <c r="O3485">
        <v>81</v>
      </c>
      <c r="P3485">
        <v>16.600000000000001</v>
      </c>
      <c r="Q3485">
        <v>20.75</v>
      </c>
      <c r="R3485">
        <v>810</v>
      </c>
      <c r="S3485">
        <v>163.32</v>
      </c>
    </row>
    <row r="3486" spans="1:19" x14ac:dyDescent="0.25">
      <c r="A3486" t="s">
        <v>10399</v>
      </c>
      <c r="B3486" s="1">
        <v>45286</v>
      </c>
      <c r="C3486" t="s">
        <v>10400</v>
      </c>
      <c r="D3486" t="s">
        <v>23</v>
      </c>
      <c r="E3486" t="s">
        <v>24</v>
      </c>
      <c r="F3486" t="s">
        <v>3250</v>
      </c>
      <c r="G3486">
        <v>5</v>
      </c>
      <c r="H3486" t="s">
        <v>26</v>
      </c>
      <c r="I3486" t="s">
        <v>358</v>
      </c>
      <c r="J3486" t="s">
        <v>359</v>
      </c>
      <c r="K3486" t="s">
        <v>10401</v>
      </c>
      <c r="L3486">
        <v>17</v>
      </c>
      <c r="M3486">
        <v>57</v>
      </c>
      <c r="N3486" s="2">
        <v>0.28999999999999998</v>
      </c>
      <c r="O3486">
        <v>80</v>
      </c>
      <c r="P3486">
        <v>12.61</v>
      </c>
      <c r="Q3486">
        <v>1.05</v>
      </c>
      <c r="R3486">
        <v>40</v>
      </c>
      <c r="S3486">
        <v>134.88</v>
      </c>
    </row>
    <row r="3487" spans="1:19" x14ac:dyDescent="0.25">
      <c r="A3487" t="s">
        <v>10402</v>
      </c>
      <c r="B3487" s="1">
        <v>45286</v>
      </c>
      <c r="C3487" t="s">
        <v>4606</v>
      </c>
      <c r="D3487" t="s">
        <v>23</v>
      </c>
      <c r="E3487" t="s">
        <v>24</v>
      </c>
      <c r="F3487" t="s">
        <v>2833</v>
      </c>
      <c r="G3487">
        <v>5</v>
      </c>
      <c r="H3487" t="s">
        <v>49</v>
      </c>
      <c r="I3487" t="s">
        <v>50</v>
      </c>
      <c r="J3487" t="s">
        <v>51</v>
      </c>
      <c r="K3487" t="s">
        <v>10403</v>
      </c>
      <c r="R3487">
        <v>27</v>
      </c>
      <c r="S3487">
        <v>112.56</v>
      </c>
    </row>
    <row r="3488" spans="1:19" x14ac:dyDescent="0.25">
      <c r="A3488" t="s">
        <v>10404</v>
      </c>
      <c r="B3488" s="1">
        <v>45286</v>
      </c>
      <c r="C3488" t="s">
        <v>6717</v>
      </c>
      <c r="D3488" t="s">
        <v>23</v>
      </c>
      <c r="E3488" t="s">
        <v>24</v>
      </c>
      <c r="F3488" t="s">
        <v>459</v>
      </c>
      <c r="G3488">
        <v>5</v>
      </c>
      <c r="H3488" t="s">
        <v>464</v>
      </c>
      <c r="I3488" t="s">
        <v>579</v>
      </c>
      <c r="J3488" t="s">
        <v>2457</v>
      </c>
      <c r="K3488" t="s">
        <v>10405</v>
      </c>
    </row>
    <row r="3489" spans="1:19" x14ac:dyDescent="0.25">
      <c r="A3489" t="s">
        <v>10438</v>
      </c>
      <c r="B3489" s="1">
        <v>45293</v>
      </c>
      <c r="C3489" t="s">
        <v>374</v>
      </c>
      <c r="D3489" t="s">
        <v>23</v>
      </c>
      <c r="E3489" t="s">
        <v>24</v>
      </c>
      <c r="F3489" t="s">
        <v>243</v>
      </c>
      <c r="G3489">
        <v>30</v>
      </c>
      <c r="H3489" t="s">
        <v>188</v>
      </c>
      <c r="I3489" t="s">
        <v>189</v>
      </c>
      <c r="J3489" t="s">
        <v>8565</v>
      </c>
      <c r="K3489" t="s">
        <v>10439</v>
      </c>
      <c r="R3489">
        <v>95</v>
      </c>
    </row>
    <row r="3490" spans="1:19" x14ac:dyDescent="0.25">
      <c r="A3490" t="s">
        <v>10440</v>
      </c>
      <c r="B3490" s="1">
        <v>45293</v>
      </c>
      <c r="C3490" t="s">
        <v>811</v>
      </c>
      <c r="D3490" t="s">
        <v>23</v>
      </c>
      <c r="G3490">
        <v>38</v>
      </c>
      <c r="H3490" t="s">
        <v>1856</v>
      </c>
      <c r="J3490" t="s">
        <v>10441</v>
      </c>
      <c r="L3490">
        <v>0</v>
      </c>
      <c r="P3490">
        <v>3.19</v>
      </c>
      <c r="Q3490">
        <v>1.91</v>
      </c>
      <c r="R3490">
        <v>149</v>
      </c>
    </row>
    <row r="3491" spans="1:19" x14ac:dyDescent="0.25">
      <c r="A3491" t="s">
        <v>10442</v>
      </c>
      <c r="B3491" s="1">
        <v>45293</v>
      </c>
      <c r="C3491" t="s">
        <v>10443</v>
      </c>
      <c r="D3491" t="s">
        <v>23</v>
      </c>
      <c r="E3491" t="s">
        <v>24</v>
      </c>
      <c r="F3491" t="s">
        <v>243</v>
      </c>
      <c r="G3491">
        <v>60</v>
      </c>
      <c r="H3491" t="s">
        <v>26</v>
      </c>
      <c r="I3491" t="s">
        <v>370</v>
      </c>
      <c r="J3491" t="s">
        <v>498</v>
      </c>
      <c r="K3491" t="s">
        <v>10444</v>
      </c>
      <c r="L3491">
        <v>367</v>
      </c>
      <c r="M3491">
        <v>102</v>
      </c>
      <c r="N3491" s="2">
        <v>0.37</v>
      </c>
      <c r="O3491">
        <v>84</v>
      </c>
      <c r="P3491">
        <v>16.25</v>
      </c>
      <c r="Q3491">
        <v>16.239999999999998</v>
      </c>
      <c r="R3491">
        <v>639</v>
      </c>
      <c r="S3491">
        <v>158.04</v>
      </c>
    </row>
    <row r="3492" spans="1:19" x14ac:dyDescent="0.25">
      <c r="A3492" t="s">
        <v>10445</v>
      </c>
      <c r="B3492" s="1">
        <v>45293</v>
      </c>
      <c r="C3492" t="s">
        <v>8367</v>
      </c>
      <c r="D3492" t="s">
        <v>23</v>
      </c>
      <c r="E3492" t="s">
        <v>24</v>
      </c>
      <c r="F3492" t="s">
        <v>905</v>
      </c>
      <c r="G3492">
        <v>5</v>
      </c>
      <c r="H3492" t="s">
        <v>26</v>
      </c>
      <c r="I3492" t="s">
        <v>358</v>
      </c>
      <c r="J3492" t="s">
        <v>359</v>
      </c>
      <c r="K3492" t="s">
        <v>10446</v>
      </c>
      <c r="L3492">
        <v>20</v>
      </c>
      <c r="M3492">
        <v>65</v>
      </c>
      <c r="N3492" s="2">
        <v>0.32</v>
      </c>
      <c r="O3492">
        <v>80</v>
      </c>
      <c r="P3492">
        <v>13.49</v>
      </c>
      <c r="Q3492">
        <v>1.1299999999999999</v>
      </c>
      <c r="R3492">
        <v>44</v>
      </c>
      <c r="S3492">
        <v>141.04</v>
      </c>
    </row>
    <row r="3493" spans="1:19" x14ac:dyDescent="0.25">
      <c r="A3493" t="s">
        <v>10447</v>
      </c>
      <c r="B3493" s="1">
        <v>45293</v>
      </c>
      <c r="C3493" t="s">
        <v>4415</v>
      </c>
      <c r="D3493" t="s">
        <v>23</v>
      </c>
      <c r="E3493" t="s">
        <v>24</v>
      </c>
      <c r="F3493" t="s">
        <v>905</v>
      </c>
      <c r="G3493">
        <v>5</v>
      </c>
      <c r="H3493" t="s">
        <v>49</v>
      </c>
      <c r="I3493" t="s">
        <v>50</v>
      </c>
      <c r="J3493" t="s">
        <v>51</v>
      </c>
      <c r="K3493" t="s">
        <v>10448</v>
      </c>
      <c r="R3493">
        <v>30</v>
      </c>
      <c r="S3493">
        <v>117.31</v>
      </c>
    </row>
    <row r="3494" spans="1:19" x14ac:dyDescent="0.25">
      <c r="A3494" t="s">
        <v>10449</v>
      </c>
      <c r="B3494" s="1">
        <v>45293</v>
      </c>
      <c r="C3494" t="s">
        <v>1507</v>
      </c>
      <c r="D3494" t="s">
        <v>23</v>
      </c>
      <c r="E3494" t="s">
        <v>24</v>
      </c>
      <c r="F3494" t="s">
        <v>2708</v>
      </c>
      <c r="G3494">
        <v>20</v>
      </c>
      <c r="H3494" t="s">
        <v>464</v>
      </c>
      <c r="I3494" t="s">
        <v>1617</v>
      </c>
      <c r="J3494" t="s">
        <v>1618</v>
      </c>
      <c r="K3494" t="s">
        <v>10450</v>
      </c>
    </row>
    <row r="3495" spans="1:19" x14ac:dyDescent="0.25">
      <c r="A3495" t="s">
        <v>10512</v>
      </c>
      <c r="B3495" s="1">
        <v>45300</v>
      </c>
      <c r="C3495" t="s">
        <v>4506</v>
      </c>
      <c r="D3495" t="s">
        <v>23</v>
      </c>
      <c r="E3495" t="s">
        <v>24</v>
      </c>
      <c r="F3495" t="s">
        <v>9324</v>
      </c>
      <c r="G3495">
        <v>30</v>
      </c>
      <c r="H3495" t="s">
        <v>7562</v>
      </c>
      <c r="I3495" t="s">
        <v>7989</v>
      </c>
      <c r="J3495" t="s">
        <v>7990</v>
      </c>
      <c r="K3495" t="s">
        <v>10513</v>
      </c>
      <c r="L3495">
        <v>99</v>
      </c>
      <c r="P3495">
        <v>2.58</v>
      </c>
      <c r="Q3495">
        <v>2.66</v>
      </c>
      <c r="R3495">
        <v>230</v>
      </c>
      <c r="S3495">
        <v>136.76</v>
      </c>
    </row>
    <row r="3496" spans="1:19" x14ac:dyDescent="0.25">
      <c r="A3496" t="s">
        <v>10514</v>
      </c>
      <c r="B3496" s="1">
        <v>45300</v>
      </c>
      <c r="C3496" t="s">
        <v>10515</v>
      </c>
      <c r="D3496" t="s">
        <v>23</v>
      </c>
      <c r="E3496" t="s">
        <v>24</v>
      </c>
      <c r="F3496" t="s">
        <v>5142</v>
      </c>
      <c r="G3496">
        <v>10</v>
      </c>
      <c r="H3496" t="s">
        <v>194</v>
      </c>
      <c r="I3496" t="s">
        <v>195</v>
      </c>
      <c r="J3496" t="s">
        <v>211</v>
      </c>
      <c r="K3496" t="s">
        <v>10516</v>
      </c>
      <c r="R3496">
        <v>47</v>
      </c>
      <c r="S3496">
        <v>101.74</v>
      </c>
    </row>
    <row r="3497" spans="1:19" x14ac:dyDescent="0.25">
      <c r="A3497" t="s">
        <v>10517</v>
      </c>
      <c r="B3497" s="1">
        <v>45300</v>
      </c>
      <c r="C3497" t="s">
        <v>3554</v>
      </c>
      <c r="D3497" t="s">
        <v>23</v>
      </c>
      <c r="E3497" t="s">
        <v>24</v>
      </c>
      <c r="F3497" t="s">
        <v>231</v>
      </c>
      <c r="G3497">
        <v>20</v>
      </c>
      <c r="H3497" t="s">
        <v>194</v>
      </c>
      <c r="I3497" t="s">
        <v>1445</v>
      </c>
      <c r="J3497" t="s">
        <v>4217</v>
      </c>
      <c r="K3497" t="s">
        <v>10518</v>
      </c>
      <c r="R3497">
        <v>108</v>
      </c>
      <c r="S3497">
        <v>106.12</v>
      </c>
    </row>
    <row r="3498" spans="1:19" x14ac:dyDescent="0.25">
      <c r="A3498" t="s">
        <v>10519</v>
      </c>
      <c r="B3498" s="1">
        <v>45300</v>
      </c>
      <c r="C3498" t="s">
        <v>4622</v>
      </c>
      <c r="D3498" t="s">
        <v>23</v>
      </c>
      <c r="E3498" t="s">
        <v>24</v>
      </c>
      <c r="F3498" t="s">
        <v>215</v>
      </c>
      <c r="G3498">
        <v>30</v>
      </c>
      <c r="H3498" t="s">
        <v>188</v>
      </c>
      <c r="I3498" t="s">
        <v>189</v>
      </c>
      <c r="J3498" t="s">
        <v>7846</v>
      </c>
      <c r="K3498" t="s">
        <v>10520</v>
      </c>
      <c r="R3498">
        <v>99</v>
      </c>
    </row>
    <row r="3499" spans="1:19" x14ac:dyDescent="0.25">
      <c r="A3499" t="s">
        <v>10521</v>
      </c>
      <c r="B3499" s="1">
        <v>45300</v>
      </c>
      <c r="C3499" t="s">
        <v>4026</v>
      </c>
      <c r="D3499" t="s">
        <v>23</v>
      </c>
      <c r="E3499" t="s">
        <v>24</v>
      </c>
      <c r="F3499" t="s">
        <v>215</v>
      </c>
      <c r="G3499">
        <v>15</v>
      </c>
      <c r="H3499" t="s">
        <v>464</v>
      </c>
      <c r="I3499" t="s">
        <v>103</v>
      </c>
      <c r="J3499" t="s">
        <v>10522</v>
      </c>
      <c r="K3499" t="s">
        <v>10523</v>
      </c>
    </row>
    <row r="3500" spans="1:19" x14ac:dyDescent="0.25">
      <c r="A3500" t="s">
        <v>10555</v>
      </c>
      <c r="B3500" s="1">
        <v>45307</v>
      </c>
      <c r="C3500" t="s">
        <v>77</v>
      </c>
      <c r="D3500" t="s">
        <v>23</v>
      </c>
      <c r="E3500" t="s">
        <v>24</v>
      </c>
      <c r="F3500" t="s">
        <v>200</v>
      </c>
      <c r="G3500">
        <v>30</v>
      </c>
      <c r="H3500" t="s">
        <v>188</v>
      </c>
      <c r="I3500" t="s">
        <v>254</v>
      </c>
      <c r="J3500" t="s">
        <v>10556</v>
      </c>
      <c r="K3500" t="s">
        <v>10557</v>
      </c>
      <c r="R3500">
        <v>33</v>
      </c>
    </row>
    <row r="3501" spans="1:19" x14ac:dyDescent="0.25">
      <c r="A3501" t="s">
        <v>10558</v>
      </c>
      <c r="B3501" s="1">
        <v>45307</v>
      </c>
      <c r="C3501" t="s">
        <v>10452</v>
      </c>
      <c r="D3501" t="s">
        <v>23</v>
      </c>
      <c r="E3501" t="s">
        <v>24</v>
      </c>
      <c r="F3501" t="s">
        <v>200</v>
      </c>
      <c r="G3501">
        <v>30</v>
      </c>
      <c r="H3501" t="s">
        <v>188</v>
      </c>
      <c r="I3501" t="s">
        <v>254</v>
      </c>
      <c r="J3501" t="s">
        <v>10556</v>
      </c>
      <c r="K3501" t="s">
        <v>10557</v>
      </c>
      <c r="R3501">
        <v>100</v>
      </c>
    </row>
    <row r="3502" spans="1:19" x14ac:dyDescent="0.25">
      <c r="A3502" t="s">
        <v>10559</v>
      </c>
      <c r="B3502" s="1">
        <v>45307</v>
      </c>
      <c r="C3502" t="s">
        <v>4297</v>
      </c>
      <c r="D3502" t="s">
        <v>23</v>
      </c>
      <c r="E3502" t="s">
        <v>24</v>
      </c>
      <c r="F3502" t="s">
        <v>297</v>
      </c>
      <c r="G3502">
        <v>30</v>
      </c>
      <c r="H3502" t="s">
        <v>7750</v>
      </c>
      <c r="I3502" t="s">
        <v>663</v>
      </c>
      <c r="J3502" t="s">
        <v>790</v>
      </c>
      <c r="K3502" t="s">
        <v>10560</v>
      </c>
      <c r="L3502">
        <v>73</v>
      </c>
      <c r="P3502">
        <v>2.81</v>
      </c>
      <c r="Q3502">
        <v>1.69</v>
      </c>
      <c r="R3502">
        <v>161</v>
      </c>
    </row>
    <row r="3503" spans="1:19" x14ac:dyDescent="0.25">
      <c r="A3503" t="s">
        <v>10561</v>
      </c>
      <c r="B3503" s="1">
        <v>45307</v>
      </c>
      <c r="C3503" t="s">
        <v>4690</v>
      </c>
      <c r="D3503" t="s">
        <v>23</v>
      </c>
      <c r="E3503" t="s">
        <v>24</v>
      </c>
      <c r="F3503" t="s">
        <v>314</v>
      </c>
      <c r="G3503">
        <v>10</v>
      </c>
      <c r="H3503" t="s">
        <v>194</v>
      </c>
      <c r="I3503" t="s">
        <v>195</v>
      </c>
      <c r="J3503" t="s">
        <v>211</v>
      </c>
      <c r="K3503" t="s">
        <v>10562</v>
      </c>
      <c r="R3503">
        <v>57</v>
      </c>
      <c r="S3503">
        <v>113.25</v>
      </c>
    </row>
    <row r="3504" spans="1:19" x14ac:dyDescent="0.25">
      <c r="A3504" t="s">
        <v>10563</v>
      </c>
      <c r="B3504" s="1">
        <v>45307</v>
      </c>
      <c r="C3504" t="s">
        <v>963</v>
      </c>
      <c r="D3504" t="s">
        <v>23</v>
      </c>
      <c r="E3504" t="s">
        <v>24</v>
      </c>
      <c r="F3504" t="s">
        <v>2708</v>
      </c>
      <c r="G3504">
        <v>10</v>
      </c>
      <c r="H3504" t="s">
        <v>464</v>
      </c>
      <c r="I3504" t="s">
        <v>1617</v>
      </c>
      <c r="J3504" t="s">
        <v>3543</v>
      </c>
      <c r="K3504" t="s">
        <v>10564</v>
      </c>
    </row>
    <row r="3505" spans="1:18" x14ac:dyDescent="0.25">
      <c r="A3505" t="s">
        <v>76</v>
      </c>
      <c r="B3505" s="1">
        <v>43376</v>
      </c>
      <c r="C3505" t="s">
        <v>77</v>
      </c>
      <c r="D3505" t="s">
        <v>78</v>
      </c>
      <c r="E3505" t="s">
        <v>24</v>
      </c>
      <c r="F3505" t="s">
        <v>25</v>
      </c>
      <c r="G3505">
        <v>30</v>
      </c>
      <c r="H3505" t="s">
        <v>26</v>
      </c>
      <c r="I3505" t="s">
        <v>44</v>
      </c>
      <c r="J3505" t="s">
        <v>45</v>
      </c>
      <c r="K3505" t="s">
        <v>79</v>
      </c>
      <c r="L3505">
        <v>168</v>
      </c>
      <c r="M3505">
        <v>93</v>
      </c>
      <c r="N3505" s="2">
        <v>0.38</v>
      </c>
      <c r="O3505">
        <v>81</v>
      </c>
      <c r="P3505">
        <v>15.55</v>
      </c>
      <c r="Q3505">
        <v>7.77</v>
      </c>
      <c r="R3505">
        <v>222</v>
      </c>
    </row>
    <row r="3506" spans="1:18" x14ac:dyDescent="0.25">
      <c r="A3506" t="s">
        <v>96</v>
      </c>
      <c r="B3506" s="1">
        <v>43411</v>
      </c>
      <c r="C3506" t="s">
        <v>97</v>
      </c>
      <c r="D3506" t="s">
        <v>78</v>
      </c>
      <c r="E3506" t="s">
        <v>24</v>
      </c>
      <c r="F3506" t="s">
        <v>25</v>
      </c>
      <c r="G3506">
        <v>30</v>
      </c>
      <c r="H3506" t="s">
        <v>26</v>
      </c>
      <c r="I3506" t="s">
        <v>44</v>
      </c>
      <c r="J3506" t="s">
        <v>64</v>
      </c>
      <c r="K3506" t="s">
        <v>98</v>
      </c>
      <c r="L3506">
        <v>153</v>
      </c>
      <c r="M3506">
        <v>85</v>
      </c>
      <c r="N3506" s="2">
        <v>0.38</v>
      </c>
      <c r="O3506">
        <v>75</v>
      </c>
      <c r="P3506">
        <v>14.89</v>
      </c>
      <c r="Q3506">
        <v>7.44</v>
      </c>
      <c r="R3506">
        <v>202</v>
      </c>
    </row>
    <row r="3507" spans="1:18" x14ac:dyDescent="0.25">
      <c r="A3507" t="s">
        <v>124</v>
      </c>
      <c r="B3507" s="1">
        <v>43460</v>
      </c>
      <c r="C3507" t="s">
        <v>125</v>
      </c>
      <c r="D3507" t="s">
        <v>78</v>
      </c>
      <c r="E3507" t="s">
        <v>24</v>
      </c>
      <c r="F3507" t="s">
        <v>25</v>
      </c>
      <c r="G3507">
        <v>30</v>
      </c>
      <c r="H3507" t="s">
        <v>26</v>
      </c>
      <c r="I3507" t="s">
        <v>126</v>
      </c>
      <c r="J3507" t="s">
        <v>127</v>
      </c>
      <c r="K3507" t="s">
        <v>128</v>
      </c>
      <c r="L3507">
        <v>21</v>
      </c>
      <c r="M3507">
        <v>46</v>
      </c>
      <c r="N3507" s="2">
        <v>0.37</v>
      </c>
      <c r="O3507">
        <v>48</v>
      </c>
      <c r="P3507">
        <v>8.0500000000000007</v>
      </c>
      <c r="Q3507">
        <v>0.99</v>
      </c>
      <c r="R3507">
        <v>27</v>
      </c>
    </row>
    <row r="3508" spans="1:18" x14ac:dyDescent="0.25">
      <c r="A3508" t="s">
        <v>162</v>
      </c>
      <c r="B3508" s="1">
        <v>43656</v>
      </c>
      <c r="C3508" t="s">
        <v>130</v>
      </c>
      <c r="D3508" t="s">
        <v>78</v>
      </c>
      <c r="E3508" t="s">
        <v>24</v>
      </c>
      <c r="F3508" t="s">
        <v>25</v>
      </c>
      <c r="G3508">
        <v>30</v>
      </c>
      <c r="H3508" t="s">
        <v>26</v>
      </c>
      <c r="I3508" t="s">
        <v>44</v>
      </c>
      <c r="J3508" t="s">
        <v>45</v>
      </c>
      <c r="K3508" t="s">
        <v>163</v>
      </c>
      <c r="L3508">
        <v>167</v>
      </c>
      <c r="M3508">
        <v>93</v>
      </c>
      <c r="N3508" s="2">
        <v>0.39</v>
      </c>
      <c r="O3508">
        <v>78</v>
      </c>
      <c r="P3508">
        <v>15.5</v>
      </c>
      <c r="Q3508">
        <v>7.74</v>
      </c>
      <c r="R3508">
        <v>220</v>
      </c>
    </row>
    <row r="3509" spans="1:18" x14ac:dyDescent="0.25">
      <c r="A3509" t="s">
        <v>185</v>
      </c>
      <c r="B3509" s="1">
        <v>43831</v>
      </c>
      <c r="C3509" t="s">
        <v>186</v>
      </c>
      <c r="D3509" t="s">
        <v>78</v>
      </c>
      <c r="E3509" t="s">
        <v>24</v>
      </c>
      <c r="F3509" t="s">
        <v>187</v>
      </c>
      <c r="G3509">
        <v>30</v>
      </c>
      <c r="H3509" t="s">
        <v>188</v>
      </c>
      <c r="I3509" t="s">
        <v>189</v>
      </c>
      <c r="J3509" t="s">
        <v>190</v>
      </c>
      <c r="K3509" t="s">
        <v>191</v>
      </c>
      <c r="R3509">
        <v>101</v>
      </c>
    </row>
    <row r="3510" spans="1:18" x14ac:dyDescent="0.25">
      <c r="A3510" t="s">
        <v>229</v>
      </c>
      <c r="B3510" s="1">
        <v>43859</v>
      </c>
      <c r="C3510" t="s">
        <v>230</v>
      </c>
      <c r="D3510" t="s">
        <v>78</v>
      </c>
      <c r="E3510" t="s">
        <v>24</v>
      </c>
      <c r="F3510" t="s">
        <v>231</v>
      </c>
      <c r="G3510">
        <v>30</v>
      </c>
      <c r="H3510" t="s">
        <v>194</v>
      </c>
      <c r="I3510" t="s">
        <v>232</v>
      </c>
      <c r="J3510" t="s">
        <v>233</v>
      </c>
      <c r="K3510" t="s">
        <v>234</v>
      </c>
      <c r="R3510">
        <v>167</v>
      </c>
    </row>
    <row r="3511" spans="1:18" x14ac:dyDescent="0.25">
      <c r="A3511" t="s">
        <v>252</v>
      </c>
      <c r="B3511" s="1">
        <v>43866</v>
      </c>
      <c r="C3511" t="s">
        <v>253</v>
      </c>
      <c r="D3511" t="s">
        <v>78</v>
      </c>
      <c r="E3511" t="s">
        <v>24</v>
      </c>
      <c r="F3511" t="s">
        <v>200</v>
      </c>
      <c r="G3511">
        <v>30</v>
      </c>
      <c r="H3511" t="s">
        <v>188</v>
      </c>
      <c r="I3511" t="s">
        <v>254</v>
      </c>
      <c r="J3511" t="s">
        <v>255</v>
      </c>
      <c r="K3511" t="s">
        <v>256</v>
      </c>
      <c r="R3511">
        <v>108</v>
      </c>
    </row>
    <row r="3512" spans="1:18" x14ac:dyDescent="0.25">
      <c r="A3512" t="s">
        <v>290</v>
      </c>
      <c r="B3512" s="1">
        <v>44118</v>
      </c>
      <c r="C3512" t="s">
        <v>291</v>
      </c>
      <c r="D3512" t="s">
        <v>78</v>
      </c>
      <c r="E3512" t="s">
        <v>24</v>
      </c>
      <c r="F3512" t="s">
        <v>292</v>
      </c>
      <c r="G3512">
        <v>10</v>
      </c>
      <c r="H3512" t="s">
        <v>49</v>
      </c>
      <c r="I3512" t="s">
        <v>226</v>
      </c>
      <c r="J3512" t="s">
        <v>293</v>
      </c>
      <c r="K3512" t="s">
        <v>294</v>
      </c>
      <c r="R3512">
        <v>28</v>
      </c>
    </row>
    <row r="3513" spans="1:18" x14ac:dyDescent="0.25">
      <c r="A3513" t="s">
        <v>295</v>
      </c>
      <c r="B3513" s="1">
        <v>44118</v>
      </c>
      <c r="C3513" t="s">
        <v>296</v>
      </c>
      <c r="D3513" t="s">
        <v>78</v>
      </c>
      <c r="E3513" t="s">
        <v>24</v>
      </c>
      <c r="F3513" t="s">
        <v>297</v>
      </c>
      <c r="G3513">
        <v>5</v>
      </c>
      <c r="H3513" t="s">
        <v>49</v>
      </c>
      <c r="I3513" t="s">
        <v>298</v>
      </c>
      <c r="J3513" t="s">
        <v>299</v>
      </c>
      <c r="K3513" t="s">
        <v>300</v>
      </c>
      <c r="R3513">
        <v>14</v>
      </c>
    </row>
    <row r="3514" spans="1:18" x14ac:dyDescent="0.25">
      <c r="A3514" t="s">
        <v>330</v>
      </c>
      <c r="B3514" s="1">
        <v>44125</v>
      </c>
      <c r="C3514" t="s">
        <v>331</v>
      </c>
      <c r="D3514" t="s">
        <v>78</v>
      </c>
      <c r="E3514" t="s">
        <v>24</v>
      </c>
      <c r="F3514" t="s">
        <v>314</v>
      </c>
      <c r="G3514">
        <v>5</v>
      </c>
      <c r="H3514" t="s">
        <v>49</v>
      </c>
      <c r="I3514" t="s">
        <v>310</v>
      </c>
      <c r="J3514" t="s">
        <v>324</v>
      </c>
      <c r="K3514" t="s">
        <v>332</v>
      </c>
      <c r="R3514">
        <v>28</v>
      </c>
    </row>
    <row r="3515" spans="1:18" x14ac:dyDescent="0.25">
      <c r="A3515" t="s">
        <v>333</v>
      </c>
      <c r="B3515" s="1">
        <v>44125</v>
      </c>
      <c r="C3515" t="s">
        <v>334</v>
      </c>
      <c r="D3515" t="s">
        <v>78</v>
      </c>
      <c r="E3515" t="s">
        <v>24</v>
      </c>
      <c r="F3515" t="s">
        <v>335</v>
      </c>
      <c r="G3515">
        <v>10</v>
      </c>
      <c r="H3515" t="s">
        <v>49</v>
      </c>
      <c r="I3515" t="s">
        <v>226</v>
      </c>
      <c r="J3515" t="s">
        <v>293</v>
      </c>
      <c r="K3515" t="s">
        <v>336</v>
      </c>
      <c r="R3515">
        <v>28</v>
      </c>
    </row>
    <row r="3516" spans="1:18" x14ac:dyDescent="0.25">
      <c r="A3516" t="s">
        <v>373</v>
      </c>
      <c r="B3516" s="1">
        <v>44139</v>
      </c>
      <c r="C3516" t="s">
        <v>374</v>
      </c>
      <c r="D3516" t="s">
        <v>78</v>
      </c>
      <c r="E3516" t="s">
        <v>24</v>
      </c>
      <c r="F3516" t="s">
        <v>25</v>
      </c>
      <c r="G3516">
        <v>30</v>
      </c>
      <c r="H3516" t="s">
        <v>26</v>
      </c>
      <c r="I3516" t="s">
        <v>44</v>
      </c>
      <c r="J3516" t="s">
        <v>45</v>
      </c>
      <c r="K3516" t="s">
        <v>375</v>
      </c>
      <c r="L3516">
        <v>141</v>
      </c>
      <c r="M3516">
        <v>78</v>
      </c>
      <c r="N3516" s="2">
        <v>0.36</v>
      </c>
      <c r="O3516">
        <v>77</v>
      </c>
      <c r="P3516">
        <v>14.5</v>
      </c>
      <c r="Q3516">
        <v>7.25</v>
      </c>
      <c r="R3516">
        <v>193</v>
      </c>
    </row>
    <row r="3517" spans="1:18" x14ac:dyDescent="0.25">
      <c r="A3517" t="s">
        <v>376</v>
      </c>
      <c r="B3517" s="1">
        <v>44139</v>
      </c>
      <c r="C3517" t="s">
        <v>377</v>
      </c>
      <c r="D3517" t="s">
        <v>78</v>
      </c>
      <c r="E3517" t="s">
        <v>24</v>
      </c>
      <c r="F3517" t="s">
        <v>25</v>
      </c>
      <c r="G3517">
        <v>5</v>
      </c>
      <c r="H3517" t="s">
        <v>49</v>
      </c>
      <c r="I3517" t="s">
        <v>50</v>
      </c>
      <c r="J3517" t="s">
        <v>51</v>
      </c>
      <c r="K3517" t="s">
        <v>378</v>
      </c>
      <c r="R3517">
        <v>13</v>
      </c>
    </row>
    <row r="3518" spans="1:18" x14ac:dyDescent="0.25">
      <c r="A3518" t="s">
        <v>437</v>
      </c>
      <c r="B3518" s="1">
        <v>44146</v>
      </c>
      <c r="C3518" t="s">
        <v>438</v>
      </c>
      <c r="D3518" t="s">
        <v>78</v>
      </c>
      <c r="E3518" t="s">
        <v>24</v>
      </c>
      <c r="F3518" t="s">
        <v>243</v>
      </c>
      <c r="G3518">
        <v>45</v>
      </c>
      <c r="H3518" t="s">
        <v>26</v>
      </c>
      <c r="I3518" t="s">
        <v>370</v>
      </c>
      <c r="J3518" t="s">
        <v>439</v>
      </c>
      <c r="K3518" t="s">
        <v>440</v>
      </c>
      <c r="L3518">
        <v>189</v>
      </c>
      <c r="M3518">
        <v>70</v>
      </c>
      <c r="N3518" s="2">
        <v>0.32</v>
      </c>
      <c r="O3518">
        <v>85</v>
      </c>
      <c r="P3518">
        <v>13.86</v>
      </c>
      <c r="Q3518">
        <v>10.39</v>
      </c>
      <c r="R3518">
        <v>258</v>
      </c>
    </row>
    <row r="3519" spans="1:18" x14ac:dyDescent="0.25">
      <c r="A3519" t="s">
        <v>441</v>
      </c>
      <c r="B3519" s="1">
        <v>44146</v>
      </c>
      <c r="C3519" t="s">
        <v>442</v>
      </c>
      <c r="D3519" t="s">
        <v>78</v>
      </c>
      <c r="E3519" t="s">
        <v>24</v>
      </c>
      <c r="F3519" t="s">
        <v>243</v>
      </c>
      <c r="G3519">
        <v>5</v>
      </c>
      <c r="H3519" t="s">
        <v>49</v>
      </c>
      <c r="I3519" t="s">
        <v>50</v>
      </c>
      <c r="J3519" t="s">
        <v>51</v>
      </c>
      <c r="K3519" t="s">
        <v>393</v>
      </c>
      <c r="R3519">
        <v>13</v>
      </c>
    </row>
    <row r="3520" spans="1:18" x14ac:dyDescent="0.25">
      <c r="A3520" t="s">
        <v>485</v>
      </c>
      <c r="B3520" s="1">
        <v>44153</v>
      </c>
      <c r="C3520" t="s">
        <v>486</v>
      </c>
      <c r="D3520" t="s">
        <v>78</v>
      </c>
      <c r="E3520" t="s">
        <v>24</v>
      </c>
      <c r="F3520" t="s">
        <v>328</v>
      </c>
      <c r="G3520">
        <v>30</v>
      </c>
      <c r="H3520" t="s">
        <v>26</v>
      </c>
      <c r="I3520" t="s">
        <v>370</v>
      </c>
      <c r="J3520" t="s">
        <v>396</v>
      </c>
      <c r="K3520" t="s">
        <v>487</v>
      </c>
      <c r="L3520">
        <v>142</v>
      </c>
      <c r="M3520">
        <v>79</v>
      </c>
      <c r="N3520" s="2">
        <v>0.33</v>
      </c>
      <c r="O3520">
        <v>87</v>
      </c>
      <c r="P3520">
        <v>14.59</v>
      </c>
      <c r="Q3520">
        <v>7.29</v>
      </c>
      <c r="R3520">
        <v>194</v>
      </c>
    </row>
    <row r="3521" spans="1:18" x14ac:dyDescent="0.25">
      <c r="A3521" t="s">
        <v>488</v>
      </c>
      <c r="B3521" s="1">
        <v>44153</v>
      </c>
      <c r="C3521" t="s">
        <v>489</v>
      </c>
      <c r="D3521" t="s">
        <v>78</v>
      </c>
      <c r="E3521" t="s">
        <v>24</v>
      </c>
      <c r="F3521" t="s">
        <v>490</v>
      </c>
      <c r="G3521">
        <v>5</v>
      </c>
      <c r="H3521" t="s">
        <v>49</v>
      </c>
      <c r="I3521" t="s">
        <v>50</v>
      </c>
      <c r="J3521" t="s">
        <v>51</v>
      </c>
      <c r="K3521" t="s">
        <v>491</v>
      </c>
      <c r="R3521">
        <v>13</v>
      </c>
    </row>
    <row r="3522" spans="1:18" x14ac:dyDescent="0.25">
      <c r="A3522" t="s">
        <v>529</v>
      </c>
      <c r="B3522" s="1">
        <v>44160</v>
      </c>
      <c r="C3522" t="s">
        <v>530</v>
      </c>
      <c r="D3522" t="s">
        <v>78</v>
      </c>
      <c r="E3522" t="s">
        <v>24</v>
      </c>
      <c r="F3522" t="s">
        <v>323</v>
      </c>
      <c r="G3522">
        <v>15</v>
      </c>
      <c r="H3522" t="s">
        <v>26</v>
      </c>
      <c r="I3522" t="s">
        <v>370</v>
      </c>
      <c r="J3522" t="s">
        <v>531</v>
      </c>
      <c r="K3522" t="s">
        <v>532</v>
      </c>
      <c r="L3522">
        <v>63</v>
      </c>
      <c r="M3522">
        <v>70</v>
      </c>
      <c r="N3522" s="2">
        <v>0.28999999999999998</v>
      </c>
      <c r="O3522">
        <v>94</v>
      </c>
      <c r="P3522">
        <v>13.82</v>
      </c>
      <c r="Q3522">
        <v>3.45</v>
      </c>
      <c r="R3522">
        <v>86</v>
      </c>
    </row>
    <row r="3523" spans="1:18" x14ac:dyDescent="0.25">
      <c r="A3523" t="s">
        <v>533</v>
      </c>
      <c r="B3523" s="1">
        <v>44160</v>
      </c>
      <c r="C3523" t="s">
        <v>384</v>
      </c>
      <c r="D3523" t="s">
        <v>78</v>
      </c>
      <c r="E3523" t="s">
        <v>24</v>
      </c>
      <c r="F3523" t="s">
        <v>323</v>
      </c>
      <c r="G3523">
        <v>20</v>
      </c>
      <c r="H3523" t="s">
        <v>26</v>
      </c>
      <c r="I3523" t="s">
        <v>370</v>
      </c>
      <c r="J3523" t="s">
        <v>385</v>
      </c>
      <c r="K3523" t="s">
        <v>534</v>
      </c>
      <c r="L3523">
        <v>130</v>
      </c>
      <c r="M3523">
        <v>108</v>
      </c>
      <c r="N3523" s="2">
        <v>0.36</v>
      </c>
      <c r="O3523">
        <v>93</v>
      </c>
      <c r="P3523">
        <v>16.690000000000001</v>
      </c>
      <c r="Q3523">
        <v>5.56</v>
      </c>
      <c r="R3523">
        <v>177</v>
      </c>
    </row>
    <row r="3524" spans="1:18" x14ac:dyDescent="0.25">
      <c r="A3524" t="s">
        <v>535</v>
      </c>
      <c r="B3524" s="1">
        <v>44160</v>
      </c>
      <c r="C3524" t="s">
        <v>536</v>
      </c>
      <c r="D3524" t="s">
        <v>78</v>
      </c>
      <c r="E3524" t="s">
        <v>24</v>
      </c>
      <c r="F3524" t="s">
        <v>323</v>
      </c>
      <c r="G3524">
        <v>5</v>
      </c>
      <c r="H3524" t="s">
        <v>26</v>
      </c>
      <c r="I3524" t="s">
        <v>358</v>
      </c>
      <c r="J3524" t="s">
        <v>359</v>
      </c>
      <c r="K3524" t="s">
        <v>456</v>
      </c>
      <c r="L3524">
        <v>14</v>
      </c>
      <c r="M3524">
        <v>46</v>
      </c>
      <c r="N3524" s="2">
        <v>0.23</v>
      </c>
      <c r="O3524">
        <v>94</v>
      </c>
      <c r="P3524">
        <v>11.48</v>
      </c>
      <c r="Q3524">
        <v>0.95</v>
      </c>
      <c r="R3524">
        <v>19</v>
      </c>
    </row>
    <row r="3525" spans="1:18" x14ac:dyDescent="0.25">
      <c r="A3525" t="s">
        <v>537</v>
      </c>
      <c r="B3525" s="1">
        <v>44160</v>
      </c>
      <c r="C3525" t="s">
        <v>538</v>
      </c>
      <c r="D3525" t="s">
        <v>78</v>
      </c>
      <c r="E3525" t="s">
        <v>24</v>
      </c>
      <c r="F3525" t="s">
        <v>323</v>
      </c>
      <c r="G3525">
        <v>5</v>
      </c>
      <c r="H3525" t="s">
        <v>49</v>
      </c>
      <c r="I3525" t="s">
        <v>50</v>
      </c>
      <c r="J3525" t="s">
        <v>51</v>
      </c>
      <c r="K3525" t="s">
        <v>502</v>
      </c>
      <c r="R3525">
        <v>13</v>
      </c>
    </row>
    <row r="3526" spans="1:18" x14ac:dyDescent="0.25">
      <c r="A3526" t="s">
        <v>568</v>
      </c>
      <c r="B3526" s="1">
        <v>44167</v>
      </c>
      <c r="C3526" t="s">
        <v>569</v>
      </c>
      <c r="D3526" t="s">
        <v>78</v>
      </c>
      <c r="E3526" t="s">
        <v>24</v>
      </c>
      <c r="F3526" t="s">
        <v>354</v>
      </c>
      <c r="G3526">
        <v>30</v>
      </c>
      <c r="H3526" t="s">
        <v>26</v>
      </c>
      <c r="I3526" t="s">
        <v>44</v>
      </c>
      <c r="J3526" t="s">
        <v>64</v>
      </c>
      <c r="K3526" t="s">
        <v>570</v>
      </c>
      <c r="L3526">
        <v>152</v>
      </c>
      <c r="M3526">
        <v>85</v>
      </c>
      <c r="N3526" s="2">
        <v>0.39</v>
      </c>
      <c r="O3526">
        <v>72</v>
      </c>
      <c r="P3526">
        <v>14.48</v>
      </c>
      <c r="Q3526">
        <v>7.24</v>
      </c>
      <c r="R3526">
        <v>208</v>
      </c>
    </row>
    <row r="3527" spans="1:18" x14ac:dyDescent="0.25">
      <c r="A3527" t="s">
        <v>571</v>
      </c>
      <c r="B3527" s="1">
        <v>44167</v>
      </c>
      <c r="C3527" t="s">
        <v>384</v>
      </c>
      <c r="D3527" t="s">
        <v>78</v>
      </c>
      <c r="E3527" t="s">
        <v>24</v>
      </c>
      <c r="F3527" t="s">
        <v>354</v>
      </c>
      <c r="G3527">
        <v>5</v>
      </c>
      <c r="H3527" t="s">
        <v>49</v>
      </c>
      <c r="I3527" t="s">
        <v>50</v>
      </c>
      <c r="J3527" t="s">
        <v>51</v>
      </c>
      <c r="K3527" t="s">
        <v>572</v>
      </c>
      <c r="R3527">
        <v>13</v>
      </c>
    </row>
    <row r="3528" spans="1:18" x14ac:dyDescent="0.25">
      <c r="A3528" t="s">
        <v>573</v>
      </c>
      <c r="B3528" s="1">
        <v>44167</v>
      </c>
      <c r="C3528" t="s">
        <v>574</v>
      </c>
      <c r="D3528" t="s">
        <v>78</v>
      </c>
      <c r="E3528" t="s">
        <v>24</v>
      </c>
      <c r="F3528" t="s">
        <v>243</v>
      </c>
      <c r="G3528">
        <v>45</v>
      </c>
      <c r="H3528" t="s">
        <v>188</v>
      </c>
      <c r="I3528" t="s">
        <v>575</v>
      </c>
      <c r="J3528" t="s">
        <v>576</v>
      </c>
      <c r="K3528" t="s">
        <v>577</v>
      </c>
      <c r="R3528">
        <v>164</v>
      </c>
    </row>
    <row r="3529" spans="1:18" x14ac:dyDescent="0.25">
      <c r="A3529" t="s">
        <v>578</v>
      </c>
      <c r="B3529" s="1">
        <v>44167</v>
      </c>
      <c r="C3529" t="s">
        <v>270</v>
      </c>
      <c r="D3529" t="s">
        <v>78</v>
      </c>
      <c r="E3529" t="s">
        <v>24</v>
      </c>
      <c r="F3529" t="s">
        <v>200</v>
      </c>
      <c r="G3529">
        <v>10</v>
      </c>
      <c r="H3529" t="s">
        <v>464</v>
      </c>
      <c r="I3529" t="s">
        <v>579</v>
      </c>
      <c r="J3529" t="s">
        <v>580</v>
      </c>
      <c r="K3529" t="s">
        <v>581</v>
      </c>
    </row>
    <row r="3530" spans="1:18" x14ac:dyDescent="0.25">
      <c r="A3530" t="s">
        <v>619</v>
      </c>
      <c r="B3530" s="1">
        <v>44174</v>
      </c>
      <c r="C3530" t="s">
        <v>620</v>
      </c>
      <c r="D3530" t="s">
        <v>78</v>
      </c>
      <c r="E3530" t="s">
        <v>24</v>
      </c>
      <c r="F3530" t="s">
        <v>323</v>
      </c>
      <c r="G3530">
        <v>45</v>
      </c>
      <c r="H3530" t="s">
        <v>26</v>
      </c>
      <c r="I3530" t="s">
        <v>370</v>
      </c>
      <c r="J3530" t="s">
        <v>439</v>
      </c>
      <c r="K3530" t="s">
        <v>621</v>
      </c>
      <c r="L3530">
        <v>208</v>
      </c>
      <c r="M3530">
        <v>77</v>
      </c>
      <c r="N3530" s="2">
        <v>0.32</v>
      </c>
      <c r="O3530">
        <v>87</v>
      </c>
      <c r="P3530">
        <v>14.46</v>
      </c>
      <c r="Q3530">
        <v>10.84</v>
      </c>
      <c r="R3530">
        <v>285</v>
      </c>
    </row>
    <row r="3531" spans="1:18" x14ac:dyDescent="0.25">
      <c r="A3531" t="s">
        <v>622</v>
      </c>
      <c r="B3531" s="1">
        <v>44174</v>
      </c>
      <c r="C3531" t="s">
        <v>623</v>
      </c>
      <c r="D3531" t="s">
        <v>78</v>
      </c>
      <c r="E3531" t="s">
        <v>24</v>
      </c>
      <c r="F3531" t="s">
        <v>335</v>
      </c>
      <c r="G3531">
        <v>5</v>
      </c>
      <c r="H3531" t="s">
        <v>49</v>
      </c>
      <c r="I3531" t="s">
        <v>50</v>
      </c>
      <c r="J3531" t="s">
        <v>51</v>
      </c>
      <c r="K3531" t="s">
        <v>624</v>
      </c>
      <c r="R3531">
        <v>13</v>
      </c>
    </row>
    <row r="3532" spans="1:18" x14ac:dyDescent="0.25">
      <c r="A3532" t="s">
        <v>662</v>
      </c>
      <c r="B3532" s="1">
        <v>44181</v>
      </c>
      <c r="C3532" t="s">
        <v>468</v>
      </c>
      <c r="D3532" t="s">
        <v>78</v>
      </c>
      <c r="E3532" t="s">
        <v>24</v>
      </c>
      <c r="F3532" t="s">
        <v>354</v>
      </c>
      <c r="G3532">
        <v>30</v>
      </c>
      <c r="H3532" t="s">
        <v>605</v>
      </c>
      <c r="I3532" t="s">
        <v>663</v>
      </c>
      <c r="J3532" t="s">
        <v>664</v>
      </c>
      <c r="K3532" t="s">
        <v>665</v>
      </c>
      <c r="L3532">
        <v>81</v>
      </c>
      <c r="P3532">
        <v>14.19</v>
      </c>
      <c r="Q3532">
        <v>3.72</v>
      </c>
      <c r="R3532">
        <v>150</v>
      </c>
    </row>
    <row r="3533" spans="1:18" x14ac:dyDescent="0.25">
      <c r="A3533" t="s">
        <v>666</v>
      </c>
      <c r="B3533" s="1">
        <v>44181</v>
      </c>
      <c r="C3533" t="s">
        <v>472</v>
      </c>
      <c r="D3533" t="s">
        <v>78</v>
      </c>
      <c r="E3533" t="s">
        <v>24</v>
      </c>
      <c r="F3533" t="s">
        <v>660</v>
      </c>
      <c r="G3533">
        <v>5</v>
      </c>
      <c r="H3533" t="s">
        <v>26</v>
      </c>
      <c r="I3533" t="s">
        <v>358</v>
      </c>
      <c r="J3533" t="s">
        <v>359</v>
      </c>
      <c r="K3533" t="s">
        <v>667</v>
      </c>
      <c r="L3533">
        <v>21</v>
      </c>
      <c r="M3533">
        <v>70</v>
      </c>
      <c r="N3533" s="2">
        <v>0.34</v>
      </c>
      <c r="O3533">
        <v>77</v>
      </c>
      <c r="P3533">
        <v>13.88</v>
      </c>
      <c r="Q3533">
        <v>1.1499999999999999</v>
      </c>
      <c r="R3533">
        <v>26</v>
      </c>
    </row>
    <row r="3534" spans="1:18" x14ac:dyDescent="0.25">
      <c r="A3534" t="s">
        <v>668</v>
      </c>
      <c r="B3534" s="1">
        <v>44181</v>
      </c>
      <c r="C3534" t="s">
        <v>669</v>
      </c>
      <c r="D3534" t="s">
        <v>78</v>
      </c>
      <c r="E3534" t="s">
        <v>24</v>
      </c>
      <c r="F3534" t="s">
        <v>180</v>
      </c>
      <c r="G3534">
        <v>30</v>
      </c>
      <c r="H3534" t="s">
        <v>26</v>
      </c>
      <c r="I3534" t="s">
        <v>44</v>
      </c>
      <c r="J3534" t="s">
        <v>670</v>
      </c>
      <c r="K3534" t="s">
        <v>671</v>
      </c>
      <c r="L3534">
        <v>160</v>
      </c>
      <c r="M3534">
        <v>89</v>
      </c>
      <c r="N3534" s="2">
        <v>0.37</v>
      </c>
      <c r="O3534">
        <v>80</v>
      </c>
      <c r="P3534">
        <v>15.17</v>
      </c>
      <c r="Q3534">
        <v>7.58</v>
      </c>
      <c r="R3534">
        <v>197</v>
      </c>
    </row>
    <row r="3535" spans="1:18" x14ac:dyDescent="0.25">
      <c r="A3535" t="s">
        <v>672</v>
      </c>
      <c r="B3535" s="1">
        <v>44181</v>
      </c>
      <c r="C3535" t="s">
        <v>673</v>
      </c>
      <c r="D3535" t="s">
        <v>78</v>
      </c>
      <c r="E3535" t="s">
        <v>24</v>
      </c>
      <c r="F3535" t="s">
        <v>237</v>
      </c>
      <c r="G3535">
        <v>10</v>
      </c>
      <c r="H3535" t="s">
        <v>188</v>
      </c>
      <c r="I3535" t="s">
        <v>238</v>
      </c>
      <c r="J3535" t="s">
        <v>674</v>
      </c>
      <c r="K3535" t="s">
        <v>675</v>
      </c>
      <c r="R3535">
        <v>36</v>
      </c>
    </row>
    <row r="3536" spans="1:18" x14ac:dyDescent="0.25">
      <c r="A3536" t="s">
        <v>721</v>
      </c>
      <c r="B3536" s="1">
        <v>44188</v>
      </c>
      <c r="C3536" t="s">
        <v>722</v>
      </c>
      <c r="D3536" t="s">
        <v>78</v>
      </c>
      <c r="E3536" t="s">
        <v>24</v>
      </c>
      <c r="F3536" t="s">
        <v>243</v>
      </c>
      <c r="G3536">
        <v>45</v>
      </c>
      <c r="H3536" t="s">
        <v>26</v>
      </c>
      <c r="I3536" t="s">
        <v>370</v>
      </c>
      <c r="J3536" t="s">
        <v>439</v>
      </c>
      <c r="K3536" t="s">
        <v>723</v>
      </c>
      <c r="L3536">
        <v>217</v>
      </c>
      <c r="M3536">
        <v>81</v>
      </c>
      <c r="N3536" s="2">
        <v>0.35</v>
      </c>
      <c r="O3536">
        <v>81</v>
      </c>
      <c r="P3536">
        <v>14.76</v>
      </c>
      <c r="Q3536">
        <v>11.06</v>
      </c>
      <c r="R3536">
        <v>269</v>
      </c>
    </row>
    <row r="3537" spans="1:18" x14ac:dyDescent="0.25">
      <c r="A3537" t="s">
        <v>724</v>
      </c>
      <c r="B3537" s="1">
        <v>44188</v>
      </c>
      <c r="C3537" t="s">
        <v>725</v>
      </c>
      <c r="D3537" t="s">
        <v>78</v>
      </c>
      <c r="E3537" t="s">
        <v>24</v>
      </c>
      <c r="F3537" t="s">
        <v>243</v>
      </c>
      <c r="G3537">
        <v>5</v>
      </c>
      <c r="H3537" t="s">
        <v>49</v>
      </c>
      <c r="I3537" t="s">
        <v>50</v>
      </c>
      <c r="J3537" t="s">
        <v>51</v>
      </c>
      <c r="K3537" t="s">
        <v>707</v>
      </c>
      <c r="R3537">
        <v>12</v>
      </c>
    </row>
    <row r="3538" spans="1:18" x14ac:dyDescent="0.25">
      <c r="A3538" t="s">
        <v>726</v>
      </c>
      <c r="B3538" s="1">
        <v>44188</v>
      </c>
      <c r="C3538" t="s">
        <v>727</v>
      </c>
      <c r="D3538" t="s">
        <v>78</v>
      </c>
      <c r="E3538" t="s">
        <v>24</v>
      </c>
      <c r="F3538" t="s">
        <v>180</v>
      </c>
      <c r="G3538">
        <v>15</v>
      </c>
      <c r="H3538" t="s">
        <v>194</v>
      </c>
      <c r="I3538" t="s">
        <v>705</v>
      </c>
      <c r="J3538" t="s">
        <v>728</v>
      </c>
      <c r="K3538" t="s">
        <v>707</v>
      </c>
      <c r="R3538">
        <v>69</v>
      </c>
    </row>
    <row r="3539" spans="1:18" x14ac:dyDescent="0.25">
      <c r="A3539" t="s">
        <v>729</v>
      </c>
      <c r="B3539" s="1">
        <v>44188</v>
      </c>
      <c r="C3539" t="s">
        <v>730</v>
      </c>
      <c r="D3539" t="s">
        <v>78</v>
      </c>
      <c r="E3539" t="s">
        <v>24</v>
      </c>
      <c r="F3539" t="s">
        <v>459</v>
      </c>
      <c r="G3539">
        <v>10</v>
      </c>
      <c r="H3539" t="s">
        <v>188</v>
      </c>
      <c r="I3539" t="s">
        <v>238</v>
      </c>
      <c r="J3539" t="s">
        <v>731</v>
      </c>
      <c r="K3539" t="s">
        <v>732</v>
      </c>
      <c r="R3539">
        <v>35</v>
      </c>
    </row>
    <row r="3540" spans="1:18" x14ac:dyDescent="0.25">
      <c r="A3540" t="s">
        <v>783</v>
      </c>
      <c r="B3540" s="1">
        <v>44195</v>
      </c>
      <c r="C3540" t="s">
        <v>784</v>
      </c>
      <c r="D3540" t="s">
        <v>78</v>
      </c>
      <c r="E3540" t="s">
        <v>24</v>
      </c>
      <c r="F3540" t="s">
        <v>180</v>
      </c>
      <c r="G3540">
        <v>30</v>
      </c>
      <c r="H3540" t="s">
        <v>26</v>
      </c>
      <c r="I3540" t="s">
        <v>103</v>
      </c>
      <c r="J3540" t="s">
        <v>785</v>
      </c>
      <c r="K3540" t="s">
        <v>770</v>
      </c>
      <c r="L3540">
        <v>165</v>
      </c>
      <c r="M3540">
        <v>91</v>
      </c>
      <c r="N3540" s="2">
        <v>0.37</v>
      </c>
      <c r="O3540">
        <v>81</v>
      </c>
      <c r="P3540">
        <v>15.41</v>
      </c>
      <c r="Q3540">
        <v>7.7</v>
      </c>
      <c r="R3540">
        <v>204</v>
      </c>
    </row>
    <row r="3541" spans="1:18" x14ac:dyDescent="0.25">
      <c r="A3541" t="s">
        <v>786</v>
      </c>
      <c r="B3541" s="1">
        <v>44195</v>
      </c>
      <c r="C3541" t="s">
        <v>787</v>
      </c>
      <c r="D3541" t="s">
        <v>78</v>
      </c>
      <c r="E3541" t="s">
        <v>24</v>
      </c>
      <c r="F3541" t="s">
        <v>215</v>
      </c>
      <c r="G3541">
        <v>20</v>
      </c>
      <c r="H3541" t="s">
        <v>188</v>
      </c>
      <c r="I3541" t="s">
        <v>189</v>
      </c>
      <c r="J3541" t="s">
        <v>248</v>
      </c>
      <c r="K3541" t="s">
        <v>744</v>
      </c>
      <c r="R3541">
        <v>65</v>
      </c>
    </row>
    <row r="3542" spans="1:18" x14ac:dyDescent="0.25">
      <c r="A3542" t="s">
        <v>846</v>
      </c>
      <c r="B3542" s="1">
        <v>44202</v>
      </c>
      <c r="C3542" t="s">
        <v>847</v>
      </c>
      <c r="D3542" t="s">
        <v>78</v>
      </c>
      <c r="E3542" t="s">
        <v>24</v>
      </c>
      <c r="F3542" t="s">
        <v>243</v>
      </c>
      <c r="G3542">
        <v>60</v>
      </c>
      <c r="H3542" t="s">
        <v>188</v>
      </c>
      <c r="I3542" t="s">
        <v>189</v>
      </c>
      <c r="J3542" t="s">
        <v>216</v>
      </c>
      <c r="K3542" t="s">
        <v>848</v>
      </c>
      <c r="R3542">
        <v>196</v>
      </c>
    </row>
    <row r="3543" spans="1:18" x14ac:dyDescent="0.25">
      <c r="A3543" t="s">
        <v>896</v>
      </c>
      <c r="B3543" s="1">
        <v>44209</v>
      </c>
      <c r="C3543" t="s">
        <v>897</v>
      </c>
      <c r="D3543" t="s">
        <v>78</v>
      </c>
      <c r="E3543" t="s">
        <v>24</v>
      </c>
      <c r="F3543" t="s">
        <v>243</v>
      </c>
      <c r="G3543">
        <v>30</v>
      </c>
      <c r="H3543" t="s">
        <v>188</v>
      </c>
      <c r="I3543" t="s">
        <v>189</v>
      </c>
      <c r="J3543" t="s">
        <v>898</v>
      </c>
      <c r="K3543" t="s">
        <v>899</v>
      </c>
      <c r="R3543">
        <v>99</v>
      </c>
    </row>
    <row r="3544" spans="1:18" x14ac:dyDescent="0.25">
      <c r="A3544" t="s">
        <v>941</v>
      </c>
      <c r="B3544" s="1">
        <v>44216</v>
      </c>
      <c r="C3544" t="s">
        <v>942</v>
      </c>
      <c r="D3544" t="s">
        <v>78</v>
      </c>
      <c r="E3544" t="s">
        <v>24</v>
      </c>
      <c r="F3544" t="s">
        <v>200</v>
      </c>
      <c r="G3544">
        <v>10</v>
      </c>
      <c r="H3544" t="s">
        <v>464</v>
      </c>
      <c r="I3544" t="s">
        <v>943</v>
      </c>
      <c r="J3544" t="s">
        <v>944</v>
      </c>
      <c r="K3544" t="s">
        <v>945</v>
      </c>
    </row>
    <row r="3545" spans="1:18" x14ac:dyDescent="0.25">
      <c r="A3545" t="s">
        <v>1002</v>
      </c>
      <c r="B3545" s="1">
        <v>44223</v>
      </c>
      <c r="C3545" t="s">
        <v>1003</v>
      </c>
      <c r="D3545" t="s">
        <v>78</v>
      </c>
      <c r="E3545" t="s">
        <v>24</v>
      </c>
      <c r="F3545" t="s">
        <v>323</v>
      </c>
      <c r="G3545">
        <v>45</v>
      </c>
      <c r="H3545" t="s">
        <v>26</v>
      </c>
      <c r="I3545" t="s">
        <v>370</v>
      </c>
      <c r="J3545" t="s">
        <v>439</v>
      </c>
      <c r="K3545" t="s">
        <v>1004</v>
      </c>
      <c r="L3545">
        <v>235</v>
      </c>
      <c r="M3545">
        <v>87</v>
      </c>
      <c r="N3545" s="2">
        <v>0.34</v>
      </c>
      <c r="O3545">
        <v>88</v>
      </c>
      <c r="P3545">
        <v>15.25</v>
      </c>
      <c r="Q3545">
        <v>11.44</v>
      </c>
      <c r="R3545">
        <v>291</v>
      </c>
    </row>
    <row r="3546" spans="1:18" x14ac:dyDescent="0.25">
      <c r="A3546" t="s">
        <v>1005</v>
      </c>
      <c r="B3546" s="1">
        <v>44223</v>
      </c>
      <c r="C3546" t="s">
        <v>1006</v>
      </c>
      <c r="D3546" t="s">
        <v>78</v>
      </c>
      <c r="E3546" t="s">
        <v>24</v>
      </c>
      <c r="F3546" t="s">
        <v>323</v>
      </c>
      <c r="G3546">
        <v>5</v>
      </c>
      <c r="H3546" t="s">
        <v>49</v>
      </c>
      <c r="I3546" t="s">
        <v>50</v>
      </c>
      <c r="J3546" t="s">
        <v>51</v>
      </c>
      <c r="K3546" t="s">
        <v>1007</v>
      </c>
      <c r="R3546">
        <v>12</v>
      </c>
    </row>
    <row r="3547" spans="1:18" x14ac:dyDescent="0.25">
      <c r="A3547" t="s">
        <v>1008</v>
      </c>
      <c r="B3547" s="1">
        <v>44223</v>
      </c>
      <c r="C3547" t="s">
        <v>1009</v>
      </c>
      <c r="D3547" t="s">
        <v>78</v>
      </c>
      <c r="E3547" t="s">
        <v>24</v>
      </c>
      <c r="F3547" t="s">
        <v>200</v>
      </c>
      <c r="G3547">
        <v>20</v>
      </c>
      <c r="H3547" t="s">
        <v>188</v>
      </c>
      <c r="I3547" t="s">
        <v>238</v>
      </c>
      <c r="J3547" t="s">
        <v>796</v>
      </c>
      <c r="K3547" t="s">
        <v>1010</v>
      </c>
      <c r="R3547">
        <v>62</v>
      </c>
    </row>
    <row r="3548" spans="1:18" x14ac:dyDescent="0.25">
      <c r="A3548" t="s">
        <v>1055</v>
      </c>
      <c r="B3548" s="1">
        <v>44230</v>
      </c>
      <c r="C3548" t="s">
        <v>1056</v>
      </c>
      <c r="D3548" t="s">
        <v>78</v>
      </c>
      <c r="E3548" t="s">
        <v>24</v>
      </c>
      <c r="F3548" t="s">
        <v>243</v>
      </c>
      <c r="G3548">
        <v>5</v>
      </c>
      <c r="H3548" t="s">
        <v>26</v>
      </c>
      <c r="I3548" t="s">
        <v>423</v>
      </c>
      <c r="J3548" t="s">
        <v>505</v>
      </c>
      <c r="K3548" t="s">
        <v>1057</v>
      </c>
      <c r="L3548">
        <v>22</v>
      </c>
      <c r="M3548">
        <v>73</v>
      </c>
      <c r="N3548" s="2">
        <v>0.31</v>
      </c>
      <c r="O3548">
        <v>90</v>
      </c>
      <c r="P3548">
        <v>14.19</v>
      </c>
      <c r="Q3548">
        <v>1.18</v>
      </c>
      <c r="R3548">
        <v>27</v>
      </c>
    </row>
    <row r="3549" spans="1:18" x14ac:dyDescent="0.25">
      <c r="A3549" t="s">
        <v>1058</v>
      </c>
      <c r="B3549" s="1">
        <v>44230</v>
      </c>
      <c r="C3549" t="s">
        <v>955</v>
      </c>
      <c r="D3549" t="s">
        <v>78</v>
      </c>
      <c r="E3549" t="s">
        <v>24</v>
      </c>
      <c r="F3549" t="s">
        <v>243</v>
      </c>
      <c r="G3549">
        <v>45</v>
      </c>
      <c r="H3549" t="s">
        <v>26</v>
      </c>
      <c r="I3549" t="s">
        <v>370</v>
      </c>
      <c r="J3549" t="s">
        <v>479</v>
      </c>
      <c r="K3549" t="s">
        <v>1059</v>
      </c>
      <c r="L3549">
        <v>241</v>
      </c>
      <c r="M3549">
        <v>89</v>
      </c>
      <c r="N3549" s="2">
        <v>0.36</v>
      </c>
      <c r="O3549">
        <v>83</v>
      </c>
      <c r="P3549">
        <v>15.29</v>
      </c>
      <c r="Q3549">
        <v>11.47</v>
      </c>
      <c r="R3549">
        <v>298</v>
      </c>
    </row>
    <row r="3550" spans="1:18" x14ac:dyDescent="0.25">
      <c r="A3550" t="s">
        <v>1060</v>
      </c>
      <c r="B3550" s="1">
        <v>44230</v>
      </c>
      <c r="C3550" t="s">
        <v>1061</v>
      </c>
      <c r="D3550" t="s">
        <v>78</v>
      </c>
      <c r="E3550" t="s">
        <v>24</v>
      </c>
      <c r="F3550" t="s">
        <v>243</v>
      </c>
      <c r="G3550">
        <v>5</v>
      </c>
      <c r="H3550" t="s">
        <v>26</v>
      </c>
      <c r="I3550" t="s">
        <v>358</v>
      </c>
      <c r="J3550" t="s">
        <v>359</v>
      </c>
      <c r="K3550" t="s">
        <v>1062</v>
      </c>
      <c r="L3550">
        <v>16</v>
      </c>
      <c r="M3550">
        <v>54</v>
      </c>
      <c r="N3550" s="2">
        <v>0.28999999999999998</v>
      </c>
      <c r="O3550">
        <v>82</v>
      </c>
      <c r="P3550">
        <v>12.4</v>
      </c>
      <c r="Q3550">
        <v>1.03</v>
      </c>
      <c r="R3550">
        <v>20</v>
      </c>
    </row>
    <row r="3551" spans="1:18" x14ac:dyDescent="0.25">
      <c r="A3551" t="s">
        <v>1063</v>
      </c>
      <c r="B3551" s="1">
        <v>44230</v>
      </c>
      <c r="C3551" t="s">
        <v>1064</v>
      </c>
      <c r="D3551" t="s">
        <v>78</v>
      </c>
      <c r="E3551" t="s">
        <v>24</v>
      </c>
      <c r="F3551" t="s">
        <v>243</v>
      </c>
      <c r="G3551">
        <v>5</v>
      </c>
      <c r="H3551" t="s">
        <v>49</v>
      </c>
      <c r="I3551" t="s">
        <v>50</v>
      </c>
      <c r="J3551" t="s">
        <v>51</v>
      </c>
      <c r="K3551" t="s">
        <v>951</v>
      </c>
      <c r="R3551">
        <v>12</v>
      </c>
    </row>
    <row r="3552" spans="1:18" x14ac:dyDescent="0.25">
      <c r="A3552" t="s">
        <v>1065</v>
      </c>
      <c r="B3552" s="1">
        <v>44230</v>
      </c>
      <c r="C3552" t="s">
        <v>841</v>
      </c>
      <c r="D3552" t="s">
        <v>78</v>
      </c>
      <c r="E3552" t="s">
        <v>24</v>
      </c>
      <c r="F3552" t="s">
        <v>200</v>
      </c>
      <c r="G3552">
        <v>10</v>
      </c>
      <c r="H3552" t="s">
        <v>464</v>
      </c>
      <c r="I3552" t="s">
        <v>763</v>
      </c>
      <c r="J3552" t="s">
        <v>914</v>
      </c>
      <c r="K3552" t="s">
        <v>1066</v>
      </c>
    </row>
    <row r="3553" spans="1:18" x14ac:dyDescent="0.25">
      <c r="A3553" t="s">
        <v>1115</v>
      </c>
      <c r="B3553" s="1">
        <v>44237</v>
      </c>
      <c r="C3553" t="s">
        <v>418</v>
      </c>
      <c r="D3553" t="s">
        <v>78</v>
      </c>
      <c r="E3553" t="s">
        <v>24</v>
      </c>
      <c r="F3553" t="s">
        <v>243</v>
      </c>
      <c r="G3553">
        <v>30</v>
      </c>
      <c r="H3553" t="s">
        <v>188</v>
      </c>
      <c r="I3553" t="s">
        <v>189</v>
      </c>
      <c r="J3553" t="s">
        <v>1116</v>
      </c>
      <c r="K3553" t="s">
        <v>1117</v>
      </c>
      <c r="R3553">
        <v>97</v>
      </c>
    </row>
    <row r="3554" spans="1:18" x14ac:dyDescent="0.25">
      <c r="A3554" t="s">
        <v>1163</v>
      </c>
      <c r="B3554" s="1">
        <v>44244</v>
      </c>
      <c r="C3554" t="s">
        <v>1164</v>
      </c>
      <c r="D3554" t="s">
        <v>78</v>
      </c>
      <c r="E3554" t="s">
        <v>24</v>
      </c>
      <c r="F3554" t="s">
        <v>323</v>
      </c>
      <c r="G3554">
        <v>60</v>
      </c>
      <c r="H3554" t="s">
        <v>26</v>
      </c>
      <c r="I3554" t="s">
        <v>370</v>
      </c>
      <c r="J3554" t="s">
        <v>646</v>
      </c>
      <c r="K3554" t="s">
        <v>1165</v>
      </c>
      <c r="L3554">
        <v>339</v>
      </c>
      <c r="M3554">
        <v>94</v>
      </c>
      <c r="N3554" s="2">
        <v>0.37</v>
      </c>
      <c r="O3554">
        <v>83</v>
      </c>
      <c r="P3554">
        <v>15.7</v>
      </c>
      <c r="Q3554">
        <v>15.69</v>
      </c>
      <c r="R3554">
        <v>420</v>
      </c>
    </row>
    <row r="3555" spans="1:18" x14ac:dyDescent="0.25">
      <c r="A3555" t="s">
        <v>1166</v>
      </c>
      <c r="B3555" s="1">
        <v>44244</v>
      </c>
      <c r="C3555" t="s">
        <v>1157</v>
      </c>
      <c r="D3555" t="s">
        <v>78</v>
      </c>
      <c r="E3555" t="s">
        <v>24</v>
      </c>
      <c r="F3555" t="s">
        <v>323</v>
      </c>
      <c r="G3555">
        <v>5</v>
      </c>
      <c r="H3555" t="s">
        <v>26</v>
      </c>
      <c r="I3555" t="s">
        <v>358</v>
      </c>
      <c r="J3555" t="s">
        <v>359</v>
      </c>
      <c r="K3555" t="s">
        <v>456</v>
      </c>
      <c r="L3555">
        <v>15</v>
      </c>
      <c r="M3555">
        <v>51</v>
      </c>
      <c r="N3555" s="2">
        <v>0.27</v>
      </c>
      <c r="O3555">
        <v>86</v>
      </c>
      <c r="P3555">
        <v>12.11</v>
      </c>
      <c r="Q3555">
        <v>1</v>
      </c>
      <c r="R3555">
        <v>19</v>
      </c>
    </row>
    <row r="3556" spans="1:18" x14ac:dyDescent="0.25">
      <c r="A3556" t="s">
        <v>1167</v>
      </c>
      <c r="B3556" s="1">
        <v>44244</v>
      </c>
      <c r="C3556" t="s">
        <v>630</v>
      </c>
      <c r="D3556" t="s">
        <v>78</v>
      </c>
      <c r="E3556" t="s">
        <v>24</v>
      </c>
      <c r="F3556" t="s">
        <v>323</v>
      </c>
      <c r="G3556">
        <v>5</v>
      </c>
      <c r="H3556" t="s">
        <v>49</v>
      </c>
      <c r="I3556" t="s">
        <v>50</v>
      </c>
      <c r="J3556" t="s">
        <v>51</v>
      </c>
      <c r="K3556" t="s">
        <v>502</v>
      </c>
      <c r="R3556">
        <v>12</v>
      </c>
    </row>
    <row r="3557" spans="1:18" x14ac:dyDescent="0.25">
      <c r="A3557" t="s">
        <v>1223</v>
      </c>
      <c r="B3557" s="1">
        <v>44251</v>
      </c>
      <c r="C3557" t="s">
        <v>1224</v>
      </c>
      <c r="D3557" t="s">
        <v>78</v>
      </c>
      <c r="E3557" t="s">
        <v>24</v>
      </c>
      <c r="F3557" t="s">
        <v>323</v>
      </c>
      <c r="G3557">
        <v>60</v>
      </c>
      <c r="H3557" t="s">
        <v>26</v>
      </c>
      <c r="I3557" t="s">
        <v>370</v>
      </c>
      <c r="J3557" t="s">
        <v>646</v>
      </c>
      <c r="K3557" t="s">
        <v>1225</v>
      </c>
      <c r="L3557">
        <v>336</v>
      </c>
      <c r="M3557">
        <v>93</v>
      </c>
      <c r="N3557" s="2">
        <v>0.36</v>
      </c>
      <c r="O3557">
        <v>84</v>
      </c>
      <c r="P3557">
        <v>15.54</v>
      </c>
      <c r="Q3557">
        <v>15.54</v>
      </c>
      <c r="R3557">
        <v>416</v>
      </c>
    </row>
    <row r="3558" spans="1:18" x14ac:dyDescent="0.25">
      <c r="A3558" t="s">
        <v>1226</v>
      </c>
      <c r="B3558" s="1">
        <v>44251</v>
      </c>
      <c r="C3558" t="s">
        <v>1227</v>
      </c>
      <c r="D3558" t="s">
        <v>78</v>
      </c>
      <c r="E3558" t="s">
        <v>24</v>
      </c>
      <c r="F3558" t="s">
        <v>335</v>
      </c>
      <c r="G3558">
        <v>5</v>
      </c>
      <c r="H3558" t="s">
        <v>26</v>
      </c>
      <c r="I3558" t="s">
        <v>358</v>
      </c>
      <c r="J3558" t="s">
        <v>359</v>
      </c>
      <c r="K3558" t="s">
        <v>1228</v>
      </c>
      <c r="L3558">
        <v>24</v>
      </c>
      <c r="M3558">
        <v>81</v>
      </c>
      <c r="N3558" s="2">
        <v>0.38</v>
      </c>
      <c r="O3558">
        <v>75</v>
      </c>
      <c r="P3558">
        <v>14.81</v>
      </c>
      <c r="Q3558">
        <v>1.23</v>
      </c>
      <c r="R3558">
        <v>30</v>
      </c>
    </row>
    <row r="3559" spans="1:18" x14ac:dyDescent="0.25">
      <c r="A3559" t="s">
        <v>1229</v>
      </c>
      <c r="B3559" s="1">
        <v>44251</v>
      </c>
      <c r="C3559" t="s">
        <v>1230</v>
      </c>
      <c r="D3559" t="s">
        <v>78</v>
      </c>
      <c r="E3559" t="s">
        <v>24</v>
      </c>
      <c r="F3559" t="s">
        <v>323</v>
      </c>
      <c r="G3559">
        <v>5</v>
      </c>
      <c r="H3559" t="s">
        <v>49</v>
      </c>
      <c r="I3559" t="s">
        <v>50</v>
      </c>
      <c r="J3559" t="s">
        <v>51</v>
      </c>
      <c r="K3559" t="s">
        <v>1231</v>
      </c>
      <c r="R3559">
        <v>12</v>
      </c>
    </row>
    <row r="3560" spans="1:18" x14ac:dyDescent="0.25">
      <c r="A3560" t="s">
        <v>1264</v>
      </c>
      <c r="B3560" s="1">
        <v>44258</v>
      </c>
      <c r="C3560" t="s">
        <v>1265</v>
      </c>
      <c r="D3560" t="s">
        <v>78</v>
      </c>
      <c r="E3560" t="s">
        <v>24</v>
      </c>
      <c r="F3560" t="s">
        <v>660</v>
      </c>
      <c r="G3560">
        <v>5</v>
      </c>
      <c r="H3560" t="s">
        <v>26</v>
      </c>
      <c r="I3560" t="s">
        <v>423</v>
      </c>
      <c r="J3560" t="s">
        <v>505</v>
      </c>
      <c r="K3560" t="s">
        <v>1266</v>
      </c>
      <c r="L3560">
        <v>20</v>
      </c>
      <c r="M3560">
        <v>66</v>
      </c>
      <c r="N3560" s="2">
        <v>0.28999999999999998</v>
      </c>
      <c r="O3560">
        <v>91</v>
      </c>
      <c r="P3560">
        <v>13.51</v>
      </c>
      <c r="Q3560">
        <v>1.1200000000000001</v>
      </c>
      <c r="R3560">
        <v>24</v>
      </c>
    </row>
    <row r="3561" spans="1:18" x14ac:dyDescent="0.25">
      <c r="A3561" t="s">
        <v>1267</v>
      </c>
      <c r="B3561" s="1">
        <v>44258</v>
      </c>
      <c r="C3561" t="s">
        <v>1268</v>
      </c>
      <c r="D3561" t="s">
        <v>78</v>
      </c>
      <c r="E3561" t="s">
        <v>24</v>
      </c>
      <c r="F3561" t="s">
        <v>323</v>
      </c>
      <c r="G3561">
        <v>45</v>
      </c>
      <c r="H3561" t="s">
        <v>26</v>
      </c>
      <c r="I3561" t="s">
        <v>370</v>
      </c>
      <c r="J3561" t="s">
        <v>479</v>
      </c>
      <c r="K3561" t="s">
        <v>1269</v>
      </c>
      <c r="L3561">
        <v>249</v>
      </c>
      <c r="M3561">
        <v>92</v>
      </c>
      <c r="N3561" s="2">
        <v>0.35</v>
      </c>
      <c r="O3561">
        <v>85</v>
      </c>
      <c r="P3561">
        <v>15.44</v>
      </c>
      <c r="Q3561">
        <v>11.57</v>
      </c>
      <c r="R3561">
        <v>308</v>
      </c>
    </row>
    <row r="3562" spans="1:18" x14ac:dyDescent="0.25">
      <c r="A3562" t="s">
        <v>1270</v>
      </c>
      <c r="B3562" s="1">
        <v>44258</v>
      </c>
      <c r="C3562" t="s">
        <v>1271</v>
      </c>
      <c r="D3562" t="s">
        <v>78</v>
      </c>
      <c r="E3562" t="s">
        <v>24</v>
      </c>
      <c r="F3562" t="s">
        <v>323</v>
      </c>
      <c r="G3562">
        <v>5</v>
      </c>
      <c r="H3562" t="s">
        <v>26</v>
      </c>
      <c r="I3562" t="s">
        <v>358</v>
      </c>
      <c r="J3562" t="s">
        <v>359</v>
      </c>
      <c r="K3562" t="s">
        <v>1047</v>
      </c>
      <c r="L3562">
        <v>17</v>
      </c>
      <c r="M3562">
        <v>58</v>
      </c>
      <c r="N3562" s="2">
        <v>0.27</v>
      </c>
      <c r="O3562">
        <v>90</v>
      </c>
      <c r="P3562">
        <v>12.64</v>
      </c>
      <c r="Q3562">
        <v>1.05</v>
      </c>
      <c r="R3562">
        <v>21</v>
      </c>
    </row>
    <row r="3563" spans="1:18" x14ac:dyDescent="0.25">
      <c r="A3563" t="s">
        <v>1272</v>
      </c>
      <c r="B3563" s="1">
        <v>44258</v>
      </c>
      <c r="C3563" t="s">
        <v>1273</v>
      </c>
      <c r="D3563" t="s">
        <v>78</v>
      </c>
      <c r="E3563" t="s">
        <v>24</v>
      </c>
      <c r="F3563" t="s">
        <v>323</v>
      </c>
      <c r="G3563">
        <v>5</v>
      </c>
      <c r="H3563" t="s">
        <v>49</v>
      </c>
      <c r="I3563" t="s">
        <v>50</v>
      </c>
      <c r="J3563" t="s">
        <v>51</v>
      </c>
      <c r="K3563" t="s">
        <v>934</v>
      </c>
      <c r="R3563">
        <v>12</v>
      </c>
    </row>
    <row r="3564" spans="1:18" x14ac:dyDescent="0.25">
      <c r="A3564" t="s">
        <v>1313</v>
      </c>
      <c r="B3564" s="1">
        <v>44265</v>
      </c>
      <c r="C3564" t="s">
        <v>1314</v>
      </c>
      <c r="D3564" t="s">
        <v>78</v>
      </c>
      <c r="E3564" t="s">
        <v>24</v>
      </c>
      <c r="F3564" t="s">
        <v>243</v>
      </c>
      <c r="G3564">
        <v>45</v>
      </c>
      <c r="H3564" t="s">
        <v>26</v>
      </c>
      <c r="I3564" t="s">
        <v>370</v>
      </c>
      <c r="J3564" t="s">
        <v>439</v>
      </c>
      <c r="K3564" t="s">
        <v>1315</v>
      </c>
      <c r="L3564">
        <v>227</v>
      </c>
      <c r="M3564">
        <v>84</v>
      </c>
      <c r="N3564" s="2">
        <v>0.36</v>
      </c>
      <c r="O3564">
        <v>79</v>
      </c>
      <c r="P3564">
        <v>14.97</v>
      </c>
      <c r="Q3564">
        <v>11.23</v>
      </c>
      <c r="R3564">
        <v>281</v>
      </c>
    </row>
    <row r="3565" spans="1:18" x14ac:dyDescent="0.25">
      <c r="A3565" t="s">
        <v>1316</v>
      </c>
      <c r="B3565" s="1">
        <v>44265</v>
      </c>
      <c r="C3565" t="s">
        <v>979</v>
      </c>
      <c r="D3565" t="s">
        <v>78</v>
      </c>
      <c r="E3565" t="s">
        <v>24</v>
      </c>
      <c r="F3565" t="s">
        <v>768</v>
      </c>
      <c r="G3565">
        <v>10</v>
      </c>
      <c r="H3565" t="s">
        <v>194</v>
      </c>
      <c r="I3565" t="s">
        <v>700</v>
      </c>
      <c r="J3565" t="s">
        <v>1282</v>
      </c>
      <c r="K3565" t="s">
        <v>1317</v>
      </c>
      <c r="R3565">
        <v>46</v>
      </c>
    </row>
    <row r="3566" spans="1:18" x14ac:dyDescent="0.25">
      <c r="A3566" t="s">
        <v>1318</v>
      </c>
      <c r="B3566" s="1">
        <v>44265</v>
      </c>
      <c r="C3566" t="s">
        <v>1319</v>
      </c>
      <c r="D3566" t="s">
        <v>78</v>
      </c>
      <c r="E3566" t="s">
        <v>24</v>
      </c>
      <c r="F3566" t="s">
        <v>243</v>
      </c>
      <c r="G3566">
        <v>5</v>
      </c>
      <c r="H3566" t="s">
        <v>49</v>
      </c>
      <c r="I3566" t="s">
        <v>50</v>
      </c>
      <c r="J3566" t="s">
        <v>51</v>
      </c>
      <c r="K3566" t="s">
        <v>951</v>
      </c>
      <c r="R3566">
        <v>12</v>
      </c>
    </row>
    <row r="3567" spans="1:18" x14ac:dyDescent="0.25">
      <c r="A3567" t="s">
        <v>1320</v>
      </c>
      <c r="B3567" s="1">
        <v>44265</v>
      </c>
      <c r="C3567" t="s">
        <v>1321</v>
      </c>
      <c r="D3567" t="s">
        <v>78</v>
      </c>
      <c r="E3567" t="s">
        <v>24</v>
      </c>
      <c r="F3567" t="s">
        <v>459</v>
      </c>
      <c r="G3567">
        <v>30</v>
      </c>
      <c r="H3567" t="s">
        <v>188</v>
      </c>
      <c r="I3567" t="s">
        <v>238</v>
      </c>
      <c r="J3567" t="s">
        <v>1322</v>
      </c>
      <c r="K3567" t="s">
        <v>1323</v>
      </c>
      <c r="R3567">
        <v>97</v>
      </c>
    </row>
    <row r="3568" spans="1:18" x14ac:dyDescent="0.25">
      <c r="A3568" t="s">
        <v>1324</v>
      </c>
      <c r="B3568" s="1">
        <v>44265</v>
      </c>
      <c r="C3568" t="s">
        <v>841</v>
      </c>
      <c r="D3568" t="s">
        <v>78</v>
      </c>
      <c r="E3568" t="s">
        <v>24</v>
      </c>
      <c r="F3568" t="s">
        <v>215</v>
      </c>
      <c r="G3568">
        <v>20</v>
      </c>
      <c r="H3568" t="s">
        <v>464</v>
      </c>
      <c r="I3568" t="s">
        <v>579</v>
      </c>
      <c r="J3568" t="s">
        <v>1311</v>
      </c>
      <c r="K3568" t="s">
        <v>1312</v>
      </c>
    </row>
    <row r="3569" spans="1:18" x14ac:dyDescent="0.25">
      <c r="A3569" t="s">
        <v>1376</v>
      </c>
      <c r="B3569" s="1">
        <v>44272</v>
      </c>
      <c r="C3569" t="s">
        <v>1377</v>
      </c>
      <c r="D3569" t="s">
        <v>78</v>
      </c>
      <c r="E3569" t="s">
        <v>24</v>
      </c>
      <c r="F3569" t="s">
        <v>323</v>
      </c>
      <c r="G3569">
        <v>30</v>
      </c>
      <c r="H3569" t="s">
        <v>26</v>
      </c>
      <c r="I3569" t="s">
        <v>370</v>
      </c>
      <c r="J3569" t="s">
        <v>1378</v>
      </c>
      <c r="K3569" t="s">
        <v>1379</v>
      </c>
      <c r="L3569">
        <v>152</v>
      </c>
      <c r="M3569">
        <v>85</v>
      </c>
      <c r="N3569" s="2">
        <v>0.33</v>
      </c>
      <c r="O3569">
        <v>90</v>
      </c>
      <c r="P3569">
        <v>14.99</v>
      </c>
      <c r="Q3569">
        <v>7.49</v>
      </c>
      <c r="R3569">
        <v>188</v>
      </c>
    </row>
    <row r="3570" spans="1:18" x14ac:dyDescent="0.25">
      <c r="A3570" t="s">
        <v>1380</v>
      </c>
      <c r="B3570" s="1">
        <v>44272</v>
      </c>
      <c r="C3570" t="s">
        <v>1381</v>
      </c>
      <c r="D3570" t="s">
        <v>78</v>
      </c>
      <c r="E3570" t="s">
        <v>24</v>
      </c>
      <c r="F3570" t="s">
        <v>323</v>
      </c>
      <c r="G3570">
        <v>5</v>
      </c>
      <c r="H3570" t="s">
        <v>49</v>
      </c>
      <c r="I3570" t="s">
        <v>50</v>
      </c>
      <c r="J3570" t="s">
        <v>51</v>
      </c>
      <c r="K3570" t="s">
        <v>1382</v>
      </c>
      <c r="R3570">
        <v>12</v>
      </c>
    </row>
    <row r="3571" spans="1:18" x14ac:dyDescent="0.25">
      <c r="A3571" t="s">
        <v>1383</v>
      </c>
      <c r="B3571" s="1">
        <v>44272</v>
      </c>
      <c r="C3571" t="s">
        <v>1384</v>
      </c>
      <c r="D3571" t="s">
        <v>78</v>
      </c>
      <c r="E3571" t="s">
        <v>24</v>
      </c>
      <c r="F3571" t="s">
        <v>237</v>
      </c>
      <c r="G3571">
        <v>20</v>
      </c>
      <c r="H3571" t="s">
        <v>464</v>
      </c>
      <c r="I3571" t="s">
        <v>579</v>
      </c>
      <c r="J3571" t="s">
        <v>1385</v>
      </c>
      <c r="K3571" t="s">
        <v>1386</v>
      </c>
    </row>
    <row r="3572" spans="1:18" x14ac:dyDescent="0.25">
      <c r="A3572" t="s">
        <v>1477</v>
      </c>
      <c r="B3572" s="1">
        <v>44279</v>
      </c>
      <c r="C3572" t="s">
        <v>1478</v>
      </c>
      <c r="D3572" t="s">
        <v>78</v>
      </c>
      <c r="E3572" t="s">
        <v>24</v>
      </c>
      <c r="F3572" t="s">
        <v>243</v>
      </c>
      <c r="G3572">
        <v>45</v>
      </c>
      <c r="H3572" t="s">
        <v>26</v>
      </c>
      <c r="I3572" t="s">
        <v>370</v>
      </c>
      <c r="J3572" t="s">
        <v>479</v>
      </c>
      <c r="K3572" t="s">
        <v>1479</v>
      </c>
      <c r="L3572">
        <v>257</v>
      </c>
      <c r="M3572">
        <v>95</v>
      </c>
      <c r="N3572" s="2">
        <v>0.37</v>
      </c>
      <c r="O3572">
        <v>80</v>
      </c>
      <c r="P3572">
        <v>15.68</v>
      </c>
      <c r="Q3572">
        <v>11.76</v>
      </c>
      <c r="R3572">
        <v>318</v>
      </c>
    </row>
    <row r="3573" spans="1:18" x14ac:dyDescent="0.25">
      <c r="A3573" t="s">
        <v>1480</v>
      </c>
      <c r="B3573" s="1">
        <v>44279</v>
      </c>
      <c r="C3573" t="s">
        <v>1481</v>
      </c>
      <c r="D3573" t="s">
        <v>78</v>
      </c>
      <c r="E3573" t="s">
        <v>24</v>
      </c>
      <c r="F3573" t="s">
        <v>180</v>
      </c>
      <c r="G3573">
        <v>10</v>
      </c>
      <c r="H3573" t="s">
        <v>194</v>
      </c>
      <c r="I3573" t="s">
        <v>700</v>
      </c>
      <c r="J3573" t="s">
        <v>1282</v>
      </c>
      <c r="K3573" t="s">
        <v>1482</v>
      </c>
      <c r="R3573">
        <v>46</v>
      </c>
    </row>
    <row r="3574" spans="1:18" x14ac:dyDescent="0.25">
      <c r="A3574" t="s">
        <v>1483</v>
      </c>
      <c r="B3574" s="1">
        <v>44279</v>
      </c>
      <c r="C3574" t="s">
        <v>1484</v>
      </c>
      <c r="D3574" t="s">
        <v>78</v>
      </c>
      <c r="E3574" t="s">
        <v>24</v>
      </c>
      <c r="F3574" t="s">
        <v>328</v>
      </c>
      <c r="G3574">
        <v>15</v>
      </c>
      <c r="H3574" t="s">
        <v>194</v>
      </c>
      <c r="I3574" t="s">
        <v>195</v>
      </c>
      <c r="J3574" t="s">
        <v>1485</v>
      </c>
      <c r="K3574" t="s">
        <v>1486</v>
      </c>
      <c r="R3574">
        <v>69</v>
      </c>
    </row>
    <row r="3575" spans="1:18" x14ac:dyDescent="0.25">
      <c r="A3575" t="s">
        <v>1487</v>
      </c>
      <c r="B3575" s="1">
        <v>44279</v>
      </c>
      <c r="C3575" t="s">
        <v>1488</v>
      </c>
      <c r="D3575" t="s">
        <v>78</v>
      </c>
      <c r="E3575" t="s">
        <v>24</v>
      </c>
      <c r="F3575" t="s">
        <v>243</v>
      </c>
      <c r="G3575">
        <v>5</v>
      </c>
      <c r="H3575" t="s">
        <v>49</v>
      </c>
      <c r="I3575" t="s">
        <v>50</v>
      </c>
      <c r="J3575" t="s">
        <v>51</v>
      </c>
      <c r="K3575" t="s">
        <v>1489</v>
      </c>
      <c r="R3575">
        <v>12</v>
      </c>
    </row>
    <row r="3576" spans="1:18" x14ac:dyDescent="0.25">
      <c r="A3576" t="s">
        <v>1490</v>
      </c>
      <c r="B3576" s="1">
        <v>44279</v>
      </c>
      <c r="C3576" t="s">
        <v>1491</v>
      </c>
      <c r="D3576" t="s">
        <v>78</v>
      </c>
      <c r="E3576" t="s">
        <v>24</v>
      </c>
      <c r="F3576" t="s">
        <v>208</v>
      </c>
      <c r="G3576">
        <v>20</v>
      </c>
      <c r="H3576" t="s">
        <v>464</v>
      </c>
      <c r="I3576" t="s">
        <v>579</v>
      </c>
      <c r="J3576" t="s">
        <v>1311</v>
      </c>
      <c r="K3576" t="s">
        <v>1492</v>
      </c>
    </row>
    <row r="3577" spans="1:18" x14ac:dyDescent="0.25">
      <c r="A3577" t="s">
        <v>1542</v>
      </c>
      <c r="B3577" s="1">
        <v>44286</v>
      </c>
      <c r="C3577" t="s">
        <v>468</v>
      </c>
      <c r="D3577" t="s">
        <v>78</v>
      </c>
      <c r="E3577" t="s">
        <v>24</v>
      </c>
      <c r="F3577" t="s">
        <v>237</v>
      </c>
      <c r="G3577">
        <v>45</v>
      </c>
      <c r="H3577" t="s">
        <v>188</v>
      </c>
      <c r="I3577" t="s">
        <v>238</v>
      </c>
      <c r="J3577" t="s">
        <v>1543</v>
      </c>
      <c r="K3577" t="s">
        <v>1544</v>
      </c>
      <c r="R3577">
        <v>155</v>
      </c>
    </row>
    <row r="3578" spans="1:18" x14ac:dyDescent="0.25">
      <c r="A3578" t="s">
        <v>1545</v>
      </c>
      <c r="B3578" s="1">
        <v>44286</v>
      </c>
      <c r="C3578" t="s">
        <v>1546</v>
      </c>
      <c r="D3578" t="s">
        <v>78</v>
      </c>
      <c r="E3578" t="s">
        <v>24</v>
      </c>
      <c r="F3578" t="s">
        <v>243</v>
      </c>
      <c r="G3578">
        <v>30</v>
      </c>
      <c r="H3578" t="s">
        <v>26</v>
      </c>
      <c r="I3578" t="s">
        <v>126</v>
      </c>
      <c r="J3578" t="s">
        <v>141</v>
      </c>
      <c r="K3578" t="s">
        <v>1547</v>
      </c>
      <c r="L3578">
        <v>149</v>
      </c>
      <c r="M3578">
        <v>83</v>
      </c>
      <c r="N3578" s="2">
        <v>0.4</v>
      </c>
      <c r="O3578">
        <v>61</v>
      </c>
      <c r="P3578">
        <v>13.11</v>
      </c>
      <c r="Q3578">
        <v>6.55</v>
      </c>
      <c r="R3578">
        <v>184</v>
      </c>
    </row>
    <row r="3579" spans="1:18" x14ac:dyDescent="0.25">
      <c r="A3579" t="s">
        <v>1548</v>
      </c>
      <c r="B3579" s="1">
        <v>44286</v>
      </c>
      <c r="C3579" t="s">
        <v>1549</v>
      </c>
      <c r="D3579" t="s">
        <v>78</v>
      </c>
      <c r="E3579" t="s">
        <v>24</v>
      </c>
      <c r="F3579" t="s">
        <v>328</v>
      </c>
      <c r="G3579">
        <v>5</v>
      </c>
      <c r="H3579" t="s">
        <v>194</v>
      </c>
      <c r="I3579" t="s">
        <v>195</v>
      </c>
      <c r="J3579" t="s">
        <v>196</v>
      </c>
      <c r="K3579" t="s">
        <v>1550</v>
      </c>
      <c r="R3579">
        <v>23</v>
      </c>
    </row>
    <row r="3580" spans="1:18" x14ac:dyDescent="0.25">
      <c r="A3580" t="s">
        <v>1551</v>
      </c>
      <c r="B3580" s="1">
        <v>44286</v>
      </c>
      <c r="C3580" t="s">
        <v>1552</v>
      </c>
      <c r="D3580" t="s">
        <v>78</v>
      </c>
      <c r="E3580" t="s">
        <v>24</v>
      </c>
      <c r="F3580" t="s">
        <v>237</v>
      </c>
      <c r="G3580">
        <v>20</v>
      </c>
      <c r="H3580" t="s">
        <v>464</v>
      </c>
      <c r="I3580" t="s">
        <v>579</v>
      </c>
      <c r="J3580" t="s">
        <v>1553</v>
      </c>
      <c r="K3580" t="s">
        <v>1554</v>
      </c>
    </row>
    <row r="3581" spans="1:18" x14ac:dyDescent="0.25">
      <c r="A3581" t="s">
        <v>1600</v>
      </c>
      <c r="B3581" s="1">
        <v>44293</v>
      </c>
      <c r="C3581" t="s">
        <v>1601</v>
      </c>
      <c r="D3581" t="s">
        <v>78</v>
      </c>
      <c r="E3581" t="s">
        <v>24</v>
      </c>
      <c r="F3581" t="s">
        <v>243</v>
      </c>
      <c r="G3581">
        <v>45</v>
      </c>
      <c r="H3581" t="s">
        <v>26</v>
      </c>
      <c r="I3581" t="s">
        <v>370</v>
      </c>
      <c r="J3581" t="s">
        <v>479</v>
      </c>
      <c r="K3581" t="s">
        <v>1602</v>
      </c>
      <c r="L3581">
        <v>248</v>
      </c>
      <c r="M3581">
        <v>92</v>
      </c>
      <c r="N3581" s="2">
        <v>0.35</v>
      </c>
      <c r="O3581">
        <v>85</v>
      </c>
      <c r="P3581">
        <v>15.19</v>
      </c>
      <c r="Q3581">
        <v>11.39</v>
      </c>
      <c r="R3581">
        <v>307</v>
      </c>
    </row>
    <row r="3582" spans="1:18" x14ac:dyDescent="0.25">
      <c r="A3582" t="s">
        <v>1603</v>
      </c>
      <c r="B3582" s="1">
        <v>44293</v>
      </c>
      <c r="C3582" t="s">
        <v>1604</v>
      </c>
      <c r="D3582" t="s">
        <v>78</v>
      </c>
      <c r="E3582" t="s">
        <v>24</v>
      </c>
      <c r="F3582" t="s">
        <v>490</v>
      </c>
      <c r="G3582">
        <v>15</v>
      </c>
      <c r="H3582" t="s">
        <v>194</v>
      </c>
      <c r="I3582" t="s">
        <v>705</v>
      </c>
      <c r="J3582" t="s">
        <v>728</v>
      </c>
      <c r="K3582" t="s">
        <v>1595</v>
      </c>
      <c r="R3582">
        <v>69</v>
      </c>
    </row>
    <row r="3583" spans="1:18" x14ac:dyDescent="0.25">
      <c r="A3583" t="s">
        <v>1605</v>
      </c>
      <c r="B3583" s="1">
        <v>44293</v>
      </c>
      <c r="C3583" t="s">
        <v>1606</v>
      </c>
      <c r="D3583" t="s">
        <v>78</v>
      </c>
      <c r="E3583" t="s">
        <v>24</v>
      </c>
      <c r="F3583" t="s">
        <v>215</v>
      </c>
      <c r="G3583">
        <v>20</v>
      </c>
      <c r="H3583" t="s">
        <v>464</v>
      </c>
      <c r="I3583" t="s">
        <v>763</v>
      </c>
      <c r="J3583" t="s">
        <v>1335</v>
      </c>
      <c r="K3583" t="s">
        <v>1541</v>
      </c>
    </row>
    <row r="3584" spans="1:18" x14ac:dyDescent="0.25">
      <c r="A3584" t="s">
        <v>1651</v>
      </c>
      <c r="B3584" s="1">
        <v>44300</v>
      </c>
      <c r="C3584" t="s">
        <v>1652</v>
      </c>
      <c r="D3584" t="s">
        <v>78</v>
      </c>
      <c r="E3584" t="s">
        <v>24</v>
      </c>
      <c r="F3584" t="s">
        <v>323</v>
      </c>
      <c r="G3584">
        <v>45</v>
      </c>
      <c r="H3584" t="s">
        <v>26</v>
      </c>
      <c r="I3584" t="s">
        <v>370</v>
      </c>
      <c r="J3584" t="s">
        <v>439</v>
      </c>
      <c r="K3584" t="s">
        <v>1653</v>
      </c>
      <c r="L3584">
        <v>237</v>
      </c>
      <c r="M3584">
        <v>88</v>
      </c>
      <c r="N3584" s="2">
        <v>0.35</v>
      </c>
      <c r="O3584">
        <v>84</v>
      </c>
      <c r="P3584">
        <v>15.26</v>
      </c>
      <c r="Q3584">
        <v>11.45</v>
      </c>
      <c r="R3584">
        <v>293</v>
      </c>
    </row>
    <row r="3585" spans="1:19" x14ac:dyDescent="0.25">
      <c r="A3585" t="s">
        <v>1654</v>
      </c>
      <c r="B3585" s="1">
        <v>44300</v>
      </c>
      <c r="C3585" t="s">
        <v>1655</v>
      </c>
      <c r="D3585" t="s">
        <v>78</v>
      </c>
      <c r="E3585" t="s">
        <v>24</v>
      </c>
      <c r="F3585" t="s">
        <v>323</v>
      </c>
      <c r="G3585">
        <v>5</v>
      </c>
      <c r="H3585" t="s">
        <v>49</v>
      </c>
      <c r="I3585" t="s">
        <v>50</v>
      </c>
      <c r="J3585" t="s">
        <v>51</v>
      </c>
      <c r="K3585" t="s">
        <v>1656</v>
      </c>
      <c r="R3585">
        <v>12</v>
      </c>
    </row>
    <row r="3586" spans="1:19" x14ac:dyDescent="0.25">
      <c r="A3586" t="s">
        <v>1657</v>
      </c>
      <c r="B3586" s="1">
        <v>44300</v>
      </c>
      <c r="C3586" t="s">
        <v>1658</v>
      </c>
      <c r="D3586" t="s">
        <v>78</v>
      </c>
      <c r="E3586" t="s">
        <v>24</v>
      </c>
      <c r="F3586" t="s">
        <v>215</v>
      </c>
      <c r="G3586">
        <v>20</v>
      </c>
      <c r="H3586" t="s">
        <v>464</v>
      </c>
      <c r="I3586" t="s">
        <v>943</v>
      </c>
      <c r="J3586" t="s">
        <v>1347</v>
      </c>
      <c r="K3586" t="s">
        <v>1415</v>
      </c>
    </row>
    <row r="3587" spans="1:19" x14ac:dyDescent="0.25">
      <c r="A3587" t="s">
        <v>1711</v>
      </c>
      <c r="B3587" s="1">
        <v>44307</v>
      </c>
      <c r="C3587" t="s">
        <v>1712</v>
      </c>
      <c r="D3587" t="s">
        <v>78</v>
      </c>
      <c r="E3587" t="s">
        <v>24</v>
      </c>
      <c r="F3587" t="s">
        <v>323</v>
      </c>
      <c r="G3587">
        <v>60</v>
      </c>
      <c r="H3587" t="s">
        <v>26</v>
      </c>
      <c r="I3587" t="s">
        <v>370</v>
      </c>
      <c r="J3587" t="s">
        <v>498</v>
      </c>
      <c r="K3587" t="s">
        <v>1713</v>
      </c>
      <c r="L3587">
        <v>303</v>
      </c>
      <c r="M3587">
        <v>84</v>
      </c>
      <c r="N3587" s="2">
        <v>0.35</v>
      </c>
      <c r="O3587">
        <v>81</v>
      </c>
      <c r="P3587">
        <v>14.63</v>
      </c>
      <c r="Q3587">
        <v>14.63</v>
      </c>
      <c r="R3587">
        <v>375</v>
      </c>
    </row>
    <row r="3588" spans="1:19" x14ac:dyDescent="0.25">
      <c r="A3588" t="s">
        <v>1714</v>
      </c>
      <c r="B3588" s="1">
        <v>44307</v>
      </c>
      <c r="C3588" t="s">
        <v>1715</v>
      </c>
      <c r="D3588" t="s">
        <v>78</v>
      </c>
      <c r="E3588" t="s">
        <v>24</v>
      </c>
      <c r="F3588" t="s">
        <v>25</v>
      </c>
      <c r="G3588">
        <v>10</v>
      </c>
      <c r="H3588" t="s">
        <v>194</v>
      </c>
      <c r="I3588" t="s">
        <v>700</v>
      </c>
      <c r="J3588" t="s">
        <v>1282</v>
      </c>
      <c r="K3588" t="s">
        <v>1716</v>
      </c>
      <c r="R3588">
        <v>46</v>
      </c>
    </row>
    <row r="3589" spans="1:19" x14ac:dyDescent="0.25">
      <c r="A3589" t="s">
        <v>1717</v>
      </c>
      <c r="B3589" s="1">
        <v>44307</v>
      </c>
      <c r="C3589" t="s">
        <v>1718</v>
      </c>
      <c r="D3589" t="s">
        <v>78</v>
      </c>
      <c r="E3589" t="s">
        <v>24</v>
      </c>
      <c r="F3589" t="s">
        <v>323</v>
      </c>
      <c r="G3589">
        <v>5</v>
      </c>
      <c r="H3589" t="s">
        <v>49</v>
      </c>
      <c r="I3589" t="s">
        <v>50</v>
      </c>
      <c r="J3589" t="s">
        <v>51</v>
      </c>
      <c r="K3589" t="s">
        <v>1719</v>
      </c>
      <c r="R3589">
        <v>12</v>
      </c>
    </row>
    <row r="3590" spans="1:19" x14ac:dyDescent="0.25">
      <c r="A3590" t="s">
        <v>1720</v>
      </c>
      <c r="B3590" s="1">
        <v>44307</v>
      </c>
      <c r="C3590" t="s">
        <v>1669</v>
      </c>
      <c r="D3590" t="s">
        <v>78</v>
      </c>
      <c r="E3590" t="s">
        <v>24</v>
      </c>
      <c r="F3590" t="s">
        <v>215</v>
      </c>
      <c r="G3590">
        <v>10</v>
      </c>
      <c r="H3590" t="s">
        <v>464</v>
      </c>
      <c r="I3590" t="s">
        <v>763</v>
      </c>
      <c r="J3590" t="s">
        <v>764</v>
      </c>
      <c r="K3590" t="s">
        <v>1721</v>
      </c>
    </row>
    <row r="3591" spans="1:19" x14ac:dyDescent="0.25">
      <c r="A3591" t="s">
        <v>1775</v>
      </c>
      <c r="B3591" s="1">
        <v>44314</v>
      </c>
      <c r="C3591" t="s">
        <v>1776</v>
      </c>
      <c r="D3591" t="s">
        <v>78</v>
      </c>
      <c r="E3591" t="s">
        <v>24</v>
      </c>
      <c r="F3591" t="s">
        <v>490</v>
      </c>
      <c r="G3591">
        <v>5</v>
      </c>
      <c r="H3591" t="s">
        <v>26</v>
      </c>
      <c r="I3591" t="s">
        <v>423</v>
      </c>
      <c r="J3591" t="s">
        <v>505</v>
      </c>
      <c r="K3591" t="s">
        <v>1777</v>
      </c>
      <c r="L3591">
        <v>22</v>
      </c>
      <c r="M3591">
        <v>73</v>
      </c>
      <c r="N3591" s="2">
        <v>0.3</v>
      </c>
      <c r="O3591">
        <v>94</v>
      </c>
      <c r="P3591">
        <v>14.18</v>
      </c>
      <c r="Q3591">
        <v>1.18</v>
      </c>
      <c r="R3591">
        <v>27</v>
      </c>
    </row>
    <row r="3592" spans="1:19" x14ac:dyDescent="0.25">
      <c r="A3592" t="s">
        <v>1778</v>
      </c>
      <c r="B3592" s="1">
        <v>44314</v>
      </c>
      <c r="C3592" t="s">
        <v>1779</v>
      </c>
      <c r="D3592" t="s">
        <v>78</v>
      </c>
      <c r="E3592" t="s">
        <v>24</v>
      </c>
      <c r="F3592" t="s">
        <v>243</v>
      </c>
      <c r="G3592">
        <v>45</v>
      </c>
      <c r="H3592" t="s">
        <v>26</v>
      </c>
      <c r="I3592" t="s">
        <v>370</v>
      </c>
      <c r="J3592" t="s">
        <v>439</v>
      </c>
      <c r="K3592" t="s">
        <v>1780</v>
      </c>
      <c r="L3592">
        <v>239</v>
      </c>
      <c r="M3592">
        <v>88</v>
      </c>
      <c r="N3592" s="2">
        <v>0.36</v>
      </c>
      <c r="O3592">
        <v>82</v>
      </c>
      <c r="P3592">
        <v>15.32</v>
      </c>
      <c r="Q3592">
        <v>11.49</v>
      </c>
      <c r="R3592">
        <v>295</v>
      </c>
    </row>
    <row r="3593" spans="1:19" x14ac:dyDescent="0.25">
      <c r="A3593" t="s">
        <v>1781</v>
      </c>
      <c r="B3593" s="1">
        <v>44314</v>
      </c>
      <c r="C3593" t="s">
        <v>1782</v>
      </c>
      <c r="D3593" t="s">
        <v>78</v>
      </c>
      <c r="E3593" t="s">
        <v>24</v>
      </c>
      <c r="F3593" t="s">
        <v>243</v>
      </c>
      <c r="G3593">
        <v>5</v>
      </c>
      <c r="H3593" t="s">
        <v>49</v>
      </c>
      <c r="I3593" t="s">
        <v>50</v>
      </c>
      <c r="J3593" t="s">
        <v>51</v>
      </c>
      <c r="K3593" t="s">
        <v>1396</v>
      </c>
      <c r="R3593">
        <v>12</v>
      </c>
    </row>
    <row r="3594" spans="1:19" x14ac:dyDescent="0.25">
      <c r="A3594" t="s">
        <v>1783</v>
      </c>
      <c r="B3594" s="1">
        <v>44314</v>
      </c>
      <c r="C3594" t="s">
        <v>1784</v>
      </c>
      <c r="D3594" t="s">
        <v>78</v>
      </c>
      <c r="E3594" t="s">
        <v>24</v>
      </c>
      <c r="F3594" t="s">
        <v>200</v>
      </c>
      <c r="G3594">
        <v>10</v>
      </c>
      <c r="H3594" t="s">
        <v>464</v>
      </c>
      <c r="I3594" t="s">
        <v>943</v>
      </c>
      <c r="J3594" t="s">
        <v>944</v>
      </c>
      <c r="K3594" t="s">
        <v>1785</v>
      </c>
    </row>
    <row r="3595" spans="1:19" x14ac:dyDescent="0.25">
      <c r="A3595" t="s">
        <v>1851</v>
      </c>
      <c r="B3595" s="1">
        <v>44321</v>
      </c>
      <c r="C3595" t="s">
        <v>1852</v>
      </c>
      <c r="D3595" t="s">
        <v>78</v>
      </c>
      <c r="E3595" t="s">
        <v>24</v>
      </c>
      <c r="F3595" t="s">
        <v>323</v>
      </c>
      <c r="G3595">
        <v>30</v>
      </c>
      <c r="H3595" t="s">
        <v>26</v>
      </c>
      <c r="I3595" t="s">
        <v>370</v>
      </c>
      <c r="J3595" t="s">
        <v>396</v>
      </c>
      <c r="K3595" t="s">
        <v>1853</v>
      </c>
      <c r="L3595">
        <v>157</v>
      </c>
      <c r="M3595">
        <v>87</v>
      </c>
      <c r="N3595" s="2">
        <v>0.35</v>
      </c>
      <c r="O3595">
        <v>86</v>
      </c>
      <c r="P3595">
        <v>15.22</v>
      </c>
      <c r="Q3595">
        <v>7.61</v>
      </c>
      <c r="R3595">
        <v>194</v>
      </c>
    </row>
    <row r="3596" spans="1:19" x14ac:dyDescent="0.25">
      <c r="A3596" t="s">
        <v>1854</v>
      </c>
      <c r="B3596" s="1">
        <v>44321</v>
      </c>
      <c r="C3596" t="s">
        <v>1855</v>
      </c>
      <c r="D3596" t="s">
        <v>78</v>
      </c>
      <c r="E3596" t="s">
        <v>24</v>
      </c>
      <c r="F3596" t="s">
        <v>328</v>
      </c>
      <c r="G3596">
        <v>20</v>
      </c>
      <c r="H3596" t="s">
        <v>1856</v>
      </c>
      <c r="I3596" t="s">
        <v>1857</v>
      </c>
      <c r="J3596" t="s">
        <v>1858</v>
      </c>
      <c r="K3596" t="s">
        <v>1859</v>
      </c>
      <c r="L3596">
        <v>0</v>
      </c>
      <c r="P3596">
        <v>3.57</v>
      </c>
      <c r="Q3596">
        <v>1.19</v>
      </c>
      <c r="R3596">
        <v>113</v>
      </c>
      <c r="S3596">
        <v>132.31</v>
      </c>
    </row>
    <row r="3597" spans="1:19" x14ac:dyDescent="0.25">
      <c r="A3597" t="s">
        <v>1860</v>
      </c>
      <c r="B3597" s="1">
        <v>44321</v>
      </c>
      <c r="C3597" t="s">
        <v>1861</v>
      </c>
      <c r="D3597" t="s">
        <v>78</v>
      </c>
      <c r="E3597" t="s">
        <v>24</v>
      </c>
      <c r="F3597" t="s">
        <v>215</v>
      </c>
      <c r="G3597">
        <v>20</v>
      </c>
      <c r="H3597" t="s">
        <v>464</v>
      </c>
      <c r="I3597" t="s">
        <v>763</v>
      </c>
      <c r="J3597" t="s">
        <v>1862</v>
      </c>
      <c r="K3597" t="s">
        <v>1863</v>
      </c>
    </row>
    <row r="3598" spans="1:19" x14ac:dyDescent="0.25">
      <c r="A3598" t="s">
        <v>1911</v>
      </c>
      <c r="B3598" s="1">
        <v>44328</v>
      </c>
      <c r="C3598" t="s">
        <v>1912</v>
      </c>
      <c r="D3598" t="s">
        <v>78</v>
      </c>
      <c r="E3598" t="s">
        <v>24</v>
      </c>
      <c r="F3598" t="s">
        <v>323</v>
      </c>
      <c r="G3598">
        <v>45</v>
      </c>
      <c r="H3598" t="s">
        <v>26</v>
      </c>
      <c r="I3598" t="s">
        <v>370</v>
      </c>
      <c r="J3598" t="s">
        <v>439</v>
      </c>
      <c r="K3598" t="s">
        <v>1913</v>
      </c>
      <c r="L3598">
        <v>235</v>
      </c>
      <c r="M3598">
        <v>87</v>
      </c>
      <c r="N3598" s="2">
        <v>0.35</v>
      </c>
      <c r="O3598">
        <v>86</v>
      </c>
      <c r="P3598">
        <v>15.19</v>
      </c>
      <c r="Q3598">
        <v>11.4</v>
      </c>
      <c r="R3598">
        <v>290</v>
      </c>
    </row>
    <row r="3599" spans="1:19" x14ac:dyDescent="0.25">
      <c r="A3599" t="s">
        <v>1914</v>
      </c>
      <c r="B3599" s="1">
        <v>44328</v>
      </c>
      <c r="C3599" t="s">
        <v>1915</v>
      </c>
      <c r="D3599" t="s">
        <v>78</v>
      </c>
      <c r="E3599" t="s">
        <v>24</v>
      </c>
      <c r="F3599" t="s">
        <v>323</v>
      </c>
      <c r="G3599">
        <v>5</v>
      </c>
      <c r="H3599" t="s">
        <v>49</v>
      </c>
      <c r="I3599" t="s">
        <v>50</v>
      </c>
      <c r="J3599" t="s">
        <v>51</v>
      </c>
      <c r="K3599" t="s">
        <v>1656</v>
      </c>
      <c r="R3599">
        <v>12</v>
      </c>
    </row>
    <row r="3600" spans="1:19" x14ac:dyDescent="0.25">
      <c r="A3600" t="s">
        <v>1916</v>
      </c>
      <c r="B3600" s="1">
        <v>44328</v>
      </c>
      <c r="C3600" t="s">
        <v>1662</v>
      </c>
      <c r="D3600" t="s">
        <v>78</v>
      </c>
      <c r="E3600" t="s">
        <v>24</v>
      </c>
      <c r="F3600" t="s">
        <v>170</v>
      </c>
      <c r="G3600">
        <v>15</v>
      </c>
      <c r="H3600" t="s">
        <v>194</v>
      </c>
      <c r="I3600" t="s">
        <v>195</v>
      </c>
      <c r="J3600" t="s">
        <v>1217</v>
      </c>
      <c r="K3600" t="s">
        <v>1917</v>
      </c>
      <c r="R3600">
        <v>69</v>
      </c>
    </row>
    <row r="3601" spans="1:19" x14ac:dyDescent="0.25">
      <c r="A3601" t="s">
        <v>1918</v>
      </c>
      <c r="B3601" s="1">
        <v>44328</v>
      </c>
      <c r="C3601" t="s">
        <v>1919</v>
      </c>
      <c r="D3601" t="s">
        <v>78</v>
      </c>
      <c r="E3601" t="s">
        <v>24</v>
      </c>
      <c r="F3601" t="s">
        <v>200</v>
      </c>
      <c r="G3601">
        <v>10</v>
      </c>
      <c r="H3601" t="s">
        <v>464</v>
      </c>
      <c r="I3601" t="s">
        <v>103</v>
      </c>
      <c r="J3601" t="s">
        <v>1920</v>
      </c>
      <c r="K3601" t="s">
        <v>1921</v>
      </c>
    </row>
    <row r="3602" spans="1:19" x14ac:dyDescent="0.25">
      <c r="A3602" t="s">
        <v>1985</v>
      </c>
      <c r="B3602" s="1">
        <v>44335</v>
      </c>
      <c r="C3602" t="s">
        <v>1986</v>
      </c>
      <c r="D3602" t="s">
        <v>78</v>
      </c>
      <c r="E3602" t="s">
        <v>24</v>
      </c>
      <c r="F3602" t="s">
        <v>1987</v>
      </c>
      <c r="G3602">
        <v>10</v>
      </c>
      <c r="H3602" t="s">
        <v>188</v>
      </c>
      <c r="I3602" t="s">
        <v>238</v>
      </c>
      <c r="J3602" t="s">
        <v>674</v>
      </c>
      <c r="K3602" t="s">
        <v>1988</v>
      </c>
      <c r="R3602">
        <v>27</v>
      </c>
    </row>
    <row r="3603" spans="1:19" x14ac:dyDescent="0.25">
      <c r="A3603" t="s">
        <v>1989</v>
      </c>
      <c r="B3603" s="1">
        <v>44335</v>
      </c>
      <c r="C3603" t="s">
        <v>1990</v>
      </c>
      <c r="D3603" t="s">
        <v>78</v>
      </c>
      <c r="E3603" t="s">
        <v>24</v>
      </c>
      <c r="F3603" t="s">
        <v>243</v>
      </c>
      <c r="G3603">
        <v>20</v>
      </c>
      <c r="H3603" t="s">
        <v>188</v>
      </c>
      <c r="I3603" t="s">
        <v>575</v>
      </c>
      <c r="J3603" t="s">
        <v>1991</v>
      </c>
      <c r="K3603" t="s">
        <v>1992</v>
      </c>
      <c r="R3603">
        <v>64</v>
      </c>
    </row>
    <row r="3604" spans="1:19" x14ac:dyDescent="0.25">
      <c r="A3604" t="s">
        <v>1993</v>
      </c>
      <c r="B3604" s="1">
        <v>44335</v>
      </c>
      <c r="C3604" t="s">
        <v>1552</v>
      </c>
      <c r="D3604" t="s">
        <v>78</v>
      </c>
      <c r="E3604" t="s">
        <v>24</v>
      </c>
      <c r="F3604" t="s">
        <v>215</v>
      </c>
      <c r="G3604">
        <v>20</v>
      </c>
      <c r="H3604" t="s">
        <v>464</v>
      </c>
      <c r="I3604" t="s">
        <v>579</v>
      </c>
      <c r="J3604" t="s">
        <v>1553</v>
      </c>
      <c r="K3604" t="s">
        <v>1994</v>
      </c>
    </row>
    <row r="3605" spans="1:19" x14ac:dyDescent="0.25">
      <c r="A3605" t="s">
        <v>2051</v>
      </c>
      <c r="B3605" s="1">
        <v>44342</v>
      </c>
      <c r="C3605" t="s">
        <v>2052</v>
      </c>
      <c r="D3605" t="s">
        <v>78</v>
      </c>
      <c r="E3605" t="s">
        <v>24</v>
      </c>
      <c r="F3605" t="s">
        <v>323</v>
      </c>
      <c r="G3605">
        <v>60</v>
      </c>
      <c r="H3605" t="s">
        <v>26</v>
      </c>
      <c r="I3605" t="s">
        <v>370</v>
      </c>
      <c r="J3605" t="s">
        <v>646</v>
      </c>
      <c r="K3605" t="s">
        <v>2053</v>
      </c>
      <c r="L3605">
        <v>333</v>
      </c>
      <c r="M3605">
        <v>93</v>
      </c>
      <c r="N3605" s="2">
        <v>0.36</v>
      </c>
      <c r="O3605">
        <v>83</v>
      </c>
      <c r="P3605">
        <v>15.38</v>
      </c>
      <c r="Q3605">
        <v>15.38</v>
      </c>
      <c r="R3605">
        <v>411</v>
      </c>
    </row>
    <row r="3606" spans="1:19" x14ac:dyDescent="0.25">
      <c r="A3606" t="s">
        <v>2054</v>
      </c>
      <c r="B3606" s="1">
        <v>44342</v>
      </c>
      <c r="C3606" t="s">
        <v>2055</v>
      </c>
      <c r="D3606" t="s">
        <v>78</v>
      </c>
      <c r="E3606" t="s">
        <v>24</v>
      </c>
      <c r="F3606" t="s">
        <v>323</v>
      </c>
      <c r="G3606">
        <v>5</v>
      </c>
      <c r="H3606" t="s">
        <v>26</v>
      </c>
      <c r="I3606" t="s">
        <v>358</v>
      </c>
      <c r="J3606" t="s">
        <v>359</v>
      </c>
      <c r="K3606" t="s">
        <v>2056</v>
      </c>
      <c r="L3606">
        <v>16</v>
      </c>
      <c r="M3606">
        <v>53</v>
      </c>
      <c r="N3606" s="2">
        <v>0.27</v>
      </c>
      <c r="O3606">
        <v>88</v>
      </c>
      <c r="P3606">
        <v>12.34</v>
      </c>
      <c r="Q3606">
        <v>1.03</v>
      </c>
      <c r="R3606">
        <v>20</v>
      </c>
    </row>
    <row r="3607" spans="1:19" x14ac:dyDescent="0.25">
      <c r="A3607" t="s">
        <v>2057</v>
      </c>
      <c r="B3607" s="1">
        <v>44342</v>
      </c>
      <c r="C3607" t="s">
        <v>1998</v>
      </c>
      <c r="D3607" t="s">
        <v>78</v>
      </c>
      <c r="E3607" t="s">
        <v>24</v>
      </c>
      <c r="F3607" t="s">
        <v>323</v>
      </c>
      <c r="G3607">
        <v>5</v>
      </c>
      <c r="H3607" t="s">
        <v>49</v>
      </c>
      <c r="I3607" t="s">
        <v>50</v>
      </c>
      <c r="J3607" t="s">
        <v>51</v>
      </c>
      <c r="K3607" t="s">
        <v>1656</v>
      </c>
      <c r="R3607">
        <v>11</v>
      </c>
    </row>
    <row r="3608" spans="1:19" x14ac:dyDescent="0.25">
      <c r="A3608" t="s">
        <v>2058</v>
      </c>
      <c r="B3608" s="1">
        <v>44342</v>
      </c>
      <c r="C3608" t="s">
        <v>2059</v>
      </c>
      <c r="D3608" t="s">
        <v>78</v>
      </c>
      <c r="E3608" t="s">
        <v>24</v>
      </c>
      <c r="F3608" t="s">
        <v>459</v>
      </c>
      <c r="G3608">
        <v>20</v>
      </c>
      <c r="H3608" t="s">
        <v>464</v>
      </c>
      <c r="I3608" t="s">
        <v>943</v>
      </c>
      <c r="J3608" t="s">
        <v>1347</v>
      </c>
      <c r="K3608" t="s">
        <v>2060</v>
      </c>
    </row>
    <row r="3609" spans="1:19" x14ac:dyDescent="0.25">
      <c r="A3609" t="s">
        <v>2107</v>
      </c>
      <c r="B3609" s="1">
        <v>44349</v>
      </c>
      <c r="C3609" t="s">
        <v>1912</v>
      </c>
      <c r="D3609" t="s">
        <v>78</v>
      </c>
      <c r="E3609" t="s">
        <v>24</v>
      </c>
      <c r="F3609" t="s">
        <v>323</v>
      </c>
      <c r="G3609">
        <v>5</v>
      </c>
      <c r="H3609" t="s">
        <v>26</v>
      </c>
      <c r="I3609" t="s">
        <v>423</v>
      </c>
      <c r="J3609" t="s">
        <v>505</v>
      </c>
      <c r="K3609" t="s">
        <v>1625</v>
      </c>
      <c r="L3609">
        <v>20</v>
      </c>
      <c r="M3609">
        <v>66</v>
      </c>
      <c r="N3609" s="2">
        <v>0.28000000000000003</v>
      </c>
      <c r="O3609">
        <v>94</v>
      </c>
      <c r="P3609">
        <v>13.45</v>
      </c>
      <c r="Q3609">
        <v>1.1200000000000001</v>
      </c>
      <c r="R3609">
        <v>24</v>
      </c>
    </row>
    <row r="3610" spans="1:19" x14ac:dyDescent="0.25">
      <c r="A3610" t="s">
        <v>2108</v>
      </c>
      <c r="B3610" s="1">
        <v>44349</v>
      </c>
      <c r="C3610" t="s">
        <v>1915</v>
      </c>
      <c r="D3610" t="s">
        <v>78</v>
      </c>
      <c r="E3610" t="s">
        <v>24</v>
      </c>
      <c r="F3610" t="s">
        <v>323</v>
      </c>
      <c r="G3610">
        <v>45</v>
      </c>
      <c r="H3610" t="s">
        <v>26</v>
      </c>
      <c r="I3610" t="s">
        <v>370</v>
      </c>
      <c r="J3610" t="s">
        <v>1256</v>
      </c>
      <c r="K3610" t="s">
        <v>2109</v>
      </c>
      <c r="L3610">
        <v>269</v>
      </c>
      <c r="M3610">
        <v>99</v>
      </c>
      <c r="N3610" s="2">
        <v>0.35</v>
      </c>
      <c r="O3610">
        <v>86</v>
      </c>
      <c r="P3610">
        <v>15.53</v>
      </c>
      <c r="Q3610">
        <v>11.7</v>
      </c>
      <c r="R3610">
        <v>331</v>
      </c>
    </row>
    <row r="3611" spans="1:19" x14ac:dyDescent="0.25">
      <c r="A3611" t="s">
        <v>2110</v>
      </c>
      <c r="B3611" s="1">
        <v>44349</v>
      </c>
      <c r="C3611" t="s">
        <v>2111</v>
      </c>
      <c r="D3611" t="s">
        <v>78</v>
      </c>
      <c r="E3611" t="s">
        <v>24</v>
      </c>
      <c r="F3611" t="s">
        <v>323</v>
      </c>
      <c r="G3611">
        <v>5</v>
      </c>
      <c r="H3611" t="s">
        <v>26</v>
      </c>
      <c r="I3611" t="s">
        <v>358</v>
      </c>
      <c r="J3611" t="s">
        <v>359</v>
      </c>
      <c r="K3611" t="s">
        <v>1842</v>
      </c>
      <c r="L3611">
        <v>22</v>
      </c>
      <c r="M3611">
        <v>72</v>
      </c>
      <c r="N3611" s="2">
        <v>0.32</v>
      </c>
      <c r="O3611">
        <v>86</v>
      </c>
      <c r="P3611">
        <v>14.12</v>
      </c>
      <c r="Q3611">
        <v>1.18</v>
      </c>
      <c r="R3611">
        <v>27</v>
      </c>
    </row>
    <row r="3612" spans="1:19" x14ac:dyDescent="0.25">
      <c r="A3612" t="s">
        <v>2112</v>
      </c>
      <c r="B3612" s="1">
        <v>44349</v>
      </c>
      <c r="C3612" t="s">
        <v>2113</v>
      </c>
      <c r="D3612" t="s">
        <v>78</v>
      </c>
      <c r="E3612" t="s">
        <v>24</v>
      </c>
      <c r="F3612" t="s">
        <v>323</v>
      </c>
      <c r="G3612">
        <v>5</v>
      </c>
      <c r="H3612" t="s">
        <v>49</v>
      </c>
      <c r="I3612" t="s">
        <v>50</v>
      </c>
      <c r="J3612" t="s">
        <v>51</v>
      </c>
      <c r="K3612" t="s">
        <v>1656</v>
      </c>
      <c r="R3612">
        <v>11</v>
      </c>
    </row>
    <row r="3613" spans="1:19" x14ac:dyDescent="0.25">
      <c r="A3613" t="s">
        <v>2114</v>
      </c>
      <c r="B3613" s="1">
        <v>44349</v>
      </c>
      <c r="C3613" t="s">
        <v>2115</v>
      </c>
      <c r="D3613" t="s">
        <v>78</v>
      </c>
      <c r="E3613" t="s">
        <v>24</v>
      </c>
      <c r="F3613" t="s">
        <v>180</v>
      </c>
      <c r="G3613">
        <v>15</v>
      </c>
      <c r="H3613" t="s">
        <v>194</v>
      </c>
      <c r="I3613" t="s">
        <v>195</v>
      </c>
      <c r="J3613" t="s">
        <v>2116</v>
      </c>
      <c r="K3613" t="s">
        <v>2117</v>
      </c>
      <c r="R3613">
        <v>69</v>
      </c>
    </row>
    <row r="3614" spans="1:19" x14ac:dyDescent="0.25">
      <c r="A3614" t="s">
        <v>2118</v>
      </c>
      <c r="B3614" s="1">
        <v>44349</v>
      </c>
      <c r="C3614" t="s">
        <v>1801</v>
      </c>
      <c r="D3614" t="s">
        <v>78</v>
      </c>
      <c r="E3614" t="s">
        <v>24</v>
      </c>
      <c r="F3614" t="s">
        <v>200</v>
      </c>
      <c r="G3614">
        <v>10</v>
      </c>
      <c r="H3614" t="s">
        <v>464</v>
      </c>
      <c r="I3614" t="s">
        <v>763</v>
      </c>
      <c r="J3614" t="s">
        <v>914</v>
      </c>
      <c r="K3614" t="s">
        <v>2119</v>
      </c>
    </row>
    <row r="3615" spans="1:19" x14ac:dyDescent="0.25">
      <c r="A3615" t="s">
        <v>2163</v>
      </c>
      <c r="B3615" s="1">
        <v>44356</v>
      </c>
      <c r="C3615" t="s">
        <v>626</v>
      </c>
      <c r="D3615" t="s">
        <v>78</v>
      </c>
      <c r="E3615" t="s">
        <v>24</v>
      </c>
      <c r="F3615" t="s">
        <v>243</v>
      </c>
      <c r="G3615">
        <v>20</v>
      </c>
      <c r="H3615" t="s">
        <v>188</v>
      </c>
      <c r="I3615" t="s">
        <v>189</v>
      </c>
      <c r="J3615" t="s">
        <v>248</v>
      </c>
      <c r="K3615" t="s">
        <v>2164</v>
      </c>
      <c r="R3615">
        <v>73</v>
      </c>
      <c r="S3615">
        <v>102.75</v>
      </c>
    </row>
    <row r="3616" spans="1:19" x14ac:dyDescent="0.25">
      <c r="A3616" t="s">
        <v>2165</v>
      </c>
      <c r="B3616" s="1">
        <v>44356</v>
      </c>
      <c r="C3616" t="s">
        <v>2166</v>
      </c>
      <c r="D3616" t="s">
        <v>78</v>
      </c>
      <c r="E3616" t="s">
        <v>24</v>
      </c>
      <c r="F3616" t="s">
        <v>237</v>
      </c>
      <c r="G3616">
        <v>10</v>
      </c>
      <c r="H3616" t="s">
        <v>188</v>
      </c>
      <c r="I3616" t="s">
        <v>238</v>
      </c>
      <c r="J3616" t="s">
        <v>731</v>
      </c>
      <c r="K3616" t="s">
        <v>2167</v>
      </c>
      <c r="R3616">
        <v>35</v>
      </c>
    </row>
    <row r="3617" spans="1:19" x14ac:dyDescent="0.25">
      <c r="A3617" t="s">
        <v>2168</v>
      </c>
      <c r="B3617" s="1">
        <v>44356</v>
      </c>
      <c r="C3617" t="s">
        <v>1981</v>
      </c>
      <c r="D3617" t="s">
        <v>78</v>
      </c>
      <c r="E3617" t="s">
        <v>24</v>
      </c>
      <c r="F3617" t="s">
        <v>243</v>
      </c>
      <c r="G3617">
        <v>45</v>
      </c>
      <c r="H3617" t="s">
        <v>26</v>
      </c>
      <c r="I3617" t="s">
        <v>370</v>
      </c>
      <c r="J3617" t="s">
        <v>439</v>
      </c>
      <c r="K3617" t="s">
        <v>2169</v>
      </c>
      <c r="L3617">
        <v>233</v>
      </c>
      <c r="M3617">
        <v>86</v>
      </c>
      <c r="N3617" s="2">
        <v>0.37</v>
      </c>
      <c r="O3617">
        <v>79</v>
      </c>
      <c r="P3617">
        <v>15.13</v>
      </c>
      <c r="Q3617">
        <v>11.35</v>
      </c>
      <c r="R3617">
        <v>287</v>
      </c>
    </row>
    <row r="3618" spans="1:19" x14ac:dyDescent="0.25">
      <c r="A3618" t="s">
        <v>2170</v>
      </c>
      <c r="B3618" s="1">
        <v>44356</v>
      </c>
      <c r="C3618" t="s">
        <v>2171</v>
      </c>
      <c r="D3618" t="s">
        <v>78</v>
      </c>
      <c r="E3618" t="s">
        <v>24</v>
      </c>
      <c r="F3618" t="s">
        <v>243</v>
      </c>
      <c r="G3618">
        <v>5</v>
      </c>
      <c r="H3618" t="s">
        <v>49</v>
      </c>
      <c r="I3618" t="s">
        <v>50</v>
      </c>
      <c r="J3618" t="s">
        <v>51</v>
      </c>
      <c r="K3618" t="s">
        <v>2042</v>
      </c>
      <c r="R3618">
        <v>12</v>
      </c>
    </row>
    <row r="3619" spans="1:19" x14ac:dyDescent="0.25">
      <c r="A3619" t="s">
        <v>2172</v>
      </c>
      <c r="B3619" s="1">
        <v>44356</v>
      </c>
      <c r="C3619" t="s">
        <v>2173</v>
      </c>
      <c r="D3619" t="s">
        <v>78</v>
      </c>
      <c r="E3619" t="s">
        <v>24</v>
      </c>
      <c r="F3619" t="s">
        <v>335</v>
      </c>
      <c r="G3619">
        <v>5</v>
      </c>
      <c r="H3619" t="s">
        <v>194</v>
      </c>
      <c r="I3619" t="s">
        <v>195</v>
      </c>
      <c r="J3619" t="s">
        <v>196</v>
      </c>
      <c r="K3619" t="s">
        <v>2174</v>
      </c>
      <c r="R3619">
        <v>23</v>
      </c>
    </row>
    <row r="3620" spans="1:19" x14ac:dyDescent="0.25">
      <c r="A3620" t="s">
        <v>2175</v>
      </c>
      <c r="B3620" s="1">
        <v>44356</v>
      </c>
      <c r="C3620" t="s">
        <v>2176</v>
      </c>
      <c r="D3620" t="s">
        <v>78</v>
      </c>
      <c r="E3620" t="s">
        <v>24</v>
      </c>
      <c r="F3620" t="s">
        <v>335</v>
      </c>
      <c r="G3620">
        <v>10</v>
      </c>
      <c r="H3620" t="s">
        <v>194</v>
      </c>
      <c r="I3620" t="s">
        <v>1445</v>
      </c>
      <c r="J3620" t="s">
        <v>1446</v>
      </c>
      <c r="K3620" t="s">
        <v>2174</v>
      </c>
      <c r="R3620">
        <v>46</v>
      </c>
    </row>
    <row r="3621" spans="1:19" x14ac:dyDescent="0.25">
      <c r="A3621" t="s">
        <v>2242</v>
      </c>
      <c r="B3621" s="1">
        <v>44363</v>
      </c>
      <c r="C3621" t="s">
        <v>1402</v>
      </c>
      <c r="D3621" t="s">
        <v>78</v>
      </c>
      <c r="E3621" t="s">
        <v>24</v>
      </c>
      <c r="F3621" t="s">
        <v>323</v>
      </c>
      <c r="G3621">
        <v>45</v>
      </c>
      <c r="H3621" t="s">
        <v>26</v>
      </c>
      <c r="I3621" t="s">
        <v>370</v>
      </c>
      <c r="J3621" t="s">
        <v>439</v>
      </c>
      <c r="K3621" t="s">
        <v>2243</v>
      </c>
      <c r="L3621">
        <v>263</v>
      </c>
      <c r="M3621">
        <v>98</v>
      </c>
      <c r="N3621" s="2">
        <v>0.37</v>
      </c>
      <c r="O3621">
        <v>85</v>
      </c>
      <c r="P3621">
        <v>15.95</v>
      </c>
      <c r="Q3621">
        <v>11.96</v>
      </c>
      <c r="R3621">
        <v>325</v>
      </c>
    </row>
    <row r="3622" spans="1:19" x14ac:dyDescent="0.25">
      <c r="A3622" t="s">
        <v>2244</v>
      </c>
      <c r="B3622" s="1">
        <v>44363</v>
      </c>
      <c r="C3622" t="s">
        <v>1662</v>
      </c>
      <c r="D3622" t="s">
        <v>78</v>
      </c>
      <c r="E3622" t="s">
        <v>24</v>
      </c>
      <c r="F3622" t="s">
        <v>768</v>
      </c>
      <c r="G3622">
        <v>5</v>
      </c>
      <c r="H3622" t="s">
        <v>49</v>
      </c>
      <c r="I3622" t="s">
        <v>50</v>
      </c>
      <c r="J3622" t="s">
        <v>51</v>
      </c>
      <c r="K3622" t="s">
        <v>2213</v>
      </c>
      <c r="R3622">
        <v>11</v>
      </c>
    </row>
    <row r="3623" spans="1:19" x14ac:dyDescent="0.25">
      <c r="A3623" t="s">
        <v>2245</v>
      </c>
      <c r="B3623" s="1">
        <v>44363</v>
      </c>
      <c r="C3623" t="s">
        <v>2246</v>
      </c>
      <c r="D3623" t="s">
        <v>78</v>
      </c>
      <c r="E3623" t="s">
        <v>24</v>
      </c>
      <c r="F3623" t="s">
        <v>292</v>
      </c>
      <c r="G3623">
        <v>20</v>
      </c>
      <c r="H3623" t="s">
        <v>194</v>
      </c>
      <c r="I3623" t="s">
        <v>195</v>
      </c>
      <c r="J3623" t="s">
        <v>2247</v>
      </c>
      <c r="K3623" t="s">
        <v>2248</v>
      </c>
      <c r="R3623">
        <v>92</v>
      </c>
    </row>
    <row r="3624" spans="1:19" x14ac:dyDescent="0.25">
      <c r="A3624" t="s">
        <v>2249</v>
      </c>
      <c r="B3624" s="1">
        <v>44363</v>
      </c>
      <c r="C3624" t="s">
        <v>36</v>
      </c>
      <c r="D3624" t="s">
        <v>78</v>
      </c>
      <c r="E3624" t="s">
        <v>24</v>
      </c>
      <c r="F3624" t="s">
        <v>215</v>
      </c>
      <c r="G3624">
        <v>15</v>
      </c>
      <c r="H3624" t="s">
        <v>188</v>
      </c>
      <c r="I3624" t="s">
        <v>189</v>
      </c>
      <c r="J3624" t="s">
        <v>2250</v>
      </c>
      <c r="K3624" t="s">
        <v>2164</v>
      </c>
      <c r="R3624">
        <v>54</v>
      </c>
      <c r="S3624">
        <v>96.14</v>
      </c>
    </row>
    <row r="3625" spans="1:19" x14ac:dyDescent="0.25">
      <c r="A3625" t="s">
        <v>2251</v>
      </c>
      <c r="B3625" s="1">
        <v>44363</v>
      </c>
      <c r="C3625" t="s">
        <v>1669</v>
      </c>
      <c r="D3625" t="s">
        <v>78</v>
      </c>
      <c r="E3625" t="s">
        <v>24</v>
      </c>
      <c r="F3625" t="s">
        <v>215</v>
      </c>
      <c r="G3625">
        <v>10</v>
      </c>
      <c r="H3625" t="s">
        <v>464</v>
      </c>
      <c r="I3625" t="s">
        <v>579</v>
      </c>
      <c r="J3625" t="s">
        <v>1470</v>
      </c>
      <c r="K3625" t="s">
        <v>2252</v>
      </c>
    </row>
    <row r="3626" spans="1:19" x14ac:dyDescent="0.25">
      <c r="A3626" t="s">
        <v>2297</v>
      </c>
      <c r="B3626" s="1">
        <v>44370</v>
      </c>
      <c r="C3626" t="s">
        <v>1402</v>
      </c>
      <c r="D3626" t="s">
        <v>78</v>
      </c>
      <c r="E3626" t="s">
        <v>24</v>
      </c>
      <c r="F3626" t="s">
        <v>323</v>
      </c>
      <c r="G3626">
        <v>45</v>
      </c>
      <c r="H3626" t="s">
        <v>26</v>
      </c>
      <c r="I3626" t="s">
        <v>370</v>
      </c>
      <c r="J3626" t="s">
        <v>479</v>
      </c>
      <c r="K3626" t="s">
        <v>2298</v>
      </c>
      <c r="L3626">
        <v>277</v>
      </c>
      <c r="M3626">
        <v>103</v>
      </c>
      <c r="N3626" s="2">
        <v>0.37</v>
      </c>
      <c r="O3626">
        <v>84</v>
      </c>
      <c r="P3626">
        <v>16.170000000000002</v>
      </c>
      <c r="Q3626">
        <v>12.13</v>
      </c>
      <c r="R3626">
        <v>342</v>
      </c>
    </row>
    <row r="3627" spans="1:19" x14ac:dyDescent="0.25">
      <c r="A3627" t="s">
        <v>2299</v>
      </c>
      <c r="B3627" s="1">
        <v>44370</v>
      </c>
      <c r="C3627" t="s">
        <v>2300</v>
      </c>
      <c r="D3627" t="s">
        <v>78</v>
      </c>
      <c r="E3627" t="s">
        <v>24</v>
      </c>
      <c r="F3627" t="s">
        <v>323</v>
      </c>
      <c r="G3627">
        <v>5</v>
      </c>
      <c r="H3627" t="s">
        <v>26</v>
      </c>
      <c r="I3627" t="s">
        <v>358</v>
      </c>
      <c r="J3627" t="s">
        <v>359</v>
      </c>
      <c r="K3627" t="s">
        <v>1842</v>
      </c>
      <c r="L3627">
        <v>19</v>
      </c>
      <c r="M3627">
        <v>64</v>
      </c>
      <c r="N3627" s="2">
        <v>0.31</v>
      </c>
      <c r="O3627">
        <v>83</v>
      </c>
      <c r="P3627">
        <v>13.36</v>
      </c>
      <c r="Q3627">
        <v>1.1100000000000001</v>
      </c>
      <c r="R3627">
        <v>24</v>
      </c>
    </row>
    <row r="3628" spans="1:19" x14ac:dyDescent="0.25">
      <c r="A3628" t="s">
        <v>2301</v>
      </c>
      <c r="B3628" s="1">
        <v>44370</v>
      </c>
      <c r="C3628" t="s">
        <v>1664</v>
      </c>
      <c r="D3628" t="s">
        <v>78</v>
      </c>
      <c r="E3628" t="s">
        <v>24</v>
      </c>
      <c r="F3628" t="s">
        <v>323</v>
      </c>
      <c r="G3628">
        <v>5</v>
      </c>
      <c r="H3628" t="s">
        <v>49</v>
      </c>
      <c r="I3628" t="s">
        <v>50</v>
      </c>
      <c r="J3628" t="s">
        <v>51</v>
      </c>
      <c r="K3628" t="s">
        <v>1656</v>
      </c>
      <c r="R3628">
        <v>12</v>
      </c>
    </row>
    <row r="3629" spans="1:19" x14ac:dyDescent="0.25">
      <c r="A3629" t="s">
        <v>2302</v>
      </c>
      <c r="B3629" s="1">
        <v>44370</v>
      </c>
      <c r="C3629" t="s">
        <v>2303</v>
      </c>
      <c r="D3629" t="s">
        <v>78</v>
      </c>
      <c r="E3629" t="s">
        <v>24</v>
      </c>
      <c r="F3629" t="s">
        <v>237</v>
      </c>
      <c r="G3629">
        <v>10</v>
      </c>
      <c r="H3629" t="s">
        <v>188</v>
      </c>
      <c r="I3629" t="s">
        <v>238</v>
      </c>
      <c r="J3629" t="s">
        <v>2304</v>
      </c>
      <c r="K3629" t="s">
        <v>2305</v>
      </c>
      <c r="R3629">
        <v>34</v>
      </c>
    </row>
    <row r="3630" spans="1:19" x14ac:dyDescent="0.25">
      <c r="A3630" t="s">
        <v>2306</v>
      </c>
      <c r="B3630" s="1">
        <v>44370</v>
      </c>
      <c r="C3630" t="s">
        <v>2307</v>
      </c>
      <c r="D3630" t="s">
        <v>78</v>
      </c>
      <c r="E3630" t="s">
        <v>24</v>
      </c>
      <c r="F3630" t="s">
        <v>215</v>
      </c>
      <c r="G3630">
        <v>10</v>
      </c>
      <c r="H3630" t="s">
        <v>464</v>
      </c>
      <c r="I3630" t="s">
        <v>763</v>
      </c>
      <c r="J3630" t="s">
        <v>914</v>
      </c>
      <c r="K3630" t="s">
        <v>2308</v>
      </c>
    </row>
    <row r="3631" spans="1:19" x14ac:dyDescent="0.25">
      <c r="A3631" t="s">
        <v>2368</v>
      </c>
      <c r="B3631" s="1">
        <v>44377</v>
      </c>
      <c r="C3631" t="s">
        <v>1776</v>
      </c>
      <c r="D3631" t="s">
        <v>78</v>
      </c>
      <c r="E3631" t="s">
        <v>24</v>
      </c>
      <c r="F3631" t="s">
        <v>243</v>
      </c>
      <c r="G3631">
        <v>45</v>
      </c>
      <c r="H3631" t="s">
        <v>26</v>
      </c>
      <c r="I3631" t="s">
        <v>370</v>
      </c>
      <c r="J3631" t="s">
        <v>439</v>
      </c>
      <c r="K3631" t="s">
        <v>2369</v>
      </c>
      <c r="L3631">
        <v>258</v>
      </c>
      <c r="M3631">
        <v>96</v>
      </c>
      <c r="N3631" s="2">
        <v>0.37</v>
      </c>
      <c r="O3631">
        <v>82</v>
      </c>
      <c r="P3631">
        <v>15.79</v>
      </c>
      <c r="Q3631">
        <v>11.84</v>
      </c>
      <c r="R3631">
        <v>319</v>
      </c>
    </row>
    <row r="3632" spans="1:19" x14ac:dyDescent="0.25">
      <c r="A3632" t="s">
        <v>2370</v>
      </c>
      <c r="B3632" s="1">
        <v>44377</v>
      </c>
      <c r="C3632" t="s">
        <v>2371</v>
      </c>
      <c r="D3632" t="s">
        <v>78</v>
      </c>
      <c r="E3632" t="s">
        <v>24</v>
      </c>
      <c r="F3632" t="s">
        <v>292</v>
      </c>
      <c r="G3632">
        <v>15</v>
      </c>
      <c r="H3632" t="s">
        <v>194</v>
      </c>
      <c r="I3632" t="s">
        <v>232</v>
      </c>
      <c r="J3632" t="s">
        <v>993</v>
      </c>
      <c r="K3632" t="s">
        <v>2372</v>
      </c>
      <c r="R3632">
        <v>69</v>
      </c>
    </row>
    <row r="3633" spans="1:19" x14ac:dyDescent="0.25">
      <c r="A3633" t="s">
        <v>2373</v>
      </c>
      <c r="B3633" s="1">
        <v>44377</v>
      </c>
      <c r="C3633" t="s">
        <v>1594</v>
      </c>
      <c r="D3633" t="s">
        <v>78</v>
      </c>
      <c r="E3633" t="s">
        <v>24</v>
      </c>
      <c r="F3633" t="s">
        <v>297</v>
      </c>
      <c r="G3633">
        <v>10</v>
      </c>
      <c r="H3633" t="s">
        <v>194</v>
      </c>
      <c r="I3633" t="s">
        <v>195</v>
      </c>
      <c r="J3633" t="s">
        <v>211</v>
      </c>
      <c r="K3633" t="s">
        <v>2374</v>
      </c>
      <c r="R3633">
        <v>46</v>
      </c>
    </row>
    <row r="3634" spans="1:19" x14ac:dyDescent="0.25">
      <c r="A3634" t="s">
        <v>2427</v>
      </c>
      <c r="B3634" s="1">
        <v>44384</v>
      </c>
      <c r="C3634" t="s">
        <v>2428</v>
      </c>
      <c r="D3634" t="s">
        <v>78</v>
      </c>
      <c r="E3634" t="s">
        <v>24</v>
      </c>
      <c r="F3634" t="s">
        <v>237</v>
      </c>
      <c r="G3634">
        <v>10</v>
      </c>
      <c r="H3634" t="s">
        <v>464</v>
      </c>
      <c r="I3634" t="s">
        <v>943</v>
      </c>
      <c r="J3634" t="s">
        <v>944</v>
      </c>
      <c r="K3634" t="s">
        <v>2429</v>
      </c>
    </row>
    <row r="3635" spans="1:19" x14ac:dyDescent="0.25">
      <c r="A3635" t="s">
        <v>2497</v>
      </c>
      <c r="B3635" s="1">
        <v>44391</v>
      </c>
      <c r="C3635" t="s">
        <v>1912</v>
      </c>
      <c r="D3635" t="s">
        <v>78</v>
      </c>
      <c r="E3635" t="s">
        <v>24</v>
      </c>
      <c r="F3635" t="s">
        <v>323</v>
      </c>
      <c r="G3635">
        <v>60</v>
      </c>
      <c r="H3635" t="s">
        <v>26</v>
      </c>
      <c r="I3635" t="s">
        <v>370</v>
      </c>
      <c r="J3635" t="s">
        <v>498</v>
      </c>
      <c r="K3635" t="s">
        <v>2498</v>
      </c>
      <c r="L3635">
        <v>347</v>
      </c>
      <c r="M3635">
        <v>96</v>
      </c>
      <c r="N3635" s="2">
        <v>0.37</v>
      </c>
      <c r="O3635">
        <v>83</v>
      </c>
      <c r="P3635">
        <v>15.85</v>
      </c>
      <c r="Q3635">
        <v>15.85</v>
      </c>
      <c r="R3635">
        <v>428</v>
      </c>
    </row>
    <row r="3636" spans="1:19" x14ac:dyDescent="0.25">
      <c r="A3636" t="s">
        <v>2499</v>
      </c>
      <c r="B3636" s="1">
        <v>44391</v>
      </c>
      <c r="C3636" t="s">
        <v>1594</v>
      </c>
      <c r="D3636" t="s">
        <v>78</v>
      </c>
      <c r="E3636" t="s">
        <v>24</v>
      </c>
      <c r="F3636" t="s">
        <v>323</v>
      </c>
      <c r="G3636">
        <v>5</v>
      </c>
      <c r="H3636" t="s">
        <v>49</v>
      </c>
      <c r="I3636" t="s">
        <v>50</v>
      </c>
      <c r="J3636" t="s">
        <v>51</v>
      </c>
      <c r="K3636" t="s">
        <v>1656</v>
      </c>
      <c r="R3636">
        <v>12</v>
      </c>
    </row>
    <row r="3637" spans="1:19" x14ac:dyDescent="0.25">
      <c r="A3637" t="s">
        <v>2500</v>
      </c>
      <c r="B3637" s="1">
        <v>44391</v>
      </c>
      <c r="C3637" t="s">
        <v>1666</v>
      </c>
      <c r="D3637" t="s">
        <v>78</v>
      </c>
      <c r="E3637" t="s">
        <v>24</v>
      </c>
      <c r="F3637" t="s">
        <v>2501</v>
      </c>
      <c r="G3637">
        <v>10</v>
      </c>
      <c r="H3637" t="s">
        <v>194</v>
      </c>
      <c r="I3637" t="s">
        <v>195</v>
      </c>
      <c r="J3637" t="s">
        <v>211</v>
      </c>
      <c r="K3637" t="s">
        <v>2502</v>
      </c>
      <c r="R3637">
        <v>46</v>
      </c>
    </row>
    <row r="3638" spans="1:19" x14ac:dyDescent="0.25">
      <c r="A3638" t="s">
        <v>2503</v>
      </c>
      <c r="B3638" s="1">
        <v>44391</v>
      </c>
      <c r="C3638" t="s">
        <v>2504</v>
      </c>
      <c r="D3638" t="s">
        <v>78</v>
      </c>
      <c r="E3638" t="s">
        <v>24</v>
      </c>
      <c r="F3638" t="s">
        <v>459</v>
      </c>
      <c r="G3638">
        <v>5</v>
      </c>
      <c r="H3638" t="s">
        <v>188</v>
      </c>
      <c r="I3638" t="s">
        <v>2479</v>
      </c>
      <c r="J3638" t="s">
        <v>2505</v>
      </c>
      <c r="K3638" t="s">
        <v>2506</v>
      </c>
      <c r="R3638">
        <v>14</v>
      </c>
    </row>
    <row r="3639" spans="1:19" x14ac:dyDescent="0.25">
      <c r="A3639" t="s">
        <v>2507</v>
      </c>
      <c r="B3639" s="1">
        <v>44391</v>
      </c>
      <c r="C3639" t="s">
        <v>1876</v>
      </c>
      <c r="D3639" t="s">
        <v>78</v>
      </c>
      <c r="E3639" t="s">
        <v>24</v>
      </c>
      <c r="F3639" t="s">
        <v>200</v>
      </c>
      <c r="G3639">
        <v>15</v>
      </c>
      <c r="H3639" t="s">
        <v>464</v>
      </c>
      <c r="I3639" t="s">
        <v>763</v>
      </c>
      <c r="J3639" t="s">
        <v>2508</v>
      </c>
      <c r="K3639" t="s">
        <v>2509</v>
      </c>
    </row>
    <row r="3640" spans="1:19" x14ac:dyDescent="0.25">
      <c r="A3640" t="s">
        <v>2553</v>
      </c>
      <c r="B3640" s="1">
        <v>44398</v>
      </c>
      <c r="C3640" t="s">
        <v>1556</v>
      </c>
      <c r="D3640" t="s">
        <v>78</v>
      </c>
      <c r="E3640" t="s">
        <v>24</v>
      </c>
      <c r="F3640" t="s">
        <v>243</v>
      </c>
      <c r="G3640">
        <v>45</v>
      </c>
      <c r="H3640" t="s">
        <v>26</v>
      </c>
      <c r="I3640" t="s">
        <v>370</v>
      </c>
      <c r="J3640" t="s">
        <v>439</v>
      </c>
      <c r="K3640" t="s">
        <v>2554</v>
      </c>
      <c r="L3640">
        <v>254</v>
      </c>
      <c r="M3640">
        <v>94</v>
      </c>
      <c r="N3640" s="2">
        <v>0.36</v>
      </c>
      <c r="O3640">
        <v>86</v>
      </c>
      <c r="P3640">
        <v>15.73</v>
      </c>
      <c r="Q3640">
        <v>11.8</v>
      </c>
      <c r="R3640">
        <v>314</v>
      </c>
    </row>
    <row r="3641" spans="1:19" x14ac:dyDescent="0.25">
      <c r="A3641" t="s">
        <v>2555</v>
      </c>
      <c r="B3641" s="1">
        <v>44398</v>
      </c>
      <c r="C3641" t="s">
        <v>1703</v>
      </c>
      <c r="D3641" t="s">
        <v>78</v>
      </c>
      <c r="E3641" t="s">
        <v>24</v>
      </c>
      <c r="F3641" t="s">
        <v>243</v>
      </c>
      <c r="G3641">
        <v>10</v>
      </c>
      <c r="H3641" t="s">
        <v>26</v>
      </c>
      <c r="I3641" t="s">
        <v>358</v>
      </c>
      <c r="J3641" t="s">
        <v>389</v>
      </c>
      <c r="K3641" t="s">
        <v>1754</v>
      </c>
      <c r="L3641">
        <v>40</v>
      </c>
      <c r="M3641">
        <v>67</v>
      </c>
      <c r="N3641" s="2">
        <v>0.33</v>
      </c>
      <c r="O3641">
        <v>76</v>
      </c>
      <c r="P3641">
        <v>13.57</v>
      </c>
      <c r="Q3641">
        <v>2.2599999999999998</v>
      </c>
      <c r="R3641">
        <v>49</v>
      </c>
    </row>
    <row r="3642" spans="1:19" x14ac:dyDescent="0.25">
      <c r="A3642" t="s">
        <v>2556</v>
      </c>
      <c r="B3642" s="1">
        <v>44398</v>
      </c>
      <c r="C3642" t="s">
        <v>2550</v>
      </c>
      <c r="D3642" t="s">
        <v>78</v>
      </c>
      <c r="E3642" t="s">
        <v>24</v>
      </c>
      <c r="F3642" t="s">
        <v>1203</v>
      </c>
      <c r="G3642">
        <v>10</v>
      </c>
      <c r="H3642" t="s">
        <v>194</v>
      </c>
      <c r="I3642" t="s">
        <v>195</v>
      </c>
      <c r="J3642" t="s">
        <v>211</v>
      </c>
      <c r="K3642" t="s">
        <v>2557</v>
      </c>
      <c r="R3642">
        <v>46</v>
      </c>
    </row>
    <row r="3643" spans="1:19" x14ac:dyDescent="0.25">
      <c r="A3643" t="s">
        <v>2558</v>
      </c>
      <c r="B3643" s="1">
        <v>44398</v>
      </c>
      <c r="C3643" t="s">
        <v>1612</v>
      </c>
      <c r="D3643" t="s">
        <v>78</v>
      </c>
      <c r="E3643" t="s">
        <v>24</v>
      </c>
      <c r="F3643" t="s">
        <v>243</v>
      </c>
      <c r="G3643">
        <v>5</v>
      </c>
      <c r="H3643" t="s">
        <v>49</v>
      </c>
      <c r="I3643" t="s">
        <v>50</v>
      </c>
      <c r="J3643" t="s">
        <v>51</v>
      </c>
      <c r="K3643" t="s">
        <v>2042</v>
      </c>
      <c r="R3643">
        <v>12</v>
      </c>
    </row>
    <row r="3644" spans="1:19" x14ac:dyDescent="0.25">
      <c r="A3644" t="s">
        <v>2559</v>
      </c>
      <c r="B3644" s="1">
        <v>44398</v>
      </c>
      <c r="C3644" t="s">
        <v>287</v>
      </c>
      <c r="D3644" t="s">
        <v>78</v>
      </c>
      <c r="E3644" t="s">
        <v>24</v>
      </c>
      <c r="F3644" t="s">
        <v>208</v>
      </c>
      <c r="G3644">
        <v>10</v>
      </c>
      <c r="H3644" t="s">
        <v>188</v>
      </c>
      <c r="I3644" t="s">
        <v>2479</v>
      </c>
      <c r="J3644" t="s">
        <v>2560</v>
      </c>
      <c r="K3644" t="s">
        <v>2561</v>
      </c>
      <c r="R3644">
        <v>27</v>
      </c>
      <c r="S3644">
        <v>76.31</v>
      </c>
    </row>
    <row r="3645" spans="1:19" x14ac:dyDescent="0.25">
      <c r="A3645" t="s">
        <v>2562</v>
      </c>
      <c r="B3645" s="1">
        <v>44398</v>
      </c>
      <c r="C3645" t="s">
        <v>2100</v>
      </c>
      <c r="D3645" t="s">
        <v>78</v>
      </c>
      <c r="E3645" t="s">
        <v>24</v>
      </c>
      <c r="F3645" t="s">
        <v>459</v>
      </c>
      <c r="G3645">
        <v>20</v>
      </c>
      <c r="H3645" t="s">
        <v>464</v>
      </c>
      <c r="I3645" t="s">
        <v>103</v>
      </c>
      <c r="J3645" t="s">
        <v>2563</v>
      </c>
      <c r="K3645" t="s">
        <v>2564</v>
      </c>
    </row>
    <row r="3646" spans="1:19" x14ac:dyDescent="0.25">
      <c r="A3646" t="s">
        <v>2621</v>
      </c>
      <c r="B3646" s="1">
        <v>44405</v>
      </c>
      <c r="C3646" t="s">
        <v>2622</v>
      </c>
      <c r="D3646" t="s">
        <v>78</v>
      </c>
      <c r="E3646" t="s">
        <v>24</v>
      </c>
      <c r="F3646" t="s">
        <v>323</v>
      </c>
      <c r="G3646">
        <v>60</v>
      </c>
      <c r="H3646" t="s">
        <v>26</v>
      </c>
      <c r="I3646" t="s">
        <v>370</v>
      </c>
      <c r="J3646" t="s">
        <v>498</v>
      </c>
      <c r="K3646" t="s">
        <v>2498</v>
      </c>
      <c r="L3646">
        <v>359</v>
      </c>
      <c r="M3646">
        <v>100</v>
      </c>
      <c r="N3646" s="2">
        <v>0.37</v>
      </c>
      <c r="O3646">
        <v>84</v>
      </c>
      <c r="P3646">
        <v>16.11</v>
      </c>
      <c r="Q3646">
        <v>16.11</v>
      </c>
      <c r="R3646">
        <v>443</v>
      </c>
    </row>
    <row r="3647" spans="1:19" x14ac:dyDescent="0.25">
      <c r="A3647" t="s">
        <v>2623</v>
      </c>
      <c r="B3647" s="1">
        <v>44405</v>
      </c>
      <c r="C3647" t="s">
        <v>2624</v>
      </c>
      <c r="D3647" t="s">
        <v>78</v>
      </c>
      <c r="E3647" t="s">
        <v>24</v>
      </c>
      <c r="F3647" t="s">
        <v>323</v>
      </c>
      <c r="G3647">
        <v>5</v>
      </c>
      <c r="H3647" t="s">
        <v>26</v>
      </c>
      <c r="I3647" t="s">
        <v>358</v>
      </c>
      <c r="J3647" t="s">
        <v>359</v>
      </c>
      <c r="K3647" t="s">
        <v>1842</v>
      </c>
      <c r="L3647">
        <v>23</v>
      </c>
      <c r="M3647">
        <v>77</v>
      </c>
      <c r="N3647" s="2">
        <v>0.32</v>
      </c>
      <c r="O3647">
        <v>87</v>
      </c>
      <c r="P3647">
        <v>14.5</v>
      </c>
      <c r="Q3647">
        <v>1.21</v>
      </c>
      <c r="R3647">
        <v>29</v>
      </c>
    </row>
    <row r="3648" spans="1:19" x14ac:dyDescent="0.25">
      <c r="A3648" t="s">
        <v>2625</v>
      </c>
      <c r="B3648" s="1">
        <v>44405</v>
      </c>
      <c r="C3648" t="s">
        <v>1662</v>
      </c>
      <c r="D3648" t="s">
        <v>78</v>
      </c>
      <c r="E3648" t="s">
        <v>24</v>
      </c>
      <c r="F3648" t="s">
        <v>305</v>
      </c>
      <c r="G3648">
        <v>10</v>
      </c>
      <c r="H3648" t="s">
        <v>194</v>
      </c>
      <c r="I3648" t="s">
        <v>195</v>
      </c>
      <c r="J3648" t="s">
        <v>211</v>
      </c>
      <c r="K3648" t="s">
        <v>2626</v>
      </c>
      <c r="R3648">
        <v>46</v>
      </c>
    </row>
    <row r="3649" spans="1:18" x14ac:dyDescent="0.25">
      <c r="A3649" t="s">
        <v>2627</v>
      </c>
      <c r="B3649" s="1">
        <v>44405</v>
      </c>
      <c r="C3649" t="s">
        <v>1381</v>
      </c>
      <c r="D3649" t="s">
        <v>78</v>
      </c>
      <c r="E3649" t="s">
        <v>24</v>
      </c>
      <c r="F3649" t="s">
        <v>323</v>
      </c>
      <c r="G3649">
        <v>5</v>
      </c>
      <c r="H3649" t="s">
        <v>49</v>
      </c>
      <c r="I3649" t="s">
        <v>50</v>
      </c>
      <c r="J3649" t="s">
        <v>51</v>
      </c>
      <c r="K3649" t="s">
        <v>1656</v>
      </c>
      <c r="R3649">
        <v>12</v>
      </c>
    </row>
    <row r="3650" spans="1:18" x14ac:dyDescent="0.25">
      <c r="A3650" t="s">
        <v>2628</v>
      </c>
      <c r="B3650" s="1">
        <v>44405</v>
      </c>
      <c r="C3650" t="s">
        <v>2629</v>
      </c>
      <c r="D3650" t="s">
        <v>78</v>
      </c>
      <c r="E3650" t="s">
        <v>24</v>
      </c>
      <c r="F3650" t="s">
        <v>215</v>
      </c>
      <c r="G3650">
        <v>20</v>
      </c>
      <c r="H3650" t="s">
        <v>464</v>
      </c>
      <c r="I3650" t="s">
        <v>943</v>
      </c>
      <c r="J3650" t="s">
        <v>1347</v>
      </c>
      <c r="K3650" t="s">
        <v>2630</v>
      </c>
    </row>
    <row r="3651" spans="1:18" x14ac:dyDescent="0.25">
      <c r="A3651" t="s">
        <v>2680</v>
      </c>
      <c r="B3651" s="1">
        <v>44412</v>
      </c>
      <c r="C3651" t="s">
        <v>2681</v>
      </c>
      <c r="D3651" t="s">
        <v>78</v>
      </c>
      <c r="E3651" t="s">
        <v>24</v>
      </c>
      <c r="F3651" t="s">
        <v>323</v>
      </c>
      <c r="G3651">
        <v>60</v>
      </c>
      <c r="H3651" t="s">
        <v>26</v>
      </c>
      <c r="I3651" t="s">
        <v>370</v>
      </c>
      <c r="J3651" t="s">
        <v>498</v>
      </c>
      <c r="K3651" t="s">
        <v>2682</v>
      </c>
      <c r="L3651">
        <v>356</v>
      </c>
      <c r="M3651">
        <v>99</v>
      </c>
      <c r="N3651" s="2">
        <v>0.38</v>
      </c>
      <c r="O3651">
        <v>82</v>
      </c>
      <c r="P3651">
        <v>16.04</v>
      </c>
      <c r="Q3651">
        <v>16.04</v>
      </c>
      <c r="R3651">
        <v>438</v>
      </c>
    </row>
    <row r="3652" spans="1:18" x14ac:dyDescent="0.25">
      <c r="A3652" t="s">
        <v>2683</v>
      </c>
      <c r="B3652" s="1">
        <v>44412</v>
      </c>
      <c r="C3652" t="s">
        <v>2313</v>
      </c>
      <c r="D3652" t="s">
        <v>78</v>
      </c>
      <c r="E3652" t="s">
        <v>24</v>
      </c>
      <c r="F3652" t="s">
        <v>1203</v>
      </c>
      <c r="G3652">
        <v>10</v>
      </c>
      <c r="H3652" t="s">
        <v>194</v>
      </c>
      <c r="I3652" t="s">
        <v>195</v>
      </c>
      <c r="J3652" t="s">
        <v>211</v>
      </c>
      <c r="K3652" t="s">
        <v>2684</v>
      </c>
      <c r="R3652">
        <v>46</v>
      </c>
    </row>
    <row r="3653" spans="1:18" x14ac:dyDescent="0.25">
      <c r="A3653" t="s">
        <v>2685</v>
      </c>
      <c r="B3653" s="1">
        <v>44412</v>
      </c>
      <c r="C3653" t="s">
        <v>2686</v>
      </c>
      <c r="D3653" t="s">
        <v>78</v>
      </c>
      <c r="E3653" t="s">
        <v>24</v>
      </c>
      <c r="F3653" t="s">
        <v>323</v>
      </c>
      <c r="G3653">
        <v>5</v>
      </c>
      <c r="H3653" t="s">
        <v>49</v>
      </c>
      <c r="I3653" t="s">
        <v>50</v>
      </c>
      <c r="J3653" t="s">
        <v>51</v>
      </c>
      <c r="K3653" t="s">
        <v>1382</v>
      </c>
      <c r="R3653">
        <v>12</v>
      </c>
    </row>
    <row r="3654" spans="1:18" x14ac:dyDescent="0.25">
      <c r="A3654" t="s">
        <v>2687</v>
      </c>
      <c r="B3654" s="1">
        <v>44412</v>
      </c>
      <c r="C3654" t="s">
        <v>1936</v>
      </c>
      <c r="D3654" t="s">
        <v>78</v>
      </c>
      <c r="E3654" t="s">
        <v>24</v>
      </c>
      <c r="F3654" t="s">
        <v>215</v>
      </c>
      <c r="G3654">
        <v>20</v>
      </c>
      <c r="H3654" t="s">
        <v>188</v>
      </c>
      <c r="I3654" t="s">
        <v>238</v>
      </c>
      <c r="J3654" t="s">
        <v>796</v>
      </c>
      <c r="K3654" t="s">
        <v>2688</v>
      </c>
      <c r="R3654">
        <v>67</v>
      </c>
    </row>
    <row r="3655" spans="1:18" x14ac:dyDescent="0.25">
      <c r="A3655" t="s">
        <v>2689</v>
      </c>
      <c r="B3655" s="1">
        <v>44412</v>
      </c>
      <c r="C3655" t="s">
        <v>1588</v>
      </c>
      <c r="D3655" t="s">
        <v>78</v>
      </c>
      <c r="E3655" t="s">
        <v>24</v>
      </c>
      <c r="F3655" t="s">
        <v>208</v>
      </c>
      <c r="G3655">
        <v>20</v>
      </c>
      <c r="H3655" t="s">
        <v>464</v>
      </c>
      <c r="I3655" t="s">
        <v>579</v>
      </c>
      <c r="J3655" t="s">
        <v>2690</v>
      </c>
      <c r="K3655" t="s">
        <v>2691</v>
      </c>
    </row>
    <row r="3656" spans="1:18" x14ac:dyDescent="0.25">
      <c r="A3656" t="s">
        <v>2734</v>
      </c>
      <c r="B3656" s="1">
        <v>44419</v>
      </c>
      <c r="C3656" t="s">
        <v>2075</v>
      </c>
      <c r="D3656" t="s">
        <v>78</v>
      </c>
      <c r="E3656" t="s">
        <v>24</v>
      </c>
      <c r="F3656" t="s">
        <v>243</v>
      </c>
      <c r="G3656">
        <v>45</v>
      </c>
      <c r="H3656" t="s">
        <v>26</v>
      </c>
      <c r="I3656" t="s">
        <v>370</v>
      </c>
      <c r="J3656" t="s">
        <v>479</v>
      </c>
      <c r="K3656" t="s">
        <v>2735</v>
      </c>
      <c r="L3656">
        <v>281</v>
      </c>
      <c r="M3656">
        <v>104</v>
      </c>
      <c r="N3656" s="2">
        <v>0.37</v>
      </c>
      <c r="O3656">
        <v>83</v>
      </c>
      <c r="P3656">
        <v>15.9</v>
      </c>
      <c r="Q3656">
        <v>11.93</v>
      </c>
      <c r="R3656">
        <v>346</v>
      </c>
    </row>
    <row r="3657" spans="1:18" x14ac:dyDescent="0.25">
      <c r="A3657" t="s">
        <v>2736</v>
      </c>
      <c r="B3657" s="1">
        <v>44419</v>
      </c>
      <c r="C3657" t="s">
        <v>2737</v>
      </c>
      <c r="D3657" t="s">
        <v>78</v>
      </c>
      <c r="E3657" t="s">
        <v>24</v>
      </c>
      <c r="F3657" t="s">
        <v>323</v>
      </c>
      <c r="G3657">
        <v>30</v>
      </c>
      <c r="H3657" t="s">
        <v>26</v>
      </c>
      <c r="I3657" t="s">
        <v>370</v>
      </c>
      <c r="J3657" t="s">
        <v>2588</v>
      </c>
      <c r="K3657" t="s">
        <v>2738</v>
      </c>
      <c r="L3657">
        <v>168</v>
      </c>
      <c r="M3657">
        <v>93</v>
      </c>
      <c r="N3657" s="2">
        <v>0.36</v>
      </c>
      <c r="O3657">
        <v>83</v>
      </c>
      <c r="P3657">
        <v>15.58</v>
      </c>
      <c r="Q3657">
        <v>7.79</v>
      </c>
      <c r="R3657">
        <v>207</v>
      </c>
    </row>
    <row r="3658" spans="1:18" x14ac:dyDescent="0.25">
      <c r="A3658" t="s">
        <v>2739</v>
      </c>
      <c r="B3658" s="1">
        <v>44419</v>
      </c>
      <c r="C3658" t="s">
        <v>1664</v>
      </c>
      <c r="D3658" t="s">
        <v>78</v>
      </c>
      <c r="E3658" t="s">
        <v>24</v>
      </c>
      <c r="F3658" t="s">
        <v>323</v>
      </c>
      <c r="G3658">
        <v>5</v>
      </c>
      <c r="H3658" t="s">
        <v>49</v>
      </c>
      <c r="I3658" t="s">
        <v>50</v>
      </c>
      <c r="J3658" t="s">
        <v>51</v>
      </c>
      <c r="K3658" t="s">
        <v>1656</v>
      </c>
      <c r="R3658">
        <v>11</v>
      </c>
    </row>
    <row r="3659" spans="1:18" x14ac:dyDescent="0.25">
      <c r="A3659" t="s">
        <v>2740</v>
      </c>
      <c r="B3659" s="1">
        <v>44419</v>
      </c>
      <c r="C3659" t="s">
        <v>2741</v>
      </c>
      <c r="D3659" t="s">
        <v>78</v>
      </c>
      <c r="E3659" t="s">
        <v>24</v>
      </c>
      <c r="F3659" t="s">
        <v>180</v>
      </c>
      <c r="G3659">
        <v>20</v>
      </c>
      <c r="H3659" t="s">
        <v>194</v>
      </c>
      <c r="I3659" t="s">
        <v>195</v>
      </c>
      <c r="J3659" t="s">
        <v>2742</v>
      </c>
      <c r="K3659" t="s">
        <v>2743</v>
      </c>
      <c r="R3659">
        <v>92</v>
      </c>
    </row>
    <row r="3660" spans="1:18" x14ac:dyDescent="0.25">
      <c r="A3660" t="s">
        <v>2744</v>
      </c>
      <c r="B3660" s="1">
        <v>44419</v>
      </c>
      <c r="C3660" t="s">
        <v>1398</v>
      </c>
      <c r="D3660" t="s">
        <v>78</v>
      </c>
      <c r="E3660" t="s">
        <v>24</v>
      </c>
      <c r="F3660" t="s">
        <v>215</v>
      </c>
      <c r="G3660">
        <v>10</v>
      </c>
      <c r="H3660" t="s">
        <v>464</v>
      </c>
      <c r="I3660" t="s">
        <v>579</v>
      </c>
      <c r="J3660" t="s">
        <v>602</v>
      </c>
      <c r="K3660" t="s">
        <v>2745</v>
      </c>
    </row>
    <row r="3661" spans="1:18" x14ac:dyDescent="0.25">
      <c r="A3661" t="s">
        <v>2806</v>
      </c>
      <c r="B3661" s="1">
        <v>44426</v>
      </c>
      <c r="C3661" t="s">
        <v>1556</v>
      </c>
      <c r="D3661" t="s">
        <v>78</v>
      </c>
      <c r="E3661" t="s">
        <v>24</v>
      </c>
      <c r="F3661" t="s">
        <v>323</v>
      </c>
      <c r="G3661">
        <v>30</v>
      </c>
      <c r="H3661" t="s">
        <v>26</v>
      </c>
      <c r="I3661" t="s">
        <v>370</v>
      </c>
      <c r="J3661" t="s">
        <v>1260</v>
      </c>
      <c r="K3661" t="s">
        <v>2807</v>
      </c>
      <c r="L3661">
        <v>170</v>
      </c>
      <c r="M3661">
        <v>95</v>
      </c>
      <c r="N3661" s="2">
        <v>0.35</v>
      </c>
      <c r="O3661">
        <v>89</v>
      </c>
      <c r="P3661">
        <v>15.71</v>
      </c>
      <c r="Q3661">
        <v>7.86</v>
      </c>
      <c r="R3661">
        <v>210</v>
      </c>
    </row>
    <row r="3662" spans="1:18" x14ac:dyDescent="0.25">
      <c r="A3662" t="s">
        <v>2808</v>
      </c>
      <c r="B3662" s="1">
        <v>44426</v>
      </c>
      <c r="C3662" t="s">
        <v>2530</v>
      </c>
      <c r="D3662" t="s">
        <v>78</v>
      </c>
      <c r="E3662" t="s">
        <v>24</v>
      </c>
      <c r="F3662" t="s">
        <v>292</v>
      </c>
      <c r="G3662">
        <v>10</v>
      </c>
      <c r="H3662" t="s">
        <v>194</v>
      </c>
      <c r="I3662" t="s">
        <v>1445</v>
      </c>
      <c r="J3662" t="s">
        <v>2809</v>
      </c>
      <c r="K3662" t="s">
        <v>2810</v>
      </c>
      <c r="R3662">
        <v>46</v>
      </c>
    </row>
    <row r="3663" spans="1:18" x14ac:dyDescent="0.25">
      <c r="A3663" t="s">
        <v>2811</v>
      </c>
      <c r="B3663" s="1">
        <v>44426</v>
      </c>
      <c r="C3663" t="s">
        <v>1200</v>
      </c>
      <c r="D3663" t="s">
        <v>78</v>
      </c>
      <c r="E3663" t="s">
        <v>24</v>
      </c>
      <c r="F3663" t="s">
        <v>243</v>
      </c>
      <c r="G3663">
        <v>10</v>
      </c>
      <c r="H3663" t="s">
        <v>188</v>
      </c>
      <c r="I3663" t="s">
        <v>189</v>
      </c>
      <c r="J3663" t="s">
        <v>564</v>
      </c>
      <c r="K3663" t="s">
        <v>2812</v>
      </c>
      <c r="R3663">
        <v>31</v>
      </c>
    </row>
    <row r="3664" spans="1:18" x14ac:dyDescent="0.25">
      <c r="A3664" t="s">
        <v>2863</v>
      </c>
      <c r="B3664" s="1">
        <v>44433</v>
      </c>
      <c r="C3664" t="s">
        <v>399</v>
      </c>
      <c r="D3664" t="s">
        <v>78</v>
      </c>
      <c r="E3664" t="s">
        <v>24</v>
      </c>
      <c r="F3664" t="s">
        <v>215</v>
      </c>
      <c r="G3664">
        <v>20</v>
      </c>
      <c r="H3664" t="s">
        <v>188</v>
      </c>
      <c r="I3664" t="s">
        <v>254</v>
      </c>
      <c r="J3664" t="s">
        <v>516</v>
      </c>
      <c r="K3664" t="s">
        <v>2864</v>
      </c>
      <c r="R3664">
        <v>62</v>
      </c>
    </row>
    <row r="3665" spans="1:18" x14ac:dyDescent="0.25">
      <c r="A3665" t="s">
        <v>2865</v>
      </c>
      <c r="B3665" s="1">
        <v>44433</v>
      </c>
      <c r="C3665" t="s">
        <v>1637</v>
      </c>
      <c r="D3665" t="s">
        <v>78</v>
      </c>
      <c r="E3665" t="s">
        <v>24</v>
      </c>
      <c r="F3665" t="s">
        <v>208</v>
      </c>
      <c r="G3665">
        <v>15</v>
      </c>
      <c r="H3665" t="s">
        <v>464</v>
      </c>
      <c r="I3665" t="s">
        <v>1617</v>
      </c>
      <c r="J3665" t="s">
        <v>2866</v>
      </c>
      <c r="K3665" t="s">
        <v>2867</v>
      </c>
    </row>
    <row r="3666" spans="1:18" x14ac:dyDescent="0.25">
      <c r="A3666" t="s">
        <v>2909</v>
      </c>
      <c r="B3666" s="1">
        <v>44440</v>
      </c>
      <c r="C3666" t="s">
        <v>1111</v>
      </c>
      <c r="D3666" t="s">
        <v>78</v>
      </c>
      <c r="E3666" t="s">
        <v>24</v>
      </c>
      <c r="F3666" t="s">
        <v>180</v>
      </c>
      <c r="G3666">
        <v>15</v>
      </c>
      <c r="H3666" t="s">
        <v>194</v>
      </c>
      <c r="I3666" t="s">
        <v>195</v>
      </c>
      <c r="J3666" t="s">
        <v>1217</v>
      </c>
      <c r="K3666" t="s">
        <v>2910</v>
      </c>
      <c r="R3666">
        <v>69</v>
      </c>
    </row>
    <row r="3667" spans="1:18" x14ac:dyDescent="0.25">
      <c r="A3667" t="s">
        <v>2911</v>
      </c>
      <c r="B3667" s="1">
        <v>44440</v>
      </c>
      <c r="C3667" t="s">
        <v>612</v>
      </c>
      <c r="D3667" t="s">
        <v>78</v>
      </c>
      <c r="E3667" t="s">
        <v>24</v>
      </c>
      <c r="F3667" t="s">
        <v>215</v>
      </c>
      <c r="G3667">
        <v>20</v>
      </c>
      <c r="H3667" t="s">
        <v>188</v>
      </c>
      <c r="I3667" t="s">
        <v>189</v>
      </c>
      <c r="J3667" t="s">
        <v>248</v>
      </c>
      <c r="K3667" t="s">
        <v>2912</v>
      </c>
      <c r="R3667">
        <v>67</v>
      </c>
    </row>
    <row r="3668" spans="1:18" x14ac:dyDescent="0.25">
      <c r="A3668" t="s">
        <v>2913</v>
      </c>
      <c r="B3668" s="1">
        <v>44440</v>
      </c>
      <c r="C3668" t="s">
        <v>2914</v>
      </c>
      <c r="D3668" t="s">
        <v>78</v>
      </c>
      <c r="E3668" t="s">
        <v>24</v>
      </c>
      <c r="F3668" t="s">
        <v>328</v>
      </c>
      <c r="G3668">
        <v>45</v>
      </c>
      <c r="H3668" t="s">
        <v>26</v>
      </c>
      <c r="I3668" t="s">
        <v>370</v>
      </c>
      <c r="J3668" t="s">
        <v>439</v>
      </c>
      <c r="K3668" t="s">
        <v>1790</v>
      </c>
      <c r="L3668">
        <v>265</v>
      </c>
      <c r="M3668">
        <v>98</v>
      </c>
      <c r="N3668" s="2">
        <v>0.37</v>
      </c>
      <c r="O3668">
        <v>85</v>
      </c>
      <c r="P3668">
        <v>15.97</v>
      </c>
      <c r="Q3668">
        <v>11.98</v>
      </c>
      <c r="R3668">
        <v>327</v>
      </c>
    </row>
    <row r="3669" spans="1:18" x14ac:dyDescent="0.25">
      <c r="A3669" t="s">
        <v>2915</v>
      </c>
      <c r="B3669" s="1">
        <v>44440</v>
      </c>
      <c r="C3669" t="s">
        <v>2916</v>
      </c>
      <c r="D3669" t="s">
        <v>78</v>
      </c>
      <c r="E3669" t="s">
        <v>24</v>
      </c>
      <c r="F3669" t="s">
        <v>354</v>
      </c>
      <c r="G3669">
        <v>10</v>
      </c>
      <c r="H3669" t="s">
        <v>194</v>
      </c>
      <c r="I3669" t="s">
        <v>700</v>
      </c>
      <c r="J3669" t="s">
        <v>1282</v>
      </c>
      <c r="K3669" t="s">
        <v>2917</v>
      </c>
    </row>
    <row r="3670" spans="1:18" x14ac:dyDescent="0.25">
      <c r="A3670" t="s">
        <v>2918</v>
      </c>
      <c r="B3670" s="1">
        <v>44440</v>
      </c>
      <c r="C3670" t="s">
        <v>2881</v>
      </c>
      <c r="D3670" t="s">
        <v>78</v>
      </c>
      <c r="E3670" t="s">
        <v>24</v>
      </c>
      <c r="F3670" t="s">
        <v>323</v>
      </c>
      <c r="G3670">
        <v>5</v>
      </c>
      <c r="H3670" t="s">
        <v>49</v>
      </c>
      <c r="I3670" t="s">
        <v>50</v>
      </c>
      <c r="J3670" t="s">
        <v>51</v>
      </c>
      <c r="K3670" t="s">
        <v>2791</v>
      </c>
      <c r="R3670">
        <v>12</v>
      </c>
    </row>
    <row r="3671" spans="1:18" x14ac:dyDescent="0.25">
      <c r="A3671" t="s">
        <v>2919</v>
      </c>
      <c r="B3671" s="1">
        <v>44440</v>
      </c>
      <c r="C3671" t="s">
        <v>1597</v>
      </c>
      <c r="D3671" t="s">
        <v>78</v>
      </c>
      <c r="E3671" t="s">
        <v>24</v>
      </c>
      <c r="F3671" t="s">
        <v>237</v>
      </c>
      <c r="G3671">
        <v>20</v>
      </c>
      <c r="H3671" t="s">
        <v>464</v>
      </c>
      <c r="I3671" t="s">
        <v>943</v>
      </c>
      <c r="J3671" t="s">
        <v>1347</v>
      </c>
      <c r="K3671" t="s">
        <v>2757</v>
      </c>
    </row>
    <row r="3672" spans="1:18" x14ac:dyDescent="0.25">
      <c r="A3672" t="s">
        <v>2974</v>
      </c>
      <c r="B3672" s="1">
        <v>44447</v>
      </c>
      <c r="C3672" t="s">
        <v>2975</v>
      </c>
      <c r="D3672" t="s">
        <v>78</v>
      </c>
      <c r="E3672" t="s">
        <v>24</v>
      </c>
      <c r="F3672" t="s">
        <v>243</v>
      </c>
      <c r="G3672">
        <v>45</v>
      </c>
      <c r="H3672" t="s">
        <v>188</v>
      </c>
      <c r="I3672" t="s">
        <v>254</v>
      </c>
      <c r="J3672" t="s">
        <v>1741</v>
      </c>
      <c r="K3672" t="s">
        <v>2976</v>
      </c>
      <c r="R3672">
        <v>142</v>
      </c>
    </row>
    <row r="3673" spans="1:18" x14ac:dyDescent="0.25">
      <c r="A3673" t="s">
        <v>2977</v>
      </c>
      <c r="B3673" s="1">
        <v>44447</v>
      </c>
      <c r="C3673" t="s">
        <v>2490</v>
      </c>
      <c r="D3673" t="s">
        <v>78</v>
      </c>
      <c r="E3673" t="s">
        <v>24</v>
      </c>
      <c r="F3673" t="s">
        <v>490</v>
      </c>
      <c r="G3673">
        <v>10</v>
      </c>
      <c r="H3673" t="s">
        <v>26</v>
      </c>
      <c r="I3673" t="s">
        <v>39</v>
      </c>
      <c r="J3673" t="s">
        <v>431</v>
      </c>
      <c r="K3673" t="s">
        <v>2978</v>
      </c>
      <c r="L3673">
        <v>58</v>
      </c>
      <c r="M3673">
        <v>96</v>
      </c>
      <c r="N3673" s="2">
        <v>0.38</v>
      </c>
      <c r="O3673">
        <v>79</v>
      </c>
      <c r="P3673">
        <v>15.75</v>
      </c>
      <c r="Q3673">
        <v>2.63</v>
      </c>
      <c r="R3673">
        <v>71</v>
      </c>
    </row>
    <row r="3674" spans="1:18" x14ac:dyDescent="0.25">
      <c r="A3674" t="s">
        <v>2979</v>
      </c>
      <c r="B3674" s="1">
        <v>44447</v>
      </c>
      <c r="C3674" t="s">
        <v>2980</v>
      </c>
      <c r="D3674" t="s">
        <v>78</v>
      </c>
      <c r="E3674" t="s">
        <v>24</v>
      </c>
      <c r="F3674" t="s">
        <v>323</v>
      </c>
      <c r="G3674">
        <v>60</v>
      </c>
      <c r="H3674" t="s">
        <v>26</v>
      </c>
      <c r="I3674" t="s">
        <v>370</v>
      </c>
      <c r="J3674" t="s">
        <v>498</v>
      </c>
      <c r="K3674" t="s">
        <v>2981</v>
      </c>
      <c r="L3674">
        <v>363</v>
      </c>
      <c r="M3674">
        <v>101</v>
      </c>
      <c r="N3674" s="2">
        <v>0.37</v>
      </c>
      <c r="O3674">
        <v>86</v>
      </c>
      <c r="P3674">
        <v>16.149999999999999</v>
      </c>
      <c r="Q3674">
        <v>16.16</v>
      </c>
      <c r="R3674">
        <v>447</v>
      </c>
    </row>
    <row r="3675" spans="1:18" x14ac:dyDescent="0.25">
      <c r="A3675" t="s">
        <v>2982</v>
      </c>
      <c r="B3675" s="1">
        <v>44447</v>
      </c>
      <c r="C3675" t="s">
        <v>2983</v>
      </c>
      <c r="D3675" t="s">
        <v>78</v>
      </c>
      <c r="E3675" t="s">
        <v>24</v>
      </c>
      <c r="F3675" t="s">
        <v>323</v>
      </c>
      <c r="G3675">
        <v>5</v>
      </c>
      <c r="H3675" t="s">
        <v>26</v>
      </c>
      <c r="I3675" t="s">
        <v>358</v>
      </c>
      <c r="J3675" t="s">
        <v>359</v>
      </c>
      <c r="K3675" t="s">
        <v>2791</v>
      </c>
      <c r="L3675">
        <v>17</v>
      </c>
      <c r="M3675">
        <v>58</v>
      </c>
      <c r="N3675" s="2">
        <v>0.28000000000000003</v>
      </c>
      <c r="O3675">
        <v>86</v>
      </c>
      <c r="P3675">
        <v>12.77</v>
      </c>
      <c r="Q3675">
        <v>1.06</v>
      </c>
      <c r="R3675">
        <v>21</v>
      </c>
    </row>
    <row r="3676" spans="1:18" x14ac:dyDescent="0.25">
      <c r="A3676" t="s">
        <v>2984</v>
      </c>
      <c r="B3676" s="1">
        <v>44447</v>
      </c>
      <c r="C3676" t="s">
        <v>2985</v>
      </c>
      <c r="D3676" t="s">
        <v>78</v>
      </c>
      <c r="E3676" t="s">
        <v>24</v>
      </c>
      <c r="F3676" t="s">
        <v>328</v>
      </c>
      <c r="G3676">
        <v>5</v>
      </c>
      <c r="H3676" t="s">
        <v>194</v>
      </c>
      <c r="I3676" t="s">
        <v>195</v>
      </c>
      <c r="J3676" t="s">
        <v>196</v>
      </c>
      <c r="K3676" t="s">
        <v>2986</v>
      </c>
      <c r="R3676">
        <v>23</v>
      </c>
    </row>
    <row r="3677" spans="1:18" x14ac:dyDescent="0.25">
      <c r="A3677" t="s">
        <v>2987</v>
      </c>
      <c r="B3677" s="1">
        <v>44447</v>
      </c>
      <c r="C3677" t="s">
        <v>2969</v>
      </c>
      <c r="D3677" t="s">
        <v>78</v>
      </c>
      <c r="E3677" t="s">
        <v>24</v>
      </c>
      <c r="F3677" t="s">
        <v>180</v>
      </c>
      <c r="G3677">
        <v>5</v>
      </c>
      <c r="H3677" t="s">
        <v>49</v>
      </c>
      <c r="I3677" t="s">
        <v>50</v>
      </c>
      <c r="J3677" t="s">
        <v>51</v>
      </c>
      <c r="K3677" t="s">
        <v>2988</v>
      </c>
      <c r="R3677">
        <v>11</v>
      </c>
    </row>
    <row r="3678" spans="1:18" x14ac:dyDescent="0.25">
      <c r="A3678" t="s">
        <v>2989</v>
      </c>
      <c r="B3678" s="1">
        <v>44447</v>
      </c>
      <c r="C3678" t="s">
        <v>2049</v>
      </c>
      <c r="D3678" t="s">
        <v>78</v>
      </c>
      <c r="E3678" t="s">
        <v>24</v>
      </c>
      <c r="F3678" t="s">
        <v>208</v>
      </c>
      <c r="G3678">
        <v>5</v>
      </c>
      <c r="H3678" t="s">
        <v>464</v>
      </c>
      <c r="I3678" t="s">
        <v>943</v>
      </c>
      <c r="J3678" t="s">
        <v>2990</v>
      </c>
      <c r="K3678" t="s">
        <v>2991</v>
      </c>
    </row>
    <row r="3679" spans="1:18" x14ac:dyDescent="0.25">
      <c r="A3679" t="s">
        <v>2992</v>
      </c>
      <c r="B3679" s="1">
        <v>44447</v>
      </c>
      <c r="C3679" t="s">
        <v>1398</v>
      </c>
      <c r="D3679" t="s">
        <v>78</v>
      </c>
      <c r="E3679" t="s">
        <v>24</v>
      </c>
      <c r="F3679" t="s">
        <v>215</v>
      </c>
      <c r="G3679">
        <v>5</v>
      </c>
      <c r="H3679" t="s">
        <v>464</v>
      </c>
      <c r="I3679" t="s">
        <v>943</v>
      </c>
      <c r="J3679" t="s">
        <v>2205</v>
      </c>
      <c r="K3679" t="s">
        <v>2993</v>
      </c>
    </row>
    <row r="3680" spans="1:18" x14ac:dyDescent="0.25">
      <c r="A3680" t="s">
        <v>3046</v>
      </c>
      <c r="B3680" s="1">
        <v>44454</v>
      </c>
      <c r="C3680" t="s">
        <v>3047</v>
      </c>
      <c r="D3680" t="s">
        <v>78</v>
      </c>
      <c r="E3680" t="s">
        <v>24</v>
      </c>
      <c r="F3680" t="s">
        <v>459</v>
      </c>
      <c r="G3680">
        <v>30</v>
      </c>
      <c r="H3680" t="s">
        <v>188</v>
      </c>
      <c r="I3680" t="s">
        <v>189</v>
      </c>
      <c r="J3680" t="s">
        <v>3048</v>
      </c>
      <c r="K3680" t="s">
        <v>3049</v>
      </c>
      <c r="R3680">
        <v>97</v>
      </c>
    </row>
    <row r="3681" spans="1:18" x14ac:dyDescent="0.25">
      <c r="A3681" t="s">
        <v>3050</v>
      </c>
      <c r="B3681" s="1">
        <v>44454</v>
      </c>
      <c r="C3681" t="s">
        <v>1712</v>
      </c>
      <c r="D3681" t="s">
        <v>78</v>
      </c>
      <c r="E3681" t="s">
        <v>24</v>
      </c>
      <c r="F3681" t="s">
        <v>323</v>
      </c>
      <c r="G3681">
        <v>30</v>
      </c>
      <c r="H3681" t="s">
        <v>26</v>
      </c>
      <c r="I3681" t="s">
        <v>370</v>
      </c>
      <c r="J3681" t="s">
        <v>396</v>
      </c>
      <c r="K3681" t="s">
        <v>3051</v>
      </c>
      <c r="L3681">
        <v>169</v>
      </c>
      <c r="M3681">
        <v>94</v>
      </c>
      <c r="N3681" s="2">
        <v>0.35</v>
      </c>
      <c r="O3681">
        <v>86</v>
      </c>
      <c r="P3681">
        <v>15.65</v>
      </c>
      <c r="Q3681">
        <v>7.83</v>
      </c>
      <c r="R3681">
        <v>209</v>
      </c>
    </row>
    <row r="3682" spans="1:18" x14ac:dyDescent="0.25">
      <c r="A3682" t="s">
        <v>3052</v>
      </c>
      <c r="B3682" s="1">
        <v>44454</v>
      </c>
      <c r="C3682" t="s">
        <v>3053</v>
      </c>
      <c r="D3682" t="s">
        <v>78</v>
      </c>
      <c r="E3682" t="s">
        <v>24</v>
      </c>
      <c r="F3682" t="s">
        <v>335</v>
      </c>
      <c r="G3682">
        <v>15</v>
      </c>
      <c r="H3682" t="s">
        <v>194</v>
      </c>
      <c r="I3682" t="s">
        <v>195</v>
      </c>
      <c r="J3682" t="s">
        <v>1217</v>
      </c>
      <c r="K3682" t="s">
        <v>3054</v>
      </c>
      <c r="R3682">
        <v>69</v>
      </c>
    </row>
    <row r="3683" spans="1:18" x14ac:dyDescent="0.25">
      <c r="A3683" t="s">
        <v>3055</v>
      </c>
      <c r="B3683" s="1">
        <v>44454</v>
      </c>
      <c r="C3683" t="s">
        <v>1868</v>
      </c>
      <c r="D3683" t="s">
        <v>78</v>
      </c>
      <c r="E3683" t="s">
        <v>24</v>
      </c>
      <c r="F3683" t="s">
        <v>335</v>
      </c>
      <c r="G3683">
        <v>10</v>
      </c>
      <c r="H3683" t="s">
        <v>49</v>
      </c>
      <c r="I3683" t="s">
        <v>226</v>
      </c>
      <c r="J3683" t="s">
        <v>3056</v>
      </c>
      <c r="K3683" t="s">
        <v>3057</v>
      </c>
      <c r="R3683">
        <v>23</v>
      </c>
    </row>
    <row r="3684" spans="1:18" x14ac:dyDescent="0.25">
      <c r="A3684" t="s">
        <v>3058</v>
      </c>
      <c r="B3684" s="1">
        <v>44454</v>
      </c>
      <c r="C3684" t="s">
        <v>2449</v>
      </c>
      <c r="D3684" t="s">
        <v>78</v>
      </c>
      <c r="E3684" t="s">
        <v>24</v>
      </c>
      <c r="F3684" t="s">
        <v>237</v>
      </c>
      <c r="G3684">
        <v>5</v>
      </c>
      <c r="H3684" t="s">
        <v>464</v>
      </c>
      <c r="I3684" t="s">
        <v>943</v>
      </c>
      <c r="J3684" t="s">
        <v>2205</v>
      </c>
      <c r="K3684" t="s">
        <v>3059</v>
      </c>
    </row>
    <row r="3685" spans="1:18" x14ac:dyDescent="0.25">
      <c r="A3685" t="s">
        <v>3103</v>
      </c>
      <c r="B3685" s="1">
        <v>44461</v>
      </c>
      <c r="C3685" t="s">
        <v>2052</v>
      </c>
      <c r="D3685" t="s">
        <v>78</v>
      </c>
      <c r="E3685" t="s">
        <v>24</v>
      </c>
      <c r="F3685" t="s">
        <v>305</v>
      </c>
      <c r="G3685">
        <v>30</v>
      </c>
      <c r="H3685" t="s">
        <v>194</v>
      </c>
      <c r="I3685" t="s">
        <v>232</v>
      </c>
      <c r="J3685" t="s">
        <v>233</v>
      </c>
      <c r="K3685" t="s">
        <v>3104</v>
      </c>
      <c r="R3685">
        <v>138</v>
      </c>
    </row>
    <row r="3686" spans="1:18" x14ac:dyDescent="0.25">
      <c r="A3686" t="s">
        <v>3105</v>
      </c>
      <c r="B3686" s="1">
        <v>44461</v>
      </c>
      <c r="C3686" t="s">
        <v>1655</v>
      </c>
      <c r="D3686" t="s">
        <v>78</v>
      </c>
      <c r="E3686" t="s">
        <v>24</v>
      </c>
      <c r="F3686" t="s">
        <v>895</v>
      </c>
      <c r="G3686">
        <v>10</v>
      </c>
      <c r="H3686" t="s">
        <v>194</v>
      </c>
      <c r="I3686" t="s">
        <v>195</v>
      </c>
      <c r="J3686" t="s">
        <v>211</v>
      </c>
      <c r="K3686" t="s">
        <v>3106</v>
      </c>
      <c r="R3686">
        <v>46</v>
      </c>
    </row>
    <row r="3687" spans="1:18" x14ac:dyDescent="0.25">
      <c r="A3687" t="s">
        <v>3107</v>
      </c>
      <c r="B3687" s="1">
        <v>44461</v>
      </c>
      <c r="C3687" t="s">
        <v>1406</v>
      </c>
      <c r="D3687" t="s">
        <v>78</v>
      </c>
      <c r="E3687" t="s">
        <v>24</v>
      </c>
      <c r="F3687" t="s">
        <v>215</v>
      </c>
      <c r="G3687">
        <v>10</v>
      </c>
      <c r="H3687" t="s">
        <v>188</v>
      </c>
      <c r="I3687" t="s">
        <v>189</v>
      </c>
      <c r="J3687" t="s">
        <v>564</v>
      </c>
      <c r="K3687" t="s">
        <v>3108</v>
      </c>
      <c r="R3687">
        <v>34</v>
      </c>
    </row>
    <row r="3688" spans="1:18" x14ac:dyDescent="0.25">
      <c r="A3688" t="s">
        <v>3109</v>
      </c>
      <c r="B3688" s="1">
        <v>44461</v>
      </c>
      <c r="C3688" t="s">
        <v>1476</v>
      </c>
      <c r="D3688" t="s">
        <v>78</v>
      </c>
      <c r="E3688" t="s">
        <v>24</v>
      </c>
      <c r="F3688" t="s">
        <v>237</v>
      </c>
      <c r="G3688">
        <v>15</v>
      </c>
      <c r="H3688" t="s">
        <v>464</v>
      </c>
      <c r="I3688" t="s">
        <v>943</v>
      </c>
      <c r="J3688" t="s">
        <v>1709</v>
      </c>
      <c r="K3688" t="s">
        <v>3110</v>
      </c>
    </row>
    <row r="3689" spans="1:18" x14ac:dyDescent="0.25">
      <c r="A3689" t="s">
        <v>3179</v>
      </c>
      <c r="B3689" s="1">
        <v>44468</v>
      </c>
      <c r="C3689" t="s">
        <v>1107</v>
      </c>
      <c r="D3689" t="s">
        <v>78</v>
      </c>
      <c r="E3689" t="s">
        <v>24</v>
      </c>
      <c r="F3689" t="s">
        <v>243</v>
      </c>
      <c r="G3689">
        <v>30</v>
      </c>
      <c r="H3689" t="s">
        <v>188</v>
      </c>
      <c r="I3689" t="s">
        <v>189</v>
      </c>
      <c r="J3689" t="s">
        <v>201</v>
      </c>
      <c r="K3689" t="s">
        <v>3180</v>
      </c>
      <c r="R3689">
        <v>95</v>
      </c>
    </row>
    <row r="3690" spans="1:18" x14ac:dyDescent="0.25">
      <c r="A3690" t="s">
        <v>3181</v>
      </c>
      <c r="B3690" s="1">
        <v>44468</v>
      </c>
      <c r="C3690" t="s">
        <v>1398</v>
      </c>
      <c r="D3690" t="s">
        <v>78</v>
      </c>
      <c r="E3690" t="s">
        <v>24</v>
      </c>
      <c r="F3690" t="s">
        <v>215</v>
      </c>
      <c r="G3690">
        <v>5</v>
      </c>
      <c r="H3690" t="s">
        <v>464</v>
      </c>
      <c r="I3690" t="s">
        <v>1249</v>
      </c>
      <c r="J3690" t="s">
        <v>3182</v>
      </c>
      <c r="K3690" t="s">
        <v>3178</v>
      </c>
    </row>
    <row r="3691" spans="1:18" x14ac:dyDescent="0.25">
      <c r="A3691" t="s">
        <v>3241</v>
      </c>
      <c r="B3691" s="1">
        <v>44475</v>
      </c>
      <c r="C3691" t="s">
        <v>3242</v>
      </c>
      <c r="D3691" t="s">
        <v>78</v>
      </c>
      <c r="E3691" t="s">
        <v>24</v>
      </c>
      <c r="F3691" t="s">
        <v>323</v>
      </c>
      <c r="G3691">
        <v>30</v>
      </c>
      <c r="H3691" t="s">
        <v>26</v>
      </c>
      <c r="I3691" t="s">
        <v>370</v>
      </c>
      <c r="J3691" t="s">
        <v>3243</v>
      </c>
      <c r="K3691" t="s">
        <v>3244</v>
      </c>
      <c r="L3691">
        <v>163</v>
      </c>
      <c r="M3691">
        <v>90</v>
      </c>
      <c r="N3691" s="2">
        <v>0.35</v>
      </c>
      <c r="O3691">
        <v>84</v>
      </c>
      <c r="P3691">
        <v>15.38</v>
      </c>
      <c r="Q3691">
        <v>7.69</v>
      </c>
      <c r="R3691">
        <v>200</v>
      </c>
    </row>
    <row r="3692" spans="1:18" x14ac:dyDescent="0.25">
      <c r="A3692" t="s">
        <v>3245</v>
      </c>
      <c r="B3692" s="1">
        <v>44475</v>
      </c>
      <c r="C3692" t="s">
        <v>1457</v>
      </c>
      <c r="D3692" t="s">
        <v>78</v>
      </c>
      <c r="E3692" t="s">
        <v>24</v>
      </c>
      <c r="F3692" t="s">
        <v>335</v>
      </c>
      <c r="G3692">
        <v>20</v>
      </c>
      <c r="H3692" t="s">
        <v>194</v>
      </c>
      <c r="I3692" t="s">
        <v>631</v>
      </c>
      <c r="J3692" t="s">
        <v>2145</v>
      </c>
      <c r="K3692" t="s">
        <v>3246</v>
      </c>
      <c r="R3692">
        <v>92</v>
      </c>
    </row>
    <row r="3693" spans="1:18" x14ac:dyDescent="0.25">
      <c r="A3693" t="s">
        <v>3247</v>
      </c>
      <c r="B3693" s="1">
        <v>44475</v>
      </c>
      <c r="C3693" t="s">
        <v>2969</v>
      </c>
      <c r="D3693" t="s">
        <v>78</v>
      </c>
      <c r="E3693" t="s">
        <v>24</v>
      </c>
      <c r="F3693" t="s">
        <v>328</v>
      </c>
      <c r="G3693">
        <v>10</v>
      </c>
      <c r="H3693" t="s">
        <v>194</v>
      </c>
      <c r="I3693" t="s">
        <v>195</v>
      </c>
      <c r="J3693" t="s">
        <v>211</v>
      </c>
      <c r="K3693" t="s">
        <v>3248</v>
      </c>
      <c r="R3693">
        <v>46</v>
      </c>
    </row>
    <row r="3694" spans="1:18" x14ac:dyDescent="0.25">
      <c r="A3694" t="s">
        <v>3249</v>
      </c>
      <c r="B3694" s="1">
        <v>44475</v>
      </c>
      <c r="C3694" t="s">
        <v>1350</v>
      </c>
      <c r="D3694" t="s">
        <v>78</v>
      </c>
      <c r="E3694" t="s">
        <v>24</v>
      </c>
      <c r="F3694" t="s">
        <v>3250</v>
      </c>
      <c r="G3694">
        <v>5</v>
      </c>
      <c r="H3694" t="s">
        <v>49</v>
      </c>
      <c r="I3694" t="s">
        <v>50</v>
      </c>
      <c r="J3694" t="s">
        <v>51</v>
      </c>
      <c r="K3694" t="s">
        <v>3251</v>
      </c>
      <c r="R3694">
        <v>11</v>
      </c>
    </row>
    <row r="3695" spans="1:18" x14ac:dyDescent="0.25">
      <c r="A3695" t="s">
        <v>3252</v>
      </c>
      <c r="B3695" s="1">
        <v>44475</v>
      </c>
      <c r="C3695" t="s">
        <v>1801</v>
      </c>
      <c r="D3695" t="s">
        <v>78</v>
      </c>
      <c r="E3695" t="s">
        <v>24</v>
      </c>
      <c r="F3695" t="s">
        <v>215</v>
      </c>
      <c r="G3695">
        <v>10</v>
      </c>
      <c r="H3695" t="s">
        <v>464</v>
      </c>
      <c r="I3695" t="s">
        <v>943</v>
      </c>
      <c r="J3695" t="s">
        <v>944</v>
      </c>
      <c r="K3695" t="s">
        <v>3253</v>
      </c>
    </row>
    <row r="3696" spans="1:18" x14ac:dyDescent="0.25">
      <c r="A3696" t="s">
        <v>3321</v>
      </c>
      <c r="B3696" s="1">
        <v>44482</v>
      </c>
      <c r="C3696" t="s">
        <v>3322</v>
      </c>
      <c r="D3696" t="s">
        <v>78</v>
      </c>
      <c r="E3696" t="s">
        <v>24</v>
      </c>
      <c r="F3696" t="s">
        <v>243</v>
      </c>
      <c r="G3696">
        <v>60</v>
      </c>
      <c r="H3696" t="s">
        <v>188</v>
      </c>
      <c r="I3696" t="s">
        <v>189</v>
      </c>
      <c r="J3696" t="s">
        <v>216</v>
      </c>
      <c r="K3696" t="s">
        <v>3323</v>
      </c>
      <c r="R3696">
        <v>196</v>
      </c>
    </row>
    <row r="3697" spans="1:18" x14ac:dyDescent="0.25">
      <c r="A3697" t="s">
        <v>3324</v>
      </c>
      <c r="B3697" s="1">
        <v>44482</v>
      </c>
      <c r="C3697" t="s">
        <v>1801</v>
      </c>
      <c r="D3697" t="s">
        <v>78</v>
      </c>
      <c r="E3697" t="s">
        <v>24</v>
      </c>
      <c r="F3697" t="s">
        <v>200</v>
      </c>
      <c r="G3697">
        <v>10</v>
      </c>
      <c r="H3697" t="s">
        <v>464</v>
      </c>
      <c r="I3697" t="s">
        <v>763</v>
      </c>
      <c r="J3697" t="s">
        <v>914</v>
      </c>
      <c r="K3697" t="s">
        <v>3325</v>
      </c>
    </row>
    <row r="3698" spans="1:18" x14ac:dyDescent="0.25">
      <c r="A3698" t="s">
        <v>3384</v>
      </c>
      <c r="B3698" s="1">
        <v>44489</v>
      </c>
      <c r="C3698" t="s">
        <v>3190</v>
      </c>
      <c r="D3698" t="s">
        <v>78</v>
      </c>
      <c r="E3698" t="s">
        <v>24</v>
      </c>
      <c r="F3698" t="s">
        <v>323</v>
      </c>
      <c r="G3698">
        <v>60</v>
      </c>
      <c r="H3698" t="s">
        <v>26</v>
      </c>
      <c r="I3698" t="s">
        <v>370</v>
      </c>
      <c r="J3698" t="s">
        <v>498</v>
      </c>
      <c r="K3698" t="s">
        <v>3385</v>
      </c>
      <c r="L3698">
        <v>324</v>
      </c>
      <c r="M3698">
        <v>90</v>
      </c>
      <c r="N3698" s="2">
        <v>0.36</v>
      </c>
      <c r="O3698">
        <v>84</v>
      </c>
      <c r="P3698">
        <v>15.47</v>
      </c>
      <c r="Q3698">
        <v>15.48</v>
      </c>
      <c r="R3698">
        <v>400</v>
      </c>
    </row>
    <row r="3699" spans="1:18" x14ac:dyDescent="0.25">
      <c r="A3699" t="s">
        <v>3386</v>
      </c>
      <c r="B3699" s="1">
        <v>44489</v>
      </c>
      <c r="C3699" t="s">
        <v>3296</v>
      </c>
      <c r="D3699" t="s">
        <v>78</v>
      </c>
      <c r="E3699" t="s">
        <v>24</v>
      </c>
      <c r="F3699" t="s">
        <v>335</v>
      </c>
      <c r="G3699">
        <v>10</v>
      </c>
      <c r="H3699" t="s">
        <v>194</v>
      </c>
      <c r="I3699" t="s">
        <v>195</v>
      </c>
      <c r="J3699" t="s">
        <v>211</v>
      </c>
      <c r="K3699" t="s">
        <v>3387</v>
      </c>
      <c r="R3699">
        <v>46</v>
      </c>
    </row>
    <row r="3700" spans="1:18" x14ac:dyDescent="0.25">
      <c r="A3700" t="s">
        <v>3388</v>
      </c>
      <c r="B3700" s="1">
        <v>44489</v>
      </c>
      <c r="C3700" t="s">
        <v>1838</v>
      </c>
      <c r="D3700" t="s">
        <v>78</v>
      </c>
      <c r="E3700" t="s">
        <v>24</v>
      </c>
      <c r="F3700" t="s">
        <v>180</v>
      </c>
      <c r="G3700">
        <v>5</v>
      </c>
      <c r="H3700" t="s">
        <v>49</v>
      </c>
      <c r="I3700" t="s">
        <v>50</v>
      </c>
      <c r="J3700" t="s">
        <v>51</v>
      </c>
      <c r="K3700" t="s">
        <v>2988</v>
      </c>
      <c r="R3700">
        <v>11</v>
      </c>
    </row>
    <row r="3701" spans="1:18" x14ac:dyDescent="0.25">
      <c r="A3701" t="s">
        <v>3389</v>
      </c>
      <c r="B3701" s="1">
        <v>44489</v>
      </c>
      <c r="C3701" t="s">
        <v>3390</v>
      </c>
      <c r="D3701" t="s">
        <v>78</v>
      </c>
      <c r="E3701" t="s">
        <v>24</v>
      </c>
      <c r="F3701" t="s">
        <v>459</v>
      </c>
      <c r="G3701">
        <v>10</v>
      </c>
      <c r="H3701" t="s">
        <v>464</v>
      </c>
      <c r="I3701" t="s">
        <v>103</v>
      </c>
      <c r="J3701" t="s">
        <v>465</v>
      </c>
      <c r="K3701" t="s">
        <v>3391</v>
      </c>
    </row>
    <row r="3702" spans="1:18" x14ac:dyDescent="0.25">
      <c r="A3702" t="s">
        <v>3429</v>
      </c>
      <c r="B3702" s="1">
        <v>44496</v>
      </c>
      <c r="C3702" t="s">
        <v>1986</v>
      </c>
      <c r="D3702" t="s">
        <v>78</v>
      </c>
      <c r="E3702" t="s">
        <v>24</v>
      </c>
      <c r="F3702" t="s">
        <v>243</v>
      </c>
      <c r="G3702">
        <v>30</v>
      </c>
      <c r="H3702" t="s">
        <v>188</v>
      </c>
      <c r="I3702" t="s">
        <v>254</v>
      </c>
      <c r="J3702" t="s">
        <v>255</v>
      </c>
      <c r="K3702" t="s">
        <v>3430</v>
      </c>
      <c r="R3702">
        <v>98</v>
      </c>
    </row>
    <row r="3703" spans="1:18" x14ac:dyDescent="0.25">
      <c r="A3703" t="s">
        <v>3431</v>
      </c>
      <c r="B3703" s="1">
        <v>44496</v>
      </c>
      <c r="C3703" t="s">
        <v>1597</v>
      </c>
      <c r="D3703" t="s">
        <v>78</v>
      </c>
      <c r="E3703" t="s">
        <v>24</v>
      </c>
      <c r="F3703" t="s">
        <v>200</v>
      </c>
      <c r="G3703">
        <v>20</v>
      </c>
      <c r="H3703" t="s">
        <v>464</v>
      </c>
      <c r="I3703" t="s">
        <v>579</v>
      </c>
      <c r="J3703" t="s">
        <v>1576</v>
      </c>
      <c r="K3703" t="s">
        <v>3432</v>
      </c>
    </row>
    <row r="3704" spans="1:18" x14ac:dyDescent="0.25">
      <c r="A3704" t="s">
        <v>3475</v>
      </c>
      <c r="B3704" s="1">
        <v>44503</v>
      </c>
      <c r="C3704" t="s">
        <v>828</v>
      </c>
      <c r="D3704" t="s">
        <v>78</v>
      </c>
      <c r="E3704" t="s">
        <v>24</v>
      </c>
      <c r="F3704" t="s">
        <v>215</v>
      </c>
      <c r="G3704">
        <v>20</v>
      </c>
      <c r="H3704" t="s">
        <v>188</v>
      </c>
      <c r="I3704" t="s">
        <v>1088</v>
      </c>
      <c r="J3704" t="s">
        <v>1089</v>
      </c>
      <c r="K3704" t="s">
        <v>3476</v>
      </c>
      <c r="R3704">
        <v>36</v>
      </c>
    </row>
    <row r="3705" spans="1:18" x14ac:dyDescent="0.25">
      <c r="A3705" t="s">
        <v>3477</v>
      </c>
      <c r="B3705" s="1">
        <v>44503</v>
      </c>
      <c r="C3705" t="s">
        <v>3478</v>
      </c>
      <c r="D3705" t="s">
        <v>78</v>
      </c>
      <c r="E3705" t="s">
        <v>24</v>
      </c>
      <c r="F3705" t="s">
        <v>215</v>
      </c>
      <c r="G3705">
        <v>15</v>
      </c>
      <c r="H3705" t="s">
        <v>464</v>
      </c>
      <c r="I3705" t="s">
        <v>943</v>
      </c>
      <c r="J3705" t="s">
        <v>1709</v>
      </c>
      <c r="K3705" t="s">
        <v>3479</v>
      </c>
    </row>
    <row r="3706" spans="1:18" x14ac:dyDescent="0.25">
      <c r="A3706" t="s">
        <v>3545</v>
      </c>
      <c r="B3706" s="1">
        <v>44510</v>
      </c>
      <c r="C3706" t="s">
        <v>374</v>
      </c>
      <c r="D3706" t="s">
        <v>78</v>
      </c>
      <c r="E3706" t="s">
        <v>24</v>
      </c>
      <c r="F3706" t="s">
        <v>200</v>
      </c>
      <c r="G3706">
        <v>45</v>
      </c>
      <c r="H3706" t="s">
        <v>188</v>
      </c>
      <c r="I3706" t="s">
        <v>189</v>
      </c>
      <c r="J3706" t="s">
        <v>244</v>
      </c>
      <c r="K3706" t="s">
        <v>3546</v>
      </c>
      <c r="R3706">
        <v>147</v>
      </c>
    </row>
    <row r="3707" spans="1:18" x14ac:dyDescent="0.25">
      <c r="A3707" t="s">
        <v>3547</v>
      </c>
      <c r="B3707" s="1">
        <v>44510</v>
      </c>
      <c r="C3707" t="s">
        <v>3548</v>
      </c>
      <c r="D3707" t="s">
        <v>78</v>
      </c>
      <c r="E3707" t="s">
        <v>24</v>
      </c>
      <c r="F3707" t="s">
        <v>243</v>
      </c>
      <c r="G3707">
        <v>20</v>
      </c>
      <c r="H3707" t="s">
        <v>26</v>
      </c>
      <c r="I3707" t="s">
        <v>39</v>
      </c>
      <c r="J3707" t="s">
        <v>870</v>
      </c>
      <c r="K3707" t="s">
        <v>3549</v>
      </c>
      <c r="L3707">
        <v>104</v>
      </c>
      <c r="M3707">
        <v>87</v>
      </c>
      <c r="N3707" s="2">
        <v>0.36</v>
      </c>
      <c r="O3707">
        <v>82</v>
      </c>
      <c r="P3707">
        <v>15.14</v>
      </c>
      <c r="Q3707">
        <v>5.05</v>
      </c>
      <c r="R3707">
        <v>128</v>
      </c>
    </row>
    <row r="3708" spans="1:18" x14ac:dyDescent="0.25">
      <c r="A3708" t="s">
        <v>3550</v>
      </c>
      <c r="B3708" s="1">
        <v>44510</v>
      </c>
      <c r="C3708" t="s">
        <v>3551</v>
      </c>
      <c r="D3708" t="s">
        <v>78</v>
      </c>
      <c r="E3708" t="s">
        <v>24</v>
      </c>
      <c r="F3708" t="s">
        <v>243</v>
      </c>
      <c r="G3708">
        <v>30</v>
      </c>
      <c r="H3708" t="s">
        <v>26</v>
      </c>
      <c r="I3708" t="s">
        <v>370</v>
      </c>
      <c r="J3708" t="s">
        <v>396</v>
      </c>
      <c r="K3708" t="s">
        <v>3552</v>
      </c>
      <c r="L3708">
        <v>172</v>
      </c>
      <c r="M3708">
        <v>96</v>
      </c>
      <c r="N3708" s="2">
        <v>0.36</v>
      </c>
      <c r="O3708">
        <v>85</v>
      </c>
      <c r="P3708">
        <v>15.73</v>
      </c>
      <c r="Q3708">
        <v>7.87</v>
      </c>
      <c r="R3708">
        <v>212</v>
      </c>
    </row>
    <row r="3709" spans="1:18" x14ac:dyDescent="0.25">
      <c r="A3709" t="s">
        <v>3553</v>
      </c>
      <c r="B3709" s="1">
        <v>44510</v>
      </c>
      <c r="C3709" t="s">
        <v>3554</v>
      </c>
      <c r="D3709" t="s">
        <v>78</v>
      </c>
      <c r="E3709" t="s">
        <v>24</v>
      </c>
      <c r="F3709" t="s">
        <v>660</v>
      </c>
      <c r="G3709">
        <v>10</v>
      </c>
      <c r="H3709" t="s">
        <v>194</v>
      </c>
      <c r="I3709" t="s">
        <v>700</v>
      </c>
      <c r="J3709" t="s">
        <v>1282</v>
      </c>
      <c r="K3709" t="s">
        <v>3555</v>
      </c>
      <c r="R3709">
        <v>46</v>
      </c>
    </row>
    <row r="3710" spans="1:18" x14ac:dyDescent="0.25">
      <c r="A3710" t="s">
        <v>3556</v>
      </c>
      <c r="B3710" s="1">
        <v>44510</v>
      </c>
      <c r="C3710" t="s">
        <v>3557</v>
      </c>
      <c r="D3710" t="s">
        <v>78</v>
      </c>
      <c r="E3710" t="s">
        <v>24</v>
      </c>
      <c r="F3710" t="s">
        <v>180</v>
      </c>
      <c r="G3710">
        <v>10</v>
      </c>
      <c r="H3710" t="s">
        <v>194</v>
      </c>
      <c r="I3710" t="s">
        <v>195</v>
      </c>
      <c r="J3710" t="s">
        <v>211</v>
      </c>
      <c r="K3710" t="s">
        <v>3558</v>
      </c>
      <c r="R3710">
        <v>46</v>
      </c>
    </row>
    <row r="3711" spans="1:18" x14ac:dyDescent="0.25">
      <c r="A3711" t="s">
        <v>3559</v>
      </c>
      <c r="B3711" s="1">
        <v>44510</v>
      </c>
      <c r="C3711" t="s">
        <v>1491</v>
      </c>
      <c r="D3711" t="s">
        <v>78</v>
      </c>
      <c r="E3711" t="s">
        <v>24</v>
      </c>
      <c r="F3711" t="s">
        <v>215</v>
      </c>
      <c r="G3711">
        <v>15</v>
      </c>
      <c r="H3711" t="s">
        <v>464</v>
      </c>
      <c r="I3711" t="s">
        <v>943</v>
      </c>
      <c r="J3711" t="s">
        <v>1709</v>
      </c>
      <c r="K3711" t="s">
        <v>3544</v>
      </c>
    </row>
    <row r="3712" spans="1:18" x14ac:dyDescent="0.25">
      <c r="A3712" t="s">
        <v>3641</v>
      </c>
      <c r="B3712" s="1">
        <v>44517</v>
      </c>
      <c r="C3712" t="s">
        <v>585</v>
      </c>
      <c r="D3712" t="s">
        <v>78</v>
      </c>
      <c r="E3712" t="s">
        <v>24</v>
      </c>
      <c r="F3712" t="s">
        <v>243</v>
      </c>
      <c r="G3712">
        <v>30</v>
      </c>
      <c r="H3712" t="s">
        <v>188</v>
      </c>
      <c r="I3712" t="s">
        <v>254</v>
      </c>
      <c r="J3712" t="s">
        <v>255</v>
      </c>
      <c r="K3712" t="s">
        <v>3642</v>
      </c>
      <c r="R3712">
        <v>98</v>
      </c>
    </row>
    <row r="3713" spans="1:19" x14ac:dyDescent="0.25">
      <c r="A3713" t="s">
        <v>3643</v>
      </c>
      <c r="B3713" s="1">
        <v>44517</v>
      </c>
      <c r="C3713" t="s">
        <v>3644</v>
      </c>
      <c r="D3713" t="s">
        <v>78</v>
      </c>
      <c r="E3713" t="s">
        <v>24</v>
      </c>
      <c r="F3713" t="s">
        <v>243</v>
      </c>
      <c r="G3713">
        <v>30</v>
      </c>
      <c r="H3713" t="s">
        <v>26</v>
      </c>
      <c r="I3713" t="s">
        <v>370</v>
      </c>
      <c r="J3713" t="s">
        <v>396</v>
      </c>
      <c r="K3713" t="s">
        <v>3645</v>
      </c>
      <c r="L3713">
        <v>170</v>
      </c>
      <c r="M3713">
        <v>94</v>
      </c>
      <c r="N3713" s="2">
        <v>0.37</v>
      </c>
      <c r="O3713">
        <v>82</v>
      </c>
      <c r="P3713">
        <v>15.69</v>
      </c>
      <c r="Q3713">
        <v>7.84</v>
      </c>
      <c r="R3713">
        <v>210</v>
      </c>
    </row>
    <row r="3714" spans="1:19" x14ac:dyDescent="0.25">
      <c r="A3714" t="s">
        <v>3646</v>
      </c>
      <c r="B3714" s="1">
        <v>44517</v>
      </c>
      <c r="C3714" t="s">
        <v>3647</v>
      </c>
      <c r="D3714" t="s">
        <v>78</v>
      </c>
      <c r="E3714" t="s">
        <v>24</v>
      </c>
      <c r="F3714" t="s">
        <v>243</v>
      </c>
      <c r="G3714">
        <v>5</v>
      </c>
      <c r="H3714" t="s">
        <v>26</v>
      </c>
      <c r="I3714" t="s">
        <v>358</v>
      </c>
      <c r="J3714" t="s">
        <v>359</v>
      </c>
      <c r="K3714" t="s">
        <v>3648</v>
      </c>
      <c r="L3714">
        <v>17</v>
      </c>
      <c r="M3714">
        <v>58</v>
      </c>
      <c r="N3714" s="2">
        <v>0.28999999999999998</v>
      </c>
      <c r="O3714">
        <v>83</v>
      </c>
      <c r="P3714">
        <v>12.77</v>
      </c>
      <c r="Q3714">
        <v>1.07</v>
      </c>
      <c r="R3714">
        <v>22</v>
      </c>
    </row>
    <row r="3715" spans="1:19" x14ac:dyDescent="0.25">
      <c r="A3715" t="s">
        <v>3649</v>
      </c>
      <c r="B3715" s="1">
        <v>44517</v>
      </c>
      <c r="C3715" t="s">
        <v>3650</v>
      </c>
      <c r="D3715" t="s">
        <v>78</v>
      </c>
      <c r="E3715" t="s">
        <v>24</v>
      </c>
      <c r="F3715" t="s">
        <v>354</v>
      </c>
      <c r="G3715">
        <v>10</v>
      </c>
      <c r="H3715" t="s">
        <v>194</v>
      </c>
      <c r="I3715" t="s">
        <v>700</v>
      </c>
      <c r="J3715" t="s">
        <v>1282</v>
      </c>
      <c r="K3715" t="s">
        <v>3651</v>
      </c>
      <c r="R3715">
        <v>46</v>
      </c>
    </row>
    <row r="3716" spans="1:19" x14ac:dyDescent="0.25">
      <c r="A3716" t="s">
        <v>3652</v>
      </c>
      <c r="B3716" s="1">
        <v>44517</v>
      </c>
      <c r="C3716" t="s">
        <v>3653</v>
      </c>
      <c r="D3716" t="s">
        <v>78</v>
      </c>
      <c r="E3716" t="s">
        <v>24</v>
      </c>
      <c r="F3716" t="s">
        <v>180</v>
      </c>
      <c r="G3716">
        <v>5</v>
      </c>
      <c r="H3716" t="s">
        <v>194</v>
      </c>
      <c r="I3716" t="s">
        <v>195</v>
      </c>
      <c r="J3716" t="s">
        <v>196</v>
      </c>
      <c r="K3716" t="s">
        <v>3654</v>
      </c>
      <c r="R3716">
        <v>23</v>
      </c>
    </row>
    <row r="3717" spans="1:19" x14ac:dyDescent="0.25">
      <c r="A3717" t="s">
        <v>3655</v>
      </c>
      <c r="B3717" s="1">
        <v>44517</v>
      </c>
      <c r="C3717" t="s">
        <v>2059</v>
      </c>
      <c r="D3717" t="s">
        <v>78</v>
      </c>
      <c r="E3717" t="s">
        <v>24</v>
      </c>
      <c r="F3717" t="s">
        <v>208</v>
      </c>
      <c r="G3717">
        <v>10</v>
      </c>
      <c r="H3717" t="s">
        <v>464</v>
      </c>
      <c r="I3717" t="s">
        <v>1571</v>
      </c>
      <c r="J3717" t="s">
        <v>2704</v>
      </c>
      <c r="K3717" t="s">
        <v>3656</v>
      </c>
    </row>
    <row r="3718" spans="1:19" x14ac:dyDescent="0.25">
      <c r="A3718" t="s">
        <v>3745</v>
      </c>
      <c r="B3718" s="1">
        <v>44524</v>
      </c>
      <c r="C3718" t="s">
        <v>3746</v>
      </c>
      <c r="D3718" t="s">
        <v>78</v>
      </c>
      <c r="E3718" t="s">
        <v>24</v>
      </c>
      <c r="F3718" t="s">
        <v>243</v>
      </c>
      <c r="G3718">
        <v>30</v>
      </c>
      <c r="H3718" t="s">
        <v>188</v>
      </c>
      <c r="I3718" t="s">
        <v>189</v>
      </c>
      <c r="J3718" t="s">
        <v>3747</v>
      </c>
      <c r="K3718" t="s">
        <v>3748</v>
      </c>
      <c r="R3718">
        <v>98</v>
      </c>
    </row>
    <row r="3719" spans="1:19" x14ac:dyDescent="0.25">
      <c r="A3719" t="s">
        <v>3749</v>
      </c>
      <c r="B3719" s="1">
        <v>44524</v>
      </c>
      <c r="C3719" t="s">
        <v>3750</v>
      </c>
      <c r="D3719" t="s">
        <v>78</v>
      </c>
      <c r="E3719" t="s">
        <v>24</v>
      </c>
      <c r="F3719" t="s">
        <v>231</v>
      </c>
      <c r="G3719">
        <v>30</v>
      </c>
      <c r="H3719" t="s">
        <v>1856</v>
      </c>
      <c r="I3719" t="s">
        <v>1857</v>
      </c>
      <c r="J3719" t="s">
        <v>3751</v>
      </c>
      <c r="K3719" t="s">
        <v>3752</v>
      </c>
      <c r="L3719">
        <v>0</v>
      </c>
      <c r="P3719">
        <v>3.64</v>
      </c>
      <c r="Q3719">
        <v>1.82</v>
      </c>
      <c r="R3719">
        <v>199</v>
      </c>
      <c r="S3719">
        <v>128.33000000000001</v>
      </c>
    </row>
    <row r="3720" spans="1:19" x14ac:dyDescent="0.25">
      <c r="A3720" t="s">
        <v>3753</v>
      </c>
      <c r="B3720" s="1">
        <v>44524</v>
      </c>
      <c r="C3720" t="s">
        <v>3754</v>
      </c>
      <c r="D3720" t="s">
        <v>78</v>
      </c>
      <c r="E3720" t="s">
        <v>24</v>
      </c>
      <c r="F3720" t="s">
        <v>328</v>
      </c>
      <c r="G3720">
        <v>5</v>
      </c>
      <c r="H3720" t="s">
        <v>26</v>
      </c>
      <c r="I3720" t="s">
        <v>423</v>
      </c>
      <c r="J3720" t="s">
        <v>505</v>
      </c>
      <c r="K3720" t="s">
        <v>3755</v>
      </c>
      <c r="L3720">
        <v>20</v>
      </c>
      <c r="M3720">
        <v>66</v>
      </c>
      <c r="N3720" s="2">
        <v>0.31</v>
      </c>
      <c r="O3720">
        <v>85</v>
      </c>
      <c r="P3720">
        <v>13.47</v>
      </c>
      <c r="Q3720">
        <v>1.1200000000000001</v>
      </c>
      <c r="R3720">
        <v>24</v>
      </c>
    </row>
    <row r="3721" spans="1:19" x14ac:dyDescent="0.25">
      <c r="A3721" t="s">
        <v>3756</v>
      </c>
      <c r="B3721" s="1">
        <v>44524</v>
      </c>
      <c r="C3721" t="s">
        <v>3757</v>
      </c>
      <c r="D3721" t="s">
        <v>78</v>
      </c>
      <c r="E3721" t="s">
        <v>24</v>
      </c>
      <c r="F3721" t="s">
        <v>323</v>
      </c>
      <c r="G3721">
        <v>45</v>
      </c>
      <c r="H3721" t="s">
        <v>26</v>
      </c>
      <c r="I3721" t="s">
        <v>370</v>
      </c>
      <c r="J3721" t="s">
        <v>439</v>
      </c>
      <c r="K3721" t="s">
        <v>1306</v>
      </c>
      <c r="L3721">
        <v>270</v>
      </c>
      <c r="M3721">
        <v>100</v>
      </c>
      <c r="N3721" s="2">
        <v>0.37</v>
      </c>
      <c r="O3721">
        <v>85</v>
      </c>
      <c r="P3721">
        <v>16.12</v>
      </c>
      <c r="Q3721">
        <v>12.1</v>
      </c>
      <c r="R3721">
        <v>333</v>
      </c>
    </row>
    <row r="3722" spans="1:19" x14ac:dyDescent="0.25">
      <c r="A3722" t="s">
        <v>3758</v>
      </c>
      <c r="B3722" s="1">
        <v>44524</v>
      </c>
      <c r="C3722" t="s">
        <v>3759</v>
      </c>
      <c r="D3722" t="s">
        <v>78</v>
      </c>
      <c r="E3722" t="s">
        <v>24</v>
      </c>
      <c r="F3722" t="s">
        <v>180</v>
      </c>
      <c r="G3722">
        <v>10</v>
      </c>
      <c r="H3722" t="s">
        <v>194</v>
      </c>
      <c r="I3722" t="s">
        <v>195</v>
      </c>
      <c r="J3722" t="s">
        <v>211</v>
      </c>
      <c r="K3722" t="s">
        <v>3694</v>
      </c>
      <c r="R3722">
        <v>46</v>
      </c>
    </row>
    <row r="3723" spans="1:19" x14ac:dyDescent="0.25">
      <c r="A3723" t="s">
        <v>3760</v>
      </c>
      <c r="B3723" s="1">
        <v>44524</v>
      </c>
      <c r="C3723" t="s">
        <v>3761</v>
      </c>
      <c r="D3723" t="s">
        <v>78</v>
      </c>
      <c r="E3723" t="s">
        <v>24</v>
      </c>
      <c r="F3723" t="s">
        <v>335</v>
      </c>
      <c r="G3723">
        <v>10</v>
      </c>
      <c r="H3723" t="s">
        <v>49</v>
      </c>
      <c r="I3723" t="s">
        <v>226</v>
      </c>
      <c r="J3723" t="s">
        <v>293</v>
      </c>
      <c r="K3723" t="s">
        <v>3762</v>
      </c>
      <c r="R3723">
        <v>23</v>
      </c>
    </row>
    <row r="3724" spans="1:19" x14ac:dyDescent="0.25">
      <c r="A3724" t="s">
        <v>3763</v>
      </c>
      <c r="B3724" s="1">
        <v>44524</v>
      </c>
      <c r="C3724" t="s">
        <v>1658</v>
      </c>
      <c r="D3724" t="s">
        <v>78</v>
      </c>
      <c r="E3724" t="s">
        <v>24</v>
      </c>
      <c r="F3724" t="s">
        <v>459</v>
      </c>
      <c r="G3724">
        <v>15</v>
      </c>
      <c r="H3724" t="s">
        <v>464</v>
      </c>
      <c r="I3724" t="s">
        <v>763</v>
      </c>
      <c r="J3724" t="s">
        <v>2229</v>
      </c>
      <c r="K3724" t="s">
        <v>3764</v>
      </c>
    </row>
    <row r="3725" spans="1:19" x14ac:dyDescent="0.25">
      <c r="A3725" t="s">
        <v>3810</v>
      </c>
      <c r="B3725" s="1">
        <v>44531</v>
      </c>
      <c r="C3725" t="s">
        <v>585</v>
      </c>
      <c r="D3725" t="s">
        <v>78</v>
      </c>
      <c r="E3725" t="s">
        <v>24</v>
      </c>
      <c r="F3725" t="s">
        <v>237</v>
      </c>
      <c r="G3725">
        <v>20</v>
      </c>
      <c r="H3725" t="s">
        <v>188</v>
      </c>
      <c r="I3725" t="s">
        <v>238</v>
      </c>
      <c r="J3725" t="s">
        <v>796</v>
      </c>
      <c r="K3725" t="s">
        <v>3744</v>
      </c>
      <c r="R3725">
        <v>63</v>
      </c>
    </row>
    <row r="3726" spans="1:19" x14ac:dyDescent="0.25">
      <c r="A3726" t="s">
        <v>3811</v>
      </c>
      <c r="B3726" s="1">
        <v>44531</v>
      </c>
      <c r="C3726" t="s">
        <v>222</v>
      </c>
      <c r="D3726" t="s">
        <v>78</v>
      </c>
      <c r="E3726" t="s">
        <v>24</v>
      </c>
      <c r="F3726" t="s">
        <v>231</v>
      </c>
      <c r="G3726">
        <v>30</v>
      </c>
      <c r="H3726" t="s">
        <v>1856</v>
      </c>
      <c r="I3726" t="s">
        <v>1857</v>
      </c>
      <c r="J3726" t="s">
        <v>3812</v>
      </c>
      <c r="K3726" t="s">
        <v>3813</v>
      </c>
      <c r="L3726">
        <v>0</v>
      </c>
      <c r="P3726">
        <v>3.89</v>
      </c>
      <c r="Q3726">
        <v>1.92</v>
      </c>
      <c r="R3726">
        <v>186</v>
      </c>
      <c r="S3726">
        <v>130.11000000000001</v>
      </c>
    </row>
    <row r="3727" spans="1:19" x14ac:dyDescent="0.25">
      <c r="A3727" t="s">
        <v>3814</v>
      </c>
      <c r="B3727" s="1">
        <v>44531</v>
      </c>
      <c r="C3727" t="s">
        <v>3733</v>
      </c>
      <c r="D3727" t="s">
        <v>78</v>
      </c>
      <c r="E3727" t="s">
        <v>24</v>
      </c>
      <c r="F3727" t="s">
        <v>208</v>
      </c>
      <c r="G3727">
        <v>10</v>
      </c>
      <c r="H3727" t="s">
        <v>188</v>
      </c>
      <c r="I3727" t="s">
        <v>238</v>
      </c>
      <c r="J3727" t="s">
        <v>731</v>
      </c>
      <c r="K3727" t="s">
        <v>3815</v>
      </c>
      <c r="R3727">
        <v>27</v>
      </c>
    </row>
    <row r="3728" spans="1:19" x14ac:dyDescent="0.25">
      <c r="A3728" t="s">
        <v>3816</v>
      </c>
      <c r="B3728" s="1">
        <v>44531</v>
      </c>
      <c r="C3728" t="s">
        <v>3817</v>
      </c>
      <c r="D3728" t="s">
        <v>78</v>
      </c>
      <c r="E3728" t="s">
        <v>24</v>
      </c>
      <c r="F3728" t="s">
        <v>243</v>
      </c>
      <c r="G3728">
        <v>45</v>
      </c>
      <c r="H3728" t="s">
        <v>26</v>
      </c>
      <c r="I3728" t="s">
        <v>370</v>
      </c>
      <c r="J3728" t="s">
        <v>439</v>
      </c>
      <c r="K3728" t="s">
        <v>3818</v>
      </c>
      <c r="L3728">
        <v>265</v>
      </c>
      <c r="M3728">
        <v>98</v>
      </c>
      <c r="N3728" s="2">
        <v>0.36</v>
      </c>
      <c r="O3728">
        <v>88</v>
      </c>
      <c r="P3728">
        <v>16.010000000000002</v>
      </c>
      <c r="Q3728">
        <v>12</v>
      </c>
      <c r="R3728">
        <v>327</v>
      </c>
    </row>
    <row r="3729" spans="1:19" x14ac:dyDescent="0.25">
      <c r="A3729" t="s">
        <v>3819</v>
      </c>
      <c r="B3729" s="1">
        <v>44531</v>
      </c>
      <c r="C3729" t="s">
        <v>1035</v>
      </c>
      <c r="D3729" t="s">
        <v>78</v>
      </c>
      <c r="E3729" t="s">
        <v>24</v>
      </c>
      <c r="F3729" t="s">
        <v>243</v>
      </c>
      <c r="G3729">
        <v>5</v>
      </c>
      <c r="H3729" t="s">
        <v>26</v>
      </c>
      <c r="I3729" t="s">
        <v>358</v>
      </c>
      <c r="J3729" t="s">
        <v>359</v>
      </c>
      <c r="K3729" t="s">
        <v>3648</v>
      </c>
      <c r="L3729">
        <v>18</v>
      </c>
      <c r="M3729">
        <v>59</v>
      </c>
      <c r="N3729" s="2">
        <v>0.28999999999999998</v>
      </c>
      <c r="O3729">
        <v>86</v>
      </c>
      <c r="P3729">
        <v>12.9</v>
      </c>
      <c r="Q3729">
        <v>1.08</v>
      </c>
      <c r="R3729">
        <v>22</v>
      </c>
    </row>
    <row r="3730" spans="1:19" x14ac:dyDescent="0.25">
      <c r="A3730" t="s">
        <v>3820</v>
      </c>
      <c r="B3730" s="1">
        <v>44531</v>
      </c>
      <c r="C3730" t="s">
        <v>1273</v>
      </c>
      <c r="D3730" t="s">
        <v>78</v>
      </c>
      <c r="E3730" t="s">
        <v>24</v>
      </c>
      <c r="F3730" t="s">
        <v>3821</v>
      </c>
      <c r="G3730">
        <v>5</v>
      </c>
      <c r="H3730" t="s">
        <v>49</v>
      </c>
      <c r="I3730" t="s">
        <v>50</v>
      </c>
      <c r="J3730" t="s">
        <v>51</v>
      </c>
      <c r="K3730" t="s">
        <v>3822</v>
      </c>
      <c r="R3730">
        <v>12</v>
      </c>
    </row>
    <row r="3731" spans="1:19" x14ac:dyDescent="0.25">
      <c r="A3731" t="s">
        <v>3823</v>
      </c>
      <c r="B3731" s="1">
        <v>44531</v>
      </c>
      <c r="C3731" t="s">
        <v>1292</v>
      </c>
      <c r="D3731" t="s">
        <v>78</v>
      </c>
      <c r="E3731" t="s">
        <v>24</v>
      </c>
      <c r="F3731" t="s">
        <v>459</v>
      </c>
      <c r="G3731">
        <v>10</v>
      </c>
      <c r="H3731" t="s">
        <v>464</v>
      </c>
      <c r="I3731" t="s">
        <v>763</v>
      </c>
      <c r="J3731" t="s">
        <v>914</v>
      </c>
      <c r="K3731" t="s">
        <v>3824</v>
      </c>
    </row>
    <row r="3732" spans="1:19" x14ac:dyDescent="0.25">
      <c r="A3732" t="s">
        <v>3930</v>
      </c>
      <c r="B3732" s="1">
        <v>44538</v>
      </c>
      <c r="C3732" t="s">
        <v>3931</v>
      </c>
      <c r="D3732" t="s">
        <v>78</v>
      </c>
      <c r="E3732" t="s">
        <v>24</v>
      </c>
      <c r="F3732" t="s">
        <v>215</v>
      </c>
      <c r="G3732">
        <v>30</v>
      </c>
      <c r="H3732" t="s">
        <v>188</v>
      </c>
      <c r="I3732" t="s">
        <v>254</v>
      </c>
      <c r="J3732" t="s">
        <v>255</v>
      </c>
      <c r="K3732" t="s">
        <v>3932</v>
      </c>
      <c r="R3732">
        <v>94</v>
      </c>
    </row>
    <row r="3733" spans="1:19" x14ac:dyDescent="0.25">
      <c r="A3733" t="s">
        <v>3933</v>
      </c>
      <c r="B3733" s="1">
        <v>44538</v>
      </c>
      <c r="C3733" t="s">
        <v>3934</v>
      </c>
      <c r="D3733" t="s">
        <v>78</v>
      </c>
      <c r="E3733" t="s">
        <v>24</v>
      </c>
      <c r="F3733" t="s">
        <v>215</v>
      </c>
      <c r="G3733">
        <v>5</v>
      </c>
      <c r="H3733" t="s">
        <v>464</v>
      </c>
      <c r="I3733" t="s">
        <v>1249</v>
      </c>
      <c r="J3733" t="s">
        <v>3935</v>
      </c>
      <c r="K3733" t="s">
        <v>3936</v>
      </c>
    </row>
    <row r="3734" spans="1:19" x14ac:dyDescent="0.25">
      <c r="A3734" t="s">
        <v>3937</v>
      </c>
      <c r="B3734" s="1">
        <v>44538</v>
      </c>
      <c r="C3734" t="s">
        <v>3938</v>
      </c>
      <c r="D3734" t="s">
        <v>78</v>
      </c>
      <c r="E3734" t="s">
        <v>24</v>
      </c>
      <c r="F3734" t="s">
        <v>335</v>
      </c>
      <c r="G3734">
        <v>10</v>
      </c>
      <c r="H3734" t="s">
        <v>26</v>
      </c>
      <c r="I3734" t="s">
        <v>39</v>
      </c>
      <c r="J3734" t="s">
        <v>431</v>
      </c>
      <c r="K3734" t="s">
        <v>3939</v>
      </c>
      <c r="L3734">
        <v>51</v>
      </c>
      <c r="M3734">
        <v>86</v>
      </c>
      <c r="N3734" s="2">
        <v>0.33</v>
      </c>
      <c r="O3734">
        <v>89</v>
      </c>
      <c r="P3734">
        <v>15.13</v>
      </c>
      <c r="Q3734">
        <v>2.52</v>
      </c>
      <c r="R3734">
        <v>63</v>
      </c>
    </row>
    <row r="3735" spans="1:19" x14ac:dyDescent="0.25">
      <c r="A3735" t="s">
        <v>3940</v>
      </c>
      <c r="B3735" s="1">
        <v>44538</v>
      </c>
      <c r="C3735" t="s">
        <v>3941</v>
      </c>
      <c r="D3735" t="s">
        <v>78</v>
      </c>
      <c r="E3735" t="s">
        <v>24</v>
      </c>
      <c r="F3735" t="s">
        <v>292</v>
      </c>
      <c r="G3735">
        <v>45</v>
      </c>
      <c r="H3735" t="s">
        <v>605</v>
      </c>
      <c r="I3735" t="s">
        <v>663</v>
      </c>
      <c r="J3735" t="s">
        <v>769</v>
      </c>
      <c r="K3735" t="s">
        <v>3942</v>
      </c>
      <c r="L3735">
        <v>154</v>
      </c>
      <c r="P3735">
        <v>15.99</v>
      </c>
      <c r="Q3735">
        <v>6.67</v>
      </c>
      <c r="R3735">
        <v>257</v>
      </c>
    </row>
    <row r="3736" spans="1:19" x14ac:dyDescent="0.25">
      <c r="A3736" t="s">
        <v>3943</v>
      </c>
      <c r="B3736" s="1">
        <v>44538</v>
      </c>
      <c r="C3736" t="s">
        <v>3596</v>
      </c>
      <c r="D3736" t="s">
        <v>78</v>
      </c>
      <c r="E3736" t="s">
        <v>24</v>
      </c>
      <c r="F3736" t="s">
        <v>328</v>
      </c>
      <c r="G3736">
        <v>5</v>
      </c>
      <c r="H3736" t="s">
        <v>26</v>
      </c>
      <c r="I3736" t="s">
        <v>358</v>
      </c>
      <c r="J3736" t="s">
        <v>359</v>
      </c>
      <c r="K3736" t="s">
        <v>3854</v>
      </c>
      <c r="L3736">
        <v>24</v>
      </c>
      <c r="M3736">
        <v>80</v>
      </c>
      <c r="N3736" s="2">
        <v>0.35</v>
      </c>
      <c r="O3736">
        <v>78</v>
      </c>
      <c r="P3736">
        <v>14.6</v>
      </c>
      <c r="Q3736">
        <v>1.21</v>
      </c>
      <c r="R3736">
        <v>30</v>
      </c>
    </row>
    <row r="3737" spans="1:19" x14ac:dyDescent="0.25">
      <c r="A3737" t="s">
        <v>3944</v>
      </c>
      <c r="B3737" s="1">
        <v>44538</v>
      </c>
      <c r="C3737" t="s">
        <v>3945</v>
      </c>
      <c r="D3737" t="s">
        <v>78</v>
      </c>
      <c r="E3737" t="s">
        <v>24</v>
      </c>
      <c r="F3737" t="s">
        <v>200</v>
      </c>
      <c r="G3737">
        <v>15</v>
      </c>
      <c r="H3737" t="s">
        <v>188</v>
      </c>
      <c r="I3737" t="s">
        <v>238</v>
      </c>
      <c r="J3737" t="s">
        <v>3709</v>
      </c>
      <c r="K3737" t="s">
        <v>3946</v>
      </c>
      <c r="R3737">
        <v>46</v>
      </c>
    </row>
    <row r="3738" spans="1:19" x14ac:dyDescent="0.25">
      <c r="A3738" t="s">
        <v>3947</v>
      </c>
      <c r="B3738" s="1">
        <v>44538</v>
      </c>
      <c r="C3738" t="s">
        <v>2221</v>
      </c>
      <c r="D3738" t="s">
        <v>78</v>
      </c>
      <c r="E3738" t="s">
        <v>24</v>
      </c>
      <c r="F3738" t="s">
        <v>208</v>
      </c>
      <c r="G3738">
        <v>20</v>
      </c>
      <c r="H3738" t="s">
        <v>464</v>
      </c>
      <c r="I3738" t="s">
        <v>763</v>
      </c>
      <c r="J3738" t="s">
        <v>1385</v>
      </c>
      <c r="K3738" t="s">
        <v>3948</v>
      </c>
    </row>
    <row r="3739" spans="1:19" x14ac:dyDescent="0.25">
      <c r="A3739" t="s">
        <v>4028</v>
      </c>
      <c r="B3739" s="1">
        <v>44545</v>
      </c>
      <c r="C3739" t="s">
        <v>4029</v>
      </c>
      <c r="D3739" t="s">
        <v>78</v>
      </c>
      <c r="E3739" t="s">
        <v>24</v>
      </c>
      <c r="F3739" t="s">
        <v>323</v>
      </c>
      <c r="G3739">
        <v>45</v>
      </c>
      <c r="H3739" t="s">
        <v>26</v>
      </c>
      <c r="I3739" t="s">
        <v>370</v>
      </c>
      <c r="J3739" t="s">
        <v>439</v>
      </c>
      <c r="K3739" t="s">
        <v>4030</v>
      </c>
      <c r="L3739">
        <v>255</v>
      </c>
      <c r="M3739">
        <v>94</v>
      </c>
      <c r="N3739" s="2">
        <v>0.36</v>
      </c>
      <c r="O3739">
        <v>84</v>
      </c>
      <c r="P3739">
        <v>15.71</v>
      </c>
      <c r="Q3739">
        <v>11.79</v>
      </c>
      <c r="R3739">
        <v>314</v>
      </c>
    </row>
    <row r="3740" spans="1:19" x14ac:dyDescent="0.25">
      <c r="A3740" t="s">
        <v>4031</v>
      </c>
      <c r="B3740" s="1">
        <v>44545</v>
      </c>
      <c r="C3740" t="s">
        <v>4032</v>
      </c>
      <c r="D3740" t="s">
        <v>78</v>
      </c>
      <c r="E3740" t="s">
        <v>24</v>
      </c>
      <c r="F3740" t="s">
        <v>590</v>
      </c>
      <c r="G3740">
        <v>10</v>
      </c>
      <c r="H3740" t="s">
        <v>26</v>
      </c>
      <c r="I3740" t="s">
        <v>358</v>
      </c>
      <c r="J3740" t="s">
        <v>4033</v>
      </c>
      <c r="K3740" t="s">
        <v>4034</v>
      </c>
      <c r="L3740">
        <v>33</v>
      </c>
      <c r="M3740">
        <v>55</v>
      </c>
      <c r="N3740" s="2">
        <v>0.28999999999999998</v>
      </c>
      <c r="O3740">
        <v>80</v>
      </c>
      <c r="P3740">
        <v>12.48</v>
      </c>
      <c r="Q3740">
        <v>2.08</v>
      </c>
      <c r="R3740">
        <v>40</v>
      </c>
    </row>
    <row r="3741" spans="1:19" x14ac:dyDescent="0.25">
      <c r="A3741" t="s">
        <v>4035</v>
      </c>
      <c r="B3741" s="1">
        <v>44545</v>
      </c>
      <c r="C3741" t="s">
        <v>4036</v>
      </c>
      <c r="D3741" t="s">
        <v>78</v>
      </c>
      <c r="E3741" t="s">
        <v>24</v>
      </c>
      <c r="F3741" t="s">
        <v>590</v>
      </c>
      <c r="G3741">
        <v>5</v>
      </c>
      <c r="H3741" t="s">
        <v>49</v>
      </c>
      <c r="I3741" t="s">
        <v>50</v>
      </c>
      <c r="J3741" t="s">
        <v>3587</v>
      </c>
      <c r="K3741" t="s">
        <v>3588</v>
      </c>
      <c r="R3741">
        <v>11</v>
      </c>
    </row>
    <row r="3742" spans="1:19" x14ac:dyDescent="0.25">
      <c r="A3742" t="s">
        <v>4037</v>
      </c>
      <c r="B3742" s="1">
        <v>44545</v>
      </c>
      <c r="C3742" t="s">
        <v>4038</v>
      </c>
      <c r="D3742" t="s">
        <v>78</v>
      </c>
      <c r="E3742" t="s">
        <v>24</v>
      </c>
      <c r="F3742" t="s">
        <v>309</v>
      </c>
      <c r="G3742">
        <v>30</v>
      </c>
      <c r="H3742" t="s">
        <v>1856</v>
      </c>
      <c r="I3742" t="s">
        <v>2096</v>
      </c>
      <c r="J3742" t="s">
        <v>4039</v>
      </c>
      <c r="K3742" t="s">
        <v>3846</v>
      </c>
      <c r="L3742">
        <v>0</v>
      </c>
      <c r="P3742">
        <v>0</v>
      </c>
      <c r="Q3742">
        <v>0</v>
      </c>
      <c r="R3742">
        <v>110</v>
      </c>
      <c r="S3742">
        <v>129.30000000000001</v>
      </c>
    </row>
    <row r="3743" spans="1:19" x14ac:dyDescent="0.25">
      <c r="A3743" t="s">
        <v>4040</v>
      </c>
      <c r="B3743" s="1">
        <v>44545</v>
      </c>
      <c r="C3743" t="s">
        <v>3351</v>
      </c>
      <c r="D3743" t="s">
        <v>78</v>
      </c>
      <c r="E3743" t="s">
        <v>24</v>
      </c>
      <c r="F3743" t="s">
        <v>2708</v>
      </c>
      <c r="G3743">
        <v>10</v>
      </c>
      <c r="H3743" t="s">
        <v>464</v>
      </c>
      <c r="I3743" t="s">
        <v>763</v>
      </c>
      <c r="J3743" t="s">
        <v>764</v>
      </c>
      <c r="K3743" t="s">
        <v>4041</v>
      </c>
    </row>
    <row r="3744" spans="1:19" x14ac:dyDescent="0.25">
      <c r="A3744" t="s">
        <v>4115</v>
      </c>
      <c r="B3744" s="1">
        <v>44552</v>
      </c>
      <c r="C3744" t="s">
        <v>4116</v>
      </c>
      <c r="D3744" t="s">
        <v>78</v>
      </c>
      <c r="E3744" t="s">
        <v>24</v>
      </c>
      <c r="F3744" t="s">
        <v>243</v>
      </c>
      <c r="G3744">
        <v>30</v>
      </c>
      <c r="H3744" t="s">
        <v>188</v>
      </c>
      <c r="I3744" t="s">
        <v>254</v>
      </c>
      <c r="J3744" t="s">
        <v>255</v>
      </c>
      <c r="K3744" t="s">
        <v>4117</v>
      </c>
      <c r="R3744">
        <v>98</v>
      </c>
    </row>
    <row r="3745" spans="1:18" x14ac:dyDescent="0.25">
      <c r="A3745" t="s">
        <v>4118</v>
      </c>
      <c r="B3745" s="1">
        <v>44552</v>
      </c>
      <c r="C3745" t="s">
        <v>4000</v>
      </c>
      <c r="D3745" t="s">
        <v>78</v>
      </c>
      <c r="E3745" t="s">
        <v>24</v>
      </c>
      <c r="F3745" t="s">
        <v>323</v>
      </c>
      <c r="G3745">
        <v>20</v>
      </c>
      <c r="H3745" t="s">
        <v>26</v>
      </c>
      <c r="I3745" t="s">
        <v>39</v>
      </c>
      <c r="J3745" t="s">
        <v>870</v>
      </c>
      <c r="K3745" t="s">
        <v>4119</v>
      </c>
      <c r="L3745">
        <v>85</v>
      </c>
      <c r="M3745">
        <v>71</v>
      </c>
      <c r="N3745" s="2">
        <v>0.32</v>
      </c>
      <c r="O3745">
        <v>84</v>
      </c>
      <c r="P3745">
        <v>13.87</v>
      </c>
      <c r="Q3745">
        <v>4.63</v>
      </c>
      <c r="R3745">
        <v>105</v>
      </c>
    </row>
    <row r="3746" spans="1:18" x14ac:dyDescent="0.25">
      <c r="A3746" t="s">
        <v>4120</v>
      </c>
      <c r="B3746" s="1">
        <v>44552</v>
      </c>
      <c r="C3746" t="s">
        <v>3650</v>
      </c>
      <c r="D3746" t="s">
        <v>78</v>
      </c>
      <c r="E3746" t="s">
        <v>24</v>
      </c>
      <c r="F3746" t="s">
        <v>305</v>
      </c>
      <c r="G3746">
        <v>10</v>
      </c>
      <c r="H3746" t="s">
        <v>49</v>
      </c>
      <c r="I3746" t="s">
        <v>423</v>
      </c>
      <c r="J3746" t="s">
        <v>4121</v>
      </c>
      <c r="K3746" t="s">
        <v>4122</v>
      </c>
      <c r="R3746">
        <v>46</v>
      </c>
    </row>
    <row r="3747" spans="1:18" x14ac:dyDescent="0.25">
      <c r="A3747" t="s">
        <v>4123</v>
      </c>
      <c r="B3747" s="1">
        <v>44552</v>
      </c>
      <c r="C3747" t="s">
        <v>3590</v>
      </c>
      <c r="D3747" t="s">
        <v>78</v>
      </c>
      <c r="E3747" t="s">
        <v>24</v>
      </c>
      <c r="F3747" t="s">
        <v>305</v>
      </c>
      <c r="G3747">
        <v>30</v>
      </c>
      <c r="H3747" t="s">
        <v>194</v>
      </c>
      <c r="I3747" t="s">
        <v>1445</v>
      </c>
      <c r="J3747" t="s">
        <v>4124</v>
      </c>
      <c r="K3747" t="s">
        <v>4122</v>
      </c>
      <c r="R3747">
        <v>140</v>
      </c>
    </row>
    <row r="3748" spans="1:18" x14ac:dyDescent="0.25">
      <c r="A3748" t="s">
        <v>4125</v>
      </c>
      <c r="B3748" s="1">
        <v>44552</v>
      </c>
      <c r="C3748" t="s">
        <v>4126</v>
      </c>
      <c r="D3748" t="s">
        <v>78</v>
      </c>
      <c r="E3748" t="s">
        <v>24</v>
      </c>
      <c r="F3748" t="s">
        <v>180</v>
      </c>
      <c r="G3748">
        <v>10</v>
      </c>
      <c r="H3748" t="s">
        <v>194</v>
      </c>
      <c r="I3748" t="s">
        <v>195</v>
      </c>
      <c r="J3748" t="s">
        <v>211</v>
      </c>
      <c r="K3748" t="s">
        <v>4127</v>
      </c>
      <c r="R3748">
        <v>46</v>
      </c>
    </row>
    <row r="3749" spans="1:18" x14ac:dyDescent="0.25">
      <c r="A3749" t="s">
        <v>4128</v>
      </c>
      <c r="B3749" s="1">
        <v>44552</v>
      </c>
      <c r="C3749" t="s">
        <v>3902</v>
      </c>
      <c r="D3749" t="s">
        <v>78</v>
      </c>
      <c r="E3749" t="s">
        <v>24</v>
      </c>
      <c r="F3749" t="s">
        <v>335</v>
      </c>
      <c r="G3749">
        <v>10</v>
      </c>
      <c r="H3749" t="s">
        <v>49</v>
      </c>
      <c r="I3749" t="s">
        <v>226</v>
      </c>
      <c r="J3749" t="s">
        <v>4129</v>
      </c>
      <c r="K3749" t="s">
        <v>4130</v>
      </c>
      <c r="R3749">
        <v>23</v>
      </c>
    </row>
    <row r="3750" spans="1:18" x14ac:dyDescent="0.25">
      <c r="A3750" t="s">
        <v>4131</v>
      </c>
      <c r="B3750" s="1">
        <v>44552</v>
      </c>
      <c r="C3750" t="s">
        <v>1658</v>
      </c>
      <c r="D3750" t="s">
        <v>78</v>
      </c>
      <c r="E3750" t="s">
        <v>24</v>
      </c>
      <c r="F3750" t="s">
        <v>215</v>
      </c>
      <c r="G3750">
        <v>10</v>
      </c>
      <c r="H3750" t="s">
        <v>464</v>
      </c>
      <c r="I3750" t="s">
        <v>763</v>
      </c>
      <c r="J3750" t="s">
        <v>764</v>
      </c>
      <c r="K3750" t="s">
        <v>4132</v>
      </c>
    </row>
    <row r="3751" spans="1:18" x14ac:dyDescent="0.25">
      <c r="A3751" t="s">
        <v>4205</v>
      </c>
      <c r="B3751" s="1">
        <v>44559</v>
      </c>
      <c r="C3751" t="s">
        <v>4206</v>
      </c>
      <c r="D3751" t="s">
        <v>78</v>
      </c>
      <c r="E3751" t="s">
        <v>24</v>
      </c>
      <c r="F3751" t="s">
        <v>208</v>
      </c>
      <c r="G3751">
        <v>15</v>
      </c>
      <c r="H3751" t="s">
        <v>464</v>
      </c>
      <c r="I3751" t="s">
        <v>943</v>
      </c>
      <c r="J3751" t="s">
        <v>1709</v>
      </c>
      <c r="K3751" t="s">
        <v>4058</v>
      </c>
    </row>
    <row r="3752" spans="1:18" x14ac:dyDescent="0.25">
      <c r="A3752" t="s">
        <v>4207</v>
      </c>
      <c r="B3752" s="1">
        <v>44559</v>
      </c>
      <c r="C3752" t="s">
        <v>4208</v>
      </c>
      <c r="D3752" t="s">
        <v>78</v>
      </c>
      <c r="E3752" t="s">
        <v>24</v>
      </c>
      <c r="F3752" t="s">
        <v>208</v>
      </c>
      <c r="G3752">
        <v>10</v>
      </c>
      <c r="H3752" t="s">
        <v>464</v>
      </c>
      <c r="I3752" t="s">
        <v>943</v>
      </c>
      <c r="J3752" t="s">
        <v>3487</v>
      </c>
      <c r="K3752" t="s">
        <v>2743</v>
      </c>
    </row>
    <row r="3753" spans="1:18" x14ac:dyDescent="0.25">
      <c r="A3753" t="s">
        <v>4209</v>
      </c>
      <c r="B3753" s="1">
        <v>44559</v>
      </c>
      <c r="C3753" t="s">
        <v>4210</v>
      </c>
      <c r="D3753" t="s">
        <v>78</v>
      </c>
      <c r="E3753" t="s">
        <v>24</v>
      </c>
      <c r="F3753" t="s">
        <v>459</v>
      </c>
      <c r="G3753">
        <v>20</v>
      </c>
      <c r="H3753" t="s">
        <v>188</v>
      </c>
      <c r="I3753" t="s">
        <v>238</v>
      </c>
      <c r="J3753" t="s">
        <v>796</v>
      </c>
      <c r="K3753" t="s">
        <v>4211</v>
      </c>
      <c r="R3753">
        <v>63</v>
      </c>
    </row>
    <row r="3754" spans="1:18" x14ac:dyDescent="0.25">
      <c r="A3754" t="s">
        <v>4212</v>
      </c>
      <c r="B3754" s="1">
        <v>44559</v>
      </c>
      <c r="C3754" t="s">
        <v>4213</v>
      </c>
      <c r="D3754" t="s">
        <v>78</v>
      </c>
      <c r="E3754" t="s">
        <v>24</v>
      </c>
      <c r="F3754" t="s">
        <v>33</v>
      </c>
      <c r="G3754">
        <v>30</v>
      </c>
      <c r="H3754" t="s">
        <v>26</v>
      </c>
      <c r="I3754" t="s">
        <v>370</v>
      </c>
      <c r="J3754" t="s">
        <v>2585</v>
      </c>
      <c r="K3754" t="s">
        <v>4214</v>
      </c>
      <c r="L3754">
        <v>159</v>
      </c>
      <c r="M3754">
        <v>88</v>
      </c>
      <c r="N3754" s="2">
        <v>0.34</v>
      </c>
      <c r="O3754">
        <v>88</v>
      </c>
      <c r="P3754">
        <v>15.24</v>
      </c>
      <c r="Q3754">
        <v>7.63</v>
      </c>
      <c r="R3754">
        <v>197</v>
      </c>
    </row>
    <row r="3755" spans="1:18" x14ac:dyDescent="0.25">
      <c r="A3755" t="s">
        <v>4215</v>
      </c>
      <c r="B3755" s="1">
        <v>44559</v>
      </c>
      <c r="C3755" t="s">
        <v>4216</v>
      </c>
      <c r="D3755" t="s">
        <v>78</v>
      </c>
      <c r="E3755" t="s">
        <v>24</v>
      </c>
      <c r="F3755" t="s">
        <v>292</v>
      </c>
      <c r="G3755">
        <v>20</v>
      </c>
      <c r="H3755" t="s">
        <v>194</v>
      </c>
      <c r="I3755" t="s">
        <v>1445</v>
      </c>
      <c r="J3755" t="s">
        <v>4217</v>
      </c>
      <c r="K3755" t="s">
        <v>4218</v>
      </c>
      <c r="R3755">
        <v>92</v>
      </c>
    </row>
    <row r="3756" spans="1:18" x14ac:dyDescent="0.25">
      <c r="A3756" t="s">
        <v>4219</v>
      </c>
      <c r="B3756" s="1">
        <v>44559</v>
      </c>
      <c r="C3756" t="s">
        <v>1616</v>
      </c>
      <c r="D3756" t="s">
        <v>78</v>
      </c>
      <c r="E3756" t="s">
        <v>24</v>
      </c>
      <c r="F3756" t="s">
        <v>459</v>
      </c>
      <c r="G3756">
        <v>20</v>
      </c>
      <c r="H3756" t="s">
        <v>464</v>
      </c>
      <c r="I3756" t="s">
        <v>1571</v>
      </c>
      <c r="J3756" t="s">
        <v>1572</v>
      </c>
      <c r="K3756" t="s">
        <v>4220</v>
      </c>
    </row>
    <row r="3757" spans="1:18" x14ac:dyDescent="0.25">
      <c r="A3757" t="s">
        <v>4307</v>
      </c>
      <c r="B3757" s="1">
        <v>44566</v>
      </c>
      <c r="C3757" t="s">
        <v>536</v>
      </c>
      <c r="D3757" t="s">
        <v>78</v>
      </c>
      <c r="E3757" t="s">
        <v>24</v>
      </c>
      <c r="F3757" t="s">
        <v>215</v>
      </c>
      <c r="G3757">
        <v>30</v>
      </c>
      <c r="H3757" t="s">
        <v>188</v>
      </c>
      <c r="I3757" t="s">
        <v>103</v>
      </c>
      <c r="J3757" t="s">
        <v>415</v>
      </c>
      <c r="K3757" t="s">
        <v>4308</v>
      </c>
      <c r="R3757">
        <v>91</v>
      </c>
    </row>
    <row r="3758" spans="1:18" x14ac:dyDescent="0.25">
      <c r="A3758" t="s">
        <v>4309</v>
      </c>
      <c r="B3758" s="1">
        <v>44566</v>
      </c>
      <c r="C3758" t="s">
        <v>4310</v>
      </c>
      <c r="D3758" t="s">
        <v>78</v>
      </c>
      <c r="E3758" t="s">
        <v>24</v>
      </c>
      <c r="F3758" t="s">
        <v>215</v>
      </c>
      <c r="G3758">
        <v>10</v>
      </c>
      <c r="H3758" t="s">
        <v>188</v>
      </c>
      <c r="I3758" t="s">
        <v>238</v>
      </c>
      <c r="J3758" t="s">
        <v>674</v>
      </c>
      <c r="K3758" t="s">
        <v>4311</v>
      </c>
      <c r="R3758">
        <v>34</v>
      </c>
    </row>
    <row r="3759" spans="1:18" x14ac:dyDescent="0.25">
      <c r="A3759" t="s">
        <v>4312</v>
      </c>
      <c r="B3759" s="1">
        <v>44566</v>
      </c>
      <c r="C3759" t="s">
        <v>4313</v>
      </c>
      <c r="D3759" t="s">
        <v>78</v>
      </c>
      <c r="E3759" t="s">
        <v>24</v>
      </c>
      <c r="F3759" t="s">
        <v>335</v>
      </c>
      <c r="G3759">
        <v>5</v>
      </c>
      <c r="H3759" t="s">
        <v>194</v>
      </c>
      <c r="I3759" t="s">
        <v>195</v>
      </c>
      <c r="J3759" t="s">
        <v>196</v>
      </c>
      <c r="K3759" t="s">
        <v>4314</v>
      </c>
      <c r="R3759">
        <v>23</v>
      </c>
    </row>
    <row r="3760" spans="1:18" x14ac:dyDescent="0.25">
      <c r="A3760" t="s">
        <v>4315</v>
      </c>
      <c r="B3760" s="1">
        <v>44566</v>
      </c>
      <c r="C3760" t="s">
        <v>4316</v>
      </c>
      <c r="D3760" t="s">
        <v>78</v>
      </c>
      <c r="E3760" t="s">
        <v>24</v>
      </c>
      <c r="F3760" t="s">
        <v>328</v>
      </c>
      <c r="G3760">
        <v>30</v>
      </c>
      <c r="H3760" t="s">
        <v>26</v>
      </c>
      <c r="I3760" t="s">
        <v>370</v>
      </c>
      <c r="J3760" t="s">
        <v>396</v>
      </c>
      <c r="K3760" t="s">
        <v>4317</v>
      </c>
      <c r="L3760">
        <v>179</v>
      </c>
      <c r="M3760">
        <v>99</v>
      </c>
      <c r="N3760" s="2">
        <v>0.36</v>
      </c>
      <c r="O3760">
        <v>86</v>
      </c>
      <c r="P3760">
        <v>16.079999999999998</v>
      </c>
      <c r="Q3760">
        <v>8.0399999999999991</v>
      </c>
      <c r="R3760">
        <v>221</v>
      </c>
    </row>
    <row r="3761" spans="1:19" x14ac:dyDescent="0.25">
      <c r="A3761" t="s">
        <v>4318</v>
      </c>
      <c r="B3761" s="1">
        <v>44566</v>
      </c>
      <c r="C3761" t="s">
        <v>3974</v>
      </c>
      <c r="D3761" t="s">
        <v>78</v>
      </c>
      <c r="E3761" t="s">
        <v>24</v>
      </c>
      <c r="F3761" t="s">
        <v>323</v>
      </c>
      <c r="G3761">
        <v>30</v>
      </c>
      <c r="H3761" t="s">
        <v>26</v>
      </c>
      <c r="I3761" t="s">
        <v>39</v>
      </c>
      <c r="J3761" t="s">
        <v>407</v>
      </c>
      <c r="K3761" t="s">
        <v>4319</v>
      </c>
      <c r="L3761">
        <v>126</v>
      </c>
      <c r="M3761">
        <v>70</v>
      </c>
      <c r="N3761" s="2">
        <v>0.33</v>
      </c>
      <c r="O3761">
        <v>79</v>
      </c>
      <c r="P3761">
        <v>13.71</v>
      </c>
      <c r="Q3761">
        <v>6.86</v>
      </c>
      <c r="R3761">
        <v>155</v>
      </c>
    </row>
    <row r="3762" spans="1:19" x14ac:dyDescent="0.25">
      <c r="A3762" t="s">
        <v>4320</v>
      </c>
      <c r="B3762" s="1">
        <v>44566</v>
      </c>
      <c r="C3762" t="s">
        <v>1606</v>
      </c>
      <c r="D3762" t="s">
        <v>78</v>
      </c>
      <c r="E3762" t="s">
        <v>24</v>
      </c>
      <c r="F3762" t="s">
        <v>208</v>
      </c>
      <c r="G3762">
        <v>15</v>
      </c>
      <c r="H3762" t="s">
        <v>464</v>
      </c>
      <c r="I3762" t="s">
        <v>579</v>
      </c>
      <c r="J3762" t="s">
        <v>4321</v>
      </c>
      <c r="K3762" t="s">
        <v>4322</v>
      </c>
    </row>
    <row r="3763" spans="1:19" x14ac:dyDescent="0.25">
      <c r="A3763" t="s">
        <v>4388</v>
      </c>
      <c r="B3763" s="1">
        <v>44573</v>
      </c>
      <c r="C3763" t="s">
        <v>1986</v>
      </c>
      <c r="D3763" t="s">
        <v>78</v>
      </c>
      <c r="E3763" t="s">
        <v>24</v>
      </c>
      <c r="F3763" t="s">
        <v>200</v>
      </c>
      <c r="G3763">
        <v>30</v>
      </c>
      <c r="H3763" t="s">
        <v>188</v>
      </c>
      <c r="I3763" t="s">
        <v>189</v>
      </c>
      <c r="J3763" t="s">
        <v>201</v>
      </c>
      <c r="K3763" t="s">
        <v>4389</v>
      </c>
      <c r="R3763">
        <v>96</v>
      </c>
    </row>
    <row r="3764" spans="1:19" x14ac:dyDescent="0.25">
      <c r="A3764" t="s">
        <v>4390</v>
      </c>
      <c r="B3764" s="1">
        <v>44573</v>
      </c>
      <c r="C3764" t="s">
        <v>388</v>
      </c>
      <c r="D3764" t="s">
        <v>78</v>
      </c>
      <c r="E3764" t="s">
        <v>24</v>
      </c>
      <c r="F3764" t="s">
        <v>180</v>
      </c>
      <c r="G3764">
        <v>5</v>
      </c>
      <c r="H3764" t="s">
        <v>194</v>
      </c>
      <c r="I3764" t="s">
        <v>195</v>
      </c>
      <c r="J3764" t="s">
        <v>196</v>
      </c>
      <c r="K3764" t="s">
        <v>4391</v>
      </c>
      <c r="R3764">
        <v>23</v>
      </c>
    </row>
    <row r="3765" spans="1:19" x14ac:dyDescent="0.25">
      <c r="A3765" t="s">
        <v>4392</v>
      </c>
      <c r="B3765" s="1">
        <v>44573</v>
      </c>
      <c r="C3765" t="s">
        <v>4393</v>
      </c>
      <c r="D3765" t="s">
        <v>78</v>
      </c>
      <c r="E3765" t="s">
        <v>24</v>
      </c>
      <c r="F3765" t="s">
        <v>170</v>
      </c>
      <c r="G3765">
        <v>20</v>
      </c>
      <c r="H3765" t="s">
        <v>1856</v>
      </c>
      <c r="I3765" t="s">
        <v>1857</v>
      </c>
      <c r="J3765" t="s">
        <v>4394</v>
      </c>
      <c r="K3765" t="s">
        <v>4395</v>
      </c>
      <c r="L3765">
        <v>0</v>
      </c>
      <c r="P3765">
        <v>0</v>
      </c>
      <c r="Q3765">
        <v>0</v>
      </c>
      <c r="R3765">
        <v>66</v>
      </c>
    </row>
    <row r="3766" spans="1:19" x14ac:dyDescent="0.25">
      <c r="A3766" t="s">
        <v>4396</v>
      </c>
      <c r="B3766" s="1">
        <v>44573</v>
      </c>
      <c r="C3766" t="s">
        <v>4172</v>
      </c>
      <c r="D3766" t="s">
        <v>78</v>
      </c>
      <c r="E3766" t="s">
        <v>24</v>
      </c>
      <c r="F3766" t="s">
        <v>208</v>
      </c>
      <c r="G3766">
        <v>10</v>
      </c>
      <c r="H3766" t="s">
        <v>464</v>
      </c>
      <c r="I3766" t="s">
        <v>763</v>
      </c>
      <c r="J3766" t="s">
        <v>914</v>
      </c>
      <c r="K3766" t="s">
        <v>4397</v>
      </c>
      <c r="S3766">
        <v>113.49</v>
      </c>
    </row>
    <row r="3767" spans="1:19" x14ac:dyDescent="0.25">
      <c r="A3767" t="s">
        <v>4398</v>
      </c>
      <c r="B3767" s="1">
        <v>44573</v>
      </c>
      <c r="C3767" t="s">
        <v>4316</v>
      </c>
      <c r="D3767" t="s">
        <v>78</v>
      </c>
      <c r="E3767" t="s">
        <v>24</v>
      </c>
      <c r="F3767" t="s">
        <v>25</v>
      </c>
      <c r="G3767">
        <v>5</v>
      </c>
      <c r="H3767" t="s">
        <v>26</v>
      </c>
      <c r="I3767" t="s">
        <v>423</v>
      </c>
      <c r="J3767" t="s">
        <v>505</v>
      </c>
      <c r="K3767" t="s">
        <v>4332</v>
      </c>
      <c r="L3767">
        <v>25</v>
      </c>
      <c r="M3767">
        <v>82</v>
      </c>
      <c r="N3767" s="2">
        <v>0.33</v>
      </c>
      <c r="O3767">
        <v>85</v>
      </c>
      <c r="P3767">
        <v>14.3</v>
      </c>
      <c r="Q3767">
        <v>1.19</v>
      </c>
      <c r="R3767">
        <v>30</v>
      </c>
    </row>
    <row r="3768" spans="1:19" x14ac:dyDescent="0.25">
      <c r="A3768" t="s">
        <v>4399</v>
      </c>
      <c r="B3768" s="1">
        <v>44573</v>
      </c>
      <c r="C3768" t="s">
        <v>4340</v>
      </c>
      <c r="D3768" t="s">
        <v>78</v>
      </c>
      <c r="E3768" t="s">
        <v>24</v>
      </c>
      <c r="F3768" t="s">
        <v>243</v>
      </c>
      <c r="G3768">
        <v>45</v>
      </c>
      <c r="H3768" t="s">
        <v>26</v>
      </c>
      <c r="I3768" t="s">
        <v>370</v>
      </c>
      <c r="J3768" t="s">
        <v>479</v>
      </c>
      <c r="K3768" t="s">
        <v>4400</v>
      </c>
      <c r="L3768">
        <v>283</v>
      </c>
      <c r="M3768">
        <v>105</v>
      </c>
      <c r="N3768" s="2">
        <v>0.37</v>
      </c>
      <c r="O3768">
        <v>86</v>
      </c>
      <c r="P3768">
        <v>16.27</v>
      </c>
      <c r="Q3768">
        <v>12.2</v>
      </c>
      <c r="R3768">
        <v>349</v>
      </c>
    </row>
    <row r="3769" spans="1:19" x14ac:dyDescent="0.25">
      <c r="A3769" t="s">
        <v>4401</v>
      </c>
      <c r="B3769" s="1">
        <v>44573</v>
      </c>
      <c r="C3769" t="s">
        <v>4402</v>
      </c>
      <c r="D3769" t="s">
        <v>78</v>
      </c>
      <c r="E3769" t="s">
        <v>24</v>
      </c>
      <c r="F3769" t="s">
        <v>323</v>
      </c>
      <c r="G3769">
        <v>5</v>
      </c>
      <c r="H3769" t="s">
        <v>26</v>
      </c>
      <c r="I3769" t="s">
        <v>358</v>
      </c>
      <c r="J3769" t="s">
        <v>359</v>
      </c>
      <c r="K3769" t="s">
        <v>4332</v>
      </c>
      <c r="L3769">
        <v>13</v>
      </c>
      <c r="M3769">
        <v>43</v>
      </c>
      <c r="N3769" s="2">
        <v>0.24</v>
      </c>
      <c r="O3769">
        <v>89</v>
      </c>
      <c r="P3769">
        <v>11.02</v>
      </c>
      <c r="Q3769">
        <v>0.92</v>
      </c>
      <c r="R3769">
        <v>16</v>
      </c>
    </row>
    <row r="3770" spans="1:19" x14ac:dyDescent="0.25">
      <c r="A3770" t="s">
        <v>4403</v>
      </c>
      <c r="B3770" s="1">
        <v>44573</v>
      </c>
      <c r="C3770" t="s">
        <v>4404</v>
      </c>
      <c r="D3770" t="s">
        <v>78</v>
      </c>
      <c r="E3770" t="s">
        <v>24</v>
      </c>
      <c r="F3770" t="s">
        <v>323</v>
      </c>
      <c r="G3770">
        <v>5</v>
      </c>
      <c r="H3770" t="s">
        <v>49</v>
      </c>
      <c r="I3770" t="s">
        <v>50</v>
      </c>
      <c r="J3770" t="s">
        <v>51</v>
      </c>
      <c r="K3770" t="s">
        <v>4332</v>
      </c>
      <c r="R3770">
        <v>12</v>
      </c>
    </row>
    <row r="3771" spans="1:19" x14ac:dyDescent="0.25">
      <c r="A3771" t="s">
        <v>4405</v>
      </c>
      <c r="B3771" s="1">
        <v>44573</v>
      </c>
      <c r="C3771" t="s">
        <v>3496</v>
      </c>
      <c r="D3771" t="s">
        <v>78</v>
      </c>
      <c r="E3771" t="s">
        <v>24</v>
      </c>
      <c r="F3771" t="s">
        <v>237</v>
      </c>
      <c r="G3771">
        <v>10</v>
      </c>
      <c r="H3771" t="s">
        <v>464</v>
      </c>
      <c r="I3771" t="s">
        <v>943</v>
      </c>
      <c r="J3771" t="s">
        <v>944</v>
      </c>
      <c r="K3771" t="s">
        <v>300</v>
      </c>
    </row>
    <row r="3772" spans="1:19" x14ac:dyDescent="0.25">
      <c r="A3772" t="s">
        <v>4484</v>
      </c>
      <c r="B3772" s="1">
        <v>44580</v>
      </c>
      <c r="C3772" t="s">
        <v>399</v>
      </c>
      <c r="D3772" t="s">
        <v>78</v>
      </c>
      <c r="E3772" t="s">
        <v>24</v>
      </c>
      <c r="F3772" t="s">
        <v>215</v>
      </c>
      <c r="G3772">
        <v>30</v>
      </c>
      <c r="H3772" t="s">
        <v>188</v>
      </c>
      <c r="I3772" t="s">
        <v>254</v>
      </c>
      <c r="J3772" t="s">
        <v>4013</v>
      </c>
      <c r="K3772" t="s">
        <v>4485</v>
      </c>
      <c r="R3772">
        <v>96</v>
      </c>
    </row>
    <row r="3773" spans="1:19" x14ac:dyDescent="0.25">
      <c r="A3773" t="s">
        <v>4486</v>
      </c>
      <c r="B3773" s="1">
        <v>44580</v>
      </c>
      <c r="C3773" t="s">
        <v>4343</v>
      </c>
      <c r="D3773" t="s">
        <v>78</v>
      </c>
      <c r="E3773" t="s">
        <v>24</v>
      </c>
      <c r="F3773" t="s">
        <v>323</v>
      </c>
      <c r="G3773">
        <v>45</v>
      </c>
      <c r="H3773" t="s">
        <v>26</v>
      </c>
      <c r="I3773" t="s">
        <v>370</v>
      </c>
      <c r="J3773" t="s">
        <v>479</v>
      </c>
      <c r="K3773" t="s">
        <v>3920</v>
      </c>
      <c r="L3773">
        <v>288</v>
      </c>
      <c r="M3773">
        <v>107</v>
      </c>
      <c r="N3773" s="2">
        <v>0.38</v>
      </c>
      <c r="O3773">
        <v>85</v>
      </c>
      <c r="P3773">
        <v>16.43</v>
      </c>
      <c r="Q3773">
        <v>12.32</v>
      </c>
      <c r="R3773">
        <v>355</v>
      </c>
    </row>
    <row r="3774" spans="1:19" x14ac:dyDescent="0.25">
      <c r="A3774" t="s">
        <v>4487</v>
      </c>
      <c r="B3774" s="1">
        <v>44580</v>
      </c>
      <c r="C3774" t="s">
        <v>4488</v>
      </c>
      <c r="D3774" t="s">
        <v>78</v>
      </c>
      <c r="E3774" t="s">
        <v>24</v>
      </c>
      <c r="F3774" t="s">
        <v>354</v>
      </c>
      <c r="G3774">
        <v>20</v>
      </c>
      <c r="H3774" t="s">
        <v>26</v>
      </c>
      <c r="I3774" t="s">
        <v>39</v>
      </c>
      <c r="J3774" t="s">
        <v>870</v>
      </c>
      <c r="K3774" t="s">
        <v>4489</v>
      </c>
      <c r="L3774">
        <v>96</v>
      </c>
      <c r="M3774">
        <v>80</v>
      </c>
      <c r="N3774" s="2">
        <v>0.38</v>
      </c>
      <c r="O3774">
        <v>74</v>
      </c>
      <c r="P3774">
        <v>14.72</v>
      </c>
      <c r="Q3774">
        <v>4.91</v>
      </c>
      <c r="R3774">
        <v>119</v>
      </c>
    </row>
    <row r="3775" spans="1:19" x14ac:dyDescent="0.25">
      <c r="A3775" t="s">
        <v>4490</v>
      </c>
      <c r="B3775" s="1">
        <v>44580</v>
      </c>
      <c r="C3775" t="s">
        <v>3590</v>
      </c>
      <c r="D3775" t="s">
        <v>78</v>
      </c>
      <c r="E3775" t="s">
        <v>24</v>
      </c>
      <c r="F3775" t="s">
        <v>2256</v>
      </c>
      <c r="G3775">
        <v>5</v>
      </c>
      <c r="H3775" t="s">
        <v>194</v>
      </c>
      <c r="I3775" t="s">
        <v>195</v>
      </c>
      <c r="J3775" t="s">
        <v>196</v>
      </c>
      <c r="K3775" t="s">
        <v>4491</v>
      </c>
      <c r="R3775">
        <v>23</v>
      </c>
    </row>
    <row r="3776" spans="1:19" x14ac:dyDescent="0.25">
      <c r="A3776" t="s">
        <v>4492</v>
      </c>
      <c r="B3776" s="1">
        <v>44580</v>
      </c>
      <c r="C3776" t="s">
        <v>4493</v>
      </c>
      <c r="D3776" t="s">
        <v>78</v>
      </c>
      <c r="E3776" t="s">
        <v>24</v>
      </c>
      <c r="F3776" t="s">
        <v>554</v>
      </c>
      <c r="G3776">
        <v>5</v>
      </c>
      <c r="H3776" t="s">
        <v>49</v>
      </c>
      <c r="I3776" t="s">
        <v>50</v>
      </c>
      <c r="J3776" t="s">
        <v>51</v>
      </c>
      <c r="K3776" t="s">
        <v>4494</v>
      </c>
      <c r="R3776">
        <v>11</v>
      </c>
    </row>
    <row r="3777" spans="1:19" x14ac:dyDescent="0.25">
      <c r="A3777" t="s">
        <v>4495</v>
      </c>
      <c r="B3777" s="1">
        <v>44580</v>
      </c>
      <c r="C3777" t="s">
        <v>251</v>
      </c>
      <c r="D3777" t="s">
        <v>78</v>
      </c>
      <c r="E3777" t="s">
        <v>24</v>
      </c>
      <c r="F3777" t="s">
        <v>200</v>
      </c>
      <c r="G3777">
        <v>20</v>
      </c>
      <c r="H3777" t="s">
        <v>464</v>
      </c>
      <c r="I3777" t="s">
        <v>763</v>
      </c>
      <c r="J3777" t="s">
        <v>1335</v>
      </c>
      <c r="K3777" t="s">
        <v>4496</v>
      </c>
    </row>
    <row r="3778" spans="1:19" x14ac:dyDescent="0.25">
      <c r="A3778" t="s">
        <v>4562</v>
      </c>
      <c r="B3778" s="1">
        <v>44587</v>
      </c>
      <c r="C3778" t="s">
        <v>538</v>
      </c>
      <c r="D3778" t="s">
        <v>78</v>
      </c>
      <c r="E3778" t="s">
        <v>24</v>
      </c>
      <c r="F3778" t="s">
        <v>215</v>
      </c>
      <c r="G3778">
        <v>30</v>
      </c>
      <c r="H3778" t="s">
        <v>188</v>
      </c>
      <c r="I3778" t="s">
        <v>189</v>
      </c>
      <c r="J3778" t="s">
        <v>3149</v>
      </c>
      <c r="K3778" t="s">
        <v>4563</v>
      </c>
      <c r="R3778">
        <v>95</v>
      </c>
    </row>
    <row r="3779" spans="1:19" x14ac:dyDescent="0.25">
      <c r="A3779" t="s">
        <v>4564</v>
      </c>
      <c r="B3779" s="1">
        <v>44587</v>
      </c>
      <c r="C3779" t="s">
        <v>4565</v>
      </c>
      <c r="D3779" t="s">
        <v>78</v>
      </c>
      <c r="E3779" t="s">
        <v>24</v>
      </c>
      <c r="F3779" t="s">
        <v>1203</v>
      </c>
      <c r="G3779">
        <v>30</v>
      </c>
      <c r="H3779" t="s">
        <v>1856</v>
      </c>
      <c r="I3779" t="s">
        <v>1857</v>
      </c>
      <c r="J3779" t="s">
        <v>3734</v>
      </c>
      <c r="K3779" t="s">
        <v>4566</v>
      </c>
      <c r="L3779">
        <v>0</v>
      </c>
      <c r="P3779">
        <v>0</v>
      </c>
      <c r="Q3779">
        <v>0</v>
      </c>
      <c r="R3779">
        <v>99</v>
      </c>
    </row>
    <row r="3780" spans="1:19" x14ac:dyDescent="0.25">
      <c r="A3780" t="s">
        <v>4567</v>
      </c>
      <c r="B3780" s="1">
        <v>44587</v>
      </c>
      <c r="C3780" t="s">
        <v>4568</v>
      </c>
      <c r="D3780" t="s">
        <v>78</v>
      </c>
      <c r="E3780" t="s">
        <v>24</v>
      </c>
      <c r="F3780" t="s">
        <v>554</v>
      </c>
      <c r="G3780">
        <v>5</v>
      </c>
      <c r="H3780" t="s">
        <v>26</v>
      </c>
      <c r="I3780" t="s">
        <v>423</v>
      </c>
      <c r="J3780" t="s">
        <v>505</v>
      </c>
      <c r="K3780" t="s">
        <v>4569</v>
      </c>
      <c r="L3780">
        <v>22</v>
      </c>
      <c r="M3780">
        <v>74</v>
      </c>
      <c r="N3780" s="2">
        <v>0.3</v>
      </c>
      <c r="O3780">
        <v>93</v>
      </c>
      <c r="P3780">
        <v>14.26</v>
      </c>
      <c r="Q3780">
        <v>1.19</v>
      </c>
      <c r="R3780">
        <v>27</v>
      </c>
    </row>
    <row r="3781" spans="1:19" x14ac:dyDescent="0.25">
      <c r="A3781" t="s">
        <v>4570</v>
      </c>
      <c r="B3781" s="1">
        <v>44587</v>
      </c>
      <c r="C3781" t="s">
        <v>4571</v>
      </c>
      <c r="D3781" t="s">
        <v>78</v>
      </c>
      <c r="E3781" t="s">
        <v>24</v>
      </c>
      <c r="F3781" t="s">
        <v>323</v>
      </c>
      <c r="G3781">
        <v>45</v>
      </c>
      <c r="H3781" t="s">
        <v>26</v>
      </c>
      <c r="I3781" t="s">
        <v>370</v>
      </c>
      <c r="J3781" t="s">
        <v>479</v>
      </c>
      <c r="K3781" t="s">
        <v>4572</v>
      </c>
      <c r="L3781">
        <v>296</v>
      </c>
      <c r="M3781">
        <v>109</v>
      </c>
      <c r="N3781" s="2">
        <v>0.38</v>
      </c>
      <c r="O3781">
        <v>86</v>
      </c>
      <c r="P3781">
        <v>16.579999999999998</v>
      </c>
      <c r="Q3781">
        <v>12.43</v>
      </c>
      <c r="R3781">
        <v>364</v>
      </c>
    </row>
    <row r="3782" spans="1:19" x14ac:dyDescent="0.25">
      <c r="A3782" t="s">
        <v>4573</v>
      </c>
      <c r="B3782" s="1">
        <v>44587</v>
      </c>
      <c r="C3782" t="s">
        <v>4574</v>
      </c>
      <c r="D3782" t="s">
        <v>78</v>
      </c>
      <c r="E3782" t="s">
        <v>24</v>
      </c>
      <c r="F3782" t="s">
        <v>180</v>
      </c>
      <c r="G3782">
        <v>5</v>
      </c>
      <c r="H3782" t="s">
        <v>26</v>
      </c>
      <c r="I3782" t="s">
        <v>358</v>
      </c>
      <c r="J3782" t="s">
        <v>359</v>
      </c>
      <c r="K3782" t="s">
        <v>4575</v>
      </c>
      <c r="L3782">
        <v>22</v>
      </c>
      <c r="M3782">
        <v>74</v>
      </c>
      <c r="N3782" s="2">
        <v>0.34</v>
      </c>
      <c r="O3782">
        <v>80</v>
      </c>
      <c r="P3782">
        <v>14.26</v>
      </c>
      <c r="Q3782">
        <v>1.19</v>
      </c>
      <c r="R3782">
        <v>28</v>
      </c>
    </row>
    <row r="3783" spans="1:19" x14ac:dyDescent="0.25">
      <c r="A3783" t="s">
        <v>4576</v>
      </c>
      <c r="B3783" s="1">
        <v>44587</v>
      </c>
      <c r="C3783" t="s">
        <v>4577</v>
      </c>
      <c r="D3783" t="s">
        <v>78</v>
      </c>
      <c r="E3783" t="s">
        <v>24</v>
      </c>
      <c r="F3783" t="s">
        <v>768</v>
      </c>
      <c r="G3783">
        <v>10</v>
      </c>
      <c r="H3783" t="s">
        <v>194</v>
      </c>
      <c r="I3783" t="s">
        <v>700</v>
      </c>
      <c r="J3783" t="s">
        <v>1282</v>
      </c>
      <c r="K3783" t="s">
        <v>4578</v>
      </c>
      <c r="R3783">
        <v>46</v>
      </c>
    </row>
    <row r="3784" spans="1:19" x14ac:dyDescent="0.25">
      <c r="A3784" t="s">
        <v>4579</v>
      </c>
      <c r="B3784" s="1">
        <v>44587</v>
      </c>
      <c r="C3784" t="s">
        <v>3539</v>
      </c>
      <c r="D3784" t="s">
        <v>78</v>
      </c>
      <c r="E3784" t="s">
        <v>24</v>
      </c>
      <c r="F3784" t="s">
        <v>180</v>
      </c>
      <c r="G3784">
        <v>5</v>
      </c>
      <c r="H3784" t="s">
        <v>194</v>
      </c>
      <c r="I3784" t="s">
        <v>195</v>
      </c>
      <c r="J3784" t="s">
        <v>196</v>
      </c>
      <c r="K3784" t="s">
        <v>4524</v>
      </c>
      <c r="R3784">
        <v>23</v>
      </c>
    </row>
    <row r="3785" spans="1:19" x14ac:dyDescent="0.25">
      <c r="A3785" t="s">
        <v>4580</v>
      </c>
      <c r="B3785" s="1">
        <v>44587</v>
      </c>
      <c r="C3785" t="s">
        <v>1491</v>
      </c>
      <c r="D3785" t="s">
        <v>78</v>
      </c>
      <c r="E3785" t="s">
        <v>24</v>
      </c>
      <c r="F3785" t="s">
        <v>200</v>
      </c>
      <c r="G3785">
        <v>20</v>
      </c>
      <c r="H3785" t="s">
        <v>464</v>
      </c>
      <c r="I3785" t="s">
        <v>579</v>
      </c>
      <c r="J3785" t="s">
        <v>1311</v>
      </c>
      <c r="K3785" t="s">
        <v>4581</v>
      </c>
    </row>
    <row r="3786" spans="1:19" x14ac:dyDescent="0.25">
      <c r="A3786" t="s">
        <v>4652</v>
      </c>
      <c r="B3786" s="1">
        <v>44594</v>
      </c>
      <c r="C3786" t="s">
        <v>1107</v>
      </c>
      <c r="D3786" t="s">
        <v>78</v>
      </c>
      <c r="E3786" t="s">
        <v>24</v>
      </c>
      <c r="F3786" t="s">
        <v>243</v>
      </c>
      <c r="G3786">
        <v>30</v>
      </c>
      <c r="H3786" t="s">
        <v>188</v>
      </c>
      <c r="I3786" t="s">
        <v>189</v>
      </c>
      <c r="J3786" t="s">
        <v>4653</v>
      </c>
      <c r="K3786" t="s">
        <v>4654</v>
      </c>
      <c r="R3786">
        <v>96</v>
      </c>
    </row>
    <row r="3787" spans="1:19" x14ac:dyDescent="0.25">
      <c r="A3787" t="s">
        <v>4655</v>
      </c>
      <c r="B3787" s="1">
        <v>44594</v>
      </c>
      <c r="C3787" t="s">
        <v>58</v>
      </c>
      <c r="D3787" t="s">
        <v>78</v>
      </c>
      <c r="E3787" t="s">
        <v>24</v>
      </c>
      <c r="F3787" t="s">
        <v>1203</v>
      </c>
      <c r="G3787">
        <v>45</v>
      </c>
      <c r="H3787" t="s">
        <v>1856</v>
      </c>
      <c r="I3787" t="s">
        <v>2096</v>
      </c>
      <c r="J3787" t="s">
        <v>4587</v>
      </c>
      <c r="K3787" t="s">
        <v>4656</v>
      </c>
      <c r="L3787">
        <v>0</v>
      </c>
      <c r="P3787">
        <v>0</v>
      </c>
      <c r="Q3787">
        <v>0</v>
      </c>
      <c r="R3787">
        <v>258</v>
      </c>
      <c r="S3787">
        <v>122.59</v>
      </c>
    </row>
    <row r="3788" spans="1:19" x14ac:dyDescent="0.25">
      <c r="A3788" t="s">
        <v>4657</v>
      </c>
      <c r="B3788" s="1">
        <v>44594</v>
      </c>
      <c r="C3788" t="s">
        <v>4658</v>
      </c>
      <c r="D3788" t="s">
        <v>78</v>
      </c>
      <c r="E3788" t="s">
        <v>24</v>
      </c>
      <c r="F3788" t="s">
        <v>180</v>
      </c>
      <c r="G3788">
        <v>5</v>
      </c>
      <c r="H3788" t="s">
        <v>194</v>
      </c>
      <c r="I3788" t="s">
        <v>195</v>
      </c>
      <c r="J3788" t="s">
        <v>196</v>
      </c>
      <c r="K3788" t="s">
        <v>4540</v>
      </c>
      <c r="R3788">
        <v>23</v>
      </c>
    </row>
    <row r="3789" spans="1:19" x14ac:dyDescent="0.25">
      <c r="A3789" t="s">
        <v>4659</v>
      </c>
      <c r="B3789" s="1">
        <v>44594</v>
      </c>
      <c r="C3789" t="s">
        <v>3653</v>
      </c>
      <c r="D3789" t="s">
        <v>78</v>
      </c>
      <c r="E3789" t="s">
        <v>24</v>
      </c>
      <c r="F3789" t="s">
        <v>323</v>
      </c>
      <c r="G3789">
        <v>20</v>
      </c>
      <c r="H3789" t="s">
        <v>26</v>
      </c>
      <c r="I3789" t="s">
        <v>39</v>
      </c>
      <c r="J3789" t="s">
        <v>870</v>
      </c>
      <c r="K3789" t="s">
        <v>4660</v>
      </c>
      <c r="L3789">
        <v>91</v>
      </c>
      <c r="M3789">
        <v>75</v>
      </c>
      <c r="N3789" s="2">
        <v>0.34</v>
      </c>
      <c r="O3789">
        <v>81</v>
      </c>
      <c r="P3789">
        <v>14.37</v>
      </c>
      <c r="Q3789">
        <v>4.79</v>
      </c>
      <c r="R3789">
        <v>112</v>
      </c>
    </row>
    <row r="3790" spans="1:19" x14ac:dyDescent="0.25">
      <c r="A3790" t="s">
        <v>4661</v>
      </c>
      <c r="B3790" s="1">
        <v>44594</v>
      </c>
      <c r="C3790" t="s">
        <v>2049</v>
      </c>
      <c r="D3790" t="s">
        <v>78</v>
      </c>
      <c r="E3790" t="s">
        <v>24</v>
      </c>
      <c r="F3790" t="s">
        <v>237</v>
      </c>
      <c r="G3790">
        <v>20</v>
      </c>
      <c r="H3790" t="s">
        <v>464</v>
      </c>
      <c r="I3790" t="s">
        <v>763</v>
      </c>
      <c r="J3790" t="s">
        <v>1385</v>
      </c>
      <c r="K3790" t="s">
        <v>4662</v>
      </c>
    </row>
    <row r="3791" spans="1:19" x14ac:dyDescent="0.25">
      <c r="A3791" t="s">
        <v>4734</v>
      </c>
      <c r="B3791" s="1">
        <v>44601</v>
      </c>
      <c r="C3791" t="s">
        <v>4735</v>
      </c>
      <c r="D3791" t="s">
        <v>78</v>
      </c>
      <c r="E3791" t="s">
        <v>24</v>
      </c>
      <c r="F3791" t="s">
        <v>243</v>
      </c>
      <c r="G3791">
        <v>10</v>
      </c>
      <c r="H3791" t="s">
        <v>188</v>
      </c>
      <c r="I3791" t="s">
        <v>189</v>
      </c>
      <c r="J3791" t="s">
        <v>564</v>
      </c>
      <c r="K3791" t="s">
        <v>4736</v>
      </c>
      <c r="R3791">
        <v>33</v>
      </c>
    </row>
    <row r="3792" spans="1:19" x14ac:dyDescent="0.25">
      <c r="A3792" t="s">
        <v>4737</v>
      </c>
      <c r="B3792" s="1">
        <v>44601</v>
      </c>
      <c r="C3792" t="s">
        <v>4726</v>
      </c>
      <c r="D3792" t="s">
        <v>78</v>
      </c>
      <c r="E3792" t="s">
        <v>24</v>
      </c>
      <c r="F3792" t="s">
        <v>1203</v>
      </c>
      <c r="G3792">
        <v>30</v>
      </c>
      <c r="H3792" t="s">
        <v>1856</v>
      </c>
      <c r="I3792" t="s">
        <v>2096</v>
      </c>
      <c r="J3792" t="s">
        <v>4039</v>
      </c>
      <c r="K3792" t="s">
        <v>4738</v>
      </c>
      <c r="L3792">
        <v>0</v>
      </c>
      <c r="P3792">
        <v>0</v>
      </c>
      <c r="Q3792">
        <v>0</v>
      </c>
      <c r="R3792">
        <v>110</v>
      </c>
    </row>
    <row r="3793" spans="1:18" x14ac:dyDescent="0.25">
      <c r="A3793" t="s">
        <v>4739</v>
      </c>
      <c r="B3793" s="1">
        <v>44601</v>
      </c>
      <c r="C3793" t="s">
        <v>4177</v>
      </c>
      <c r="D3793" t="s">
        <v>78</v>
      </c>
      <c r="E3793" t="s">
        <v>24</v>
      </c>
      <c r="F3793" t="s">
        <v>180</v>
      </c>
      <c r="G3793">
        <v>10</v>
      </c>
      <c r="H3793" t="s">
        <v>194</v>
      </c>
      <c r="I3793" t="s">
        <v>195</v>
      </c>
      <c r="J3793" t="s">
        <v>211</v>
      </c>
      <c r="K3793" t="s">
        <v>4524</v>
      </c>
      <c r="R3793">
        <v>46</v>
      </c>
    </row>
    <row r="3794" spans="1:18" x14ac:dyDescent="0.25">
      <c r="A3794" t="s">
        <v>4740</v>
      </c>
      <c r="B3794" s="1">
        <v>44601</v>
      </c>
      <c r="C3794" t="s">
        <v>3919</v>
      </c>
      <c r="D3794" t="s">
        <v>78</v>
      </c>
      <c r="E3794" t="s">
        <v>24</v>
      </c>
      <c r="F3794" t="s">
        <v>180</v>
      </c>
      <c r="G3794">
        <v>5</v>
      </c>
      <c r="H3794" t="s">
        <v>194</v>
      </c>
      <c r="I3794" t="s">
        <v>195</v>
      </c>
      <c r="J3794" t="s">
        <v>196</v>
      </c>
      <c r="K3794" t="s">
        <v>4524</v>
      </c>
      <c r="R3794">
        <v>23</v>
      </c>
    </row>
    <row r="3795" spans="1:18" x14ac:dyDescent="0.25">
      <c r="A3795" t="s">
        <v>4741</v>
      </c>
      <c r="B3795" s="1">
        <v>44601</v>
      </c>
      <c r="C3795" t="s">
        <v>3959</v>
      </c>
      <c r="D3795" t="s">
        <v>78</v>
      </c>
      <c r="E3795" t="s">
        <v>24</v>
      </c>
      <c r="F3795" t="s">
        <v>323</v>
      </c>
      <c r="G3795">
        <v>30</v>
      </c>
      <c r="H3795" t="s">
        <v>26</v>
      </c>
      <c r="I3795" t="s">
        <v>370</v>
      </c>
      <c r="J3795" t="s">
        <v>1206</v>
      </c>
      <c r="K3795" t="s">
        <v>4742</v>
      </c>
      <c r="L3795">
        <v>166</v>
      </c>
      <c r="M3795">
        <v>92</v>
      </c>
      <c r="N3795" s="2">
        <v>0.35</v>
      </c>
      <c r="O3795">
        <v>86</v>
      </c>
      <c r="P3795">
        <v>15.48</v>
      </c>
      <c r="Q3795">
        <v>7.74</v>
      </c>
      <c r="R3795">
        <v>205</v>
      </c>
    </row>
    <row r="3796" spans="1:18" x14ac:dyDescent="0.25">
      <c r="A3796" t="s">
        <v>4743</v>
      </c>
      <c r="B3796" s="1">
        <v>44601</v>
      </c>
      <c r="C3796" t="s">
        <v>3941</v>
      </c>
      <c r="D3796" t="s">
        <v>78</v>
      </c>
      <c r="E3796" t="s">
        <v>24</v>
      </c>
      <c r="F3796" t="s">
        <v>323</v>
      </c>
      <c r="G3796">
        <v>5</v>
      </c>
      <c r="H3796" t="s">
        <v>49</v>
      </c>
      <c r="I3796" t="s">
        <v>50</v>
      </c>
      <c r="J3796" t="s">
        <v>51</v>
      </c>
      <c r="K3796" t="s">
        <v>4332</v>
      </c>
      <c r="R3796">
        <v>11</v>
      </c>
    </row>
    <row r="3797" spans="1:18" x14ac:dyDescent="0.25">
      <c r="A3797" t="s">
        <v>4744</v>
      </c>
      <c r="B3797" s="1">
        <v>44601</v>
      </c>
      <c r="C3797" t="s">
        <v>913</v>
      </c>
      <c r="D3797" t="s">
        <v>78</v>
      </c>
      <c r="E3797" t="s">
        <v>24</v>
      </c>
      <c r="F3797" t="s">
        <v>215</v>
      </c>
      <c r="G3797">
        <v>20</v>
      </c>
      <c r="H3797" t="s">
        <v>464</v>
      </c>
      <c r="I3797" t="s">
        <v>763</v>
      </c>
      <c r="J3797" t="s">
        <v>1385</v>
      </c>
      <c r="K3797" t="s">
        <v>4745</v>
      </c>
    </row>
    <row r="3798" spans="1:18" x14ac:dyDescent="0.25">
      <c r="A3798" t="s">
        <v>4822</v>
      </c>
      <c r="B3798" s="1">
        <v>44608</v>
      </c>
      <c r="C3798" t="s">
        <v>3327</v>
      </c>
      <c r="D3798" t="s">
        <v>78</v>
      </c>
      <c r="E3798" t="s">
        <v>24</v>
      </c>
      <c r="F3798" t="s">
        <v>180</v>
      </c>
      <c r="G3798">
        <v>5</v>
      </c>
      <c r="H3798" t="s">
        <v>194</v>
      </c>
      <c r="I3798" t="s">
        <v>195</v>
      </c>
      <c r="J3798" t="s">
        <v>196</v>
      </c>
      <c r="K3798" t="s">
        <v>4540</v>
      </c>
      <c r="R3798">
        <v>23</v>
      </c>
    </row>
    <row r="3799" spans="1:18" x14ac:dyDescent="0.25">
      <c r="A3799" t="s">
        <v>4823</v>
      </c>
      <c r="B3799" s="1">
        <v>44608</v>
      </c>
      <c r="C3799" t="s">
        <v>2850</v>
      </c>
      <c r="D3799" t="s">
        <v>78</v>
      </c>
      <c r="E3799" t="s">
        <v>24</v>
      </c>
      <c r="F3799" t="s">
        <v>243</v>
      </c>
      <c r="G3799">
        <v>30</v>
      </c>
      <c r="H3799" t="s">
        <v>188</v>
      </c>
      <c r="I3799" t="s">
        <v>189</v>
      </c>
      <c r="J3799" t="s">
        <v>3149</v>
      </c>
      <c r="K3799" t="s">
        <v>4824</v>
      </c>
      <c r="R3799">
        <v>96</v>
      </c>
    </row>
    <row r="3800" spans="1:18" x14ac:dyDescent="0.25">
      <c r="A3800" t="s">
        <v>4825</v>
      </c>
      <c r="B3800" s="1">
        <v>44608</v>
      </c>
      <c r="C3800" t="s">
        <v>4690</v>
      </c>
      <c r="D3800" t="s">
        <v>78</v>
      </c>
      <c r="E3800" t="s">
        <v>24</v>
      </c>
      <c r="F3800" t="s">
        <v>323</v>
      </c>
      <c r="G3800">
        <v>45</v>
      </c>
      <c r="H3800" t="s">
        <v>26</v>
      </c>
      <c r="I3800" t="s">
        <v>370</v>
      </c>
      <c r="J3800" t="s">
        <v>439</v>
      </c>
      <c r="K3800" t="s">
        <v>4826</v>
      </c>
      <c r="L3800">
        <v>282</v>
      </c>
      <c r="M3800">
        <v>104</v>
      </c>
      <c r="N3800" s="2">
        <v>0.37</v>
      </c>
      <c r="O3800">
        <v>86</v>
      </c>
      <c r="P3800">
        <v>16.399999999999999</v>
      </c>
      <c r="Q3800">
        <v>12.3</v>
      </c>
      <c r="R3800">
        <v>347</v>
      </c>
    </row>
    <row r="3801" spans="1:18" x14ac:dyDescent="0.25">
      <c r="A3801" t="s">
        <v>4827</v>
      </c>
      <c r="B3801" s="1">
        <v>44608</v>
      </c>
      <c r="C3801" t="s">
        <v>3723</v>
      </c>
      <c r="D3801" t="s">
        <v>78</v>
      </c>
      <c r="E3801" t="s">
        <v>24</v>
      </c>
      <c r="F3801" t="s">
        <v>33</v>
      </c>
      <c r="G3801">
        <v>5</v>
      </c>
      <c r="H3801" t="s">
        <v>26</v>
      </c>
      <c r="I3801" t="s">
        <v>358</v>
      </c>
      <c r="J3801" t="s">
        <v>359</v>
      </c>
      <c r="K3801" t="s">
        <v>4819</v>
      </c>
      <c r="L3801">
        <v>18</v>
      </c>
      <c r="M3801">
        <v>62</v>
      </c>
      <c r="N3801" s="2">
        <v>0.3</v>
      </c>
      <c r="O3801">
        <v>84</v>
      </c>
      <c r="P3801">
        <v>13.19</v>
      </c>
      <c r="Q3801">
        <v>1.1000000000000001</v>
      </c>
      <c r="R3801">
        <v>23</v>
      </c>
    </row>
    <row r="3802" spans="1:18" x14ac:dyDescent="0.25">
      <c r="A3802" t="s">
        <v>4828</v>
      </c>
      <c r="B3802" s="1">
        <v>44608</v>
      </c>
      <c r="C3802" t="s">
        <v>3962</v>
      </c>
      <c r="D3802" t="s">
        <v>78</v>
      </c>
      <c r="E3802" t="s">
        <v>24</v>
      </c>
      <c r="F3802" t="s">
        <v>747</v>
      </c>
      <c r="G3802">
        <v>5</v>
      </c>
      <c r="H3802" t="s">
        <v>49</v>
      </c>
      <c r="I3802" t="s">
        <v>50</v>
      </c>
      <c r="J3802" t="s">
        <v>51</v>
      </c>
      <c r="K3802" t="s">
        <v>4829</v>
      </c>
      <c r="R3802">
        <v>11</v>
      </c>
    </row>
    <row r="3803" spans="1:18" x14ac:dyDescent="0.25">
      <c r="A3803" t="s">
        <v>4830</v>
      </c>
      <c r="B3803" s="1">
        <v>44608</v>
      </c>
      <c r="C3803" t="s">
        <v>1637</v>
      </c>
      <c r="D3803" t="s">
        <v>78</v>
      </c>
      <c r="E3803" t="s">
        <v>24</v>
      </c>
      <c r="F3803" t="s">
        <v>215</v>
      </c>
      <c r="G3803">
        <v>20</v>
      </c>
      <c r="H3803" t="s">
        <v>464</v>
      </c>
      <c r="I3803" t="s">
        <v>943</v>
      </c>
      <c r="J3803" t="s">
        <v>1347</v>
      </c>
      <c r="K3803" t="s">
        <v>4831</v>
      </c>
    </row>
    <row r="3804" spans="1:18" x14ac:dyDescent="0.25">
      <c r="A3804" t="s">
        <v>4887</v>
      </c>
      <c r="B3804" s="1">
        <v>44615</v>
      </c>
      <c r="C3804" t="s">
        <v>4888</v>
      </c>
      <c r="D3804" t="s">
        <v>78</v>
      </c>
      <c r="E3804" t="s">
        <v>24</v>
      </c>
      <c r="F3804" t="s">
        <v>231</v>
      </c>
      <c r="G3804">
        <v>30</v>
      </c>
      <c r="H3804" t="s">
        <v>1856</v>
      </c>
      <c r="I3804" t="s">
        <v>1857</v>
      </c>
      <c r="J3804" t="s">
        <v>4889</v>
      </c>
      <c r="K3804" t="s">
        <v>4656</v>
      </c>
      <c r="L3804">
        <v>0</v>
      </c>
      <c r="P3804">
        <v>0</v>
      </c>
      <c r="Q3804">
        <v>0</v>
      </c>
      <c r="R3804">
        <v>102</v>
      </c>
    </row>
    <row r="3805" spans="1:18" x14ac:dyDescent="0.25">
      <c r="A3805" t="s">
        <v>4890</v>
      </c>
      <c r="B3805" s="1">
        <v>44615</v>
      </c>
      <c r="C3805" t="s">
        <v>4404</v>
      </c>
      <c r="D3805" t="s">
        <v>78</v>
      </c>
      <c r="E3805" t="s">
        <v>24</v>
      </c>
      <c r="F3805" t="s">
        <v>243</v>
      </c>
      <c r="G3805">
        <v>45</v>
      </c>
      <c r="H3805" t="s">
        <v>26</v>
      </c>
      <c r="I3805" t="s">
        <v>370</v>
      </c>
      <c r="J3805" t="s">
        <v>439</v>
      </c>
      <c r="K3805" t="s">
        <v>4891</v>
      </c>
      <c r="L3805">
        <v>270</v>
      </c>
      <c r="M3805">
        <v>100</v>
      </c>
      <c r="N3805" s="2">
        <v>0.37</v>
      </c>
      <c r="O3805">
        <v>85</v>
      </c>
      <c r="P3805">
        <v>16.04</v>
      </c>
      <c r="Q3805">
        <v>12.03</v>
      </c>
      <c r="R3805">
        <v>333</v>
      </c>
    </row>
    <row r="3806" spans="1:18" x14ac:dyDescent="0.25">
      <c r="A3806" t="s">
        <v>4892</v>
      </c>
      <c r="B3806" s="1">
        <v>44615</v>
      </c>
      <c r="C3806" t="s">
        <v>4893</v>
      </c>
      <c r="D3806" t="s">
        <v>78</v>
      </c>
      <c r="E3806" t="s">
        <v>24</v>
      </c>
      <c r="F3806" t="s">
        <v>554</v>
      </c>
      <c r="G3806">
        <v>10</v>
      </c>
      <c r="H3806" t="s">
        <v>194</v>
      </c>
      <c r="I3806" t="s">
        <v>700</v>
      </c>
      <c r="J3806" t="s">
        <v>1282</v>
      </c>
      <c r="K3806" t="s">
        <v>4894</v>
      </c>
      <c r="R3806">
        <v>46</v>
      </c>
    </row>
    <row r="3807" spans="1:18" x14ac:dyDescent="0.25">
      <c r="A3807" t="s">
        <v>4895</v>
      </c>
      <c r="B3807" s="1">
        <v>44615</v>
      </c>
      <c r="C3807" t="s">
        <v>207</v>
      </c>
      <c r="D3807" t="s">
        <v>78</v>
      </c>
      <c r="E3807" t="s">
        <v>24</v>
      </c>
      <c r="F3807" t="s">
        <v>2256</v>
      </c>
      <c r="G3807">
        <v>10</v>
      </c>
      <c r="H3807" t="s">
        <v>194</v>
      </c>
      <c r="I3807" t="s">
        <v>195</v>
      </c>
      <c r="J3807" t="s">
        <v>211</v>
      </c>
      <c r="K3807" t="s">
        <v>4896</v>
      </c>
      <c r="R3807">
        <v>44</v>
      </c>
    </row>
    <row r="3808" spans="1:18" x14ac:dyDescent="0.25">
      <c r="A3808" t="s">
        <v>4897</v>
      </c>
      <c r="B3808" s="1">
        <v>44615</v>
      </c>
      <c r="C3808" t="s">
        <v>2883</v>
      </c>
      <c r="D3808" t="s">
        <v>78</v>
      </c>
      <c r="E3808" t="s">
        <v>24</v>
      </c>
      <c r="F3808" t="s">
        <v>215</v>
      </c>
      <c r="G3808">
        <v>30</v>
      </c>
      <c r="H3808" t="s">
        <v>188</v>
      </c>
      <c r="I3808" t="s">
        <v>189</v>
      </c>
      <c r="J3808" t="s">
        <v>898</v>
      </c>
      <c r="K3808" t="s">
        <v>4898</v>
      </c>
      <c r="R3808">
        <v>98</v>
      </c>
    </row>
    <row r="3809" spans="1:19" x14ac:dyDescent="0.25">
      <c r="A3809" t="s">
        <v>4899</v>
      </c>
      <c r="B3809" s="1">
        <v>44615</v>
      </c>
      <c r="C3809" t="s">
        <v>3464</v>
      </c>
      <c r="D3809" t="s">
        <v>78</v>
      </c>
      <c r="E3809" t="s">
        <v>24</v>
      </c>
      <c r="F3809" t="s">
        <v>208</v>
      </c>
      <c r="G3809">
        <v>20</v>
      </c>
      <c r="H3809" t="s">
        <v>464</v>
      </c>
      <c r="I3809" t="s">
        <v>943</v>
      </c>
      <c r="J3809" t="s">
        <v>1347</v>
      </c>
      <c r="K3809" t="s">
        <v>4900</v>
      </c>
    </row>
    <row r="3810" spans="1:19" x14ac:dyDescent="0.25">
      <c r="A3810" t="s">
        <v>4974</v>
      </c>
      <c r="B3810" s="1">
        <v>44622</v>
      </c>
      <c r="C3810" t="s">
        <v>536</v>
      </c>
      <c r="D3810" t="s">
        <v>78</v>
      </c>
      <c r="E3810" t="s">
        <v>24</v>
      </c>
      <c r="F3810" t="s">
        <v>200</v>
      </c>
      <c r="G3810">
        <v>30</v>
      </c>
      <c r="H3810" t="s">
        <v>188</v>
      </c>
      <c r="I3810" t="s">
        <v>254</v>
      </c>
      <c r="J3810" t="s">
        <v>255</v>
      </c>
      <c r="K3810" t="s">
        <v>4975</v>
      </c>
      <c r="R3810">
        <v>95</v>
      </c>
    </row>
    <row r="3811" spans="1:19" x14ac:dyDescent="0.25">
      <c r="A3811" t="s">
        <v>4976</v>
      </c>
      <c r="B3811" s="1">
        <v>44622</v>
      </c>
      <c r="C3811" t="s">
        <v>1373</v>
      </c>
      <c r="D3811" t="s">
        <v>78</v>
      </c>
      <c r="E3811" t="s">
        <v>24</v>
      </c>
      <c r="F3811" t="s">
        <v>208</v>
      </c>
      <c r="G3811">
        <v>5</v>
      </c>
      <c r="H3811" t="s">
        <v>464</v>
      </c>
      <c r="I3811" t="s">
        <v>579</v>
      </c>
      <c r="J3811" t="s">
        <v>2129</v>
      </c>
      <c r="K3811" t="s">
        <v>4977</v>
      </c>
    </row>
    <row r="3812" spans="1:19" x14ac:dyDescent="0.25">
      <c r="A3812" t="s">
        <v>4978</v>
      </c>
      <c r="B3812" s="1">
        <v>44622</v>
      </c>
      <c r="C3812" t="s">
        <v>3959</v>
      </c>
      <c r="D3812" t="s">
        <v>78</v>
      </c>
      <c r="E3812" t="s">
        <v>24</v>
      </c>
      <c r="F3812" t="s">
        <v>768</v>
      </c>
      <c r="G3812">
        <v>5</v>
      </c>
      <c r="H3812" t="s">
        <v>26</v>
      </c>
      <c r="I3812" t="s">
        <v>423</v>
      </c>
      <c r="J3812" t="s">
        <v>505</v>
      </c>
      <c r="K3812" t="s">
        <v>4979</v>
      </c>
      <c r="L3812">
        <v>23</v>
      </c>
      <c r="M3812">
        <v>77</v>
      </c>
      <c r="N3812" s="2">
        <v>0.31</v>
      </c>
      <c r="O3812">
        <v>93</v>
      </c>
      <c r="P3812">
        <v>14.51</v>
      </c>
      <c r="Q3812">
        <v>1.21</v>
      </c>
      <c r="R3812">
        <v>29</v>
      </c>
    </row>
    <row r="3813" spans="1:19" x14ac:dyDescent="0.25">
      <c r="A3813" t="s">
        <v>4980</v>
      </c>
      <c r="B3813" s="1">
        <v>44622</v>
      </c>
      <c r="C3813" t="s">
        <v>4878</v>
      </c>
      <c r="D3813" t="s">
        <v>78</v>
      </c>
      <c r="E3813" t="s">
        <v>24</v>
      </c>
      <c r="F3813" t="s">
        <v>323</v>
      </c>
      <c r="G3813">
        <v>45</v>
      </c>
      <c r="H3813" t="s">
        <v>26</v>
      </c>
      <c r="I3813" t="s">
        <v>370</v>
      </c>
      <c r="J3813" t="s">
        <v>439</v>
      </c>
      <c r="K3813" t="s">
        <v>4981</v>
      </c>
      <c r="L3813">
        <v>276</v>
      </c>
      <c r="M3813">
        <v>102</v>
      </c>
      <c r="N3813" s="2">
        <v>0.37</v>
      </c>
      <c r="O3813">
        <v>86</v>
      </c>
      <c r="P3813">
        <v>16.239999999999998</v>
      </c>
      <c r="Q3813">
        <v>12.18</v>
      </c>
      <c r="R3813">
        <v>340</v>
      </c>
    </row>
    <row r="3814" spans="1:19" x14ac:dyDescent="0.25">
      <c r="A3814" t="s">
        <v>4982</v>
      </c>
      <c r="B3814" s="1">
        <v>44622</v>
      </c>
      <c r="C3814" t="s">
        <v>3926</v>
      </c>
      <c r="D3814" t="s">
        <v>78</v>
      </c>
      <c r="E3814" t="s">
        <v>24</v>
      </c>
      <c r="F3814" t="s">
        <v>170</v>
      </c>
      <c r="G3814">
        <v>5</v>
      </c>
      <c r="H3814" t="s">
        <v>26</v>
      </c>
      <c r="I3814" t="s">
        <v>358</v>
      </c>
      <c r="J3814" t="s">
        <v>359</v>
      </c>
      <c r="K3814" t="s">
        <v>4983</v>
      </c>
      <c r="L3814">
        <v>17</v>
      </c>
      <c r="M3814">
        <v>57</v>
      </c>
      <c r="N3814" s="2">
        <v>0.28999999999999998</v>
      </c>
      <c r="O3814">
        <v>82</v>
      </c>
      <c r="P3814">
        <v>12.69</v>
      </c>
      <c r="Q3814">
        <v>1.06</v>
      </c>
      <c r="R3814">
        <v>21</v>
      </c>
    </row>
    <row r="3815" spans="1:19" x14ac:dyDescent="0.25">
      <c r="A3815" t="s">
        <v>4984</v>
      </c>
      <c r="B3815" s="1">
        <v>44622</v>
      </c>
      <c r="C3815" t="s">
        <v>4985</v>
      </c>
      <c r="D3815" t="s">
        <v>78</v>
      </c>
      <c r="E3815" t="s">
        <v>24</v>
      </c>
      <c r="F3815" t="s">
        <v>354</v>
      </c>
      <c r="G3815">
        <v>10</v>
      </c>
      <c r="H3815" t="s">
        <v>194</v>
      </c>
      <c r="I3815" t="s">
        <v>700</v>
      </c>
      <c r="J3815" t="s">
        <v>1282</v>
      </c>
      <c r="K3815" t="s">
        <v>4986</v>
      </c>
      <c r="R3815">
        <v>46</v>
      </c>
    </row>
    <row r="3816" spans="1:19" x14ac:dyDescent="0.25">
      <c r="A3816" t="s">
        <v>4987</v>
      </c>
      <c r="B3816" s="1">
        <v>44622</v>
      </c>
      <c r="C3816" t="s">
        <v>4988</v>
      </c>
      <c r="D3816" t="s">
        <v>78</v>
      </c>
      <c r="E3816" t="s">
        <v>24</v>
      </c>
      <c r="F3816" t="s">
        <v>314</v>
      </c>
      <c r="G3816">
        <v>5</v>
      </c>
      <c r="H3816" t="s">
        <v>194</v>
      </c>
      <c r="I3816" t="s">
        <v>195</v>
      </c>
      <c r="J3816" t="s">
        <v>196</v>
      </c>
      <c r="K3816" t="s">
        <v>4989</v>
      </c>
      <c r="R3816">
        <v>23</v>
      </c>
    </row>
    <row r="3817" spans="1:19" x14ac:dyDescent="0.25">
      <c r="A3817" t="s">
        <v>4990</v>
      </c>
      <c r="B3817" s="1">
        <v>44622</v>
      </c>
      <c r="C3817" t="s">
        <v>2240</v>
      </c>
      <c r="D3817" t="s">
        <v>78</v>
      </c>
      <c r="E3817" t="s">
        <v>24</v>
      </c>
      <c r="F3817" t="s">
        <v>215</v>
      </c>
      <c r="G3817">
        <v>15</v>
      </c>
      <c r="H3817" t="s">
        <v>464</v>
      </c>
      <c r="I3817" t="s">
        <v>579</v>
      </c>
      <c r="J3817" t="s">
        <v>4991</v>
      </c>
      <c r="K3817" t="s">
        <v>4973</v>
      </c>
    </row>
    <row r="3818" spans="1:19" x14ac:dyDescent="0.25">
      <c r="A3818" t="s">
        <v>5056</v>
      </c>
      <c r="B3818" s="1">
        <v>44629</v>
      </c>
      <c r="C3818" t="s">
        <v>472</v>
      </c>
      <c r="D3818" t="s">
        <v>78</v>
      </c>
      <c r="E3818" t="s">
        <v>24</v>
      </c>
      <c r="F3818" t="s">
        <v>243</v>
      </c>
      <c r="G3818">
        <v>45</v>
      </c>
      <c r="H3818" t="s">
        <v>188</v>
      </c>
      <c r="I3818" t="s">
        <v>254</v>
      </c>
      <c r="J3818" t="s">
        <v>1741</v>
      </c>
      <c r="K3818" t="s">
        <v>5057</v>
      </c>
      <c r="R3818">
        <v>141</v>
      </c>
    </row>
    <row r="3819" spans="1:19" x14ac:dyDescent="0.25">
      <c r="A3819" t="s">
        <v>5058</v>
      </c>
      <c r="B3819" s="1">
        <v>44629</v>
      </c>
      <c r="C3819" t="s">
        <v>4461</v>
      </c>
      <c r="D3819" t="s">
        <v>78</v>
      </c>
      <c r="E3819" t="s">
        <v>24</v>
      </c>
      <c r="F3819" t="s">
        <v>323</v>
      </c>
      <c r="G3819">
        <v>45</v>
      </c>
      <c r="H3819" t="s">
        <v>26</v>
      </c>
      <c r="I3819" t="s">
        <v>370</v>
      </c>
      <c r="J3819" t="s">
        <v>479</v>
      </c>
      <c r="K3819" t="s">
        <v>5059</v>
      </c>
      <c r="L3819">
        <v>299</v>
      </c>
      <c r="M3819">
        <v>111</v>
      </c>
      <c r="N3819" s="2">
        <v>0.37</v>
      </c>
      <c r="O3819">
        <v>86</v>
      </c>
      <c r="P3819">
        <v>16.489999999999998</v>
      </c>
      <c r="Q3819">
        <v>12.37</v>
      </c>
      <c r="R3819">
        <v>453</v>
      </c>
      <c r="S3819">
        <v>160.15</v>
      </c>
    </row>
    <row r="3820" spans="1:19" x14ac:dyDescent="0.25">
      <c r="A3820" t="s">
        <v>5060</v>
      </c>
      <c r="B3820" s="1">
        <v>44629</v>
      </c>
      <c r="C3820" t="s">
        <v>5061</v>
      </c>
      <c r="D3820" t="s">
        <v>78</v>
      </c>
      <c r="E3820" t="s">
        <v>24</v>
      </c>
      <c r="F3820" t="s">
        <v>243</v>
      </c>
      <c r="G3820">
        <v>10</v>
      </c>
      <c r="H3820" t="s">
        <v>26</v>
      </c>
      <c r="I3820" t="s">
        <v>39</v>
      </c>
      <c r="J3820" t="s">
        <v>431</v>
      </c>
      <c r="K3820" t="s">
        <v>5062</v>
      </c>
      <c r="L3820">
        <v>49</v>
      </c>
      <c r="M3820">
        <v>82</v>
      </c>
      <c r="N3820" s="2">
        <v>0.32</v>
      </c>
      <c r="O3820">
        <v>90</v>
      </c>
      <c r="P3820">
        <v>14.78</v>
      </c>
      <c r="Q3820">
        <v>2.4700000000000002</v>
      </c>
      <c r="R3820">
        <v>93</v>
      </c>
      <c r="S3820">
        <v>147.78</v>
      </c>
    </row>
    <row r="3821" spans="1:19" x14ac:dyDescent="0.25">
      <c r="A3821" t="s">
        <v>5063</v>
      </c>
      <c r="B3821" s="1">
        <v>44629</v>
      </c>
      <c r="C3821" t="s">
        <v>1268</v>
      </c>
      <c r="D3821" t="s">
        <v>78</v>
      </c>
      <c r="E3821" t="s">
        <v>24</v>
      </c>
      <c r="F3821" t="s">
        <v>305</v>
      </c>
      <c r="G3821">
        <v>10</v>
      </c>
      <c r="H3821" t="s">
        <v>194</v>
      </c>
      <c r="I3821" t="s">
        <v>195</v>
      </c>
      <c r="J3821" t="s">
        <v>211</v>
      </c>
      <c r="K3821" t="s">
        <v>5064</v>
      </c>
      <c r="R3821">
        <v>61</v>
      </c>
      <c r="S3821">
        <v>117.94</v>
      </c>
    </row>
    <row r="3822" spans="1:19" x14ac:dyDescent="0.25">
      <c r="A3822" t="s">
        <v>5065</v>
      </c>
      <c r="B3822" s="1">
        <v>44629</v>
      </c>
      <c r="C3822" t="s">
        <v>5066</v>
      </c>
      <c r="D3822" t="s">
        <v>78</v>
      </c>
      <c r="E3822" t="s">
        <v>24</v>
      </c>
      <c r="F3822" t="s">
        <v>2256</v>
      </c>
      <c r="G3822">
        <v>5</v>
      </c>
      <c r="H3822" t="s">
        <v>49</v>
      </c>
      <c r="I3822" t="s">
        <v>298</v>
      </c>
      <c r="J3822" t="s">
        <v>299</v>
      </c>
      <c r="K3822" t="s">
        <v>5067</v>
      </c>
      <c r="R3822">
        <v>17</v>
      </c>
      <c r="S3822">
        <v>107.1</v>
      </c>
    </row>
    <row r="3823" spans="1:19" x14ac:dyDescent="0.25">
      <c r="A3823" t="s">
        <v>5068</v>
      </c>
      <c r="B3823" s="1">
        <v>44629</v>
      </c>
      <c r="C3823" t="s">
        <v>2353</v>
      </c>
      <c r="D3823" t="s">
        <v>78</v>
      </c>
      <c r="E3823" t="s">
        <v>24</v>
      </c>
      <c r="F3823" t="s">
        <v>200</v>
      </c>
      <c r="G3823">
        <v>5</v>
      </c>
      <c r="H3823" t="s">
        <v>464</v>
      </c>
      <c r="I3823" t="s">
        <v>943</v>
      </c>
      <c r="J3823" t="s">
        <v>2205</v>
      </c>
      <c r="K3823" t="s">
        <v>4966</v>
      </c>
    </row>
    <row r="3824" spans="1:19" x14ac:dyDescent="0.25">
      <c r="A3824" t="s">
        <v>5146</v>
      </c>
      <c r="B3824" s="1">
        <v>44636</v>
      </c>
      <c r="C3824" t="s">
        <v>475</v>
      </c>
      <c r="D3824" t="s">
        <v>78</v>
      </c>
      <c r="E3824" t="s">
        <v>24</v>
      </c>
      <c r="F3824" t="s">
        <v>200</v>
      </c>
      <c r="G3824">
        <v>30</v>
      </c>
      <c r="H3824" t="s">
        <v>188</v>
      </c>
      <c r="I3824" t="s">
        <v>189</v>
      </c>
      <c r="J3824" t="s">
        <v>201</v>
      </c>
      <c r="K3824" t="s">
        <v>5147</v>
      </c>
      <c r="R3824">
        <v>98</v>
      </c>
    </row>
    <row r="3825" spans="1:19" x14ac:dyDescent="0.25">
      <c r="A3825" t="s">
        <v>5148</v>
      </c>
      <c r="B3825" s="1">
        <v>44636</v>
      </c>
      <c r="C3825" t="s">
        <v>5149</v>
      </c>
      <c r="D3825" t="s">
        <v>78</v>
      </c>
      <c r="E3825" t="s">
        <v>24</v>
      </c>
      <c r="F3825" t="s">
        <v>297</v>
      </c>
      <c r="G3825">
        <v>30</v>
      </c>
      <c r="H3825" t="s">
        <v>1856</v>
      </c>
      <c r="I3825" t="s">
        <v>1857</v>
      </c>
      <c r="J3825" t="s">
        <v>5150</v>
      </c>
      <c r="K3825" t="s">
        <v>5151</v>
      </c>
      <c r="L3825">
        <v>0</v>
      </c>
      <c r="P3825">
        <v>3.73</v>
      </c>
      <c r="Q3825">
        <v>1.88</v>
      </c>
      <c r="R3825">
        <v>250</v>
      </c>
      <c r="S3825">
        <v>140.59</v>
      </c>
    </row>
    <row r="3826" spans="1:19" x14ac:dyDescent="0.25">
      <c r="A3826" t="s">
        <v>5152</v>
      </c>
      <c r="B3826" s="1">
        <v>44636</v>
      </c>
      <c r="C3826" t="s">
        <v>2176</v>
      </c>
      <c r="D3826" t="s">
        <v>78</v>
      </c>
      <c r="E3826" t="s">
        <v>24</v>
      </c>
      <c r="F3826" t="s">
        <v>2833</v>
      </c>
      <c r="G3826">
        <v>10</v>
      </c>
      <c r="H3826" t="s">
        <v>26</v>
      </c>
      <c r="I3826" t="s">
        <v>423</v>
      </c>
      <c r="J3826" t="s">
        <v>3665</v>
      </c>
      <c r="K3826" t="s">
        <v>5153</v>
      </c>
      <c r="L3826">
        <v>43</v>
      </c>
      <c r="M3826">
        <v>71</v>
      </c>
      <c r="N3826" s="2">
        <v>0.3</v>
      </c>
      <c r="O3826">
        <v>91</v>
      </c>
      <c r="P3826">
        <v>13.88</v>
      </c>
      <c r="Q3826">
        <v>2.31</v>
      </c>
      <c r="R3826">
        <v>63</v>
      </c>
      <c r="S3826">
        <v>121.76</v>
      </c>
    </row>
    <row r="3827" spans="1:19" x14ac:dyDescent="0.25">
      <c r="A3827" t="s">
        <v>5154</v>
      </c>
      <c r="B3827" s="1">
        <v>44636</v>
      </c>
      <c r="C3827" t="s">
        <v>3176</v>
      </c>
      <c r="D3827" t="s">
        <v>78</v>
      </c>
      <c r="E3827" t="s">
        <v>24</v>
      </c>
      <c r="F3827" t="s">
        <v>243</v>
      </c>
      <c r="G3827">
        <v>45</v>
      </c>
      <c r="H3827" t="s">
        <v>26</v>
      </c>
      <c r="I3827" t="s">
        <v>370</v>
      </c>
      <c r="J3827" t="s">
        <v>439</v>
      </c>
      <c r="K3827" t="s">
        <v>5155</v>
      </c>
      <c r="L3827">
        <v>0</v>
      </c>
      <c r="M3827">
        <v>0</v>
      </c>
      <c r="N3827" s="2">
        <v>0</v>
      </c>
      <c r="O3827">
        <v>0</v>
      </c>
      <c r="P3827">
        <v>0</v>
      </c>
      <c r="Q3827">
        <v>0</v>
      </c>
      <c r="R3827">
        <v>0</v>
      </c>
    </row>
    <row r="3828" spans="1:19" x14ac:dyDescent="0.25">
      <c r="A3828" t="s">
        <v>5156</v>
      </c>
      <c r="B3828" s="1">
        <v>44636</v>
      </c>
      <c r="C3828" t="s">
        <v>2847</v>
      </c>
      <c r="D3828" t="s">
        <v>78</v>
      </c>
      <c r="E3828" t="s">
        <v>24</v>
      </c>
      <c r="F3828" t="s">
        <v>243</v>
      </c>
      <c r="G3828">
        <v>5</v>
      </c>
      <c r="H3828" t="s">
        <v>26</v>
      </c>
      <c r="I3828" t="s">
        <v>358</v>
      </c>
      <c r="J3828" t="s">
        <v>359</v>
      </c>
      <c r="K3828" t="s">
        <v>5157</v>
      </c>
      <c r="L3828">
        <v>18</v>
      </c>
      <c r="M3828">
        <v>61</v>
      </c>
      <c r="N3828" s="2">
        <v>0.28999999999999998</v>
      </c>
      <c r="O3828">
        <v>83</v>
      </c>
      <c r="P3828">
        <v>12.75</v>
      </c>
      <c r="Q3828">
        <v>1.06</v>
      </c>
      <c r="R3828">
        <v>34</v>
      </c>
      <c r="S3828">
        <v>130.43</v>
      </c>
    </row>
    <row r="3829" spans="1:19" x14ac:dyDescent="0.25">
      <c r="A3829" t="s">
        <v>5158</v>
      </c>
      <c r="B3829" s="1">
        <v>44636</v>
      </c>
      <c r="C3829" t="s">
        <v>1846</v>
      </c>
      <c r="D3829" t="s">
        <v>78</v>
      </c>
      <c r="E3829" t="s">
        <v>24</v>
      </c>
      <c r="F3829" t="s">
        <v>335</v>
      </c>
      <c r="G3829">
        <v>5</v>
      </c>
      <c r="H3829" t="s">
        <v>194</v>
      </c>
      <c r="I3829" t="s">
        <v>195</v>
      </c>
      <c r="J3829" t="s">
        <v>196</v>
      </c>
      <c r="K3829" t="s">
        <v>5159</v>
      </c>
      <c r="R3829">
        <v>22</v>
      </c>
      <c r="S3829">
        <v>104.76</v>
      </c>
    </row>
    <row r="3830" spans="1:19" x14ac:dyDescent="0.25">
      <c r="A3830" t="s">
        <v>5160</v>
      </c>
      <c r="B3830" s="1">
        <v>44636</v>
      </c>
      <c r="C3830" t="s">
        <v>5161</v>
      </c>
      <c r="D3830" t="s">
        <v>78</v>
      </c>
      <c r="E3830" t="s">
        <v>24</v>
      </c>
      <c r="F3830" t="s">
        <v>243</v>
      </c>
      <c r="G3830">
        <v>5</v>
      </c>
      <c r="H3830" t="s">
        <v>49</v>
      </c>
      <c r="I3830" t="s">
        <v>50</v>
      </c>
      <c r="J3830" t="s">
        <v>51</v>
      </c>
      <c r="K3830" t="s">
        <v>5162</v>
      </c>
      <c r="R3830">
        <v>18</v>
      </c>
      <c r="S3830">
        <v>100.36</v>
      </c>
    </row>
    <row r="3831" spans="1:19" x14ac:dyDescent="0.25">
      <c r="A3831" t="s">
        <v>5163</v>
      </c>
      <c r="B3831" s="1">
        <v>44636</v>
      </c>
      <c r="C3831" t="s">
        <v>1597</v>
      </c>
      <c r="D3831" t="s">
        <v>78</v>
      </c>
      <c r="E3831" t="s">
        <v>24</v>
      </c>
      <c r="F3831" t="s">
        <v>237</v>
      </c>
      <c r="G3831">
        <v>10</v>
      </c>
      <c r="H3831" t="s">
        <v>464</v>
      </c>
      <c r="I3831" t="s">
        <v>763</v>
      </c>
      <c r="J3831" t="s">
        <v>764</v>
      </c>
      <c r="K3831" t="s">
        <v>4966</v>
      </c>
    </row>
    <row r="3832" spans="1:19" x14ac:dyDescent="0.25">
      <c r="A3832" t="s">
        <v>5234</v>
      </c>
      <c r="B3832" s="1">
        <v>44643</v>
      </c>
      <c r="C3832" t="s">
        <v>1107</v>
      </c>
      <c r="D3832" t="s">
        <v>78</v>
      </c>
      <c r="E3832" t="s">
        <v>24</v>
      </c>
      <c r="F3832" t="s">
        <v>2708</v>
      </c>
      <c r="G3832">
        <v>30</v>
      </c>
      <c r="H3832" t="s">
        <v>188</v>
      </c>
      <c r="I3832" t="s">
        <v>238</v>
      </c>
      <c r="J3832" t="s">
        <v>1956</v>
      </c>
      <c r="K3832" t="s">
        <v>5235</v>
      </c>
      <c r="R3832">
        <v>92</v>
      </c>
    </row>
    <row r="3833" spans="1:19" x14ac:dyDescent="0.25">
      <c r="A3833" t="s">
        <v>5236</v>
      </c>
      <c r="B3833" s="1">
        <v>44643</v>
      </c>
      <c r="C3833" t="s">
        <v>2768</v>
      </c>
      <c r="D3833" t="s">
        <v>78</v>
      </c>
      <c r="E3833" t="s">
        <v>24</v>
      </c>
      <c r="F3833" t="s">
        <v>5237</v>
      </c>
      <c r="G3833">
        <v>45</v>
      </c>
      <c r="H3833" t="s">
        <v>1856</v>
      </c>
      <c r="I3833" t="s">
        <v>5043</v>
      </c>
      <c r="J3833" t="s">
        <v>5238</v>
      </c>
      <c r="K3833" t="s">
        <v>5239</v>
      </c>
      <c r="L3833">
        <v>0</v>
      </c>
      <c r="P3833">
        <v>3.86</v>
      </c>
      <c r="Q3833">
        <v>2.88</v>
      </c>
      <c r="R3833">
        <v>321</v>
      </c>
      <c r="S3833">
        <v>128.41</v>
      </c>
    </row>
    <row r="3834" spans="1:19" x14ac:dyDescent="0.25">
      <c r="A3834" t="s">
        <v>5240</v>
      </c>
      <c r="B3834" s="1">
        <v>44643</v>
      </c>
      <c r="C3834" t="s">
        <v>3154</v>
      </c>
      <c r="D3834" t="s">
        <v>78</v>
      </c>
      <c r="E3834" t="s">
        <v>24</v>
      </c>
      <c r="F3834" t="s">
        <v>180</v>
      </c>
      <c r="G3834">
        <v>10</v>
      </c>
      <c r="H3834" t="s">
        <v>194</v>
      </c>
      <c r="I3834" t="s">
        <v>195</v>
      </c>
      <c r="J3834" t="s">
        <v>211</v>
      </c>
      <c r="K3834" t="s">
        <v>5241</v>
      </c>
      <c r="R3834">
        <v>36</v>
      </c>
      <c r="S3834">
        <v>97.31</v>
      </c>
    </row>
    <row r="3835" spans="1:19" x14ac:dyDescent="0.25">
      <c r="A3835" t="s">
        <v>5242</v>
      </c>
      <c r="B3835" s="1">
        <v>44643</v>
      </c>
      <c r="C3835" t="s">
        <v>2967</v>
      </c>
      <c r="D3835" t="s">
        <v>78</v>
      </c>
      <c r="E3835" t="s">
        <v>24</v>
      </c>
      <c r="F3835" t="s">
        <v>354</v>
      </c>
      <c r="G3835">
        <v>5</v>
      </c>
      <c r="H3835" t="s">
        <v>26</v>
      </c>
      <c r="I3835" t="s">
        <v>423</v>
      </c>
      <c r="J3835" t="s">
        <v>505</v>
      </c>
      <c r="K3835" t="s">
        <v>5243</v>
      </c>
      <c r="L3835">
        <v>23</v>
      </c>
      <c r="M3835">
        <v>76</v>
      </c>
      <c r="N3835" s="2">
        <v>0.31</v>
      </c>
      <c r="O3835">
        <v>90</v>
      </c>
      <c r="P3835">
        <v>14.38</v>
      </c>
      <c r="Q3835">
        <v>1.2</v>
      </c>
      <c r="R3835">
        <v>35</v>
      </c>
      <c r="S3835">
        <v>131.44</v>
      </c>
    </row>
    <row r="3836" spans="1:19" x14ac:dyDescent="0.25">
      <c r="A3836" t="s">
        <v>5244</v>
      </c>
      <c r="B3836" s="1">
        <v>44643</v>
      </c>
      <c r="C3836" t="s">
        <v>5245</v>
      </c>
      <c r="D3836" t="s">
        <v>78</v>
      </c>
      <c r="E3836" t="s">
        <v>24</v>
      </c>
      <c r="F3836" t="s">
        <v>335</v>
      </c>
      <c r="G3836">
        <v>45</v>
      </c>
      <c r="H3836" t="s">
        <v>26</v>
      </c>
      <c r="I3836" t="s">
        <v>370</v>
      </c>
      <c r="J3836" t="s">
        <v>5246</v>
      </c>
      <c r="K3836" t="s">
        <v>5247</v>
      </c>
      <c r="L3836">
        <v>271</v>
      </c>
      <c r="M3836">
        <v>100</v>
      </c>
      <c r="N3836" s="2">
        <v>0.37</v>
      </c>
      <c r="O3836">
        <v>86</v>
      </c>
      <c r="P3836">
        <v>16.12</v>
      </c>
      <c r="Q3836">
        <v>12.09</v>
      </c>
      <c r="R3836">
        <v>423</v>
      </c>
      <c r="S3836">
        <v>148.97</v>
      </c>
    </row>
    <row r="3837" spans="1:19" x14ac:dyDescent="0.25">
      <c r="A3837" t="s">
        <v>5248</v>
      </c>
      <c r="B3837" s="1">
        <v>44643</v>
      </c>
      <c r="C3837" t="s">
        <v>3312</v>
      </c>
      <c r="D3837" t="s">
        <v>78</v>
      </c>
      <c r="E3837" t="s">
        <v>24</v>
      </c>
      <c r="F3837" t="s">
        <v>2833</v>
      </c>
      <c r="G3837">
        <v>10</v>
      </c>
      <c r="H3837" t="s">
        <v>26</v>
      </c>
      <c r="I3837" t="s">
        <v>39</v>
      </c>
      <c r="J3837" t="s">
        <v>431</v>
      </c>
      <c r="K3837" t="s">
        <v>5249</v>
      </c>
      <c r="L3837">
        <v>34</v>
      </c>
      <c r="M3837">
        <v>56</v>
      </c>
      <c r="N3837" s="2">
        <v>0.28000000000000003</v>
      </c>
      <c r="O3837">
        <v>86</v>
      </c>
      <c r="P3837">
        <v>12.64</v>
      </c>
      <c r="Q3837">
        <v>2.11</v>
      </c>
      <c r="R3837">
        <v>67</v>
      </c>
      <c r="S3837">
        <v>125.87</v>
      </c>
    </row>
    <row r="3838" spans="1:19" x14ac:dyDescent="0.25">
      <c r="A3838" t="s">
        <v>5250</v>
      </c>
      <c r="B3838" s="1">
        <v>44643</v>
      </c>
      <c r="C3838" t="s">
        <v>2353</v>
      </c>
      <c r="D3838" t="s">
        <v>78</v>
      </c>
      <c r="E3838" t="s">
        <v>24</v>
      </c>
      <c r="F3838" t="s">
        <v>459</v>
      </c>
      <c r="G3838">
        <v>10</v>
      </c>
      <c r="H3838" t="s">
        <v>464</v>
      </c>
      <c r="I3838" t="s">
        <v>579</v>
      </c>
      <c r="J3838" t="s">
        <v>1470</v>
      </c>
      <c r="K3838" t="s">
        <v>5251</v>
      </c>
    </row>
    <row r="3839" spans="1:19" x14ac:dyDescent="0.25">
      <c r="A3839" t="s">
        <v>5323</v>
      </c>
      <c r="B3839" s="1">
        <v>44650</v>
      </c>
      <c r="C3839" t="s">
        <v>3173</v>
      </c>
      <c r="D3839" t="s">
        <v>78</v>
      </c>
      <c r="E3839" t="s">
        <v>24</v>
      </c>
      <c r="F3839" t="s">
        <v>243</v>
      </c>
      <c r="G3839">
        <v>30</v>
      </c>
      <c r="H3839" t="s">
        <v>26</v>
      </c>
      <c r="I3839" t="s">
        <v>370</v>
      </c>
      <c r="J3839" t="s">
        <v>2588</v>
      </c>
      <c r="K3839" t="s">
        <v>2589</v>
      </c>
      <c r="L3839">
        <v>174</v>
      </c>
      <c r="M3839">
        <v>96</v>
      </c>
      <c r="N3839" s="2">
        <v>0.35</v>
      </c>
      <c r="O3839">
        <v>88</v>
      </c>
      <c r="P3839">
        <v>15.81</v>
      </c>
      <c r="Q3839">
        <v>7.91</v>
      </c>
      <c r="R3839">
        <v>276</v>
      </c>
      <c r="S3839">
        <v>147.18</v>
      </c>
    </row>
    <row r="3840" spans="1:19" x14ac:dyDescent="0.25">
      <c r="A3840" t="s">
        <v>5324</v>
      </c>
      <c r="B3840" s="1">
        <v>44650</v>
      </c>
      <c r="C3840" t="s">
        <v>2153</v>
      </c>
      <c r="D3840" t="s">
        <v>78</v>
      </c>
      <c r="E3840" t="s">
        <v>24</v>
      </c>
      <c r="F3840" t="s">
        <v>243</v>
      </c>
      <c r="G3840">
        <v>10</v>
      </c>
      <c r="H3840" t="s">
        <v>194</v>
      </c>
      <c r="I3840" t="s">
        <v>700</v>
      </c>
      <c r="J3840" t="s">
        <v>1282</v>
      </c>
      <c r="K3840" t="s">
        <v>5325</v>
      </c>
      <c r="R3840">
        <v>56</v>
      </c>
      <c r="S3840">
        <v>114.83</v>
      </c>
    </row>
    <row r="3841" spans="1:19" x14ac:dyDescent="0.25">
      <c r="A3841" t="s">
        <v>5326</v>
      </c>
      <c r="B3841" s="1">
        <v>44650</v>
      </c>
      <c r="C3841" t="s">
        <v>5327</v>
      </c>
      <c r="D3841" t="s">
        <v>78</v>
      </c>
      <c r="E3841" t="s">
        <v>24</v>
      </c>
      <c r="F3841" t="s">
        <v>335</v>
      </c>
      <c r="G3841">
        <v>20</v>
      </c>
      <c r="H3841" t="s">
        <v>194</v>
      </c>
      <c r="I3841" t="s">
        <v>195</v>
      </c>
      <c r="J3841" t="s">
        <v>2247</v>
      </c>
      <c r="K3841" t="s">
        <v>5328</v>
      </c>
      <c r="R3841">
        <v>105</v>
      </c>
      <c r="S3841">
        <v>112.5</v>
      </c>
    </row>
    <row r="3842" spans="1:19" x14ac:dyDescent="0.25">
      <c r="A3842" t="s">
        <v>5329</v>
      </c>
      <c r="B3842" s="1">
        <v>44650</v>
      </c>
      <c r="C3842" t="s">
        <v>3351</v>
      </c>
      <c r="D3842" t="s">
        <v>78</v>
      </c>
      <c r="E3842" t="s">
        <v>24</v>
      </c>
      <c r="F3842" t="s">
        <v>208</v>
      </c>
      <c r="G3842">
        <v>15</v>
      </c>
      <c r="H3842" t="s">
        <v>464</v>
      </c>
      <c r="I3842" t="s">
        <v>763</v>
      </c>
      <c r="J3842" t="s">
        <v>2508</v>
      </c>
      <c r="K3842" t="s">
        <v>5322</v>
      </c>
    </row>
    <row r="3843" spans="1:19" x14ac:dyDescent="0.25">
      <c r="A3843" t="s">
        <v>5388</v>
      </c>
      <c r="B3843" s="1">
        <v>44657</v>
      </c>
      <c r="C3843" t="s">
        <v>1157</v>
      </c>
      <c r="D3843" t="s">
        <v>78</v>
      </c>
      <c r="E3843" t="s">
        <v>24</v>
      </c>
      <c r="F3843" t="s">
        <v>215</v>
      </c>
      <c r="G3843">
        <v>30</v>
      </c>
      <c r="H3843" t="s">
        <v>188</v>
      </c>
      <c r="I3843" t="s">
        <v>189</v>
      </c>
      <c r="J3843" t="s">
        <v>201</v>
      </c>
      <c r="K3843" t="s">
        <v>5389</v>
      </c>
      <c r="R3843">
        <v>95</v>
      </c>
    </row>
    <row r="3844" spans="1:19" x14ac:dyDescent="0.25">
      <c r="A3844" t="s">
        <v>5390</v>
      </c>
      <c r="B3844" s="1">
        <v>44657</v>
      </c>
      <c r="C3844" t="s">
        <v>388</v>
      </c>
      <c r="D3844" t="s">
        <v>78</v>
      </c>
      <c r="E3844" t="s">
        <v>24</v>
      </c>
      <c r="F3844" t="s">
        <v>1203</v>
      </c>
      <c r="G3844">
        <v>10</v>
      </c>
      <c r="H3844" t="s">
        <v>194</v>
      </c>
      <c r="I3844" t="s">
        <v>195</v>
      </c>
      <c r="J3844" t="s">
        <v>211</v>
      </c>
      <c r="K3844" t="s">
        <v>5391</v>
      </c>
      <c r="R3844">
        <v>45</v>
      </c>
    </row>
    <row r="3845" spans="1:19" x14ac:dyDescent="0.25">
      <c r="A3845" t="s">
        <v>5392</v>
      </c>
      <c r="B3845" s="1">
        <v>44657</v>
      </c>
      <c r="C3845" t="s">
        <v>5393</v>
      </c>
      <c r="D3845" t="s">
        <v>78</v>
      </c>
      <c r="E3845" t="s">
        <v>24</v>
      </c>
      <c r="F3845" t="s">
        <v>5394</v>
      </c>
      <c r="G3845">
        <v>30</v>
      </c>
      <c r="H3845" t="s">
        <v>1856</v>
      </c>
      <c r="I3845" t="s">
        <v>2096</v>
      </c>
      <c r="J3845" t="s">
        <v>4039</v>
      </c>
      <c r="K3845" t="s">
        <v>5395</v>
      </c>
      <c r="L3845">
        <v>0</v>
      </c>
      <c r="P3845">
        <v>0</v>
      </c>
      <c r="Q3845">
        <v>0</v>
      </c>
      <c r="R3845">
        <v>110</v>
      </c>
    </row>
    <row r="3846" spans="1:19" x14ac:dyDescent="0.25">
      <c r="A3846" t="s">
        <v>5396</v>
      </c>
      <c r="B3846" s="1">
        <v>44657</v>
      </c>
      <c r="C3846" t="s">
        <v>1398</v>
      </c>
      <c r="D3846" t="s">
        <v>78</v>
      </c>
      <c r="E3846" t="s">
        <v>24</v>
      </c>
      <c r="F3846" t="s">
        <v>200</v>
      </c>
      <c r="G3846">
        <v>10</v>
      </c>
      <c r="H3846" t="s">
        <v>464</v>
      </c>
      <c r="I3846" t="s">
        <v>763</v>
      </c>
      <c r="J3846" t="s">
        <v>914</v>
      </c>
      <c r="K3846" t="s">
        <v>5397</v>
      </c>
    </row>
    <row r="3847" spans="1:19" x14ac:dyDescent="0.25">
      <c r="A3847" t="s">
        <v>5492</v>
      </c>
      <c r="B3847" s="1">
        <v>44664</v>
      </c>
      <c r="C3847" t="s">
        <v>1157</v>
      </c>
      <c r="D3847" t="s">
        <v>78</v>
      </c>
      <c r="E3847" t="s">
        <v>24</v>
      </c>
      <c r="F3847" t="s">
        <v>200</v>
      </c>
      <c r="G3847">
        <v>10</v>
      </c>
      <c r="H3847" t="s">
        <v>464</v>
      </c>
      <c r="I3847" t="s">
        <v>1617</v>
      </c>
      <c r="J3847" t="s">
        <v>3543</v>
      </c>
      <c r="K3847" t="s">
        <v>5493</v>
      </c>
    </row>
    <row r="3848" spans="1:19" x14ac:dyDescent="0.25">
      <c r="A3848" t="s">
        <v>5494</v>
      </c>
      <c r="B3848" s="1">
        <v>44664</v>
      </c>
      <c r="C3848" t="s">
        <v>5495</v>
      </c>
      <c r="D3848" t="s">
        <v>78</v>
      </c>
      <c r="E3848" t="s">
        <v>24</v>
      </c>
      <c r="F3848" t="s">
        <v>231</v>
      </c>
      <c r="G3848">
        <v>45</v>
      </c>
      <c r="H3848" t="s">
        <v>1856</v>
      </c>
      <c r="I3848" t="s">
        <v>1857</v>
      </c>
      <c r="J3848" t="s">
        <v>5496</v>
      </c>
      <c r="K3848" t="s">
        <v>5497</v>
      </c>
      <c r="L3848">
        <v>0</v>
      </c>
      <c r="P3848">
        <v>3.37</v>
      </c>
      <c r="Q3848">
        <v>2.38</v>
      </c>
      <c r="R3848">
        <v>279</v>
      </c>
      <c r="S3848">
        <v>123.96</v>
      </c>
    </row>
    <row r="3849" spans="1:19" x14ac:dyDescent="0.25">
      <c r="A3849" t="s">
        <v>5498</v>
      </c>
      <c r="B3849" s="1">
        <v>44664</v>
      </c>
      <c r="C3849" t="s">
        <v>996</v>
      </c>
      <c r="D3849" t="s">
        <v>78</v>
      </c>
      <c r="E3849" t="s">
        <v>24</v>
      </c>
      <c r="F3849" t="s">
        <v>200</v>
      </c>
      <c r="G3849">
        <v>10</v>
      </c>
      <c r="H3849" t="s">
        <v>464</v>
      </c>
      <c r="I3849" t="s">
        <v>579</v>
      </c>
      <c r="J3849" t="s">
        <v>580</v>
      </c>
      <c r="K3849" t="s">
        <v>5499</v>
      </c>
    </row>
    <row r="3850" spans="1:19" x14ac:dyDescent="0.25">
      <c r="A3850" t="s">
        <v>5500</v>
      </c>
      <c r="B3850" s="1">
        <v>44664</v>
      </c>
      <c r="C3850" t="s">
        <v>1734</v>
      </c>
      <c r="D3850" t="s">
        <v>78</v>
      </c>
      <c r="E3850" t="s">
        <v>24</v>
      </c>
      <c r="F3850" t="s">
        <v>200</v>
      </c>
      <c r="G3850">
        <v>10</v>
      </c>
      <c r="H3850" t="s">
        <v>464</v>
      </c>
      <c r="I3850" t="s">
        <v>763</v>
      </c>
      <c r="J3850" t="s">
        <v>914</v>
      </c>
      <c r="K3850" t="s">
        <v>5501</v>
      </c>
    </row>
    <row r="3851" spans="1:19" x14ac:dyDescent="0.25">
      <c r="A3851" t="s">
        <v>5572</v>
      </c>
      <c r="B3851" s="1">
        <v>44671</v>
      </c>
      <c r="C3851" t="s">
        <v>5573</v>
      </c>
      <c r="D3851" t="s">
        <v>78</v>
      </c>
      <c r="E3851" t="s">
        <v>24</v>
      </c>
      <c r="F3851" t="s">
        <v>215</v>
      </c>
      <c r="G3851">
        <v>30</v>
      </c>
      <c r="H3851" t="s">
        <v>188</v>
      </c>
      <c r="I3851" t="s">
        <v>254</v>
      </c>
      <c r="J3851" t="s">
        <v>5574</v>
      </c>
      <c r="K3851" t="s">
        <v>5575</v>
      </c>
      <c r="R3851">
        <v>96</v>
      </c>
    </row>
    <row r="3852" spans="1:19" x14ac:dyDescent="0.25">
      <c r="A3852" t="s">
        <v>5576</v>
      </c>
      <c r="B3852" s="1">
        <v>44671</v>
      </c>
      <c r="C3852" t="s">
        <v>5577</v>
      </c>
      <c r="D3852" t="s">
        <v>78</v>
      </c>
      <c r="E3852" t="s">
        <v>24</v>
      </c>
      <c r="F3852" t="s">
        <v>2833</v>
      </c>
      <c r="G3852">
        <v>5</v>
      </c>
      <c r="H3852" t="s">
        <v>26</v>
      </c>
      <c r="I3852" t="s">
        <v>423</v>
      </c>
      <c r="J3852" t="s">
        <v>505</v>
      </c>
      <c r="K3852" t="s">
        <v>5578</v>
      </c>
      <c r="L3852">
        <v>22</v>
      </c>
      <c r="M3852">
        <v>74</v>
      </c>
      <c r="N3852" s="2">
        <v>0.3</v>
      </c>
      <c r="O3852">
        <v>93</v>
      </c>
      <c r="P3852">
        <v>14.25</v>
      </c>
      <c r="Q3852">
        <v>1.18</v>
      </c>
      <c r="R3852">
        <v>37</v>
      </c>
      <c r="S3852">
        <v>135.80000000000001</v>
      </c>
    </row>
    <row r="3853" spans="1:19" x14ac:dyDescent="0.25">
      <c r="A3853" t="s">
        <v>5579</v>
      </c>
      <c r="B3853" s="1">
        <v>44671</v>
      </c>
      <c r="C3853" t="s">
        <v>5580</v>
      </c>
      <c r="D3853" t="s">
        <v>78</v>
      </c>
      <c r="E3853" t="s">
        <v>24</v>
      </c>
      <c r="F3853" t="s">
        <v>243</v>
      </c>
      <c r="G3853">
        <v>45</v>
      </c>
      <c r="H3853" t="s">
        <v>26</v>
      </c>
      <c r="I3853" t="s">
        <v>370</v>
      </c>
      <c r="J3853" t="s">
        <v>479</v>
      </c>
      <c r="K3853" t="s">
        <v>5581</v>
      </c>
      <c r="L3853">
        <v>279</v>
      </c>
      <c r="M3853">
        <v>103</v>
      </c>
      <c r="N3853" s="2">
        <v>0.36</v>
      </c>
      <c r="O3853">
        <v>85</v>
      </c>
      <c r="P3853">
        <v>15.97</v>
      </c>
      <c r="Q3853">
        <v>11.98</v>
      </c>
      <c r="R3853">
        <v>486</v>
      </c>
      <c r="S3853">
        <v>160.75</v>
      </c>
    </row>
    <row r="3854" spans="1:19" x14ac:dyDescent="0.25">
      <c r="A3854" t="s">
        <v>5582</v>
      </c>
      <c r="B3854" s="1">
        <v>44671</v>
      </c>
      <c r="C3854" t="s">
        <v>3316</v>
      </c>
      <c r="D3854" t="s">
        <v>78</v>
      </c>
      <c r="E3854" t="s">
        <v>24</v>
      </c>
      <c r="F3854" t="s">
        <v>2595</v>
      </c>
      <c r="G3854">
        <v>5</v>
      </c>
      <c r="H3854" t="s">
        <v>26</v>
      </c>
      <c r="I3854" t="s">
        <v>358</v>
      </c>
      <c r="J3854" t="s">
        <v>359</v>
      </c>
      <c r="K3854" t="s">
        <v>2531</v>
      </c>
      <c r="L3854">
        <v>17</v>
      </c>
      <c r="M3854">
        <v>55</v>
      </c>
      <c r="N3854" s="2">
        <v>0.3</v>
      </c>
      <c r="O3854">
        <v>80</v>
      </c>
      <c r="P3854">
        <v>12.53</v>
      </c>
      <c r="Q3854">
        <v>1.04</v>
      </c>
      <c r="R3854">
        <v>36</v>
      </c>
      <c r="S3854">
        <v>138.41</v>
      </c>
    </row>
    <row r="3855" spans="1:19" x14ac:dyDescent="0.25">
      <c r="A3855" t="s">
        <v>5583</v>
      </c>
      <c r="B3855" s="1">
        <v>44671</v>
      </c>
      <c r="C3855" t="s">
        <v>1460</v>
      </c>
      <c r="D3855" t="s">
        <v>78</v>
      </c>
      <c r="E3855" t="s">
        <v>24</v>
      </c>
      <c r="F3855" t="s">
        <v>2501</v>
      </c>
      <c r="G3855">
        <v>10</v>
      </c>
      <c r="H3855" t="s">
        <v>194</v>
      </c>
      <c r="I3855" t="s">
        <v>195</v>
      </c>
      <c r="J3855" t="s">
        <v>211</v>
      </c>
      <c r="K3855" t="s">
        <v>5584</v>
      </c>
      <c r="R3855">
        <v>57</v>
      </c>
      <c r="S3855">
        <v>116.14</v>
      </c>
    </row>
    <row r="3856" spans="1:19" x14ac:dyDescent="0.25">
      <c r="A3856" t="s">
        <v>5585</v>
      </c>
      <c r="B3856" s="1">
        <v>44671</v>
      </c>
      <c r="C3856" t="s">
        <v>2629</v>
      </c>
      <c r="D3856" t="s">
        <v>78</v>
      </c>
      <c r="E3856" t="s">
        <v>24</v>
      </c>
      <c r="F3856" t="s">
        <v>215</v>
      </c>
      <c r="G3856">
        <v>10</v>
      </c>
      <c r="H3856" t="s">
        <v>464</v>
      </c>
      <c r="I3856" t="s">
        <v>579</v>
      </c>
      <c r="J3856" t="s">
        <v>1820</v>
      </c>
      <c r="K3856" t="s">
        <v>5586</v>
      </c>
    </row>
    <row r="3857" spans="1:19" x14ac:dyDescent="0.25">
      <c r="A3857" t="s">
        <v>5648</v>
      </c>
      <c r="B3857" s="1">
        <v>44678</v>
      </c>
      <c r="C3857" t="s">
        <v>3611</v>
      </c>
      <c r="D3857" t="s">
        <v>78</v>
      </c>
      <c r="E3857" t="s">
        <v>24</v>
      </c>
      <c r="F3857" t="s">
        <v>200</v>
      </c>
      <c r="G3857">
        <v>20</v>
      </c>
      <c r="H3857" t="s">
        <v>464</v>
      </c>
      <c r="I3857" t="s">
        <v>763</v>
      </c>
      <c r="J3857" t="s">
        <v>1385</v>
      </c>
      <c r="K3857" t="s">
        <v>5647</v>
      </c>
    </row>
    <row r="3858" spans="1:19" x14ac:dyDescent="0.25">
      <c r="A3858" t="s">
        <v>5649</v>
      </c>
      <c r="B3858" s="1">
        <v>44678</v>
      </c>
      <c r="C3858" t="s">
        <v>278</v>
      </c>
      <c r="D3858" t="s">
        <v>78</v>
      </c>
      <c r="E3858" t="s">
        <v>24</v>
      </c>
      <c r="F3858" t="s">
        <v>200</v>
      </c>
      <c r="G3858">
        <v>30</v>
      </c>
      <c r="H3858" t="s">
        <v>188</v>
      </c>
      <c r="I3858" t="s">
        <v>189</v>
      </c>
      <c r="J3858" t="s">
        <v>201</v>
      </c>
      <c r="K3858" t="s">
        <v>5650</v>
      </c>
      <c r="R3858">
        <v>100</v>
      </c>
    </row>
    <row r="3859" spans="1:19" x14ac:dyDescent="0.25">
      <c r="A3859" t="s">
        <v>5651</v>
      </c>
      <c r="B3859" s="1">
        <v>44678</v>
      </c>
      <c r="C3859" t="s">
        <v>94</v>
      </c>
      <c r="D3859" t="s">
        <v>78</v>
      </c>
      <c r="E3859" t="s">
        <v>24</v>
      </c>
      <c r="F3859" t="s">
        <v>314</v>
      </c>
      <c r="G3859">
        <v>10</v>
      </c>
      <c r="H3859" t="s">
        <v>194</v>
      </c>
      <c r="I3859" t="s">
        <v>195</v>
      </c>
      <c r="J3859" t="s">
        <v>211</v>
      </c>
      <c r="K3859" t="s">
        <v>5652</v>
      </c>
      <c r="R3859">
        <v>44</v>
      </c>
    </row>
    <row r="3860" spans="1:19" x14ac:dyDescent="0.25">
      <c r="A3860" t="s">
        <v>5653</v>
      </c>
      <c r="B3860" s="1">
        <v>44678</v>
      </c>
      <c r="C3860" t="s">
        <v>5654</v>
      </c>
      <c r="D3860" t="s">
        <v>78</v>
      </c>
      <c r="E3860" t="s">
        <v>24</v>
      </c>
      <c r="F3860" t="s">
        <v>243</v>
      </c>
      <c r="G3860">
        <v>45</v>
      </c>
      <c r="H3860" t="s">
        <v>26</v>
      </c>
      <c r="I3860" t="s">
        <v>370</v>
      </c>
      <c r="J3860" t="s">
        <v>479</v>
      </c>
      <c r="K3860" t="s">
        <v>1479</v>
      </c>
      <c r="L3860">
        <v>290</v>
      </c>
      <c r="M3860">
        <v>107</v>
      </c>
      <c r="N3860" s="2">
        <v>0.38</v>
      </c>
      <c r="O3860">
        <v>84</v>
      </c>
      <c r="P3860">
        <v>16.43</v>
      </c>
      <c r="Q3860">
        <v>12.32</v>
      </c>
      <c r="R3860">
        <v>434</v>
      </c>
      <c r="S3860">
        <v>152.47999999999999</v>
      </c>
    </row>
    <row r="3861" spans="1:19" x14ac:dyDescent="0.25">
      <c r="A3861" t="s">
        <v>5655</v>
      </c>
      <c r="B3861" s="1">
        <v>44678</v>
      </c>
      <c r="C3861" t="s">
        <v>5656</v>
      </c>
      <c r="D3861" t="s">
        <v>78</v>
      </c>
      <c r="E3861" t="s">
        <v>24</v>
      </c>
      <c r="F3861" t="s">
        <v>180</v>
      </c>
      <c r="G3861">
        <v>5</v>
      </c>
      <c r="H3861" t="s">
        <v>26</v>
      </c>
      <c r="I3861" t="s">
        <v>358</v>
      </c>
      <c r="J3861" t="s">
        <v>359</v>
      </c>
      <c r="K3861" t="s">
        <v>5657</v>
      </c>
      <c r="L3861">
        <v>16</v>
      </c>
      <c r="M3861">
        <v>54</v>
      </c>
      <c r="N3861" s="2">
        <v>0.3</v>
      </c>
      <c r="O3861">
        <v>77</v>
      </c>
      <c r="P3861">
        <v>12.17</v>
      </c>
      <c r="Q3861">
        <v>1.01</v>
      </c>
      <c r="R3861">
        <v>31</v>
      </c>
      <c r="S3861">
        <v>123.25</v>
      </c>
    </row>
    <row r="3862" spans="1:19" x14ac:dyDescent="0.25">
      <c r="A3862" t="s">
        <v>5658</v>
      </c>
      <c r="B3862" s="1">
        <v>44678</v>
      </c>
      <c r="C3862" t="s">
        <v>5659</v>
      </c>
      <c r="D3862" t="s">
        <v>78</v>
      </c>
      <c r="E3862" t="s">
        <v>24</v>
      </c>
      <c r="F3862" t="s">
        <v>354</v>
      </c>
      <c r="G3862">
        <v>5</v>
      </c>
      <c r="H3862" t="s">
        <v>49</v>
      </c>
      <c r="I3862" t="s">
        <v>50</v>
      </c>
      <c r="J3862" t="s">
        <v>51</v>
      </c>
      <c r="K3862" t="s">
        <v>5660</v>
      </c>
      <c r="R3862">
        <v>22</v>
      </c>
      <c r="S3862">
        <v>106.8</v>
      </c>
    </row>
    <row r="3863" spans="1:19" x14ac:dyDescent="0.25">
      <c r="A3863" t="s">
        <v>5661</v>
      </c>
      <c r="B3863" s="1">
        <v>44678</v>
      </c>
      <c r="C3863" t="s">
        <v>2483</v>
      </c>
      <c r="D3863" t="s">
        <v>78</v>
      </c>
      <c r="E3863" t="s">
        <v>24</v>
      </c>
      <c r="F3863" t="s">
        <v>237</v>
      </c>
      <c r="G3863">
        <v>10</v>
      </c>
      <c r="H3863" t="s">
        <v>464</v>
      </c>
      <c r="I3863" t="s">
        <v>943</v>
      </c>
      <c r="J3863" t="s">
        <v>944</v>
      </c>
      <c r="K3863" t="s">
        <v>5662</v>
      </c>
    </row>
    <row r="3864" spans="1:19" x14ac:dyDescent="0.25">
      <c r="A3864" t="s">
        <v>5718</v>
      </c>
      <c r="B3864" s="1">
        <v>44685</v>
      </c>
      <c r="C3864" t="s">
        <v>1295</v>
      </c>
      <c r="D3864" t="s">
        <v>78</v>
      </c>
      <c r="E3864" t="s">
        <v>24</v>
      </c>
      <c r="F3864" t="s">
        <v>200</v>
      </c>
      <c r="G3864">
        <v>30</v>
      </c>
      <c r="H3864" t="s">
        <v>188</v>
      </c>
      <c r="I3864" t="s">
        <v>189</v>
      </c>
      <c r="J3864" t="s">
        <v>4627</v>
      </c>
      <c r="K3864" t="s">
        <v>5719</v>
      </c>
      <c r="R3864">
        <v>98</v>
      </c>
    </row>
    <row r="3865" spans="1:19" x14ac:dyDescent="0.25">
      <c r="A3865" t="s">
        <v>5720</v>
      </c>
      <c r="B3865" s="1">
        <v>44685</v>
      </c>
      <c r="C3865" t="s">
        <v>5721</v>
      </c>
      <c r="D3865" t="s">
        <v>78</v>
      </c>
      <c r="E3865" t="s">
        <v>24</v>
      </c>
      <c r="F3865" t="s">
        <v>323</v>
      </c>
      <c r="G3865">
        <v>30</v>
      </c>
      <c r="H3865" t="s">
        <v>26</v>
      </c>
      <c r="I3865" t="s">
        <v>370</v>
      </c>
      <c r="J3865" t="s">
        <v>396</v>
      </c>
      <c r="K3865" t="s">
        <v>5722</v>
      </c>
      <c r="L3865">
        <v>180</v>
      </c>
      <c r="M3865">
        <v>100</v>
      </c>
      <c r="N3865" s="2">
        <v>0.35</v>
      </c>
      <c r="O3865">
        <v>90</v>
      </c>
      <c r="P3865">
        <v>16.07</v>
      </c>
      <c r="Q3865">
        <v>8.0399999999999991</v>
      </c>
      <c r="R3865">
        <v>273</v>
      </c>
      <c r="S3865">
        <v>147.21</v>
      </c>
    </row>
    <row r="3866" spans="1:19" x14ac:dyDescent="0.25">
      <c r="A3866" t="s">
        <v>5723</v>
      </c>
      <c r="B3866" s="1">
        <v>44685</v>
      </c>
      <c r="C3866" t="s">
        <v>5724</v>
      </c>
      <c r="D3866" t="s">
        <v>78</v>
      </c>
      <c r="E3866" t="s">
        <v>24</v>
      </c>
      <c r="F3866" t="s">
        <v>208</v>
      </c>
      <c r="G3866">
        <v>10</v>
      </c>
      <c r="H3866" t="s">
        <v>464</v>
      </c>
      <c r="I3866" t="s">
        <v>943</v>
      </c>
      <c r="J3866" t="s">
        <v>944</v>
      </c>
      <c r="K3866" t="s">
        <v>5725</v>
      </c>
    </row>
    <row r="3867" spans="1:19" x14ac:dyDescent="0.25">
      <c r="A3867" t="s">
        <v>5797</v>
      </c>
      <c r="B3867" s="1">
        <v>44692</v>
      </c>
      <c r="C3867" t="s">
        <v>1740</v>
      </c>
      <c r="D3867" t="s">
        <v>78</v>
      </c>
      <c r="E3867" t="s">
        <v>24</v>
      </c>
      <c r="F3867" t="s">
        <v>2708</v>
      </c>
      <c r="G3867">
        <v>30</v>
      </c>
      <c r="H3867" t="s">
        <v>188</v>
      </c>
      <c r="I3867" t="s">
        <v>238</v>
      </c>
      <c r="J3867" t="s">
        <v>1956</v>
      </c>
      <c r="K3867" t="s">
        <v>5798</v>
      </c>
      <c r="R3867">
        <v>90</v>
      </c>
    </row>
    <row r="3868" spans="1:19" x14ac:dyDescent="0.25">
      <c r="A3868" t="s">
        <v>5799</v>
      </c>
      <c r="B3868" s="1">
        <v>44692</v>
      </c>
      <c r="C3868" t="s">
        <v>2246</v>
      </c>
      <c r="D3868" t="s">
        <v>78</v>
      </c>
      <c r="E3868" t="s">
        <v>24</v>
      </c>
      <c r="F3868" t="s">
        <v>231</v>
      </c>
      <c r="G3868">
        <v>45</v>
      </c>
      <c r="H3868" t="s">
        <v>1856</v>
      </c>
      <c r="I3868" t="s">
        <v>1857</v>
      </c>
      <c r="J3868" t="s">
        <v>5496</v>
      </c>
      <c r="K3868" t="s">
        <v>5497</v>
      </c>
      <c r="L3868">
        <v>0</v>
      </c>
      <c r="P3868">
        <v>3.22</v>
      </c>
      <c r="Q3868">
        <v>2.41</v>
      </c>
      <c r="R3868">
        <v>229</v>
      </c>
    </row>
    <row r="3869" spans="1:19" x14ac:dyDescent="0.25">
      <c r="A3869" t="s">
        <v>5800</v>
      </c>
      <c r="B3869" s="1">
        <v>44692</v>
      </c>
      <c r="C3869" t="s">
        <v>3122</v>
      </c>
      <c r="D3869" t="s">
        <v>78</v>
      </c>
      <c r="E3869" t="s">
        <v>24</v>
      </c>
      <c r="F3869" t="s">
        <v>2256</v>
      </c>
      <c r="G3869">
        <v>10</v>
      </c>
      <c r="H3869" t="s">
        <v>194</v>
      </c>
      <c r="I3869" t="s">
        <v>195</v>
      </c>
      <c r="J3869" t="s">
        <v>211</v>
      </c>
      <c r="K3869" t="s">
        <v>5801</v>
      </c>
      <c r="R3869">
        <v>42</v>
      </c>
      <c r="S3869">
        <v>102.32</v>
      </c>
    </row>
    <row r="3870" spans="1:19" x14ac:dyDescent="0.25">
      <c r="A3870" t="s">
        <v>5802</v>
      </c>
      <c r="B3870" s="1">
        <v>44692</v>
      </c>
      <c r="C3870" t="s">
        <v>5320</v>
      </c>
      <c r="D3870" t="s">
        <v>78</v>
      </c>
      <c r="E3870" t="s">
        <v>24</v>
      </c>
      <c r="F3870" t="s">
        <v>323</v>
      </c>
      <c r="G3870">
        <v>45</v>
      </c>
      <c r="H3870" t="s">
        <v>26</v>
      </c>
      <c r="I3870" t="s">
        <v>39</v>
      </c>
      <c r="J3870" t="s">
        <v>40</v>
      </c>
      <c r="K3870" t="s">
        <v>5803</v>
      </c>
      <c r="L3870">
        <v>201</v>
      </c>
      <c r="M3870">
        <v>74</v>
      </c>
      <c r="N3870" s="2">
        <v>0.33</v>
      </c>
      <c r="O3870">
        <v>83</v>
      </c>
      <c r="P3870">
        <v>14.26</v>
      </c>
      <c r="Q3870">
        <v>10.7</v>
      </c>
      <c r="R3870">
        <v>248</v>
      </c>
    </row>
    <row r="3871" spans="1:19" x14ac:dyDescent="0.25">
      <c r="A3871" t="s">
        <v>5863</v>
      </c>
      <c r="B3871" s="1">
        <v>44699</v>
      </c>
      <c r="C3871" t="s">
        <v>388</v>
      </c>
      <c r="D3871" t="s">
        <v>78</v>
      </c>
      <c r="E3871" t="s">
        <v>24</v>
      </c>
      <c r="F3871" t="s">
        <v>1987</v>
      </c>
      <c r="G3871">
        <v>30</v>
      </c>
      <c r="H3871" t="s">
        <v>188</v>
      </c>
      <c r="I3871" t="s">
        <v>254</v>
      </c>
      <c r="J3871" t="s">
        <v>255</v>
      </c>
      <c r="K3871" t="s">
        <v>5257</v>
      </c>
      <c r="R3871">
        <v>88</v>
      </c>
    </row>
    <row r="3872" spans="1:19" x14ac:dyDescent="0.25">
      <c r="A3872" t="s">
        <v>5864</v>
      </c>
      <c r="B3872" s="1">
        <v>44699</v>
      </c>
      <c r="C3872" t="s">
        <v>5606</v>
      </c>
      <c r="D3872" t="s">
        <v>78</v>
      </c>
      <c r="E3872" t="s">
        <v>24</v>
      </c>
      <c r="F3872" t="s">
        <v>5865</v>
      </c>
      <c r="G3872">
        <v>45</v>
      </c>
      <c r="H3872" t="s">
        <v>1856</v>
      </c>
      <c r="I3872" t="s">
        <v>5043</v>
      </c>
      <c r="J3872" t="s">
        <v>5866</v>
      </c>
      <c r="K3872" t="s">
        <v>5867</v>
      </c>
      <c r="L3872">
        <v>0</v>
      </c>
      <c r="P3872">
        <v>4.2</v>
      </c>
      <c r="Q3872">
        <v>0.37</v>
      </c>
      <c r="R3872">
        <v>20</v>
      </c>
    </row>
    <row r="3873" spans="1:19" x14ac:dyDescent="0.25">
      <c r="A3873" t="s">
        <v>5868</v>
      </c>
      <c r="B3873" s="1">
        <v>44699</v>
      </c>
      <c r="C3873" t="s">
        <v>5869</v>
      </c>
      <c r="D3873" t="s">
        <v>78</v>
      </c>
      <c r="E3873" t="s">
        <v>24</v>
      </c>
      <c r="F3873" t="s">
        <v>5865</v>
      </c>
      <c r="G3873">
        <v>45</v>
      </c>
      <c r="H3873" t="s">
        <v>1856</v>
      </c>
      <c r="I3873" t="s">
        <v>5043</v>
      </c>
      <c r="J3873" t="s">
        <v>5866</v>
      </c>
      <c r="K3873" t="s">
        <v>5867</v>
      </c>
      <c r="L3873">
        <v>0</v>
      </c>
      <c r="P3873">
        <v>3.44</v>
      </c>
      <c r="Q3873">
        <v>1.66</v>
      </c>
      <c r="R3873">
        <v>106</v>
      </c>
    </row>
    <row r="3874" spans="1:19" x14ac:dyDescent="0.25">
      <c r="A3874" t="s">
        <v>5870</v>
      </c>
      <c r="B3874" s="1">
        <v>44699</v>
      </c>
      <c r="C3874" t="s">
        <v>5219</v>
      </c>
      <c r="D3874" t="s">
        <v>78</v>
      </c>
      <c r="E3874" t="s">
        <v>24</v>
      </c>
      <c r="F3874" t="s">
        <v>554</v>
      </c>
      <c r="G3874">
        <v>10</v>
      </c>
      <c r="H3874" t="s">
        <v>194</v>
      </c>
      <c r="I3874" t="s">
        <v>5421</v>
      </c>
      <c r="J3874" t="s">
        <v>5464</v>
      </c>
      <c r="K3874" t="s">
        <v>5871</v>
      </c>
      <c r="R3874">
        <v>45</v>
      </c>
      <c r="S3874">
        <v>104.23</v>
      </c>
    </row>
    <row r="3875" spans="1:19" x14ac:dyDescent="0.25">
      <c r="A3875" t="s">
        <v>5872</v>
      </c>
      <c r="B3875" s="1">
        <v>44699</v>
      </c>
      <c r="C3875" t="s">
        <v>3214</v>
      </c>
      <c r="D3875" t="s">
        <v>78</v>
      </c>
      <c r="E3875" t="s">
        <v>24</v>
      </c>
      <c r="F3875" t="s">
        <v>2256</v>
      </c>
      <c r="G3875">
        <v>10</v>
      </c>
      <c r="H3875" t="s">
        <v>194</v>
      </c>
      <c r="I3875" t="s">
        <v>195</v>
      </c>
      <c r="J3875" t="s">
        <v>5762</v>
      </c>
      <c r="K3875" t="s">
        <v>5873</v>
      </c>
      <c r="R3875">
        <v>39</v>
      </c>
      <c r="S3875">
        <v>98.54</v>
      </c>
    </row>
    <row r="3876" spans="1:19" x14ac:dyDescent="0.25">
      <c r="A3876" t="s">
        <v>5874</v>
      </c>
      <c r="B3876" s="1">
        <v>44699</v>
      </c>
      <c r="C3876" t="s">
        <v>5875</v>
      </c>
      <c r="D3876" t="s">
        <v>78</v>
      </c>
      <c r="E3876" t="s">
        <v>24</v>
      </c>
      <c r="F3876" t="s">
        <v>243</v>
      </c>
      <c r="G3876">
        <v>45</v>
      </c>
      <c r="H3876" t="s">
        <v>26</v>
      </c>
      <c r="I3876" t="s">
        <v>370</v>
      </c>
      <c r="J3876" t="s">
        <v>439</v>
      </c>
      <c r="K3876" t="s">
        <v>5876</v>
      </c>
      <c r="L3876">
        <v>267</v>
      </c>
      <c r="M3876">
        <v>99</v>
      </c>
      <c r="N3876" s="2">
        <v>0.36</v>
      </c>
      <c r="O3876">
        <v>86</v>
      </c>
      <c r="P3876">
        <v>16.03</v>
      </c>
      <c r="Q3876">
        <v>12.03</v>
      </c>
      <c r="R3876">
        <v>429</v>
      </c>
      <c r="S3876">
        <v>148.35</v>
      </c>
    </row>
    <row r="3877" spans="1:19" x14ac:dyDescent="0.25">
      <c r="A3877" t="s">
        <v>5877</v>
      </c>
      <c r="B3877" s="1">
        <v>44699</v>
      </c>
      <c r="C3877" t="s">
        <v>5485</v>
      </c>
      <c r="D3877" t="s">
        <v>78</v>
      </c>
      <c r="E3877" t="s">
        <v>24</v>
      </c>
      <c r="F3877" t="s">
        <v>243</v>
      </c>
      <c r="G3877">
        <v>5</v>
      </c>
      <c r="H3877" t="s">
        <v>49</v>
      </c>
      <c r="I3877" t="s">
        <v>50</v>
      </c>
      <c r="J3877" t="s">
        <v>51</v>
      </c>
      <c r="K3877" t="s">
        <v>5162</v>
      </c>
      <c r="R3877">
        <v>11</v>
      </c>
    </row>
    <row r="3878" spans="1:19" x14ac:dyDescent="0.25">
      <c r="A3878" t="s">
        <v>5878</v>
      </c>
      <c r="B3878" s="1">
        <v>44699</v>
      </c>
      <c r="C3878" t="s">
        <v>5879</v>
      </c>
      <c r="D3878" t="s">
        <v>78</v>
      </c>
      <c r="E3878" t="s">
        <v>24</v>
      </c>
      <c r="F3878" t="s">
        <v>459</v>
      </c>
      <c r="G3878">
        <v>10</v>
      </c>
      <c r="H3878" t="s">
        <v>464</v>
      </c>
      <c r="I3878" t="s">
        <v>579</v>
      </c>
      <c r="J3878" t="s">
        <v>808</v>
      </c>
      <c r="K3878" t="s">
        <v>5880</v>
      </c>
    </row>
    <row r="3879" spans="1:19" x14ac:dyDescent="0.25">
      <c r="A3879" t="s">
        <v>5942</v>
      </c>
      <c r="B3879" s="1">
        <v>44706</v>
      </c>
      <c r="C3879" t="s">
        <v>377</v>
      </c>
      <c r="D3879" t="s">
        <v>78</v>
      </c>
      <c r="E3879" t="s">
        <v>24</v>
      </c>
      <c r="F3879" t="s">
        <v>237</v>
      </c>
      <c r="G3879">
        <v>30</v>
      </c>
      <c r="H3879" t="s">
        <v>188</v>
      </c>
      <c r="I3879" t="s">
        <v>189</v>
      </c>
      <c r="J3879" t="s">
        <v>201</v>
      </c>
      <c r="K3879" t="s">
        <v>5943</v>
      </c>
      <c r="R3879">
        <v>98</v>
      </c>
    </row>
    <row r="3880" spans="1:19" x14ac:dyDescent="0.25">
      <c r="A3880" t="s">
        <v>5944</v>
      </c>
      <c r="B3880" s="1">
        <v>44706</v>
      </c>
      <c r="C3880" t="s">
        <v>1466</v>
      </c>
      <c r="D3880" t="s">
        <v>78</v>
      </c>
      <c r="E3880" t="s">
        <v>24</v>
      </c>
      <c r="F3880" t="s">
        <v>490</v>
      </c>
      <c r="G3880">
        <v>20</v>
      </c>
      <c r="H3880" t="s">
        <v>26</v>
      </c>
      <c r="I3880" t="s">
        <v>39</v>
      </c>
      <c r="J3880" t="s">
        <v>2657</v>
      </c>
      <c r="K3880" t="s">
        <v>5945</v>
      </c>
      <c r="L3880">
        <v>100</v>
      </c>
      <c r="M3880">
        <v>83</v>
      </c>
      <c r="N3880" s="2">
        <v>0.34</v>
      </c>
      <c r="O3880">
        <v>86</v>
      </c>
      <c r="P3880">
        <v>14.95</v>
      </c>
      <c r="Q3880">
        <v>4.9800000000000004</v>
      </c>
      <c r="R3880">
        <v>160</v>
      </c>
      <c r="S3880">
        <v>136.75</v>
      </c>
    </row>
    <row r="3881" spans="1:19" x14ac:dyDescent="0.25">
      <c r="A3881" t="s">
        <v>5946</v>
      </c>
      <c r="B3881" s="1">
        <v>44706</v>
      </c>
      <c r="C3881" t="s">
        <v>1669</v>
      </c>
      <c r="D3881" t="s">
        <v>78</v>
      </c>
      <c r="E3881" t="s">
        <v>24</v>
      </c>
      <c r="F3881" t="s">
        <v>459</v>
      </c>
      <c r="G3881">
        <v>20</v>
      </c>
      <c r="H3881" t="s">
        <v>464</v>
      </c>
      <c r="I3881" t="s">
        <v>763</v>
      </c>
      <c r="J3881" t="s">
        <v>2732</v>
      </c>
      <c r="K3881" t="s">
        <v>5947</v>
      </c>
    </row>
    <row r="3882" spans="1:19" x14ac:dyDescent="0.25">
      <c r="A3882" t="s">
        <v>6006</v>
      </c>
      <c r="B3882" s="1">
        <v>44713</v>
      </c>
      <c r="C3882" t="s">
        <v>2850</v>
      </c>
      <c r="D3882" t="s">
        <v>78</v>
      </c>
      <c r="E3882" t="s">
        <v>24</v>
      </c>
      <c r="F3882" t="s">
        <v>237</v>
      </c>
      <c r="G3882">
        <v>30</v>
      </c>
      <c r="H3882" t="s">
        <v>188</v>
      </c>
      <c r="I3882" t="s">
        <v>189</v>
      </c>
      <c r="J3882" t="s">
        <v>201</v>
      </c>
      <c r="K3882" t="s">
        <v>6007</v>
      </c>
      <c r="R3882">
        <v>95</v>
      </c>
    </row>
    <row r="3883" spans="1:19" x14ac:dyDescent="0.25">
      <c r="A3883" t="s">
        <v>6008</v>
      </c>
      <c r="B3883" s="1">
        <v>44713</v>
      </c>
      <c r="C3883" t="s">
        <v>6009</v>
      </c>
      <c r="D3883" t="s">
        <v>78</v>
      </c>
      <c r="E3883" t="s">
        <v>24</v>
      </c>
      <c r="F3883" t="s">
        <v>2256</v>
      </c>
      <c r="G3883">
        <v>10</v>
      </c>
      <c r="H3883" t="s">
        <v>194</v>
      </c>
      <c r="I3883" t="s">
        <v>195</v>
      </c>
      <c r="J3883" t="s">
        <v>5762</v>
      </c>
      <c r="K3883" t="s">
        <v>6010</v>
      </c>
      <c r="R3883">
        <v>49</v>
      </c>
      <c r="S3883">
        <v>109.11</v>
      </c>
    </row>
    <row r="3884" spans="1:19" x14ac:dyDescent="0.25">
      <c r="A3884" t="s">
        <v>6011</v>
      </c>
      <c r="B3884" s="1">
        <v>44713</v>
      </c>
      <c r="C3884" t="s">
        <v>2720</v>
      </c>
      <c r="D3884" t="s">
        <v>78</v>
      </c>
      <c r="E3884" t="s">
        <v>24</v>
      </c>
      <c r="F3884" t="s">
        <v>323</v>
      </c>
      <c r="G3884">
        <v>45</v>
      </c>
      <c r="H3884" t="s">
        <v>26</v>
      </c>
      <c r="I3884" t="s">
        <v>370</v>
      </c>
      <c r="J3884" t="s">
        <v>439</v>
      </c>
      <c r="K3884" t="s">
        <v>6012</v>
      </c>
      <c r="L3884">
        <v>283</v>
      </c>
      <c r="M3884">
        <v>105</v>
      </c>
      <c r="N3884" s="2">
        <v>0.37</v>
      </c>
      <c r="O3884">
        <v>87</v>
      </c>
      <c r="P3884">
        <v>16.399999999999999</v>
      </c>
      <c r="Q3884">
        <v>12.31</v>
      </c>
      <c r="R3884">
        <v>397</v>
      </c>
      <c r="S3884">
        <v>143.03</v>
      </c>
    </row>
    <row r="3885" spans="1:19" x14ac:dyDescent="0.25">
      <c r="A3885" t="s">
        <v>6013</v>
      </c>
      <c r="B3885" s="1">
        <v>44713</v>
      </c>
      <c r="C3885" t="s">
        <v>6014</v>
      </c>
      <c r="D3885" t="s">
        <v>78</v>
      </c>
      <c r="E3885" t="s">
        <v>24</v>
      </c>
      <c r="F3885" t="s">
        <v>231</v>
      </c>
      <c r="G3885">
        <v>20</v>
      </c>
      <c r="H3885" t="s">
        <v>194</v>
      </c>
      <c r="I3885" t="s">
        <v>1445</v>
      </c>
      <c r="J3885" t="s">
        <v>3191</v>
      </c>
      <c r="K3885" t="s">
        <v>6015</v>
      </c>
      <c r="R3885">
        <v>100</v>
      </c>
      <c r="S3885">
        <v>108.67</v>
      </c>
    </row>
    <row r="3886" spans="1:19" x14ac:dyDescent="0.25">
      <c r="A3886" t="s">
        <v>6016</v>
      </c>
      <c r="B3886" s="1">
        <v>44713</v>
      </c>
      <c r="C3886" t="s">
        <v>1669</v>
      </c>
      <c r="D3886" t="s">
        <v>78</v>
      </c>
      <c r="E3886" t="s">
        <v>24</v>
      </c>
      <c r="F3886" t="s">
        <v>237</v>
      </c>
      <c r="G3886">
        <v>10</v>
      </c>
      <c r="H3886" t="s">
        <v>464</v>
      </c>
      <c r="I3886" t="s">
        <v>1617</v>
      </c>
      <c r="J3886" t="s">
        <v>3543</v>
      </c>
      <c r="K3886" t="s">
        <v>6017</v>
      </c>
    </row>
    <row r="3887" spans="1:19" x14ac:dyDescent="0.25">
      <c r="A3887" t="s">
        <v>6079</v>
      </c>
      <c r="B3887" s="1">
        <v>44720</v>
      </c>
      <c r="C3887" t="s">
        <v>3222</v>
      </c>
      <c r="D3887" t="s">
        <v>78</v>
      </c>
      <c r="E3887" t="s">
        <v>24</v>
      </c>
      <c r="F3887" t="s">
        <v>215</v>
      </c>
      <c r="G3887">
        <v>30</v>
      </c>
      <c r="H3887" t="s">
        <v>188</v>
      </c>
      <c r="I3887" t="s">
        <v>103</v>
      </c>
      <c r="J3887" t="s">
        <v>6080</v>
      </c>
      <c r="K3887" t="s">
        <v>6081</v>
      </c>
      <c r="R3887">
        <v>97</v>
      </c>
    </row>
    <row r="3888" spans="1:19" x14ac:dyDescent="0.25">
      <c r="A3888" t="s">
        <v>6082</v>
      </c>
      <c r="B3888" s="1">
        <v>44720</v>
      </c>
      <c r="C3888" t="s">
        <v>6083</v>
      </c>
      <c r="D3888" t="s">
        <v>78</v>
      </c>
      <c r="E3888" t="s">
        <v>24</v>
      </c>
      <c r="F3888" t="s">
        <v>895</v>
      </c>
      <c r="G3888">
        <v>30</v>
      </c>
      <c r="H3888" t="s">
        <v>1856</v>
      </c>
      <c r="I3888" t="s">
        <v>5177</v>
      </c>
      <c r="J3888" t="s">
        <v>5260</v>
      </c>
      <c r="K3888" t="s">
        <v>6084</v>
      </c>
      <c r="L3888">
        <v>0</v>
      </c>
      <c r="P3888">
        <v>3.45</v>
      </c>
      <c r="Q3888">
        <v>1.72</v>
      </c>
      <c r="R3888">
        <v>260</v>
      </c>
      <c r="S3888">
        <v>97.49</v>
      </c>
    </row>
    <row r="3889" spans="1:19" x14ac:dyDescent="0.25">
      <c r="A3889" t="s">
        <v>6085</v>
      </c>
      <c r="B3889" s="1">
        <v>44720</v>
      </c>
      <c r="C3889" t="s">
        <v>5724</v>
      </c>
      <c r="D3889" t="s">
        <v>78</v>
      </c>
      <c r="E3889" t="s">
        <v>24</v>
      </c>
      <c r="F3889" t="s">
        <v>2708</v>
      </c>
      <c r="G3889">
        <v>10</v>
      </c>
      <c r="H3889" t="s">
        <v>464</v>
      </c>
      <c r="I3889" t="s">
        <v>763</v>
      </c>
      <c r="J3889" t="s">
        <v>914</v>
      </c>
      <c r="K3889" t="s">
        <v>6086</v>
      </c>
    </row>
    <row r="3890" spans="1:19" x14ac:dyDescent="0.25">
      <c r="A3890" t="s">
        <v>6145</v>
      </c>
      <c r="B3890" s="1">
        <v>44727</v>
      </c>
      <c r="C3890" t="s">
        <v>2995</v>
      </c>
      <c r="D3890" t="s">
        <v>78</v>
      </c>
      <c r="E3890" t="s">
        <v>24</v>
      </c>
      <c r="F3890" t="s">
        <v>1203</v>
      </c>
      <c r="G3890">
        <v>45</v>
      </c>
      <c r="H3890" t="s">
        <v>1856</v>
      </c>
      <c r="I3890" t="s">
        <v>1857</v>
      </c>
      <c r="J3890" t="s">
        <v>6146</v>
      </c>
      <c r="K3890" t="s">
        <v>6034</v>
      </c>
      <c r="L3890">
        <v>0</v>
      </c>
      <c r="P3890">
        <v>3.31</v>
      </c>
      <c r="Q3890">
        <v>2.27</v>
      </c>
      <c r="R3890">
        <v>153</v>
      </c>
      <c r="S3890">
        <v>121.85</v>
      </c>
    </row>
    <row r="3891" spans="1:19" x14ac:dyDescent="0.25">
      <c r="A3891" t="s">
        <v>6147</v>
      </c>
      <c r="B3891" s="1">
        <v>44727</v>
      </c>
      <c r="C3891" t="s">
        <v>6148</v>
      </c>
      <c r="D3891" t="s">
        <v>78</v>
      </c>
      <c r="E3891" t="s">
        <v>24</v>
      </c>
      <c r="F3891" t="s">
        <v>2256</v>
      </c>
      <c r="G3891">
        <v>10</v>
      </c>
      <c r="H3891" t="s">
        <v>194</v>
      </c>
      <c r="I3891" t="s">
        <v>195</v>
      </c>
      <c r="J3891" t="s">
        <v>5762</v>
      </c>
      <c r="K3891" t="s">
        <v>6149</v>
      </c>
      <c r="R3891">
        <v>41</v>
      </c>
      <c r="S3891">
        <v>101.11</v>
      </c>
    </row>
    <row r="3892" spans="1:19" x14ac:dyDescent="0.25">
      <c r="A3892" t="s">
        <v>6150</v>
      </c>
      <c r="B3892" s="1">
        <v>44727</v>
      </c>
      <c r="C3892" t="s">
        <v>6151</v>
      </c>
      <c r="D3892" t="s">
        <v>78</v>
      </c>
      <c r="E3892" t="s">
        <v>24</v>
      </c>
      <c r="F3892" t="s">
        <v>335</v>
      </c>
      <c r="G3892">
        <v>45</v>
      </c>
      <c r="H3892" t="s">
        <v>26</v>
      </c>
      <c r="I3892" t="s">
        <v>370</v>
      </c>
      <c r="J3892" t="s">
        <v>4416</v>
      </c>
      <c r="K3892" t="s">
        <v>6152</v>
      </c>
      <c r="L3892">
        <v>272</v>
      </c>
      <c r="M3892">
        <v>101</v>
      </c>
      <c r="N3892" s="2">
        <v>0.38</v>
      </c>
      <c r="O3892">
        <v>84</v>
      </c>
      <c r="P3892">
        <v>16.16</v>
      </c>
      <c r="Q3892">
        <v>12.12</v>
      </c>
      <c r="R3892">
        <v>475</v>
      </c>
      <c r="S3892">
        <v>158.13999999999999</v>
      </c>
    </row>
    <row r="3893" spans="1:19" x14ac:dyDescent="0.25">
      <c r="A3893" t="s">
        <v>6153</v>
      </c>
      <c r="B3893" s="1">
        <v>44727</v>
      </c>
      <c r="C3893" t="s">
        <v>2142</v>
      </c>
      <c r="D3893" t="s">
        <v>78</v>
      </c>
      <c r="E3893" t="s">
        <v>24</v>
      </c>
      <c r="F3893" t="s">
        <v>2256</v>
      </c>
      <c r="G3893">
        <v>10</v>
      </c>
      <c r="H3893" t="s">
        <v>194</v>
      </c>
      <c r="I3893" t="s">
        <v>1445</v>
      </c>
      <c r="J3893" t="s">
        <v>2809</v>
      </c>
      <c r="K3893" t="s">
        <v>6154</v>
      </c>
      <c r="R3893">
        <v>65</v>
      </c>
      <c r="S3893">
        <v>125.66</v>
      </c>
    </row>
    <row r="3894" spans="1:19" x14ac:dyDescent="0.25">
      <c r="A3894" t="s">
        <v>6155</v>
      </c>
      <c r="B3894" s="1">
        <v>44727</v>
      </c>
      <c r="C3894" t="s">
        <v>5313</v>
      </c>
      <c r="D3894" t="s">
        <v>78</v>
      </c>
      <c r="E3894" t="s">
        <v>24</v>
      </c>
      <c r="F3894" t="s">
        <v>905</v>
      </c>
      <c r="G3894">
        <v>5</v>
      </c>
      <c r="H3894" t="s">
        <v>49</v>
      </c>
      <c r="I3894" t="s">
        <v>50</v>
      </c>
      <c r="J3894" t="s">
        <v>51</v>
      </c>
      <c r="K3894" t="s">
        <v>6156</v>
      </c>
      <c r="R3894">
        <v>11</v>
      </c>
    </row>
    <row r="3895" spans="1:19" x14ac:dyDescent="0.25">
      <c r="A3895" t="s">
        <v>6157</v>
      </c>
      <c r="B3895" s="1">
        <v>44727</v>
      </c>
      <c r="C3895" t="s">
        <v>2568</v>
      </c>
      <c r="D3895" t="s">
        <v>78</v>
      </c>
      <c r="E3895" t="s">
        <v>24</v>
      </c>
      <c r="F3895" t="s">
        <v>200</v>
      </c>
      <c r="G3895">
        <v>5</v>
      </c>
      <c r="H3895" t="s">
        <v>464</v>
      </c>
      <c r="I3895" t="s">
        <v>579</v>
      </c>
      <c r="J3895" t="s">
        <v>2457</v>
      </c>
      <c r="K3895" t="s">
        <v>6158</v>
      </c>
    </row>
    <row r="3896" spans="1:19" x14ac:dyDescent="0.25">
      <c r="A3896" t="s">
        <v>6208</v>
      </c>
      <c r="B3896" s="1">
        <v>44734</v>
      </c>
      <c r="C3896" t="s">
        <v>6209</v>
      </c>
      <c r="D3896" t="s">
        <v>78</v>
      </c>
      <c r="E3896" t="s">
        <v>24</v>
      </c>
      <c r="F3896" t="s">
        <v>200</v>
      </c>
      <c r="G3896">
        <v>5</v>
      </c>
      <c r="H3896" t="s">
        <v>464</v>
      </c>
      <c r="I3896" t="s">
        <v>943</v>
      </c>
      <c r="J3896" t="s">
        <v>2205</v>
      </c>
      <c r="K3896" t="s">
        <v>294</v>
      </c>
    </row>
    <row r="3897" spans="1:19" x14ac:dyDescent="0.25">
      <c r="A3897" t="s">
        <v>6210</v>
      </c>
      <c r="B3897" s="1">
        <v>44734</v>
      </c>
      <c r="C3897" t="s">
        <v>6211</v>
      </c>
      <c r="D3897" t="s">
        <v>78</v>
      </c>
      <c r="E3897" t="s">
        <v>24</v>
      </c>
      <c r="F3897" t="s">
        <v>292</v>
      </c>
      <c r="G3897">
        <v>5</v>
      </c>
      <c r="H3897" t="s">
        <v>194</v>
      </c>
      <c r="I3897" t="s">
        <v>195</v>
      </c>
      <c r="J3897" t="s">
        <v>196</v>
      </c>
      <c r="K3897" t="s">
        <v>6212</v>
      </c>
      <c r="R3897">
        <v>22</v>
      </c>
      <c r="S3897">
        <v>113.44</v>
      </c>
    </row>
    <row r="3898" spans="1:19" x14ac:dyDescent="0.25">
      <c r="A3898" t="s">
        <v>6213</v>
      </c>
      <c r="B3898" s="1">
        <v>44734</v>
      </c>
      <c r="C3898" t="s">
        <v>6214</v>
      </c>
      <c r="D3898" t="s">
        <v>78</v>
      </c>
      <c r="E3898" t="s">
        <v>24</v>
      </c>
      <c r="F3898" t="s">
        <v>323</v>
      </c>
      <c r="G3898">
        <v>45</v>
      </c>
      <c r="H3898" t="s">
        <v>26</v>
      </c>
      <c r="I3898" t="s">
        <v>370</v>
      </c>
      <c r="J3898" t="s">
        <v>439</v>
      </c>
      <c r="K3898" t="s">
        <v>6071</v>
      </c>
      <c r="L3898">
        <v>278</v>
      </c>
      <c r="M3898">
        <v>103</v>
      </c>
      <c r="N3898" s="2">
        <v>0.37</v>
      </c>
      <c r="O3898">
        <v>85</v>
      </c>
      <c r="P3898">
        <v>16.28</v>
      </c>
      <c r="Q3898">
        <v>12.21</v>
      </c>
      <c r="R3898">
        <v>496</v>
      </c>
      <c r="S3898">
        <v>162.19</v>
      </c>
    </row>
    <row r="3899" spans="1:19" x14ac:dyDescent="0.25">
      <c r="A3899" t="s">
        <v>6215</v>
      </c>
      <c r="B3899" s="1">
        <v>44734</v>
      </c>
      <c r="C3899" t="s">
        <v>6216</v>
      </c>
      <c r="D3899" t="s">
        <v>78</v>
      </c>
      <c r="E3899" t="s">
        <v>24</v>
      </c>
      <c r="F3899" t="s">
        <v>323</v>
      </c>
      <c r="G3899">
        <v>5</v>
      </c>
      <c r="H3899" t="s">
        <v>26</v>
      </c>
      <c r="I3899" t="s">
        <v>358</v>
      </c>
      <c r="J3899" t="s">
        <v>359</v>
      </c>
      <c r="K3899" t="s">
        <v>5749</v>
      </c>
      <c r="L3899">
        <v>15</v>
      </c>
      <c r="M3899">
        <v>50</v>
      </c>
      <c r="N3899" s="2">
        <v>0.25</v>
      </c>
      <c r="O3899">
        <v>90</v>
      </c>
      <c r="P3899">
        <v>11.96</v>
      </c>
      <c r="Q3899">
        <v>0.99</v>
      </c>
      <c r="R3899">
        <v>40</v>
      </c>
      <c r="S3899">
        <v>138.78</v>
      </c>
    </row>
    <row r="3900" spans="1:19" x14ac:dyDescent="0.25">
      <c r="A3900" t="s">
        <v>6217</v>
      </c>
      <c r="B3900" s="1">
        <v>44734</v>
      </c>
      <c r="C3900" t="s">
        <v>6218</v>
      </c>
      <c r="D3900" t="s">
        <v>78</v>
      </c>
      <c r="E3900" t="s">
        <v>24</v>
      </c>
      <c r="F3900" t="s">
        <v>231</v>
      </c>
      <c r="G3900">
        <v>20</v>
      </c>
      <c r="H3900" t="s">
        <v>194</v>
      </c>
      <c r="I3900" t="s">
        <v>232</v>
      </c>
      <c r="J3900" t="s">
        <v>6219</v>
      </c>
      <c r="K3900" t="s">
        <v>6220</v>
      </c>
      <c r="R3900">
        <v>153</v>
      </c>
      <c r="S3900">
        <v>137.85</v>
      </c>
    </row>
    <row r="3901" spans="1:19" x14ac:dyDescent="0.25">
      <c r="A3901" t="s">
        <v>6257</v>
      </c>
      <c r="B3901" s="1">
        <v>44741</v>
      </c>
      <c r="C3901" t="s">
        <v>6258</v>
      </c>
      <c r="D3901" t="s">
        <v>78</v>
      </c>
      <c r="E3901" t="s">
        <v>24</v>
      </c>
      <c r="F3901" t="s">
        <v>2708</v>
      </c>
      <c r="G3901">
        <v>10</v>
      </c>
      <c r="H3901" t="s">
        <v>464</v>
      </c>
      <c r="I3901" t="s">
        <v>943</v>
      </c>
      <c r="J3901" t="s">
        <v>944</v>
      </c>
      <c r="K3901" t="s">
        <v>6259</v>
      </c>
    </row>
    <row r="3902" spans="1:19" x14ac:dyDescent="0.25">
      <c r="A3902" t="s">
        <v>6260</v>
      </c>
      <c r="B3902" s="1">
        <v>44741</v>
      </c>
      <c r="C3902" t="s">
        <v>5393</v>
      </c>
      <c r="D3902" t="s">
        <v>78</v>
      </c>
      <c r="E3902" t="s">
        <v>24</v>
      </c>
      <c r="F3902" t="s">
        <v>323</v>
      </c>
      <c r="G3902">
        <v>30</v>
      </c>
      <c r="H3902" t="s">
        <v>1856</v>
      </c>
      <c r="I3902" t="s">
        <v>5177</v>
      </c>
      <c r="J3902" t="s">
        <v>5260</v>
      </c>
      <c r="K3902" t="s">
        <v>6261</v>
      </c>
      <c r="L3902">
        <v>0</v>
      </c>
      <c r="P3902">
        <v>3.79</v>
      </c>
      <c r="Q3902">
        <v>1.89</v>
      </c>
      <c r="R3902">
        <v>204</v>
      </c>
    </row>
    <row r="3903" spans="1:19" x14ac:dyDescent="0.25">
      <c r="A3903" t="s">
        <v>6262</v>
      </c>
      <c r="B3903" s="1">
        <v>44741</v>
      </c>
      <c r="C3903" t="s">
        <v>5407</v>
      </c>
      <c r="D3903" t="s">
        <v>78</v>
      </c>
      <c r="E3903" t="s">
        <v>24</v>
      </c>
      <c r="F3903" t="s">
        <v>305</v>
      </c>
      <c r="G3903">
        <v>10</v>
      </c>
      <c r="H3903" t="s">
        <v>194</v>
      </c>
      <c r="I3903" t="s">
        <v>195</v>
      </c>
      <c r="J3903" t="s">
        <v>211</v>
      </c>
      <c r="K3903" t="s">
        <v>6263</v>
      </c>
      <c r="R3903">
        <v>43</v>
      </c>
      <c r="S3903">
        <v>101.84</v>
      </c>
    </row>
    <row r="3904" spans="1:19" x14ac:dyDescent="0.25">
      <c r="A3904" t="s">
        <v>6264</v>
      </c>
      <c r="B3904" s="1">
        <v>44741</v>
      </c>
      <c r="C3904" t="s">
        <v>2142</v>
      </c>
      <c r="D3904" t="s">
        <v>78</v>
      </c>
      <c r="E3904" t="s">
        <v>24</v>
      </c>
      <c r="F3904" t="s">
        <v>323</v>
      </c>
      <c r="G3904">
        <v>45</v>
      </c>
      <c r="H3904" t="s">
        <v>26</v>
      </c>
      <c r="I3904" t="s">
        <v>370</v>
      </c>
      <c r="J3904" t="s">
        <v>479</v>
      </c>
      <c r="K3904" t="s">
        <v>6265</v>
      </c>
      <c r="L3904">
        <v>308</v>
      </c>
      <c r="M3904">
        <v>114</v>
      </c>
      <c r="N3904" s="2">
        <v>0.38</v>
      </c>
      <c r="O3904">
        <v>86</v>
      </c>
      <c r="P3904">
        <v>16.920000000000002</v>
      </c>
      <c r="Q3904">
        <v>12.69</v>
      </c>
      <c r="R3904">
        <v>467</v>
      </c>
      <c r="S3904">
        <v>157.06</v>
      </c>
    </row>
    <row r="3905" spans="1:21" x14ac:dyDescent="0.25">
      <c r="A3905" t="s">
        <v>6266</v>
      </c>
      <c r="B3905" s="1">
        <v>44741</v>
      </c>
      <c r="C3905" t="s">
        <v>2914</v>
      </c>
      <c r="D3905" t="s">
        <v>78</v>
      </c>
      <c r="E3905" t="s">
        <v>24</v>
      </c>
      <c r="F3905" t="s">
        <v>323</v>
      </c>
      <c r="G3905">
        <v>5</v>
      </c>
      <c r="H3905" t="s">
        <v>26</v>
      </c>
      <c r="I3905" t="s">
        <v>358</v>
      </c>
      <c r="J3905" t="s">
        <v>359</v>
      </c>
      <c r="K3905" t="s">
        <v>5749</v>
      </c>
      <c r="L3905">
        <v>16</v>
      </c>
      <c r="M3905">
        <v>54</v>
      </c>
      <c r="N3905" s="2">
        <v>0.27</v>
      </c>
      <c r="O3905">
        <v>86</v>
      </c>
      <c r="P3905">
        <v>12.34</v>
      </c>
      <c r="Q3905">
        <v>1.03</v>
      </c>
      <c r="R3905">
        <v>34</v>
      </c>
      <c r="S3905">
        <v>128.15</v>
      </c>
    </row>
    <row r="3906" spans="1:21" x14ac:dyDescent="0.25">
      <c r="A3906" t="s">
        <v>6267</v>
      </c>
      <c r="B3906" s="1">
        <v>44741</v>
      </c>
      <c r="C3906" t="s">
        <v>6268</v>
      </c>
      <c r="D3906" t="s">
        <v>78</v>
      </c>
      <c r="E3906" t="s">
        <v>24</v>
      </c>
      <c r="F3906" t="s">
        <v>3250</v>
      </c>
      <c r="G3906">
        <v>5</v>
      </c>
      <c r="H3906" t="s">
        <v>49</v>
      </c>
      <c r="I3906" t="s">
        <v>50</v>
      </c>
      <c r="J3906" t="s">
        <v>51</v>
      </c>
      <c r="K3906" t="s">
        <v>6269</v>
      </c>
      <c r="R3906">
        <v>11</v>
      </c>
    </row>
    <row r="3907" spans="1:21" x14ac:dyDescent="0.25">
      <c r="A3907" t="s">
        <v>6270</v>
      </c>
      <c r="B3907" s="1">
        <v>44741</v>
      </c>
      <c r="C3907" t="s">
        <v>2366</v>
      </c>
      <c r="D3907" t="s">
        <v>78</v>
      </c>
      <c r="E3907" t="s">
        <v>24</v>
      </c>
      <c r="F3907" t="s">
        <v>215</v>
      </c>
      <c r="G3907">
        <v>20</v>
      </c>
      <c r="H3907" t="s">
        <v>464</v>
      </c>
      <c r="I3907" t="s">
        <v>1571</v>
      </c>
      <c r="J3907" t="s">
        <v>1572</v>
      </c>
      <c r="K3907" t="s">
        <v>6271</v>
      </c>
    </row>
    <row r="3908" spans="1:21" x14ac:dyDescent="0.25">
      <c r="A3908" t="s">
        <v>6332</v>
      </c>
      <c r="B3908" s="1">
        <v>44748</v>
      </c>
      <c r="C3908" t="s">
        <v>3481</v>
      </c>
      <c r="D3908" t="s">
        <v>78</v>
      </c>
      <c r="E3908" t="s">
        <v>24</v>
      </c>
      <c r="F3908" t="s">
        <v>459</v>
      </c>
      <c r="G3908">
        <v>10</v>
      </c>
      <c r="H3908" t="s">
        <v>464</v>
      </c>
      <c r="I3908" t="s">
        <v>579</v>
      </c>
      <c r="J3908" t="s">
        <v>1470</v>
      </c>
      <c r="K3908" t="s">
        <v>6333</v>
      </c>
    </row>
    <row r="3909" spans="1:21" x14ac:dyDescent="0.25">
      <c r="A3909" t="s">
        <v>6334</v>
      </c>
      <c r="B3909" s="1">
        <v>44748</v>
      </c>
      <c r="C3909" t="s">
        <v>1111</v>
      </c>
      <c r="D3909" t="s">
        <v>78</v>
      </c>
      <c r="E3909" t="s">
        <v>24</v>
      </c>
      <c r="F3909" t="s">
        <v>215</v>
      </c>
      <c r="G3909">
        <v>30</v>
      </c>
      <c r="H3909" t="s">
        <v>188</v>
      </c>
      <c r="I3909" t="s">
        <v>189</v>
      </c>
      <c r="J3909" t="s">
        <v>6335</v>
      </c>
      <c r="K3909" t="s">
        <v>6336</v>
      </c>
      <c r="R3909">
        <v>95</v>
      </c>
    </row>
    <row r="3910" spans="1:21" x14ac:dyDescent="0.25">
      <c r="A3910" t="s">
        <v>6337</v>
      </c>
      <c r="B3910" s="1">
        <v>44748</v>
      </c>
      <c r="C3910" t="s">
        <v>699</v>
      </c>
      <c r="D3910" t="s">
        <v>78</v>
      </c>
      <c r="E3910" t="s">
        <v>24</v>
      </c>
      <c r="F3910" t="s">
        <v>314</v>
      </c>
      <c r="G3910">
        <v>30</v>
      </c>
      <c r="H3910" t="s">
        <v>1856</v>
      </c>
      <c r="I3910" t="s">
        <v>1857</v>
      </c>
      <c r="J3910" t="s">
        <v>6338</v>
      </c>
      <c r="K3910" t="s">
        <v>6339</v>
      </c>
      <c r="L3910">
        <v>0</v>
      </c>
      <c r="P3910">
        <v>3.53</v>
      </c>
      <c r="Q3910">
        <v>1.76</v>
      </c>
      <c r="R3910">
        <v>110</v>
      </c>
    </row>
    <row r="3911" spans="1:21" x14ac:dyDescent="0.25">
      <c r="A3911" t="s">
        <v>6340</v>
      </c>
      <c r="B3911" s="1">
        <v>44748</v>
      </c>
      <c r="C3911" t="s">
        <v>6341</v>
      </c>
      <c r="D3911" t="s">
        <v>78</v>
      </c>
      <c r="G3911">
        <v>9</v>
      </c>
      <c r="H3911" t="s">
        <v>1856</v>
      </c>
      <c r="J3911" t="s">
        <v>6342</v>
      </c>
      <c r="L3911">
        <v>0</v>
      </c>
      <c r="P3911">
        <v>3.36</v>
      </c>
      <c r="Q3911">
        <v>0.52</v>
      </c>
      <c r="R3911">
        <v>34</v>
      </c>
    </row>
    <row r="3912" spans="1:21" x14ac:dyDescent="0.25">
      <c r="A3912" t="s">
        <v>6343</v>
      </c>
      <c r="B3912" s="1">
        <v>44748</v>
      </c>
      <c r="C3912" t="s">
        <v>6344</v>
      </c>
      <c r="D3912" t="s">
        <v>78</v>
      </c>
      <c r="E3912" t="s">
        <v>24</v>
      </c>
      <c r="F3912" t="s">
        <v>335</v>
      </c>
      <c r="G3912">
        <v>10</v>
      </c>
      <c r="H3912" t="s">
        <v>194</v>
      </c>
      <c r="I3912" t="s">
        <v>195</v>
      </c>
      <c r="J3912" t="s">
        <v>6345</v>
      </c>
      <c r="K3912" t="s">
        <v>6346</v>
      </c>
      <c r="R3912">
        <v>58</v>
      </c>
      <c r="S3912">
        <v>117.11</v>
      </c>
    </row>
    <row r="3913" spans="1:21" x14ac:dyDescent="0.25">
      <c r="A3913" t="s">
        <v>6347</v>
      </c>
      <c r="B3913" s="1">
        <v>44748</v>
      </c>
      <c r="C3913" t="s">
        <v>3464</v>
      </c>
      <c r="D3913" t="s">
        <v>78</v>
      </c>
      <c r="E3913" t="s">
        <v>24</v>
      </c>
      <c r="F3913" t="s">
        <v>208</v>
      </c>
      <c r="G3913">
        <v>10</v>
      </c>
      <c r="H3913" t="s">
        <v>464</v>
      </c>
      <c r="I3913" t="s">
        <v>579</v>
      </c>
      <c r="J3913" t="s">
        <v>986</v>
      </c>
      <c r="K3913" t="s">
        <v>6348</v>
      </c>
    </row>
    <row r="3914" spans="1:21" x14ac:dyDescent="0.25">
      <c r="A3914" t="s">
        <v>6412</v>
      </c>
      <c r="B3914" s="1">
        <v>44755</v>
      </c>
      <c r="C3914" t="s">
        <v>585</v>
      </c>
      <c r="D3914" t="s">
        <v>78</v>
      </c>
      <c r="E3914" t="s">
        <v>24</v>
      </c>
      <c r="F3914" t="s">
        <v>215</v>
      </c>
      <c r="G3914">
        <v>30</v>
      </c>
      <c r="H3914" t="s">
        <v>188</v>
      </c>
      <c r="I3914" t="s">
        <v>189</v>
      </c>
      <c r="J3914" t="s">
        <v>3149</v>
      </c>
      <c r="K3914" t="s">
        <v>6413</v>
      </c>
      <c r="R3914">
        <v>91</v>
      </c>
    </row>
    <row r="3915" spans="1:21" x14ac:dyDescent="0.25">
      <c r="A3915" t="s">
        <v>6414</v>
      </c>
      <c r="B3915" s="1">
        <v>44755</v>
      </c>
      <c r="C3915" t="s">
        <v>538</v>
      </c>
      <c r="D3915" t="s">
        <v>78</v>
      </c>
      <c r="E3915" t="s">
        <v>24</v>
      </c>
      <c r="F3915" t="s">
        <v>170</v>
      </c>
      <c r="G3915">
        <v>10</v>
      </c>
      <c r="H3915" t="s">
        <v>194</v>
      </c>
      <c r="I3915" t="s">
        <v>195</v>
      </c>
      <c r="J3915" t="s">
        <v>211</v>
      </c>
      <c r="K3915" t="s">
        <v>6415</v>
      </c>
      <c r="R3915">
        <v>44</v>
      </c>
    </row>
    <row r="3916" spans="1:21" x14ac:dyDescent="0.25">
      <c r="A3916" t="s">
        <v>6416</v>
      </c>
      <c r="B3916" s="1">
        <v>44755</v>
      </c>
      <c r="C3916" t="s">
        <v>87</v>
      </c>
      <c r="D3916" t="s">
        <v>78</v>
      </c>
      <c r="E3916" t="s">
        <v>24</v>
      </c>
      <c r="F3916" t="s">
        <v>314</v>
      </c>
      <c r="G3916">
        <v>20</v>
      </c>
      <c r="H3916" t="s">
        <v>1856</v>
      </c>
      <c r="I3916" t="s">
        <v>1857</v>
      </c>
      <c r="J3916" t="s">
        <v>4727</v>
      </c>
      <c r="K3916" t="s">
        <v>6417</v>
      </c>
      <c r="L3916">
        <v>0</v>
      </c>
      <c r="P3916">
        <v>3.77</v>
      </c>
      <c r="Q3916">
        <v>1.26</v>
      </c>
      <c r="R3916">
        <v>73</v>
      </c>
    </row>
    <row r="3917" spans="1:21" x14ac:dyDescent="0.25">
      <c r="A3917" t="s">
        <v>6418</v>
      </c>
      <c r="B3917" s="1">
        <v>44755</v>
      </c>
      <c r="C3917" t="s">
        <v>6419</v>
      </c>
      <c r="D3917" t="s">
        <v>78</v>
      </c>
      <c r="E3917" t="s">
        <v>24</v>
      </c>
      <c r="F3917" t="s">
        <v>314</v>
      </c>
      <c r="G3917">
        <v>10</v>
      </c>
      <c r="H3917" t="s">
        <v>6420</v>
      </c>
      <c r="I3917" t="s">
        <v>6421</v>
      </c>
      <c r="J3917" t="s">
        <v>6422</v>
      </c>
      <c r="K3917" t="s">
        <v>6423</v>
      </c>
      <c r="L3917">
        <v>0</v>
      </c>
      <c r="P3917">
        <v>4.0199999999999996</v>
      </c>
      <c r="Q3917">
        <v>0.63</v>
      </c>
      <c r="R3917">
        <v>58</v>
      </c>
      <c r="S3917">
        <v>129.22</v>
      </c>
      <c r="T3917">
        <v>0</v>
      </c>
      <c r="U3917" s="3">
        <v>0.62222222222222223</v>
      </c>
    </row>
    <row r="3918" spans="1:21" x14ac:dyDescent="0.25">
      <c r="A3918" t="s">
        <v>6424</v>
      </c>
      <c r="B3918" s="1">
        <v>44755</v>
      </c>
      <c r="C3918" t="s">
        <v>6229</v>
      </c>
      <c r="D3918" t="s">
        <v>78</v>
      </c>
      <c r="E3918" t="s">
        <v>24</v>
      </c>
      <c r="F3918" t="s">
        <v>459</v>
      </c>
      <c r="G3918">
        <v>20</v>
      </c>
      <c r="H3918" t="s">
        <v>464</v>
      </c>
      <c r="I3918" t="s">
        <v>763</v>
      </c>
      <c r="J3918" t="s">
        <v>2732</v>
      </c>
      <c r="K3918" t="s">
        <v>6294</v>
      </c>
    </row>
    <row r="3919" spans="1:21" x14ac:dyDescent="0.25">
      <c r="A3919" t="s">
        <v>6482</v>
      </c>
      <c r="B3919" s="1">
        <v>44762</v>
      </c>
      <c r="C3919" t="s">
        <v>6483</v>
      </c>
      <c r="D3919" t="s">
        <v>78</v>
      </c>
      <c r="E3919" t="s">
        <v>24</v>
      </c>
      <c r="F3919" t="s">
        <v>200</v>
      </c>
      <c r="G3919">
        <v>30</v>
      </c>
      <c r="H3919" t="s">
        <v>188</v>
      </c>
      <c r="I3919" t="s">
        <v>189</v>
      </c>
      <c r="J3919" t="s">
        <v>201</v>
      </c>
      <c r="K3919" t="s">
        <v>6484</v>
      </c>
      <c r="R3919">
        <v>96</v>
      </c>
    </row>
    <row r="3920" spans="1:21" x14ac:dyDescent="0.25">
      <c r="A3920" t="s">
        <v>6485</v>
      </c>
      <c r="B3920" s="1">
        <v>44762</v>
      </c>
      <c r="C3920" t="s">
        <v>6486</v>
      </c>
      <c r="D3920" t="s">
        <v>78</v>
      </c>
      <c r="E3920" t="s">
        <v>24</v>
      </c>
      <c r="F3920" t="s">
        <v>354</v>
      </c>
      <c r="G3920">
        <v>5</v>
      </c>
      <c r="H3920" t="s">
        <v>194</v>
      </c>
      <c r="I3920" t="s">
        <v>423</v>
      </c>
      <c r="J3920" t="s">
        <v>6398</v>
      </c>
      <c r="K3920" t="s">
        <v>6399</v>
      </c>
      <c r="R3920">
        <v>24</v>
      </c>
      <c r="S3920">
        <v>111.52</v>
      </c>
    </row>
    <row r="3921" spans="1:19" x14ac:dyDescent="0.25">
      <c r="A3921" t="s">
        <v>6487</v>
      </c>
      <c r="B3921" s="1">
        <v>44762</v>
      </c>
      <c r="C3921" t="s">
        <v>2395</v>
      </c>
      <c r="D3921" t="s">
        <v>78</v>
      </c>
      <c r="E3921" t="s">
        <v>24</v>
      </c>
      <c r="F3921" t="s">
        <v>354</v>
      </c>
      <c r="G3921">
        <v>10</v>
      </c>
      <c r="H3921" t="s">
        <v>194</v>
      </c>
      <c r="I3921" t="s">
        <v>1445</v>
      </c>
      <c r="J3921" t="s">
        <v>2809</v>
      </c>
      <c r="K3921" t="s">
        <v>6399</v>
      </c>
      <c r="R3921">
        <v>53</v>
      </c>
      <c r="S3921">
        <v>112.28</v>
      </c>
    </row>
    <row r="3922" spans="1:19" x14ac:dyDescent="0.25">
      <c r="A3922" t="s">
        <v>6488</v>
      </c>
      <c r="B3922" s="1">
        <v>44762</v>
      </c>
      <c r="C3922" t="s">
        <v>6489</v>
      </c>
      <c r="D3922" t="s">
        <v>78</v>
      </c>
      <c r="E3922" t="s">
        <v>24</v>
      </c>
      <c r="F3922" t="s">
        <v>180</v>
      </c>
      <c r="G3922">
        <v>10</v>
      </c>
      <c r="H3922" t="s">
        <v>194</v>
      </c>
      <c r="I3922" t="s">
        <v>195</v>
      </c>
      <c r="J3922" t="s">
        <v>211</v>
      </c>
      <c r="K3922" t="s">
        <v>6490</v>
      </c>
      <c r="R3922">
        <v>53</v>
      </c>
      <c r="S3922">
        <v>112.52</v>
      </c>
    </row>
    <row r="3923" spans="1:19" x14ac:dyDescent="0.25">
      <c r="A3923" t="s">
        <v>6491</v>
      </c>
      <c r="B3923" s="1">
        <v>44762</v>
      </c>
      <c r="C3923" t="s">
        <v>2830</v>
      </c>
      <c r="D3923" t="s">
        <v>78</v>
      </c>
      <c r="E3923" t="s">
        <v>24</v>
      </c>
      <c r="F3923" t="s">
        <v>170</v>
      </c>
      <c r="G3923">
        <v>20</v>
      </c>
      <c r="H3923" t="s">
        <v>26</v>
      </c>
      <c r="I3923" t="s">
        <v>39</v>
      </c>
      <c r="J3923" t="s">
        <v>870</v>
      </c>
      <c r="K3923" t="s">
        <v>6492</v>
      </c>
      <c r="L3923">
        <v>103</v>
      </c>
      <c r="M3923">
        <v>86</v>
      </c>
      <c r="N3923" s="2">
        <v>0.35</v>
      </c>
      <c r="O3923">
        <v>82</v>
      </c>
      <c r="P3923">
        <v>14.99</v>
      </c>
      <c r="Q3923">
        <v>5</v>
      </c>
      <c r="R3923">
        <v>166</v>
      </c>
      <c r="S3923">
        <v>138.4</v>
      </c>
    </row>
    <row r="3924" spans="1:19" x14ac:dyDescent="0.25">
      <c r="A3924" t="s">
        <v>6493</v>
      </c>
      <c r="B3924" s="1">
        <v>44762</v>
      </c>
      <c r="C3924" t="s">
        <v>1637</v>
      </c>
      <c r="D3924" t="s">
        <v>78</v>
      </c>
      <c r="E3924" t="s">
        <v>24</v>
      </c>
      <c r="F3924" t="s">
        <v>237</v>
      </c>
      <c r="G3924">
        <v>20</v>
      </c>
      <c r="H3924" t="s">
        <v>464</v>
      </c>
      <c r="I3924" t="s">
        <v>943</v>
      </c>
      <c r="J3924" t="s">
        <v>1347</v>
      </c>
      <c r="K3924" t="s">
        <v>6481</v>
      </c>
    </row>
    <row r="3925" spans="1:19" x14ac:dyDescent="0.25">
      <c r="A3925" t="s">
        <v>6545</v>
      </c>
      <c r="B3925" s="1">
        <v>44769</v>
      </c>
      <c r="C3925" t="s">
        <v>6546</v>
      </c>
      <c r="D3925" t="s">
        <v>78</v>
      </c>
      <c r="E3925" t="s">
        <v>24</v>
      </c>
      <c r="F3925" t="s">
        <v>323</v>
      </c>
      <c r="G3925">
        <v>45</v>
      </c>
      <c r="H3925" t="s">
        <v>26</v>
      </c>
      <c r="I3925" t="s">
        <v>370</v>
      </c>
      <c r="J3925" t="s">
        <v>6547</v>
      </c>
      <c r="K3925" t="s">
        <v>6548</v>
      </c>
      <c r="L3925">
        <v>318</v>
      </c>
      <c r="M3925">
        <v>118</v>
      </c>
      <c r="N3925" s="2">
        <v>0.39</v>
      </c>
      <c r="O3925">
        <v>86</v>
      </c>
      <c r="P3925">
        <v>17.23</v>
      </c>
      <c r="Q3925">
        <v>12.92</v>
      </c>
      <c r="R3925">
        <v>418</v>
      </c>
      <c r="S3925">
        <v>147.02000000000001</v>
      </c>
    </row>
    <row r="3926" spans="1:19" x14ac:dyDescent="0.25">
      <c r="A3926" t="s">
        <v>6549</v>
      </c>
      <c r="B3926" s="1">
        <v>44769</v>
      </c>
      <c r="C3926" t="s">
        <v>2830</v>
      </c>
      <c r="D3926" t="s">
        <v>78</v>
      </c>
      <c r="E3926" t="s">
        <v>24</v>
      </c>
      <c r="F3926" t="s">
        <v>354</v>
      </c>
      <c r="G3926">
        <v>5</v>
      </c>
      <c r="H3926" t="s">
        <v>194</v>
      </c>
      <c r="I3926" t="s">
        <v>423</v>
      </c>
      <c r="J3926" t="s">
        <v>6398</v>
      </c>
      <c r="K3926" t="s">
        <v>6399</v>
      </c>
      <c r="R3926">
        <v>26</v>
      </c>
      <c r="S3926">
        <v>114.97</v>
      </c>
    </row>
    <row r="3927" spans="1:19" x14ac:dyDescent="0.25">
      <c r="A3927" t="s">
        <v>6550</v>
      </c>
      <c r="B3927" s="1">
        <v>44769</v>
      </c>
      <c r="C3927" t="s">
        <v>3437</v>
      </c>
      <c r="D3927" t="s">
        <v>78</v>
      </c>
      <c r="E3927" t="s">
        <v>24</v>
      </c>
      <c r="F3927" t="s">
        <v>354</v>
      </c>
      <c r="G3927">
        <v>10</v>
      </c>
      <c r="H3927" t="s">
        <v>194</v>
      </c>
      <c r="I3927" t="s">
        <v>1445</v>
      </c>
      <c r="J3927" t="s">
        <v>2809</v>
      </c>
      <c r="K3927" t="s">
        <v>6399</v>
      </c>
      <c r="R3927">
        <v>54</v>
      </c>
      <c r="S3927">
        <v>113.59</v>
      </c>
    </row>
    <row r="3928" spans="1:19" x14ac:dyDescent="0.25">
      <c r="A3928" t="s">
        <v>6551</v>
      </c>
      <c r="B3928" s="1">
        <v>44769</v>
      </c>
      <c r="C3928" t="s">
        <v>6552</v>
      </c>
      <c r="D3928" t="s">
        <v>78</v>
      </c>
      <c r="E3928" t="s">
        <v>24</v>
      </c>
      <c r="F3928" t="s">
        <v>231</v>
      </c>
      <c r="G3928">
        <v>10</v>
      </c>
      <c r="H3928" t="s">
        <v>194</v>
      </c>
      <c r="I3928" t="s">
        <v>195</v>
      </c>
      <c r="J3928" t="s">
        <v>211</v>
      </c>
      <c r="K3928" t="s">
        <v>6553</v>
      </c>
      <c r="R3928">
        <v>48</v>
      </c>
      <c r="S3928">
        <v>108.22</v>
      </c>
    </row>
    <row r="3929" spans="1:19" x14ac:dyDescent="0.25">
      <c r="A3929" t="s">
        <v>6554</v>
      </c>
      <c r="B3929" s="1">
        <v>44769</v>
      </c>
      <c r="C3929" t="s">
        <v>6555</v>
      </c>
      <c r="D3929" t="s">
        <v>78</v>
      </c>
      <c r="E3929" t="s">
        <v>24</v>
      </c>
      <c r="F3929" t="s">
        <v>554</v>
      </c>
      <c r="G3929">
        <v>5</v>
      </c>
      <c r="H3929" t="s">
        <v>49</v>
      </c>
      <c r="I3929" t="s">
        <v>50</v>
      </c>
      <c r="J3929" t="s">
        <v>51</v>
      </c>
      <c r="K3929" t="s">
        <v>6556</v>
      </c>
      <c r="R3929">
        <v>20</v>
      </c>
      <c r="S3929">
        <v>100.47</v>
      </c>
    </row>
    <row r="3930" spans="1:19" x14ac:dyDescent="0.25">
      <c r="A3930" t="s">
        <v>6557</v>
      </c>
      <c r="B3930" s="1">
        <v>44769</v>
      </c>
      <c r="C3930" t="s">
        <v>2794</v>
      </c>
      <c r="D3930" t="s">
        <v>78</v>
      </c>
      <c r="E3930" t="s">
        <v>24</v>
      </c>
      <c r="F3930" t="s">
        <v>243</v>
      </c>
      <c r="G3930">
        <v>20</v>
      </c>
      <c r="H3930" t="s">
        <v>188</v>
      </c>
      <c r="I3930" t="s">
        <v>254</v>
      </c>
      <c r="J3930" t="s">
        <v>516</v>
      </c>
      <c r="K3930" t="s">
        <v>6558</v>
      </c>
      <c r="R3930">
        <v>62</v>
      </c>
    </row>
    <row r="3931" spans="1:19" x14ac:dyDescent="0.25">
      <c r="A3931" t="s">
        <v>6559</v>
      </c>
      <c r="B3931" s="1">
        <v>44769</v>
      </c>
      <c r="C3931" t="s">
        <v>6560</v>
      </c>
      <c r="D3931" t="s">
        <v>78</v>
      </c>
      <c r="E3931" t="s">
        <v>24</v>
      </c>
      <c r="F3931" t="s">
        <v>1987</v>
      </c>
      <c r="G3931">
        <v>10</v>
      </c>
      <c r="H3931" t="s">
        <v>188</v>
      </c>
      <c r="I3931" t="s">
        <v>238</v>
      </c>
      <c r="J3931" t="s">
        <v>674</v>
      </c>
      <c r="K3931" t="s">
        <v>6561</v>
      </c>
      <c r="R3931">
        <v>34</v>
      </c>
    </row>
    <row r="3932" spans="1:19" x14ac:dyDescent="0.25">
      <c r="A3932" t="s">
        <v>6562</v>
      </c>
      <c r="B3932" s="1">
        <v>44769</v>
      </c>
      <c r="C3932" t="s">
        <v>1909</v>
      </c>
      <c r="D3932" t="s">
        <v>78</v>
      </c>
      <c r="E3932" t="s">
        <v>24</v>
      </c>
      <c r="F3932" t="s">
        <v>2708</v>
      </c>
      <c r="G3932">
        <v>10</v>
      </c>
      <c r="H3932" t="s">
        <v>464</v>
      </c>
      <c r="I3932" t="s">
        <v>1617</v>
      </c>
      <c r="J3932" t="s">
        <v>3543</v>
      </c>
      <c r="K3932" t="s">
        <v>6563</v>
      </c>
    </row>
    <row r="3933" spans="1:19" x14ac:dyDescent="0.25">
      <c r="A3933" t="s">
        <v>6609</v>
      </c>
      <c r="B3933" s="1">
        <v>44776</v>
      </c>
      <c r="C3933" t="s">
        <v>630</v>
      </c>
      <c r="D3933" t="s">
        <v>78</v>
      </c>
      <c r="E3933" t="s">
        <v>24</v>
      </c>
      <c r="F3933" t="s">
        <v>215</v>
      </c>
      <c r="G3933">
        <v>30</v>
      </c>
      <c r="H3933" t="s">
        <v>188</v>
      </c>
      <c r="I3933" t="s">
        <v>189</v>
      </c>
      <c r="J3933" t="s">
        <v>4152</v>
      </c>
      <c r="K3933" t="s">
        <v>6610</v>
      </c>
      <c r="R3933">
        <v>95</v>
      </c>
    </row>
    <row r="3934" spans="1:19" x14ac:dyDescent="0.25">
      <c r="A3934" t="s">
        <v>6611</v>
      </c>
      <c r="B3934" s="1">
        <v>44776</v>
      </c>
      <c r="C3934" t="s">
        <v>1686</v>
      </c>
      <c r="D3934" t="s">
        <v>78</v>
      </c>
      <c r="E3934" t="s">
        <v>24</v>
      </c>
      <c r="F3934" t="s">
        <v>354</v>
      </c>
      <c r="G3934">
        <v>15</v>
      </c>
      <c r="H3934" t="s">
        <v>194</v>
      </c>
      <c r="I3934" t="s">
        <v>1445</v>
      </c>
      <c r="J3934" t="s">
        <v>2082</v>
      </c>
      <c r="K3934" t="s">
        <v>6399</v>
      </c>
      <c r="R3934">
        <v>70</v>
      </c>
      <c r="S3934">
        <v>106.77</v>
      </c>
    </row>
    <row r="3935" spans="1:19" x14ac:dyDescent="0.25">
      <c r="A3935" t="s">
        <v>6612</v>
      </c>
      <c r="B3935" s="1">
        <v>44776</v>
      </c>
      <c r="C3935" t="s">
        <v>5511</v>
      </c>
      <c r="D3935" t="s">
        <v>78</v>
      </c>
      <c r="E3935" t="s">
        <v>24</v>
      </c>
      <c r="F3935" t="s">
        <v>237</v>
      </c>
      <c r="G3935">
        <v>10</v>
      </c>
      <c r="H3935" t="s">
        <v>188</v>
      </c>
      <c r="I3935" t="s">
        <v>238</v>
      </c>
      <c r="J3935" t="s">
        <v>674</v>
      </c>
      <c r="K3935" t="s">
        <v>6613</v>
      </c>
      <c r="R3935">
        <v>35</v>
      </c>
      <c r="S3935">
        <v>92.52</v>
      </c>
    </row>
    <row r="3936" spans="1:19" x14ac:dyDescent="0.25">
      <c r="A3936" t="s">
        <v>6614</v>
      </c>
      <c r="B3936" s="1">
        <v>44776</v>
      </c>
      <c r="C3936" t="s">
        <v>3533</v>
      </c>
      <c r="D3936" t="s">
        <v>78</v>
      </c>
      <c r="E3936" t="s">
        <v>24</v>
      </c>
      <c r="F3936" t="s">
        <v>2708</v>
      </c>
      <c r="G3936">
        <v>5</v>
      </c>
      <c r="H3936" t="s">
        <v>464</v>
      </c>
      <c r="I3936" t="s">
        <v>1249</v>
      </c>
      <c r="J3936" t="s">
        <v>3182</v>
      </c>
      <c r="K3936" t="s">
        <v>6615</v>
      </c>
    </row>
    <row r="3937" spans="1:19" x14ac:dyDescent="0.25">
      <c r="A3937" t="s">
        <v>6652</v>
      </c>
      <c r="B3937" s="1">
        <v>44783</v>
      </c>
      <c r="C3937" t="s">
        <v>1649</v>
      </c>
      <c r="D3937" t="s">
        <v>78</v>
      </c>
      <c r="E3937" t="s">
        <v>24</v>
      </c>
      <c r="F3937" t="s">
        <v>215</v>
      </c>
      <c r="G3937">
        <v>10</v>
      </c>
      <c r="H3937" t="s">
        <v>464</v>
      </c>
      <c r="I3937" t="s">
        <v>943</v>
      </c>
      <c r="J3937" t="s">
        <v>944</v>
      </c>
      <c r="K3937" t="s">
        <v>6653</v>
      </c>
    </row>
    <row r="3938" spans="1:19" x14ac:dyDescent="0.25">
      <c r="A3938" t="s">
        <v>6691</v>
      </c>
      <c r="B3938" s="1">
        <v>44790</v>
      </c>
      <c r="C3938" t="s">
        <v>5654</v>
      </c>
      <c r="D3938" t="s">
        <v>78</v>
      </c>
      <c r="E3938" t="s">
        <v>24</v>
      </c>
      <c r="F3938" t="s">
        <v>180</v>
      </c>
      <c r="G3938">
        <v>5</v>
      </c>
      <c r="H3938" t="s">
        <v>194</v>
      </c>
      <c r="I3938" t="s">
        <v>195</v>
      </c>
      <c r="J3938" t="s">
        <v>196</v>
      </c>
      <c r="K3938" t="s">
        <v>6666</v>
      </c>
      <c r="R3938">
        <v>26</v>
      </c>
      <c r="S3938">
        <v>119.77</v>
      </c>
    </row>
    <row r="3939" spans="1:19" x14ac:dyDescent="0.25">
      <c r="A3939" t="s">
        <v>6692</v>
      </c>
      <c r="B3939" s="1">
        <v>44790</v>
      </c>
      <c r="C3939" t="s">
        <v>6693</v>
      </c>
      <c r="D3939" t="s">
        <v>78</v>
      </c>
      <c r="E3939" t="s">
        <v>24</v>
      </c>
      <c r="F3939" t="s">
        <v>323</v>
      </c>
      <c r="G3939">
        <v>45</v>
      </c>
      <c r="H3939" t="s">
        <v>26</v>
      </c>
      <c r="I3939" t="s">
        <v>370</v>
      </c>
      <c r="J3939" t="s">
        <v>479</v>
      </c>
      <c r="K3939" t="s">
        <v>6694</v>
      </c>
      <c r="L3939">
        <v>329</v>
      </c>
      <c r="M3939">
        <v>122</v>
      </c>
      <c r="N3939" s="2">
        <v>0.39</v>
      </c>
      <c r="O3939">
        <v>85</v>
      </c>
      <c r="P3939">
        <v>17</v>
      </c>
      <c r="Q3939">
        <v>12.75</v>
      </c>
      <c r="R3939">
        <v>525</v>
      </c>
      <c r="S3939">
        <v>167.83</v>
      </c>
    </row>
    <row r="3940" spans="1:19" x14ac:dyDescent="0.25">
      <c r="A3940" t="s">
        <v>6695</v>
      </c>
      <c r="B3940" s="1">
        <v>44790</v>
      </c>
      <c r="C3940" t="s">
        <v>6696</v>
      </c>
      <c r="D3940" t="s">
        <v>78</v>
      </c>
      <c r="E3940" t="s">
        <v>24</v>
      </c>
      <c r="F3940" t="s">
        <v>323</v>
      </c>
      <c r="G3940">
        <v>5</v>
      </c>
      <c r="H3940" t="s">
        <v>26</v>
      </c>
      <c r="I3940" t="s">
        <v>358</v>
      </c>
      <c r="J3940" t="s">
        <v>359</v>
      </c>
      <c r="K3940" t="s">
        <v>6620</v>
      </c>
      <c r="L3940">
        <v>10</v>
      </c>
      <c r="M3940">
        <v>34</v>
      </c>
      <c r="N3940" s="2">
        <v>0.22</v>
      </c>
      <c r="O3940">
        <v>84</v>
      </c>
      <c r="P3940">
        <v>9.85</v>
      </c>
      <c r="Q3940">
        <v>0.82</v>
      </c>
      <c r="R3940">
        <v>41</v>
      </c>
      <c r="S3940">
        <v>138.96</v>
      </c>
    </row>
    <row r="3941" spans="1:19" x14ac:dyDescent="0.25">
      <c r="A3941" t="s">
        <v>6697</v>
      </c>
      <c r="B3941" s="1">
        <v>44790</v>
      </c>
      <c r="C3941" t="s">
        <v>3364</v>
      </c>
      <c r="D3941" t="s">
        <v>78</v>
      </c>
      <c r="E3941" t="s">
        <v>24</v>
      </c>
      <c r="F3941" t="s">
        <v>328</v>
      </c>
      <c r="G3941">
        <v>5</v>
      </c>
      <c r="H3941" t="s">
        <v>194</v>
      </c>
      <c r="I3941" t="s">
        <v>195</v>
      </c>
      <c r="J3941" t="s">
        <v>196</v>
      </c>
      <c r="K3941" t="s">
        <v>6698</v>
      </c>
      <c r="R3941">
        <v>26</v>
      </c>
      <c r="S3941">
        <v>112.79</v>
      </c>
    </row>
    <row r="3942" spans="1:19" x14ac:dyDescent="0.25">
      <c r="A3942" t="s">
        <v>6699</v>
      </c>
      <c r="B3942" s="1">
        <v>44790</v>
      </c>
      <c r="C3942" t="s">
        <v>5471</v>
      </c>
      <c r="D3942" t="s">
        <v>78</v>
      </c>
      <c r="E3942" t="s">
        <v>24</v>
      </c>
      <c r="F3942" t="s">
        <v>354</v>
      </c>
      <c r="G3942">
        <v>20</v>
      </c>
      <c r="H3942" t="s">
        <v>194</v>
      </c>
      <c r="I3942" t="s">
        <v>1445</v>
      </c>
      <c r="J3942" t="s">
        <v>4217</v>
      </c>
      <c r="K3942" t="s">
        <v>6700</v>
      </c>
      <c r="R3942">
        <v>139</v>
      </c>
      <c r="S3942">
        <v>126.66</v>
      </c>
    </row>
    <row r="3943" spans="1:19" x14ac:dyDescent="0.25">
      <c r="A3943" t="s">
        <v>6701</v>
      </c>
      <c r="B3943" s="1">
        <v>44790</v>
      </c>
      <c r="C3943" t="s">
        <v>186</v>
      </c>
      <c r="D3943" t="s">
        <v>78</v>
      </c>
      <c r="E3943" t="s">
        <v>24</v>
      </c>
      <c r="F3943" t="s">
        <v>215</v>
      </c>
      <c r="G3943">
        <v>30</v>
      </c>
      <c r="H3943" t="s">
        <v>188</v>
      </c>
      <c r="I3943" t="s">
        <v>254</v>
      </c>
      <c r="J3943" t="s">
        <v>4013</v>
      </c>
      <c r="K3943" t="s">
        <v>6702</v>
      </c>
      <c r="R3943">
        <v>91</v>
      </c>
    </row>
    <row r="3944" spans="1:19" x14ac:dyDescent="0.25">
      <c r="A3944" t="s">
        <v>6703</v>
      </c>
      <c r="B3944" s="1">
        <v>44790</v>
      </c>
      <c r="C3944" t="s">
        <v>1784</v>
      </c>
      <c r="D3944" t="s">
        <v>78</v>
      </c>
      <c r="E3944" t="s">
        <v>24</v>
      </c>
      <c r="F3944" t="s">
        <v>200</v>
      </c>
      <c r="G3944">
        <v>10</v>
      </c>
      <c r="H3944" t="s">
        <v>464</v>
      </c>
      <c r="I3944" t="s">
        <v>579</v>
      </c>
      <c r="J3944" t="s">
        <v>6704</v>
      </c>
      <c r="K3944" t="s">
        <v>6705</v>
      </c>
    </row>
    <row r="3945" spans="1:19" x14ac:dyDescent="0.25">
      <c r="A3945" t="s">
        <v>6757</v>
      </c>
      <c r="B3945" s="1">
        <v>44797</v>
      </c>
      <c r="C3945" t="s">
        <v>626</v>
      </c>
      <c r="D3945" t="s">
        <v>78</v>
      </c>
      <c r="E3945" t="s">
        <v>24</v>
      </c>
      <c r="F3945" t="s">
        <v>243</v>
      </c>
      <c r="G3945">
        <v>45</v>
      </c>
      <c r="H3945" t="s">
        <v>188</v>
      </c>
      <c r="I3945" t="s">
        <v>3255</v>
      </c>
      <c r="J3945" t="s">
        <v>6758</v>
      </c>
      <c r="K3945" t="s">
        <v>6759</v>
      </c>
      <c r="R3945">
        <v>144</v>
      </c>
    </row>
    <row r="3946" spans="1:19" x14ac:dyDescent="0.25">
      <c r="A3946" t="s">
        <v>6760</v>
      </c>
      <c r="B3946" s="1">
        <v>44797</v>
      </c>
      <c r="C3946" t="s">
        <v>6761</v>
      </c>
      <c r="D3946" t="s">
        <v>78</v>
      </c>
      <c r="E3946" t="s">
        <v>24</v>
      </c>
      <c r="F3946" t="s">
        <v>231</v>
      </c>
      <c r="G3946">
        <v>10</v>
      </c>
      <c r="H3946" t="s">
        <v>1856</v>
      </c>
      <c r="I3946" t="s">
        <v>6604</v>
      </c>
      <c r="J3946" t="s">
        <v>6762</v>
      </c>
      <c r="K3946" t="s">
        <v>6722</v>
      </c>
      <c r="L3946">
        <v>0</v>
      </c>
      <c r="P3946">
        <v>3.32</v>
      </c>
      <c r="Q3946">
        <v>0.56000000000000005</v>
      </c>
      <c r="R3946">
        <v>37</v>
      </c>
    </row>
    <row r="3947" spans="1:19" x14ac:dyDescent="0.25">
      <c r="A3947" t="s">
        <v>6763</v>
      </c>
      <c r="B3947" s="1">
        <v>44797</v>
      </c>
      <c r="C3947" t="s">
        <v>6764</v>
      </c>
      <c r="D3947" t="s">
        <v>78</v>
      </c>
      <c r="E3947" t="s">
        <v>24</v>
      </c>
      <c r="F3947" t="s">
        <v>6276</v>
      </c>
      <c r="G3947">
        <v>20</v>
      </c>
      <c r="H3947" t="s">
        <v>1856</v>
      </c>
      <c r="I3947" t="s">
        <v>1857</v>
      </c>
      <c r="J3947" t="s">
        <v>4727</v>
      </c>
      <c r="K3947" t="s">
        <v>6765</v>
      </c>
      <c r="L3947">
        <v>0</v>
      </c>
      <c r="P3947">
        <v>3.77</v>
      </c>
      <c r="Q3947">
        <v>1.1599999999999999</v>
      </c>
      <c r="R3947">
        <v>73</v>
      </c>
    </row>
    <row r="3948" spans="1:19" x14ac:dyDescent="0.25">
      <c r="A3948" t="s">
        <v>6766</v>
      </c>
      <c r="B3948" s="1">
        <v>44797</v>
      </c>
      <c r="C3948" t="s">
        <v>6767</v>
      </c>
      <c r="D3948" t="s">
        <v>78</v>
      </c>
      <c r="E3948" t="s">
        <v>24</v>
      </c>
      <c r="F3948" t="s">
        <v>2256</v>
      </c>
      <c r="G3948">
        <v>10</v>
      </c>
      <c r="H3948" t="s">
        <v>194</v>
      </c>
      <c r="I3948" t="s">
        <v>195</v>
      </c>
      <c r="J3948" t="s">
        <v>5762</v>
      </c>
      <c r="K3948" t="s">
        <v>6768</v>
      </c>
      <c r="R3948">
        <v>43</v>
      </c>
      <c r="S3948">
        <v>100.62</v>
      </c>
    </row>
    <row r="3949" spans="1:19" x14ac:dyDescent="0.25">
      <c r="A3949" t="s">
        <v>6769</v>
      </c>
      <c r="B3949" s="1">
        <v>44797</v>
      </c>
      <c r="C3949" t="s">
        <v>6432</v>
      </c>
      <c r="D3949" t="s">
        <v>78</v>
      </c>
      <c r="E3949" t="s">
        <v>24</v>
      </c>
      <c r="F3949" t="s">
        <v>323</v>
      </c>
      <c r="G3949">
        <v>45</v>
      </c>
      <c r="H3949" t="s">
        <v>26</v>
      </c>
      <c r="I3949" t="s">
        <v>370</v>
      </c>
      <c r="J3949" t="s">
        <v>6770</v>
      </c>
      <c r="K3949" t="s">
        <v>6771</v>
      </c>
      <c r="L3949">
        <v>337</v>
      </c>
      <c r="M3949">
        <v>125</v>
      </c>
      <c r="N3949" s="2">
        <v>0.39</v>
      </c>
      <c r="O3949">
        <v>87</v>
      </c>
      <c r="P3949">
        <v>17.43</v>
      </c>
      <c r="Q3949">
        <v>13.08</v>
      </c>
      <c r="R3949">
        <v>505</v>
      </c>
      <c r="S3949">
        <v>163.98</v>
      </c>
    </row>
    <row r="3950" spans="1:19" x14ac:dyDescent="0.25">
      <c r="A3950" t="s">
        <v>6772</v>
      </c>
      <c r="B3950" s="1">
        <v>44797</v>
      </c>
      <c r="C3950" t="s">
        <v>3194</v>
      </c>
      <c r="D3950" t="s">
        <v>78</v>
      </c>
      <c r="E3950" t="s">
        <v>24</v>
      </c>
      <c r="F3950" t="s">
        <v>354</v>
      </c>
      <c r="G3950">
        <v>10</v>
      </c>
      <c r="H3950" t="s">
        <v>26</v>
      </c>
      <c r="I3950" t="s">
        <v>358</v>
      </c>
      <c r="J3950" t="s">
        <v>6773</v>
      </c>
      <c r="K3950" t="s">
        <v>6741</v>
      </c>
      <c r="L3950">
        <v>28</v>
      </c>
      <c r="M3950">
        <v>46</v>
      </c>
      <c r="N3950" s="2">
        <v>0.27</v>
      </c>
      <c r="O3950">
        <v>78</v>
      </c>
      <c r="P3950">
        <v>11.52</v>
      </c>
      <c r="Q3950">
        <v>1.92</v>
      </c>
      <c r="R3950">
        <v>73</v>
      </c>
      <c r="S3950">
        <v>130.15</v>
      </c>
    </row>
    <row r="3951" spans="1:19" x14ac:dyDescent="0.25">
      <c r="A3951" t="s">
        <v>6774</v>
      </c>
      <c r="B3951" s="1">
        <v>44797</v>
      </c>
      <c r="C3951" t="s">
        <v>6775</v>
      </c>
      <c r="D3951" t="s">
        <v>78</v>
      </c>
      <c r="E3951" t="s">
        <v>24</v>
      </c>
      <c r="F3951" t="s">
        <v>2876</v>
      </c>
      <c r="G3951">
        <v>5</v>
      </c>
      <c r="H3951" t="s">
        <v>49</v>
      </c>
      <c r="I3951" t="s">
        <v>50</v>
      </c>
      <c r="J3951" t="s">
        <v>6776</v>
      </c>
      <c r="K3951" t="s">
        <v>6738</v>
      </c>
      <c r="R3951">
        <v>22</v>
      </c>
      <c r="S3951">
        <v>122.4</v>
      </c>
    </row>
    <row r="3952" spans="1:19" x14ac:dyDescent="0.25">
      <c r="A3952" t="s">
        <v>6777</v>
      </c>
      <c r="B3952" s="1">
        <v>44797</v>
      </c>
      <c r="C3952" t="s">
        <v>1469</v>
      </c>
      <c r="D3952" t="s">
        <v>78</v>
      </c>
      <c r="E3952" t="s">
        <v>24</v>
      </c>
      <c r="F3952" t="s">
        <v>2708</v>
      </c>
      <c r="G3952">
        <v>15</v>
      </c>
      <c r="H3952" t="s">
        <v>464</v>
      </c>
      <c r="I3952" t="s">
        <v>763</v>
      </c>
      <c r="J3952" t="s">
        <v>2926</v>
      </c>
      <c r="K3952" t="s">
        <v>6778</v>
      </c>
    </row>
    <row r="3953" spans="1:19" x14ac:dyDescent="0.25">
      <c r="A3953" t="s">
        <v>6824</v>
      </c>
      <c r="B3953" s="1">
        <v>44804</v>
      </c>
      <c r="C3953" t="s">
        <v>6825</v>
      </c>
      <c r="D3953" t="s">
        <v>78</v>
      </c>
      <c r="E3953" t="s">
        <v>24</v>
      </c>
      <c r="F3953" t="s">
        <v>335</v>
      </c>
      <c r="G3953">
        <v>45</v>
      </c>
      <c r="H3953" t="s">
        <v>26</v>
      </c>
      <c r="I3953" t="s">
        <v>370</v>
      </c>
      <c r="J3953" t="s">
        <v>4280</v>
      </c>
      <c r="K3953" t="s">
        <v>6826</v>
      </c>
      <c r="L3953">
        <v>307</v>
      </c>
      <c r="M3953">
        <v>114</v>
      </c>
      <c r="N3953" s="2">
        <v>0.38</v>
      </c>
      <c r="O3953">
        <v>86</v>
      </c>
      <c r="P3953">
        <v>16.989999999999998</v>
      </c>
      <c r="Q3953">
        <v>12.74</v>
      </c>
      <c r="R3953">
        <v>439</v>
      </c>
      <c r="S3953">
        <v>151.35</v>
      </c>
    </row>
    <row r="3954" spans="1:19" x14ac:dyDescent="0.25">
      <c r="A3954" t="s">
        <v>6827</v>
      </c>
      <c r="B3954" s="1">
        <v>44804</v>
      </c>
      <c r="C3954" t="s">
        <v>6828</v>
      </c>
      <c r="D3954" t="s">
        <v>78</v>
      </c>
      <c r="E3954" t="s">
        <v>24</v>
      </c>
      <c r="F3954" t="s">
        <v>170</v>
      </c>
      <c r="G3954">
        <v>10</v>
      </c>
      <c r="H3954" t="s">
        <v>194</v>
      </c>
      <c r="I3954" t="s">
        <v>700</v>
      </c>
      <c r="J3954" t="s">
        <v>6829</v>
      </c>
      <c r="K3954" t="s">
        <v>6738</v>
      </c>
      <c r="R3954">
        <v>62</v>
      </c>
      <c r="S3954">
        <v>115.72</v>
      </c>
    </row>
    <row r="3955" spans="1:19" x14ac:dyDescent="0.25">
      <c r="A3955" t="s">
        <v>6830</v>
      </c>
      <c r="B3955" s="1">
        <v>44804</v>
      </c>
      <c r="C3955" t="s">
        <v>3712</v>
      </c>
      <c r="D3955" t="s">
        <v>78</v>
      </c>
      <c r="E3955" t="s">
        <v>24</v>
      </c>
      <c r="F3955" t="s">
        <v>459</v>
      </c>
      <c r="G3955">
        <v>15</v>
      </c>
      <c r="H3955" t="s">
        <v>464</v>
      </c>
      <c r="I3955" t="s">
        <v>579</v>
      </c>
      <c r="J3955" t="s">
        <v>6831</v>
      </c>
      <c r="K3955" t="s">
        <v>6832</v>
      </c>
    </row>
    <row r="3956" spans="1:19" x14ac:dyDescent="0.25">
      <c r="A3956" t="s">
        <v>6883</v>
      </c>
      <c r="B3956" s="1">
        <v>44811</v>
      </c>
      <c r="C3956" t="s">
        <v>133</v>
      </c>
      <c r="D3956" t="s">
        <v>78</v>
      </c>
      <c r="G3956">
        <v>1</v>
      </c>
      <c r="H3956" t="s">
        <v>1856</v>
      </c>
      <c r="J3956" t="s">
        <v>6884</v>
      </c>
      <c r="L3956">
        <v>0</v>
      </c>
      <c r="P3956">
        <v>3.06</v>
      </c>
      <c r="Q3956">
        <v>7.0000000000000007E-2</v>
      </c>
      <c r="R3956">
        <v>5</v>
      </c>
    </row>
    <row r="3957" spans="1:19" x14ac:dyDescent="0.25">
      <c r="A3957" t="s">
        <v>6885</v>
      </c>
      <c r="B3957" s="1">
        <v>44811</v>
      </c>
      <c r="C3957" t="s">
        <v>5654</v>
      </c>
      <c r="D3957" t="s">
        <v>78</v>
      </c>
      <c r="E3957" t="s">
        <v>24</v>
      </c>
      <c r="F3957" t="s">
        <v>231</v>
      </c>
      <c r="G3957">
        <v>30</v>
      </c>
      <c r="H3957" t="s">
        <v>194</v>
      </c>
      <c r="I3957" t="s">
        <v>232</v>
      </c>
      <c r="J3957" t="s">
        <v>6886</v>
      </c>
      <c r="K3957" t="s">
        <v>6887</v>
      </c>
      <c r="R3957">
        <v>198</v>
      </c>
      <c r="S3957">
        <v>123.69</v>
      </c>
    </row>
    <row r="3958" spans="1:19" x14ac:dyDescent="0.25">
      <c r="A3958" t="s">
        <v>6888</v>
      </c>
      <c r="B3958" s="1">
        <v>44811</v>
      </c>
      <c r="C3958" t="s">
        <v>5420</v>
      </c>
      <c r="D3958" t="s">
        <v>78</v>
      </c>
      <c r="E3958" t="s">
        <v>24</v>
      </c>
      <c r="F3958" t="s">
        <v>323</v>
      </c>
      <c r="G3958">
        <v>30</v>
      </c>
      <c r="H3958" t="s">
        <v>26</v>
      </c>
      <c r="I3958" t="s">
        <v>370</v>
      </c>
      <c r="J3958" t="s">
        <v>396</v>
      </c>
      <c r="K3958" t="s">
        <v>6889</v>
      </c>
      <c r="L3958">
        <v>205</v>
      </c>
      <c r="M3958">
        <v>114</v>
      </c>
      <c r="N3958" s="2">
        <v>0.4</v>
      </c>
      <c r="O3958">
        <v>83</v>
      </c>
      <c r="P3958">
        <v>16.920000000000002</v>
      </c>
      <c r="Q3958">
        <v>8.4600000000000009</v>
      </c>
      <c r="R3958">
        <v>287</v>
      </c>
      <c r="S3958">
        <v>149.62</v>
      </c>
    </row>
    <row r="3959" spans="1:19" x14ac:dyDescent="0.25">
      <c r="A3959" t="s">
        <v>6890</v>
      </c>
      <c r="B3959" s="1">
        <v>44811</v>
      </c>
      <c r="C3959" t="s">
        <v>406</v>
      </c>
      <c r="D3959" t="s">
        <v>78</v>
      </c>
      <c r="E3959" t="s">
        <v>24</v>
      </c>
      <c r="F3959" t="s">
        <v>237</v>
      </c>
      <c r="G3959">
        <v>30</v>
      </c>
      <c r="H3959" t="s">
        <v>188</v>
      </c>
      <c r="I3959" t="s">
        <v>189</v>
      </c>
      <c r="J3959" t="s">
        <v>201</v>
      </c>
      <c r="K3959" t="s">
        <v>6891</v>
      </c>
      <c r="R3959">
        <v>109</v>
      </c>
      <c r="S3959">
        <v>97.36</v>
      </c>
    </row>
    <row r="3960" spans="1:19" x14ac:dyDescent="0.25">
      <c r="A3960" t="s">
        <v>6892</v>
      </c>
      <c r="B3960" s="1">
        <v>44811</v>
      </c>
      <c r="C3960" t="s">
        <v>1375</v>
      </c>
      <c r="D3960" t="s">
        <v>78</v>
      </c>
      <c r="E3960" t="s">
        <v>24</v>
      </c>
      <c r="F3960" t="s">
        <v>459</v>
      </c>
      <c r="G3960">
        <v>15</v>
      </c>
      <c r="H3960" t="s">
        <v>464</v>
      </c>
      <c r="I3960" t="s">
        <v>943</v>
      </c>
      <c r="J3960" t="s">
        <v>1709</v>
      </c>
      <c r="K3960" t="s">
        <v>6893</v>
      </c>
    </row>
    <row r="3961" spans="1:19" x14ac:dyDescent="0.25">
      <c r="A3961" t="s">
        <v>6923</v>
      </c>
      <c r="B3961" s="1">
        <v>44818</v>
      </c>
      <c r="C3961" t="s">
        <v>478</v>
      </c>
      <c r="D3961" t="s">
        <v>78</v>
      </c>
      <c r="E3961" t="s">
        <v>24</v>
      </c>
      <c r="F3961" t="s">
        <v>215</v>
      </c>
      <c r="G3961">
        <v>30</v>
      </c>
      <c r="H3961" t="s">
        <v>188</v>
      </c>
      <c r="I3961" t="s">
        <v>189</v>
      </c>
      <c r="J3961" t="s">
        <v>3149</v>
      </c>
      <c r="K3961" t="s">
        <v>6924</v>
      </c>
      <c r="R3961">
        <v>94</v>
      </c>
    </row>
    <row r="3962" spans="1:19" x14ac:dyDescent="0.25">
      <c r="A3962" t="s">
        <v>6925</v>
      </c>
      <c r="B3962" s="1">
        <v>44818</v>
      </c>
      <c r="C3962" t="s">
        <v>1686</v>
      </c>
      <c r="D3962" t="s">
        <v>78</v>
      </c>
      <c r="E3962" t="s">
        <v>24</v>
      </c>
      <c r="F3962" t="s">
        <v>323</v>
      </c>
      <c r="G3962">
        <v>45</v>
      </c>
      <c r="H3962" t="s">
        <v>26</v>
      </c>
      <c r="I3962" t="s">
        <v>370</v>
      </c>
      <c r="J3962" t="s">
        <v>479</v>
      </c>
      <c r="K3962" t="s">
        <v>2298</v>
      </c>
      <c r="L3962">
        <v>330</v>
      </c>
      <c r="M3962">
        <v>122</v>
      </c>
      <c r="N3962" s="2">
        <v>0.39</v>
      </c>
      <c r="O3962">
        <v>86</v>
      </c>
      <c r="P3962">
        <v>17.32</v>
      </c>
      <c r="Q3962">
        <v>12.99</v>
      </c>
      <c r="R3962">
        <v>504</v>
      </c>
      <c r="S3962">
        <v>163.77000000000001</v>
      </c>
    </row>
    <row r="3963" spans="1:19" x14ac:dyDescent="0.25">
      <c r="A3963" t="s">
        <v>6926</v>
      </c>
      <c r="B3963" s="1">
        <v>44818</v>
      </c>
      <c r="C3963" t="s">
        <v>1688</v>
      </c>
      <c r="D3963" t="s">
        <v>78</v>
      </c>
      <c r="E3963" t="s">
        <v>24</v>
      </c>
      <c r="F3963" t="s">
        <v>323</v>
      </c>
      <c r="G3963">
        <v>5</v>
      </c>
      <c r="H3963" t="s">
        <v>26</v>
      </c>
      <c r="I3963" t="s">
        <v>358</v>
      </c>
      <c r="J3963" t="s">
        <v>359</v>
      </c>
      <c r="K3963" t="s">
        <v>6620</v>
      </c>
      <c r="L3963">
        <v>13</v>
      </c>
      <c r="M3963">
        <v>42</v>
      </c>
      <c r="N3963" s="2">
        <v>0.24</v>
      </c>
      <c r="O3963">
        <v>86</v>
      </c>
      <c r="P3963">
        <v>11.07</v>
      </c>
      <c r="Q3963">
        <v>0.92</v>
      </c>
      <c r="R3963">
        <v>35</v>
      </c>
      <c r="S3963">
        <v>123.35</v>
      </c>
    </row>
    <row r="3964" spans="1:19" x14ac:dyDescent="0.25">
      <c r="A3964" t="s">
        <v>6927</v>
      </c>
      <c r="B3964" s="1">
        <v>44818</v>
      </c>
      <c r="C3964" t="s">
        <v>3120</v>
      </c>
      <c r="D3964" t="s">
        <v>78</v>
      </c>
      <c r="E3964" t="s">
        <v>24</v>
      </c>
      <c r="F3964" t="s">
        <v>768</v>
      </c>
      <c r="G3964">
        <v>10</v>
      </c>
      <c r="H3964" t="s">
        <v>194</v>
      </c>
      <c r="I3964" t="s">
        <v>700</v>
      </c>
      <c r="J3964" t="s">
        <v>1282</v>
      </c>
      <c r="K3964" t="s">
        <v>6928</v>
      </c>
      <c r="R3964">
        <v>71</v>
      </c>
      <c r="S3964">
        <v>125.48</v>
      </c>
    </row>
    <row r="3965" spans="1:19" x14ac:dyDescent="0.25">
      <c r="A3965" t="s">
        <v>6929</v>
      </c>
      <c r="B3965" s="1">
        <v>44818</v>
      </c>
      <c r="C3965" t="s">
        <v>2150</v>
      </c>
      <c r="D3965" t="s">
        <v>78</v>
      </c>
      <c r="E3965" t="s">
        <v>24</v>
      </c>
      <c r="F3965" t="s">
        <v>2256</v>
      </c>
      <c r="G3965">
        <v>10</v>
      </c>
      <c r="H3965" t="s">
        <v>194</v>
      </c>
      <c r="I3965" t="s">
        <v>195</v>
      </c>
      <c r="J3965" t="s">
        <v>5762</v>
      </c>
      <c r="K3965" t="s">
        <v>6930</v>
      </c>
      <c r="R3965">
        <v>48</v>
      </c>
      <c r="S3965">
        <v>107.39</v>
      </c>
    </row>
    <row r="3966" spans="1:19" x14ac:dyDescent="0.25">
      <c r="A3966" t="s">
        <v>6931</v>
      </c>
      <c r="B3966" s="1">
        <v>44818</v>
      </c>
      <c r="C3966" t="s">
        <v>3152</v>
      </c>
      <c r="D3966" t="s">
        <v>78</v>
      </c>
      <c r="E3966" t="s">
        <v>24</v>
      </c>
      <c r="F3966" t="s">
        <v>3955</v>
      </c>
      <c r="G3966">
        <v>5</v>
      </c>
      <c r="H3966" t="s">
        <v>49</v>
      </c>
      <c r="I3966" t="s">
        <v>4924</v>
      </c>
      <c r="J3966" t="s">
        <v>4925</v>
      </c>
      <c r="K3966" t="s">
        <v>6932</v>
      </c>
      <c r="R3966">
        <v>20</v>
      </c>
      <c r="S3966">
        <v>99.99</v>
      </c>
    </row>
    <row r="3967" spans="1:19" x14ac:dyDescent="0.25">
      <c r="A3967" t="s">
        <v>6933</v>
      </c>
      <c r="B3967" s="1">
        <v>44818</v>
      </c>
      <c r="C3967" t="s">
        <v>2015</v>
      </c>
      <c r="D3967" t="s">
        <v>78</v>
      </c>
      <c r="E3967" t="s">
        <v>24</v>
      </c>
      <c r="F3967" t="s">
        <v>237</v>
      </c>
      <c r="G3967">
        <v>5</v>
      </c>
      <c r="H3967" t="s">
        <v>464</v>
      </c>
      <c r="I3967" t="s">
        <v>763</v>
      </c>
      <c r="J3967" t="s">
        <v>2354</v>
      </c>
      <c r="K3967" t="s">
        <v>6934</v>
      </c>
    </row>
    <row r="3968" spans="1:19" x14ac:dyDescent="0.25">
      <c r="A3968" t="s">
        <v>6966</v>
      </c>
      <c r="B3968" s="1">
        <v>44825</v>
      </c>
      <c r="C3968" t="s">
        <v>6967</v>
      </c>
      <c r="D3968" t="s">
        <v>78</v>
      </c>
      <c r="E3968" t="s">
        <v>24</v>
      </c>
      <c r="F3968" t="s">
        <v>323</v>
      </c>
      <c r="G3968">
        <v>45</v>
      </c>
      <c r="H3968" t="s">
        <v>26</v>
      </c>
      <c r="I3968" t="s">
        <v>370</v>
      </c>
      <c r="J3968" t="s">
        <v>479</v>
      </c>
      <c r="K3968" t="s">
        <v>6093</v>
      </c>
      <c r="L3968">
        <v>316</v>
      </c>
      <c r="M3968">
        <v>117</v>
      </c>
      <c r="N3968" s="2">
        <v>0.37</v>
      </c>
      <c r="O3968">
        <v>87</v>
      </c>
      <c r="P3968">
        <v>16.47</v>
      </c>
      <c r="Q3968">
        <v>12.31</v>
      </c>
      <c r="R3968">
        <v>502</v>
      </c>
      <c r="S3968">
        <v>159.04</v>
      </c>
    </row>
    <row r="3969" spans="1:20" x14ac:dyDescent="0.25">
      <c r="A3969" t="s">
        <v>6968</v>
      </c>
      <c r="B3969" s="1">
        <v>44825</v>
      </c>
      <c r="C3969" t="s">
        <v>2853</v>
      </c>
      <c r="D3969" t="s">
        <v>78</v>
      </c>
      <c r="E3969" t="s">
        <v>24</v>
      </c>
      <c r="F3969" t="s">
        <v>25</v>
      </c>
      <c r="G3969">
        <v>5</v>
      </c>
      <c r="H3969" t="s">
        <v>26</v>
      </c>
      <c r="I3969" t="s">
        <v>358</v>
      </c>
      <c r="J3969" t="s">
        <v>359</v>
      </c>
      <c r="K3969" t="s">
        <v>6969</v>
      </c>
      <c r="L3969">
        <v>14</v>
      </c>
      <c r="M3969">
        <v>46</v>
      </c>
      <c r="N3969" s="2">
        <v>0.28999999999999998</v>
      </c>
      <c r="O3969">
        <v>72</v>
      </c>
      <c r="P3969">
        <v>11.32</v>
      </c>
      <c r="Q3969">
        <v>0.94</v>
      </c>
      <c r="R3969">
        <v>33</v>
      </c>
      <c r="S3969">
        <v>120.59</v>
      </c>
    </row>
    <row r="3970" spans="1:20" x14ac:dyDescent="0.25">
      <c r="A3970" t="s">
        <v>6970</v>
      </c>
      <c r="B3970" s="1">
        <v>44825</v>
      </c>
      <c r="C3970" t="s">
        <v>2208</v>
      </c>
      <c r="D3970" t="s">
        <v>78</v>
      </c>
      <c r="E3970" t="s">
        <v>24</v>
      </c>
      <c r="F3970" t="s">
        <v>335</v>
      </c>
      <c r="G3970">
        <v>5</v>
      </c>
      <c r="H3970" t="s">
        <v>194</v>
      </c>
      <c r="I3970" t="s">
        <v>195</v>
      </c>
      <c r="J3970" t="s">
        <v>196</v>
      </c>
      <c r="K3970" t="s">
        <v>6971</v>
      </c>
      <c r="R3970">
        <v>26</v>
      </c>
      <c r="S3970">
        <v>114.26</v>
      </c>
    </row>
    <row r="3971" spans="1:20" x14ac:dyDescent="0.25">
      <c r="A3971" t="s">
        <v>6972</v>
      </c>
      <c r="B3971" s="1">
        <v>44825</v>
      </c>
      <c r="C3971" t="s">
        <v>2483</v>
      </c>
      <c r="D3971" t="s">
        <v>78</v>
      </c>
      <c r="E3971" t="s">
        <v>24</v>
      </c>
      <c r="F3971" t="s">
        <v>200</v>
      </c>
      <c r="G3971">
        <v>10</v>
      </c>
      <c r="H3971" t="s">
        <v>464</v>
      </c>
      <c r="I3971" t="s">
        <v>1249</v>
      </c>
      <c r="J3971" t="s">
        <v>3629</v>
      </c>
      <c r="K3971" t="s">
        <v>6973</v>
      </c>
    </row>
    <row r="3972" spans="1:20" x14ac:dyDescent="0.25">
      <c r="A3972" t="s">
        <v>7020</v>
      </c>
      <c r="B3972" s="1">
        <v>44832</v>
      </c>
      <c r="C3972" t="s">
        <v>7021</v>
      </c>
      <c r="D3972" t="s">
        <v>78</v>
      </c>
      <c r="E3972" t="s">
        <v>24</v>
      </c>
      <c r="F3972" t="s">
        <v>243</v>
      </c>
      <c r="G3972">
        <v>45</v>
      </c>
      <c r="H3972" t="s">
        <v>26</v>
      </c>
      <c r="I3972" t="s">
        <v>370</v>
      </c>
      <c r="J3972" t="s">
        <v>550</v>
      </c>
      <c r="K3972" t="s">
        <v>7022</v>
      </c>
      <c r="L3972">
        <v>304</v>
      </c>
      <c r="M3972">
        <v>113</v>
      </c>
      <c r="N3972" s="2">
        <v>0.37</v>
      </c>
      <c r="O3972">
        <v>84</v>
      </c>
      <c r="P3972">
        <v>16.2</v>
      </c>
      <c r="Q3972">
        <v>12.15</v>
      </c>
      <c r="R3972">
        <v>509</v>
      </c>
      <c r="S3972">
        <v>166.32</v>
      </c>
    </row>
    <row r="3973" spans="1:20" x14ac:dyDescent="0.25">
      <c r="A3973" t="s">
        <v>7023</v>
      </c>
      <c r="B3973" s="1">
        <v>44832</v>
      </c>
      <c r="C3973" t="s">
        <v>7024</v>
      </c>
      <c r="D3973" t="s">
        <v>78</v>
      </c>
      <c r="E3973" t="s">
        <v>24</v>
      </c>
      <c r="G3973">
        <v>10</v>
      </c>
      <c r="H3973" t="s">
        <v>26</v>
      </c>
      <c r="I3973" t="s">
        <v>427</v>
      </c>
      <c r="J3973" t="s">
        <v>7025</v>
      </c>
      <c r="L3973">
        <v>35</v>
      </c>
      <c r="M3973">
        <v>59</v>
      </c>
      <c r="N3973" s="2">
        <v>0.31</v>
      </c>
      <c r="O3973">
        <v>78</v>
      </c>
      <c r="P3973">
        <v>12.91</v>
      </c>
      <c r="Q3973">
        <v>2.15</v>
      </c>
      <c r="R3973">
        <v>86</v>
      </c>
      <c r="S3973">
        <v>142.29</v>
      </c>
    </row>
    <row r="3974" spans="1:20" x14ac:dyDescent="0.25">
      <c r="A3974" t="s">
        <v>7026</v>
      </c>
      <c r="B3974" s="1">
        <v>44832</v>
      </c>
      <c r="C3974" t="s">
        <v>7027</v>
      </c>
      <c r="D3974" t="s">
        <v>78</v>
      </c>
      <c r="E3974" t="s">
        <v>24</v>
      </c>
      <c r="F3974" t="s">
        <v>323</v>
      </c>
      <c r="G3974">
        <v>5</v>
      </c>
      <c r="H3974" t="s">
        <v>49</v>
      </c>
      <c r="I3974" t="s">
        <v>50</v>
      </c>
      <c r="J3974" t="s">
        <v>6740</v>
      </c>
      <c r="K3974" t="s">
        <v>6741</v>
      </c>
      <c r="R3974">
        <v>11</v>
      </c>
    </row>
    <row r="3975" spans="1:20" x14ac:dyDescent="0.25">
      <c r="A3975" t="s">
        <v>7076</v>
      </c>
      <c r="B3975" s="1">
        <v>44839</v>
      </c>
      <c r="C3975" t="s">
        <v>2850</v>
      </c>
      <c r="D3975" t="s">
        <v>78</v>
      </c>
      <c r="E3975" t="s">
        <v>24</v>
      </c>
      <c r="F3975" t="s">
        <v>237</v>
      </c>
      <c r="G3975">
        <v>30</v>
      </c>
      <c r="H3975" t="s">
        <v>188</v>
      </c>
      <c r="I3975" t="s">
        <v>575</v>
      </c>
      <c r="J3975" t="s">
        <v>7077</v>
      </c>
      <c r="K3975" t="s">
        <v>7078</v>
      </c>
      <c r="R3975">
        <v>99</v>
      </c>
    </row>
    <row r="3976" spans="1:20" x14ac:dyDescent="0.25">
      <c r="A3976" t="s">
        <v>7079</v>
      </c>
      <c r="B3976" s="1">
        <v>44839</v>
      </c>
      <c r="C3976" t="s">
        <v>7080</v>
      </c>
      <c r="D3976" t="s">
        <v>78</v>
      </c>
      <c r="E3976" t="s">
        <v>24</v>
      </c>
      <c r="F3976" t="s">
        <v>297</v>
      </c>
      <c r="G3976">
        <v>30</v>
      </c>
      <c r="H3976" t="s">
        <v>6420</v>
      </c>
      <c r="I3976" t="s">
        <v>103</v>
      </c>
      <c r="J3976" t="s">
        <v>7081</v>
      </c>
      <c r="K3976" t="s">
        <v>7082</v>
      </c>
      <c r="L3976">
        <v>0</v>
      </c>
      <c r="P3976">
        <v>0</v>
      </c>
      <c r="Q3976">
        <v>0</v>
      </c>
      <c r="R3976">
        <v>257</v>
      </c>
      <c r="T3976">
        <v>0</v>
      </c>
    </row>
    <row r="3977" spans="1:20" x14ac:dyDescent="0.25">
      <c r="A3977" t="s">
        <v>7118</v>
      </c>
      <c r="B3977" s="1">
        <v>44846</v>
      </c>
      <c r="C3977" t="s">
        <v>7119</v>
      </c>
      <c r="D3977" t="s">
        <v>78</v>
      </c>
      <c r="E3977" t="s">
        <v>24</v>
      </c>
      <c r="F3977" t="s">
        <v>208</v>
      </c>
      <c r="G3977">
        <v>10</v>
      </c>
      <c r="H3977" t="s">
        <v>464</v>
      </c>
      <c r="I3977" t="s">
        <v>103</v>
      </c>
      <c r="J3977" t="s">
        <v>7120</v>
      </c>
      <c r="K3977" t="s">
        <v>7121</v>
      </c>
    </row>
    <row r="3978" spans="1:20" x14ac:dyDescent="0.25">
      <c r="A3978" t="s">
        <v>7122</v>
      </c>
      <c r="B3978" s="1">
        <v>44846</v>
      </c>
      <c r="C3978" t="s">
        <v>3312</v>
      </c>
      <c r="D3978" t="s">
        <v>78</v>
      </c>
      <c r="E3978" t="s">
        <v>24</v>
      </c>
      <c r="F3978" t="s">
        <v>180</v>
      </c>
      <c r="G3978">
        <v>20</v>
      </c>
      <c r="H3978" t="s">
        <v>194</v>
      </c>
      <c r="I3978" t="s">
        <v>195</v>
      </c>
      <c r="J3978" t="s">
        <v>2247</v>
      </c>
      <c r="K3978" t="s">
        <v>7123</v>
      </c>
      <c r="R3978">
        <v>108</v>
      </c>
      <c r="S3978">
        <v>113.3</v>
      </c>
    </row>
    <row r="3979" spans="1:20" x14ac:dyDescent="0.25">
      <c r="A3979" t="s">
        <v>7124</v>
      </c>
      <c r="B3979" s="1">
        <v>44846</v>
      </c>
      <c r="C3979" t="s">
        <v>3316</v>
      </c>
      <c r="D3979" t="s">
        <v>78</v>
      </c>
      <c r="E3979" t="s">
        <v>24</v>
      </c>
      <c r="F3979" t="s">
        <v>292</v>
      </c>
      <c r="G3979">
        <v>30</v>
      </c>
      <c r="H3979" t="s">
        <v>194</v>
      </c>
      <c r="I3979" t="s">
        <v>232</v>
      </c>
      <c r="J3979" t="s">
        <v>7125</v>
      </c>
      <c r="K3979" t="s">
        <v>7126</v>
      </c>
      <c r="R3979">
        <v>273</v>
      </c>
      <c r="S3979">
        <v>146.27000000000001</v>
      </c>
    </row>
    <row r="3980" spans="1:20" x14ac:dyDescent="0.25">
      <c r="A3980" t="s">
        <v>7127</v>
      </c>
      <c r="B3980" s="1">
        <v>44846</v>
      </c>
      <c r="C3980" t="s">
        <v>999</v>
      </c>
      <c r="D3980" t="s">
        <v>78</v>
      </c>
      <c r="E3980" t="s">
        <v>24</v>
      </c>
      <c r="F3980" t="s">
        <v>200</v>
      </c>
      <c r="G3980">
        <v>30</v>
      </c>
      <c r="H3980" t="s">
        <v>188</v>
      </c>
      <c r="I3980" t="s">
        <v>189</v>
      </c>
      <c r="J3980" t="s">
        <v>201</v>
      </c>
      <c r="K3980" t="s">
        <v>7128</v>
      </c>
      <c r="R3980">
        <v>89</v>
      </c>
    </row>
    <row r="3981" spans="1:20" x14ac:dyDescent="0.25">
      <c r="A3981" t="s">
        <v>7129</v>
      </c>
      <c r="B3981" s="1">
        <v>44846</v>
      </c>
      <c r="C3981" t="s">
        <v>6509</v>
      </c>
      <c r="D3981" t="s">
        <v>78</v>
      </c>
      <c r="E3981" t="s">
        <v>24</v>
      </c>
      <c r="F3981" t="s">
        <v>459</v>
      </c>
      <c r="G3981">
        <v>15</v>
      </c>
      <c r="H3981" t="s">
        <v>464</v>
      </c>
      <c r="I3981" t="s">
        <v>1571</v>
      </c>
      <c r="J3981" t="s">
        <v>2322</v>
      </c>
      <c r="K3981" t="s">
        <v>6995</v>
      </c>
    </row>
    <row r="3982" spans="1:20" x14ac:dyDescent="0.25">
      <c r="A3982" t="s">
        <v>7180</v>
      </c>
      <c r="B3982" s="1">
        <v>44853</v>
      </c>
      <c r="C3982" t="s">
        <v>7181</v>
      </c>
      <c r="D3982" t="s">
        <v>78</v>
      </c>
      <c r="E3982" t="s">
        <v>24</v>
      </c>
      <c r="F3982" t="s">
        <v>323</v>
      </c>
      <c r="G3982">
        <v>45</v>
      </c>
      <c r="H3982" t="s">
        <v>26</v>
      </c>
      <c r="I3982" t="s">
        <v>370</v>
      </c>
      <c r="J3982" t="s">
        <v>439</v>
      </c>
      <c r="K3982" t="s">
        <v>7182</v>
      </c>
      <c r="L3982">
        <v>262</v>
      </c>
      <c r="M3982">
        <v>98</v>
      </c>
      <c r="N3982" s="2">
        <v>0.36</v>
      </c>
      <c r="O3982">
        <v>83</v>
      </c>
      <c r="P3982">
        <v>15.82</v>
      </c>
      <c r="Q3982">
        <v>11.82</v>
      </c>
      <c r="R3982">
        <v>431</v>
      </c>
      <c r="S3982">
        <v>149.62</v>
      </c>
    </row>
    <row r="3983" spans="1:20" x14ac:dyDescent="0.25">
      <c r="A3983" t="s">
        <v>7183</v>
      </c>
      <c r="B3983" s="1">
        <v>44853</v>
      </c>
      <c r="C3983" t="s">
        <v>1942</v>
      </c>
      <c r="D3983" t="s">
        <v>78</v>
      </c>
      <c r="E3983" t="s">
        <v>24</v>
      </c>
      <c r="F3983" t="s">
        <v>328</v>
      </c>
      <c r="G3983">
        <v>10</v>
      </c>
      <c r="H3983" t="s">
        <v>194</v>
      </c>
      <c r="I3983" t="s">
        <v>195</v>
      </c>
      <c r="J3983" t="s">
        <v>211</v>
      </c>
      <c r="K3983" t="s">
        <v>7184</v>
      </c>
      <c r="R3983">
        <v>34</v>
      </c>
      <c r="S3983">
        <v>90.83</v>
      </c>
    </row>
    <row r="3984" spans="1:20" x14ac:dyDescent="0.25">
      <c r="A3984" t="s">
        <v>7239</v>
      </c>
      <c r="B3984" s="1">
        <v>44860</v>
      </c>
      <c r="C3984" t="s">
        <v>5736</v>
      </c>
      <c r="D3984" t="s">
        <v>78</v>
      </c>
      <c r="E3984" t="s">
        <v>24</v>
      </c>
      <c r="F3984" t="s">
        <v>237</v>
      </c>
      <c r="G3984">
        <v>30</v>
      </c>
      <c r="H3984" t="s">
        <v>188</v>
      </c>
      <c r="I3984" t="s">
        <v>238</v>
      </c>
      <c r="J3984" t="s">
        <v>7240</v>
      </c>
      <c r="K3984" t="s">
        <v>7241</v>
      </c>
      <c r="R3984">
        <v>98</v>
      </c>
    </row>
    <row r="3985" spans="1:19" x14ac:dyDescent="0.25">
      <c r="A3985" t="s">
        <v>7242</v>
      </c>
      <c r="B3985" s="1">
        <v>44860</v>
      </c>
      <c r="C3985" t="s">
        <v>6029</v>
      </c>
      <c r="D3985" t="s">
        <v>78</v>
      </c>
      <c r="E3985" t="s">
        <v>24</v>
      </c>
      <c r="F3985" t="s">
        <v>323</v>
      </c>
      <c r="G3985">
        <v>45</v>
      </c>
      <c r="H3985" t="s">
        <v>26</v>
      </c>
      <c r="I3985" t="s">
        <v>370</v>
      </c>
      <c r="J3985" t="s">
        <v>439</v>
      </c>
      <c r="K3985" t="s">
        <v>7182</v>
      </c>
      <c r="L3985">
        <v>310</v>
      </c>
      <c r="M3985">
        <v>115</v>
      </c>
      <c r="N3985" s="2">
        <v>0.39</v>
      </c>
      <c r="O3985">
        <v>85</v>
      </c>
      <c r="P3985">
        <v>17.02</v>
      </c>
      <c r="Q3985">
        <v>12.76</v>
      </c>
      <c r="R3985">
        <v>488</v>
      </c>
      <c r="S3985">
        <v>160.63</v>
      </c>
    </row>
    <row r="3986" spans="1:19" x14ac:dyDescent="0.25">
      <c r="A3986" t="s">
        <v>7243</v>
      </c>
      <c r="B3986" s="1">
        <v>44860</v>
      </c>
      <c r="C3986" t="s">
        <v>6014</v>
      </c>
      <c r="D3986" t="s">
        <v>78</v>
      </c>
      <c r="E3986" t="s">
        <v>24</v>
      </c>
      <c r="F3986" t="s">
        <v>180</v>
      </c>
      <c r="G3986">
        <v>5</v>
      </c>
      <c r="H3986" t="s">
        <v>26</v>
      </c>
      <c r="I3986" t="s">
        <v>358</v>
      </c>
      <c r="J3986" t="s">
        <v>7244</v>
      </c>
      <c r="K3986" t="s">
        <v>7245</v>
      </c>
      <c r="L3986">
        <v>17</v>
      </c>
      <c r="M3986">
        <v>58</v>
      </c>
      <c r="N3986" s="2">
        <v>0.28999999999999998</v>
      </c>
      <c r="O3986">
        <v>82</v>
      </c>
      <c r="P3986">
        <v>12.81</v>
      </c>
      <c r="Q3986">
        <v>1.07</v>
      </c>
      <c r="R3986">
        <v>39</v>
      </c>
      <c r="S3986">
        <v>136.91</v>
      </c>
    </row>
    <row r="3987" spans="1:19" x14ac:dyDescent="0.25">
      <c r="A3987" t="s">
        <v>7246</v>
      </c>
      <c r="B3987" s="1">
        <v>44860</v>
      </c>
      <c r="C3987" t="s">
        <v>7247</v>
      </c>
      <c r="D3987" t="s">
        <v>78</v>
      </c>
      <c r="E3987" t="s">
        <v>24</v>
      </c>
      <c r="F3987" t="s">
        <v>2256</v>
      </c>
      <c r="G3987">
        <v>30</v>
      </c>
      <c r="H3987" t="s">
        <v>194</v>
      </c>
      <c r="I3987" t="s">
        <v>232</v>
      </c>
      <c r="J3987" t="s">
        <v>7248</v>
      </c>
      <c r="K3987" t="s">
        <v>7191</v>
      </c>
      <c r="R3987">
        <v>188</v>
      </c>
      <c r="S3987">
        <v>119.44</v>
      </c>
    </row>
    <row r="3988" spans="1:19" x14ac:dyDescent="0.25">
      <c r="A3988" t="s">
        <v>7249</v>
      </c>
      <c r="B3988" s="1">
        <v>44860</v>
      </c>
      <c r="C3988" t="s">
        <v>5724</v>
      </c>
      <c r="D3988" t="s">
        <v>78</v>
      </c>
      <c r="E3988" t="s">
        <v>24</v>
      </c>
      <c r="F3988" t="s">
        <v>459</v>
      </c>
      <c r="G3988">
        <v>15</v>
      </c>
      <c r="H3988" t="s">
        <v>464</v>
      </c>
      <c r="I3988" t="s">
        <v>763</v>
      </c>
      <c r="J3988" t="s">
        <v>2229</v>
      </c>
      <c r="K3988" t="s">
        <v>7250</v>
      </c>
    </row>
    <row r="3989" spans="1:19" x14ac:dyDescent="0.25">
      <c r="A3989" t="s">
        <v>7283</v>
      </c>
      <c r="B3989" s="1">
        <v>44867</v>
      </c>
      <c r="C3989" t="s">
        <v>7284</v>
      </c>
      <c r="D3989" t="s">
        <v>78</v>
      </c>
      <c r="E3989" t="s">
        <v>24</v>
      </c>
      <c r="F3989" t="s">
        <v>208</v>
      </c>
      <c r="G3989">
        <v>10</v>
      </c>
      <c r="H3989" t="s">
        <v>464</v>
      </c>
      <c r="I3989" t="s">
        <v>1617</v>
      </c>
      <c r="J3989" t="s">
        <v>3543</v>
      </c>
      <c r="K3989" t="s">
        <v>7285</v>
      </c>
    </row>
    <row r="3990" spans="1:19" x14ac:dyDescent="0.25">
      <c r="A3990" t="s">
        <v>7310</v>
      </c>
      <c r="B3990" s="1">
        <v>44874</v>
      </c>
      <c r="C3990" t="s">
        <v>7311</v>
      </c>
      <c r="D3990" t="s">
        <v>78</v>
      </c>
      <c r="E3990" t="s">
        <v>24</v>
      </c>
      <c r="F3990" t="s">
        <v>243</v>
      </c>
      <c r="G3990">
        <v>45</v>
      </c>
      <c r="H3990" t="s">
        <v>26</v>
      </c>
      <c r="I3990" t="s">
        <v>370</v>
      </c>
      <c r="J3990" t="s">
        <v>4416</v>
      </c>
      <c r="K3990" t="s">
        <v>7312</v>
      </c>
      <c r="L3990">
        <v>199</v>
      </c>
      <c r="M3990">
        <v>74</v>
      </c>
      <c r="N3990" s="2">
        <v>0.32</v>
      </c>
      <c r="O3990">
        <v>84</v>
      </c>
      <c r="P3990">
        <v>13.96</v>
      </c>
      <c r="Q3990">
        <v>10.47</v>
      </c>
      <c r="R3990">
        <v>515</v>
      </c>
      <c r="S3990">
        <v>165.93</v>
      </c>
    </row>
    <row r="3991" spans="1:19" x14ac:dyDescent="0.25">
      <c r="A3991" t="s">
        <v>7313</v>
      </c>
      <c r="B3991" s="1">
        <v>44874</v>
      </c>
      <c r="C3991" t="s">
        <v>7314</v>
      </c>
      <c r="D3991" t="s">
        <v>78</v>
      </c>
      <c r="E3991" t="s">
        <v>24</v>
      </c>
      <c r="F3991" t="s">
        <v>768</v>
      </c>
      <c r="G3991">
        <v>10</v>
      </c>
      <c r="H3991" t="s">
        <v>194</v>
      </c>
      <c r="I3991" t="s">
        <v>700</v>
      </c>
      <c r="J3991" t="s">
        <v>1282</v>
      </c>
      <c r="K3991" t="s">
        <v>7315</v>
      </c>
      <c r="R3991">
        <v>78</v>
      </c>
      <c r="S3991">
        <v>134.94999999999999</v>
      </c>
    </row>
    <row r="3992" spans="1:19" x14ac:dyDescent="0.25">
      <c r="A3992" t="s">
        <v>7316</v>
      </c>
      <c r="B3992" s="1">
        <v>44874</v>
      </c>
      <c r="C3992" t="s">
        <v>7317</v>
      </c>
      <c r="D3992" t="s">
        <v>78</v>
      </c>
      <c r="E3992" t="s">
        <v>24</v>
      </c>
      <c r="F3992" t="s">
        <v>180</v>
      </c>
      <c r="G3992">
        <v>5</v>
      </c>
      <c r="H3992" t="s">
        <v>49</v>
      </c>
      <c r="I3992" t="s">
        <v>50</v>
      </c>
      <c r="J3992" t="s">
        <v>51</v>
      </c>
      <c r="K3992" t="s">
        <v>7318</v>
      </c>
      <c r="R3992">
        <v>28</v>
      </c>
      <c r="S3992">
        <v>118.33</v>
      </c>
    </row>
    <row r="3993" spans="1:19" x14ac:dyDescent="0.25">
      <c r="A3993" t="s">
        <v>7366</v>
      </c>
      <c r="B3993" s="1">
        <v>44881</v>
      </c>
      <c r="C3993" t="s">
        <v>7367</v>
      </c>
      <c r="D3993" t="s">
        <v>78</v>
      </c>
      <c r="E3993" t="s">
        <v>24</v>
      </c>
      <c r="F3993" t="s">
        <v>768</v>
      </c>
      <c r="G3993">
        <v>30</v>
      </c>
      <c r="H3993" t="s">
        <v>26</v>
      </c>
      <c r="I3993" t="s">
        <v>103</v>
      </c>
      <c r="J3993" t="s">
        <v>7368</v>
      </c>
      <c r="K3993" t="s">
        <v>7369</v>
      </c>
      <c r="L3993">
        <v>160</v>
      </c>
      <c r="M3993">
        <v>89</v>
      </c>
      <c r="N3993" s="2">
        <v>0.39</v>
      </c>
      <c r="O3993">
        <v>74</v>
      </c>
      <c r="P3993">
        <v>15.32</v>
      </c>
      <c r="Q3993">
        <v>7.66</v>
      </c>
      <c r="R3993">
        <v>267</v>
      </c>
      <c r="S3993">
        <v>163.92</v>
      </c>
    </row>
    <row r="3994" spans="1:19" x14ac:dyDescent="0.25">
      <c r="A3994" t="s">
        <v>7370</v>
      </c>
      <c r="B3994" s="1">
        <v>44881</v>
      </c>
      <c r="C3994" t="s">
        <v>7371</v>
      </c>
      <c r="D3994" t="s">
        <v>78</v>
      </c>
      <c r="E3994" t="s">
        <v>24</v>
      </c>
      <c r="F3994" t="s">
        <v>2833</v>
      </c>
      <c r="G3994">
        <v>10</v>
      </c>
      <c r="H3994" t="s">
        <v>26</v>
      </c>
      <c r="I3994" t="s">
        <v>39</v>
      </c>
      <c r="J3994" t="s">
        <v>7372</v>
      </c>
      <c r="K3994" t="s">
        <v>7373</v>
      </c>
      <c r="L3994">
        <v>43</v>
      </c>
      <c r="M3994">
        <v>72</v>
      </c>
      <c r="N3994" s="2">
        <v>0.35</v>
      </c>
      <c r="O3994">
        <v>74</v>
      </c>
      <c r="P3994">
        <v>14.01</v>
      </c>
      <c r="Q3994">
        <v>2.34</v>
      </c>
      <c r="R3994">
        <v>101</v>
      </c>
      <c r="S3994">
        <v>154.32</v>
      </c>
    </row>
    <row r="3995" spans="1:19" x14ac:dyDescent="0.25">
      <c r="A3995" t="s">
        <v>7374</v>
      </c>
      <c r="B3995" s="1">
        <v>44881</v>
      </c>
      <c r="C3995" t="s">
        <v>7375</v>
      </c>
      <c r="D3995" t="s">
        <v>78</v>
      </c>
      <c r="E3995" t="s">
        <v>24</v>
      </c>
      <c r="F3995" t="s">
        <v>180</v>
      </c>
      <c r="G3995">
        <v>5</v>
      </c>
      <c r="H3995" t="s">
        <v>26</v>
      </c>
      <c r="I3995" t="s">
        <v>358</v>
      </c>
      <c r="J3995" t="s">
        <v>359</v>
      </c>
      <c r="K3995" t="s">
        <v>7318</v>
      </c>
      <c r="L3995">
        <v>13</v>
      </c>
      <c r="M3995">
        <v>45</v>
      </c>
      <c r="N3995" s="2">
        <v>0.28999999999999998</v>
      </c>
      <c r="O3995">
        <v>70</v>
      </c>
      <c r="P3995">
        <v>11.31</v>
      </c>
      <c r="Q3995">
        <v>0.94</v>
      </c>
      <c r="R3995">
        <v>42</v>
      </c>
      <c r="S3995">
        <v>140.58000000000001</v>
      </c>
    </row>
    <row r="3996" spans="1:19" x14ac:dyDescent="0.25">
      <c r="A3996" t="s">
        <v>7376</v>
      </c>
      <c r="B3996" s="1">
        <v>44881</v>
      </c>
      <c r="C3996" t="s">
        <v>7377</v>
      </c>
      <c r="D3996" t="s">
        <v>78</v>
      </c>
      <c r="E3996" t="s">
        <v>24</v>
      </c>
      <c r="F3996" t="s">
        <v>3250</v>
      </c>
      <c r="G3996">
        <v>10</v>
      </c>
      <c r="H3996" t="s">
        <v>194</v>
      </c>
      <c r="I3996" t="s">
        <v>700</v>
      </c>
      <c r="J3996" t="s">
        <v>1282</v>
      </c>
      <c r="K3996" t="s">
        <v>7378</v>
      </c>
      <c r="R3996">
        <v>67</v>
      </c>
      <c r="S3996">
        <v>124.87</v>
      </c>
    </row>
    <row r="3997" spans="1:19" x14ac:dyDescent="0.25">
      <c r="A3997" t="s">
        <v>7379</v>
      </c>
      <c r="B3997" s="1">
        <v>44881</v>
      </c>
      <c r="C3997" t="s">
        <v>7380</v>
      </c>
      <c r="D3997" t="s">
        <v>78</v>
      </c>
      <c r="E3997" t="s">
        <v>24</v>
      </c>
      <c r="F3997" t="s">
        <v>2256</v>
      </c>
      <c r="G3997">
        <v>20</v>
      </c>
      <c r="H3997" t="s">
        <v>194</v>
      </c>
      <c r="I3997" t="s">
        <v>195</v>
      </c>
      <c r="J3997" t="s">
        <v>7381</v>
      </c>
      <c r="K3997" t="s">
        <v>7382</v>
      </c>
      <c r="R3997">
        <v>99</v>
      </c>
      <c r="S3997">
        <v>108.84</v>
      </c>
    </row>
    <row r="3998" spans="1:19" x14ac:dyDescent="0.25">
      <c r="A3998" t="s">
        <v>7383</v>
      </c>
      <c r="B3998" s="1">
        <v>44881</v>
      </c>
      <c r="C3998" t="s">
        <v>7384</v>
      </c>
      <c r="D3998" t="s">
        <v>78</v>
      </c>
      <c r="E3998" t="s">
        <v>24</v>
      </c>
      <c r="F3998" t="s">
        <v>237</v>
      </c>
      <c r="G3998">
        <v>30</v>
      </c>
      <c r="H3998" t="s">
        <v>188</v>
      </c>
      <c r="I3998" t="s">
        <v>189</v>
      </c>
      <c r="J3998" t="s">
        <v>7385</v>
      </c>
      <c r="K3998" t="s">
        <v>7386</v>
      </c>
      <c r="R3998">
        <v>13</v>
      </c>
      <c r="S3998">
        <v>106.61</v>
      </c>
    </row>
    <row r="3999" spans="1:19" x14ac:dyDescent="0.25">
      <c r="A3999" t="s">
        <v>7438</v>
      </c>
      <c r="B3999" s="1">
        <v>44888</v>
      </c>
      <c r="C3999" t="s">
        <v>7439</v>
      </c>
      <c r="D3999" t="s">
        <v>78</v>
      </c>
      <c r="E3999" t="s">
        <v>24</v>
      </c>
      <c r="F3999" t="s">
        <v>335</v>
      </c>
      <c r="G3999">
        <v>60</v>
      </c>
      <c r="H3999" t="s">
        <v>26</v>
      </c>
      <c r="I3999" t="s">
        <v>370</v>
      </c>
      <c r="J3999" t="s">
        <v>498</v>
      </c>
      <c r="K3999" t="s">
        <v>7440</v>
      </c>
      <c r="L3999">
        <v>357</v>
      </c>
      <c r="M3999">
        <v>99</v>
      </c>
      <c r="N3999" s="2">
        <v>0.37</v>
      </c>
      <c r="O3999">
        <v>83</v>
      </c>
      <c r="P3999">
        <v>16.09</v>
      </c>
      <c r="Q3999">
        <v>16.09</v>
      </c>
      <c r="R3999">
        <v>698</v>
      </c>
      <c r="S3999">
        <v>167.52</v>
      </c>
    </row>
    <row r="4000" spans="1:19" x14ac:dyDescent="0.25">
      <c r="A4000" t="s">
        <v>7441</v>
      </c>
      <c r="B4000" s="1">
        <v>44888</v>
      </c>
      <c r="C4000" t="s">
        <v>7442</v>
      </c>
      <c r="D4000" t="s">
        <v>78</v>
      </c>
      <c r="E4000" t="s">
        <v>24</v>
      </c>
      <c r="F4000" t="s">
        <v>554</v>
      </c>
      <c r="G4000">
        <v>5</v>
      </c>
      <c r="H4000" t="s">
        <v>26</v>
      </c>
      <c r="I4000" t="s">
        <v>358</v>
      </c>
      <c r="J4000" t="s">
        <v>359</v>
      </c>
      <c r="K4000" t="s">
        <v>7443</v>
      </c>
      <c r="L4000">
        <v>17</v>
      </c>
      <c r="M4000">
        <v>56</v>
      </c>
      <c r="N4000" s="2">
        <v>0.3</v>
      </c>
      <c r="O4000">
        <v>79</v>
      </c>
      <c r="P4000">
        <v>12.56</v>
      </c>
      <c r="Q4000">
        <v>1.05</v>
      </c>
      <c r="R4000">
        <v>21</v>
      </c>
    </row>
    <row r="4001" spans="1:19" x14ac:dyDescent="0.25">
      <c r="A4001" t="s">
        <v>7467</v>
      </c>
      <c r="B4001" s="1">
        <v>44895</v>
      </c>
      <c r="C4001" t="s">
        <v>1295</v>
      </c>
      <c r="D4001" t="s">
        <v>78</v>
      </c>
      <c r="E4001" t="s">
        <v>24</v>
      </c>
      <c r="F4001" t="s">
        <v>215</v>
      </c>
      <c r="G4001">
        <v>30</v>
      </c>
      <c r="H4001" t="s">
        <v>188</v>
      </c>
      <c r="I4001" t="s">
        <v>254</v>
      </c>
      <c r="J4001" t="s">
        <v>5574</v>
      </c>
      <c r="K4001" t="s">
        <v>7468</v>
      </c>
      <c r="R4001">
        <v>92</v>
      </c>
    </row>
    <row r="4002" spans="1:19" x14ac:dyDescent="0.25">
      <c r="A4002" t="s">
        <v>7469</v>
      </c>
      <c r="B4002" s="1">
        <v>44895</v>
      </c>
      <c r="C4002" t="s">
        <v>7470</v>
      </c>
      <c r="D4002" t="s">
        <v>78</v>
      </c>
      <c r="E4002" t="s">
        <v>24</v>
      </c>
      <c r="F4002" t="s">
        <v>3955</v>
      </c>
      <c r="G4002">
        <v>20</v>
      </c>
      <c r="H4002" t="s">
        <v>1856</v>
      </c>
      <c r="I4002" t="s">
        <v>2096</v>
      </c>
      <c r="J4002" t="s">
        <v>2097</v>
      </c>
      <c r="K4002" t="s">
        <v>7429</v>
      </c>
      <c r="L4002">
        <v>0</v>
      </c>
      <c r="P4002">
        <v>3.36</v>
      </c>
      <c r="Q4002">
        <v>1.1200000000000001</v>
      </c>
      <c r="R4002">
        <v>162</v>
      </c>
      <c r="S4002">
        <v>141.93</v>
      </c>
    </row>
    <row r="4003" spans="1:19" x14ac:dyDescent="0.25">
      <c r="A4003" t="s">
        <v>7471</v>
      </c>
      <c r="B4003" s="1">
        <v>44895</v>
      </c>
      <c r="C4003" t="s">
        <v>7472</v>
      </c>
      <c r="D4003" t="s">
        <v>78</v>
      </c>
      <c r="G4003">
        <v>20</v>
      </c>
      <c r="H4003" t="s">
        <v>1856</v>
      </c>
      <c r="J4003" t="s">
        <v>7473</v>
      </c>
      <c r="L4003">
        <v>0</v>
      </c>
      <c r="P4003">
        <v>3.11</v>
      </c>
      <c r="Q4003">
        <v>1.01</v>
      </c>
      <c r="R4003">
        <v>156</v>
      </c>
      <c r="S4003">
        <v>133.88</v>
      </c>
    </row>
    <row r="4004" spans="1:19" x14ac:dyDescent="0.25">
      <c r="A4004" t="s">
        <v>7474</v>
      </c>
      <c r="B4004" s="1">
        <v>44895</v>
      </c>
      <c r="C4004" t="s">
        <v>4213</v>
      </c>
      <c r="D4004" t="s">
        <v>78</v>
      </c>
      <c r="E4004" t="s">
        <v>24</v>
      </c>
      <c r="F4004" t="s">
        <v>243</v>
      </c>
      <c r="G4004">
        <v>30</v>
      </c>
      <c r="H4004" t="s">
        <v>26</v>
      </c>
      <c r="I4004" t="s">
        <v>370</v>
      </c>
      <c r="J4004" t="s">
        <v>396</v>
      </c>
      <c r="K4004" t="s">
        <v>7475</v>
      </c>
      <c r="L4004">
        <v>174</v>
      </c>
      <c r="M4004">
        <v>97</v>
      </c>
      <c r="N4004" s="2">
        <v>0.36</v>
      </c>
      <c r="O4004">
        <v>84</v>
      </c>
      <c r="P4004">
        <v>15.85</v>
      </c>
      <c r="Q4004">
        <v>7.92</v>
      </c>
      <c r="R4004">
        <v>324</v>
      </c>
      <c r="S4004">
        <v>160.46</v>
      </c>
    </row>
    <row r="4005" spans="1:19" x14ac:dyDescent="0.25">
      <c r="A4005" t="s">
        <v>7476</v>
      </c>
      <c r="B4005" s="1">
        <v>44895</v>
      </c>
      <c r="C4005" t="s">
        <v>3922</v>
      </c>
      <c r="D4005" t="s">
        <v>78</v>
      </c>
      <c r="E4005" t="s">
        <v>24</v>
      </c>
      <c r="F4005" t="s">
        <v>590</v>
      </c>
      <c r="G4005">
        <v>5</v>
      </c>
      <c r="H4005" t="s">
        <v>26</v>
      </c>
      <c r="I4005" t="s">
        <v>358</v>
      </c>
      <c r="J4005" t="s">
        <v>359</v>
      </c>
      <c r="K4005" t="s">
        <v>7477</v>
      </c>
      <c r="L4005">
        <v>21</v>
      </c>
      <c r="M4005">
        <v>70</v>
      </c>
      <c r="N4005" s="2">
        <v>0.33</v>
      </c>
      <c r="O4005">
        <v>79</v>
      </c>
      <c r="P4005">
        <v>13.77</v>
      </c>
      <c r="Q4005">
        <v>1.1499999999999999</v>
      </c>
      <c r="R4005">
        <v>44</v>
      </c>
      <c r="S4005">
        <v>143.57</v>
      </c>
    </row>
    <row r="4006" spans="1:19" x14ac:dyDescent="0.25">
      <c r="A4006" t="s">
        <v>7478</v>
      </c>
      <c r="B4006" s="1">
        <v>44895</v>
      </c>
      <c r="C4006" t="s">
        <v>3962</v>
      </c>
      <c r="D4006" t="s">
        <v>78</v>
      </c>
      <c r="E4006" t="s">
        <v>24</v>
      </c>
      <c r="F4006" t="s">
        <v>170</v>
      </c>
      <c r="G4006">
        <v>20</v>
      </c>
      <c r="H4006" t="s">
        <v>194</v>
      </c>
      <c r="I4006" t="s">
        <v>195</v>
      </c>
      <c r="J4006" t="s">
        <v>2247</v>
      </c>
      <c r="K4006" t="s">
        <v>7479</v>
      </c>
      <c r="R4006">
        <v>127</v>
      </c>
      <c r="S4006">
        <v>121.71</v>
      </c>
    </row>
    <row r="4007" spans="1:19" x14ac:dyDescent="0.25">
      <c r="A4007" t="s">
        <v>7480</v>
      </c>
      <c r="B4007" s="1">
        <v>44895</v>
      </c>
      <c r="C4007" t="s">
        <v>4526</v>
      </c>
      <c r="D4007" t="s">
        <v>78</v>
      </c>
      <c r="E4007" t="s">
        <v>24</v>
      </c>
      <c r="F4007" t="s">
        <v>2708</v>
      </c>
      <c r="G4007">
        <v>20</v>
      </c>
      <c r="H4007" t="s">
        <v>464</v>
      </c>
      <c r="I4007" t="s">
        <v>1571</v>
      </c>
      <c r="J4007" t="s">
        <v>1572</v>
      </c>
      <c r="K4007" t="s">
        <v>7481</v>
      </c>
    </row>
    <row r="4008" spans="1:19" x14ac:dyDescent="0.25">
      <c r="A4008" t="s">
        <v>7544</v>
      </c>
      <c r="B4008" s="1">
        <v>44902</v>
      </c>
      <c r="C4008" t="s">
        <v>7545</v>
      </c>
      <c r="D4008" t="s">
        <v>78</v>
      </c>
      <c r="E4008" t="s">
        <v>24</v>
      </c>
      <c r="F4008" t="s">
        <v>6276</v>
      </c>
      <c r="G4008">
        <v>15</v>
      </c>
      <c r="H4008" t="s">
        <v>1856</v>
      </c>
      <c r="I4008" t="s">
        <v>1857</v>
      </c>
      <c r="J4008" t="s">
        <v>7546</v>
      </c>
      <c r="K4008" t="s">
        <v>7547</v>
      </c>
      <c r="L4008">
        <v>0</v>
      </c>
      <c r="P4008">
        <v>3.12</v>
      </c>
      <c r="Q4008">
        <v>0.8</v>
      </c>
      <c r="R4008">
        <v>128</v>
      </c>
      <c r="S4008">
        <v>142.41999999999999</v>
      </c>
    </row>
    <row r="4009" spans="1:19" x14ac:dyDescent="0.25">
      <c r="A4009" t="s">
        <v>7548</v>
      </c>
      <c r="B4009" s="1">
        <v>44902</v>
      </c>
      <c r="C4009" t="s">
        <v>4393</v>
      </c>
      <c r="D4009" t="s">
        <v>78</v>
      </c>
      <c r="E4009" t="s">
        <v>24</v>
      </c>
      <c r="F4009" t="s">
        <v>328</v>
      </c>
      <c r="G4009">
        <v>20</v>
      </c>
      <c r="H4009" t="s">
        <v>1856</v>
      </c>
      <c r="I4009" t="s">
        <v>1857</v>
      </c>
      <c r="J4009" t="s">
        <v>6277</v>
      </c>
      <c r="K4009" t="s">
        <v>7217</v>
      </c>
      <c r="L4009">
        <v>0</v>
      </c>
      <c r="P4009">
        <v>3.25</v>
      </c>
      <c r="Q4009">
        <v>1.02</v>
      </c>
      <c r="R4009">
        <v>168</v>
      </c>
      <c r="S4009">
        <v>140.22999999999999</v>
      </c>
    </row>
    <row r="4010" spans="1:19" x14ac:dyDescent="0.25">
      <c r="A4010" t="s">
        <v>7549</v>
      </c>
      <c r="B4010" s="1">
        <v>44902</v>
      </c>
      <c r="C4010" t="s">
        <v>5999</v>
      </c>
      <c r="D4010" t="s">
        <v>78</v>
      </c>
      <c r="E4010" t="s">
        <v>24</v>
      </c>
      <c r="F4010" t="s">
        <v>215</v>
      </c>
      <c r="G4010">
        <v>30</v>
      </c>
      <c r="H4010" t="s">
        <v>188</v>
      </c>
      <c r="I4010" t="s">
        <v>254</v>
      </c>
      <c r="J4010" t="s">
        <v>4013</v>
      </c>
      <c r="K4010" t="s">
        <v>7550</v>
      </c>
      <c r="R4010">
        <v>90</v>
      </c>
    </row>
    <row r="4011" spans="1:19" x14ac:dyDescent="0.25">
      <c r="A4011" t="s">
        <v>7551</v>
      </c>
      <c r="B4011" s="1">
        <v>44902</v>
      </c>
      <c r="C4011" t="s">
        <v>4316</v>
      </c>
      <c r="D4011" t="s">
        <v>78</v>
      </c>
      <c r="E4011" t="s">
        <v>24</v>
      </c>
      <c r="F4011" t="s">
        <v>1203</v>
      </c>
      <c r="G4011">
        <v>10</v>
      </c>
      <c r="H4011" t="s">
        <v>194</v>
      </c>
      <c r="I4011" t="s">
        <v>195</v>
      </c>
      <c r="J4011" t="s">
        <v>5727</v>
      </c>
      <c r="K4011" t="s">
        <v>7552</v>
      </c>
      <c r="R4011">
        <v>44</v>
      </c>
      <c r="S4011">
        <v>103.54</v>
      </c>
    </row>
    <row r="4012" spans="1:19" x14ac:dyDescent="0.25">
      <c r="A4012" t="s">
        <v>7553</v>
      </c>
      <c r="B4012" s="1">
        <v>44902</v>
      </c>
      <c r="C4012" t="s">
        <v>3783</v>
      </c>
      <c r="D4012" t="s">
        <v>78</v>
      </c>
      <c r="E4012" t="s">
        <v>24</v>
      </c>
      <c r="F4012" t="s">
        <v>335</v>
      </c>
      <c r="G4012">
        <v>45</v>
      </c>
      <c r="H4012" t="s">
        <v>26</v>
      </c>
      <c r="I4012" t="s">
        <v>370</v>
      </c>
      <c r="J4012" t="s">
        <v>479</v>
      </c>
      <c r="K4012" t="s">
        <v>3778</v>
      </c>
      <c r="L4012">
        <v>269</v>
      </c>
      <c r="M4012">
        <v>100</v>
      </c>
      <c r="N4012" s="2">
        <v>0.36</v>
      </c>
      <c r="O4012">
        <v>85</v>
      </c>
      <c r="P4012">
        <v>15.88</v>
      </c>
      <c r="Q4012">
        <v>11.91</v>
      </c>
      <c r="R4012">
        <v>510</v>
      </c>
      <c r="S4012">
        <v>164.18</v>
      </c>
    </row>
    <row r="4013" spans="1:19" x14ac:dyDescent="0.25">
      <c r="A4013" t="s">
        <v>7554</v>
      </c>
      <c r="B4013" s="1">
        <v>44902</v>
      </c>
      <c r="C4013" t="s">
        <v>3626</v>
      </c>
      <c r="D4013" t="s">
        <v>78</v>
      </c>
      <c r="E4013" t="s">
        <v>24</v>
      </c>
      <c r="F4013" t="s">
        <v>590</v>
      </c>
      <c r="G4013">
        <v>10</v>
      </c>
      <c r="H4013" t="s">
        <v>26</v>
      </c>
      <c r="I4013" t="s">
        <v>358</v>
      </c>
      <c r="J4013" t="s">
        <v>389</v>
      </c>
      <c r="K4013" t="s">
        <v>7541</v>
      </c>
      <c r="L4013">
        <v>32</v>
      </c>
      <c r="M4013">
        <v>53</v>
      </c>
      <c r="N4013" s="2">
        <v>0.28000000000000003</v>
      </c>
      <c r="O4013">
        <v>81</v>
      </c>
      <c r="P4013">
        <v>12.28</v>
      </c>
      <c r="Q4013">
        <v>2.0499999999999998</v>
      </c>
      <c r="R4013">
        <v>87</v>
      </c>
      <c r="S4013">
        <v>141.32</v>
      </c>
    </row>
    <row r="4014" spans="1:19" x14ac:dyDescent="0.25">
      <c r="A4014" t="s">
        <v>7555</v>
      </c>
      <c r="B4014" s="1">
        <v>44902</v>
      </c>
      <c r="C4014" t="s">
        <v>2015</v>
      </c>
      <c r="D4014" t="s">
        <v>78</v>
      </c>
      <c r="E4014" t="s">
        <v>24</v>
      </c>
      <c r="F4014" t="s">
        <v>459</v>
      </c>
      <c r="G4014">
        <v>10</v>
      </c>
      <c r="H4014" t="s">
        <v>464</v>
      </c>
      <c r="I4014" t="s">
        <v>763</v>
      </c>
      <c r="J4014" t="s">
        <v>764</v>
      </c>
      <c r="K4014" t="s">
        <v>7556</v>
      </c>
    </row>
    <row r="4015" spans="1:19" x14ac:dyDescent="0.25">
      <c r="A4015" t="s">
        <v>7627</v>
      </c>
      <c r="B4015" s="1">
        <v>44909</v>
      </c>
      <c r="C4015" t="s">
        <v>7628</v>
      </c>
      <c r="D4015" t="s">
        <v>78</v>
      </c>
      <c r="E4015" t="s">
        <v>24</v>
      </c>
      <c r="F4015" t="s">
        <v>2708</v>
      </c>
      <c r="G4015">
        <v>15</v>
      </c>
      <c r="H4015" t="s">
        <v>464</v>
      </c>
      <c r="I4015" t="s">
        <v>579</v>
      </c>
      <c r="J4015" t="s">
        <v>4098</v>
      </c>
      <c r="K4015" t="s">
        <v>7629</v>
      </c>
    </row>
    <row r="4016" spans="1:19" x14ac:dyDescent="0.25">
      <c r="A4016" t="s">
        <v>7630</v>
      </c>
      <c r="B4016" s="1">
        <v>44909</v>
      </c>
      <c r="C4016" t="s">
        <v>7631</v>
      </c>
      <c r="D4016" t="s">
        <v>78</v>
      </c>
      <c r="E4016" t="s">
        <v>24</v>
      </c>
      <c r="F4016" t="s">
        <v>335</v>
      </c>
      <c r="G4016">
        <v>10</v>
      </c>
      <c r="H4016" t="s">
        <v>26</v>
      </c>
      <c r="I4016" t="s">
        <v>39</v>
      </c>
      <c r="J4016" t="s">
        <v>7372</v>
      </c>
      <c r="K4016" t="s">
        <v>7632</v>
      </c>
      <c r="L4016">
        <v>37</v>
      </c>
      <c r="M4016">
        <v>62</v>
      </c>
      <c r="N4016" s="2">
        <v>0.28000000000000003</v>
      </c>
      <c r="O4016">
        <v>90</v>
      </c>
      <c r="P4016">
        <v>13.04</v>
      </c>
      <c r="Q4016">
        <v>2.17</v>
      </c>
      <c r="R4016">
        <v>82</v>
      </c>
      <c r="S4016">
        <v>136.99</v>
      </c>
    </row>
    <row r="4017" spans="1:19" x14ac:dyDescent="0.25">
      <c r="A4017" t="s">
        <v>7633</v>
      </c>
      <c r="B4017" s="1">
        <v>44909</v>
      </c>
      <c r="C4017" t="s">
        <v>7634</v>
      </c>
      <c r="D4017" t="s">
        <v>78</v>
      </c>
      <c r="E4017" t="s">
        <v>24</v>
      </c>
      <c r="F4017" t="s">
        <v>323</v>
      </c>
      <c r="G4017">
        <v>30</v>
      </c>
      <c r="H4017" t="s">
        <v>26</v>
      </c>
      <c r="I4017" t="s">
        <v>370</v>
      </c>
      <c r="J4017" t="s">
        <v>396</v>
      </c>
      <c r="K4017" t="s">
        <v>7635</v>
      </c>
      <c r="L4017">
        <v>154</v>
      </c>
      <c r="M4017">
        <v>86</v>
      </c>
      <c r="N4017" s="2">
        <v>0.34</v>
      </c>
      <c r="O4017">
        <v>83</v>
      </c>
      <c r="P4017">
        <v>15.02</v>
      </c>
      <c r="Q4017">
        <v>7.51</v>
      </c>
      <c r="R4017">
        <v>319</v>
      </c>
      <c r="S4017">
        <v>157.97999999999999</v>
      </c>
    </row>
    <row r="4018" spans="1:19" x14ac:dyDescent="0.25">
      <c r="A4018" t="s">
        <v>7636</v>
      </c>
      <c r="B4018" s="1">
        <v>44909</v>
      </c>
      <c r="C4018" t="s">
        <v>7611</v>
      </c>
      <c r="D4018" t="s">
        <v>78</v>
      </c>
      <c r="E4018" t="s">
        <v>24</v>
      </c>
      <c r="F4018" t="s">
        <v>180</v>
      </c>
      <c r="G4018">
        <v>10</v>
      </c>
      <c r="H4018" t="s">
        <v>26</v>
      </c>
      <c r="I4018" t="s">
        <v>39</v>
      </c>
      <c r="J4018" t="s">
        <v>431</v>
      </c>
      <c r="K4018" t="s">
        <v>7637</v>
      </c>
      <c r="L4018">
        <v>31</v>
      </c>
      <c r="M4018">
        <v>52</v>
      </c>
      <c r="N4018" s="2">
        <v>0.28000000000000003</v>
      </c>
      <c r="O4018">
        <v>82</v>
      </c>
      <c r="P4018">
        <v>12.15</v>
      </c>
      <c r="Q4018">
        <v>2.0299999999999998</v>
      </c>
      <c r="R4018">
        <v>73</v>
      </c>
      <c r="S4018">
        <v>126.34</v>
      </c>
    </row>
    <row r="4019" spans="1:19" x14ac:dyDescent="0.25">
      <c r="A4019" t="s">
        <v>7638</v>
      </c>
      <c r="B4019" s="1">
        <v>44909</v>
      </c>
      <c r="C4019" t="s">
        <v>7613</v>
      </c>
      <c r="D4019" t="s">
        <v>78</v>
      </c>
      <c r="E4019" t="s">
        <v>24</v>
      </c>
      <c r="F4019" t="s">
        <v>747</v>
      </c>
      <c r="G4019">
        <v>10</v>
      </c>
      <c r="H4019" t="s">
        <v>194</v>
      </c>
      <c r="I4019" t="s">
        <v>700</v>
      </c>
      <c r="J4019" t="s">
        <v>1282</v>
      </c>
      <c r="K4019" t="s">
        <v>7639</v>
      </c>
      <c r="R4019">
        <v>47</v>
      </c>
    </row>
    <row r="4020" spans="1:19" x14ac:dyDescent="0.25">
      <c r="A4020" t="s">
        <v>7640</v>
      </c>
      <c r="B4020" s="1">
        <v>44909</v>
      </c>
      <c r="C4020" t="s">
        <v>7641</v>
      </c>
      <c r="D4020" t="s">
        <v>78</v>
      </c>
      <c r="E4020" t="s">
        <v>24</v>
      </c>
      <c r="F4020" t="s">
        <v>292</v>
      </c>
      <c r="G4020">
        <v>10</v>
      </c>
      <c r="H4020" t="s">
        <v>194</v>
      </c>
      <c r="I4020" t="s">
        <v>195</v>
      </c>
      <c r="J4020" t="s">
        <v>211</v>
      </c>
      <c r="K4020" t="s">
        <v>7642</v>
      </c>
      <c r="R4020">
        <v>47</v>
      </c>
    </row>
    <row r="4021" spans="1:19" x14ac:dyDescent="0.25">
      <c r="A4021" t="s">
        <v>7643</v>
      </c>
      <c r="B4021" s="1">
        <v>44909</v>
      </c>
      <c r="C4021" t="s">
        <v>7644</v>
      </c>
      <c r="D4021" t="s">
        <v>78</v>
      </c>
      <c r="E4021" t="s">
        <v>24</v>
      </c>
      <c r="F4021" t="s">
        <v>590</v>
      </c>
      <c r="G4021">
        <v>5</v>
      </c>
      <c r="H4021" t="s">
        <v>49</v>
      </c>
      <c r="I4021" t="s">
        <v>50</v>
      </c>
      <c r="J4021" t="s">
        <v>7645</v>
      </c>
      <c r="K4021" t="s">
        <v>7646</v>
      </c>
      <c r="R4021">
        <v>12</v>
      </c>
    </row>
    <row r="4022" spans="1:19" x14ac:dyDescent="0.25">
      <c r="A4022" t="s">
        <v>7647</v>
      </c>
      <c r="B4022" s="1">
        <v>44909</v>
      </c>
      <c r="C4022" t="s">
        <v>7648</v>
      </c>
      <c r="D4022" t="s">
        <v>78</v>
      </c>
      <c r="E4022" t="s">
        <v>24</v>
      </c>
      <c r="F4022" t="s">
        <v>215</v>
      </c>
      <c r="G4022">
        <v>30</v>
      </c>
      <c r="H4022" t="s">
        <v>188</v>
      </c>
      <c r="I4022" t="s">
        <v>254</v>
      </c>
      <c r="J4022" t="s">
        <v>7649</v>
      </c>
      <c r="K4022" t="s">
        <v>7650</v>
      </c>
      <c r="R4022">
        <v>29</v>
      </c>
      <c r="S4022">
        <v>85.69</v>
      </c>
    </row>
    <row r="4023" spans="1:19" x14ac:dyDescent="0.25">
      <c r="A4023" t="s">
        <v>7651</v>
      </c>
      <c r="B4023" s="1">
        <v>44909</v>
      </c>
      <c r="C4023" t="s">
        <v>7652</v>
      </c>
      <c r="D4023" t="s">
        <v>78</v>
      </c>
      <c r="E4023" t="s">
        <v>24</v>
      </c>
      <c r="F4023" t="s">
        <v>215</v>
      </c>
      <c r="G4023">
        <v>10</v>
      </c>
      <c r="H4023" t="s">
        <v>464</v>
      </c>
      <c r="I4023" t="s">
        <v>943</v>
      </c>
      <c r="J4023" t="s">
        <v>944</v>
      </c>
      <c r="K4023" t="s">
        <v>7653</v>
      </c>
    </row>
    <row r="4024" spans="1:19" x14ac:dyDescent="0.25">
      <c r="A4024" t="s">
        <v>7716</v>
      </c>
      <c r="B4024" s="1">
        <v>44916</v>
      </c>
      <c r="C4024" t="s">
        <v>7717</v>
      </c>
      <c r="D4024" t="s">
        <v>78</v>
      </c>
      <c r="E4024" t="s">
        <v>24</v>
      </c>
      <c r="F4024" t="s">
        <v>323</v>
      </c>
      <c r="G4024">
        <v>45</v>
      </c>
      <c r="H4024" t="s">
        <v>26</v>
      </c>
      <c r="I4024" t="s">
        <v>370</v>
      </c>
      <c r="J4024" t="s">
        <v>6547</v>
      </c>
      <c r="K4024" t="s">
        <v>7718</v>
      </c>
      <c r="L4024">
        <v>204</v>
      </c>
      <c r="M4024">
        <v>76</v>
      </c>
      <c r="N4024" s="2">
        <v>0.31</v>
      </c>
      <c r="O4024">
        <v>89</v>
      </c>
      <c r="P4024">
        <v>14.24</v>
      </c>
      <c r="Q4024">
        <v>10.68</v>
      </c>
      <c r="R4024">
        <v>455</v>
      </c>
      <c r="S4024">
        <v>153.99</v>
      </c>
    </row>
    <row r="4025" spans="1:19" x14ac:dyDescent="0.25">
      <c r="A4025" t="s">
        <v>7719</v>
      </c>
      <c r="B4025" s="1">
        <v>44916</v>
      </c>
      <c r="C4025" t="s">
        <v>7720</v>
      </c>
      <c r="D4025" t="s">
        <v>78</v>
      </c>
      <c r="E4025" t="s">
        <v>24</v>
      </c>
      <c r="F4025" t="s">
        <v>323</v>
      </c>
      <c r="G4025">
        <v>5</v>
      </c>
      <c r="H4025" t="s">
        <v>26</v>
      </c>
      <c r="I4025" t="s">
        <v>358</v>
      </c>
      <c r="J4025" t="s">
        <v>359</v>
      </c>
      <c r="K4025" t="s">
        <v>7721</v>
      </c>
      <c r="L4025">
        <v>13</v>
      </c>
      <c r="M4025">
        <v>44</v>
      </c>
      <c r="N4025" s="2">
        <v>0.25</v>
      </c>
      <c r="O4025">
        <v>85</v>
      </c>
      <c r="P4025">
        <v>11.3</v>
      </c>
      <c r="Q4025">
        <v>0.94</v>
      </c>
      <c r="R4025">
        <v>34</v>
      </c>
      <c r="S4025">
        <v>129.62</v>
      </c>
    </row>
    <row r="4026" spans="1:19" x14ac:dyDescent="0.25">
      <c r="A4026" t="s">
        <v>7722</v>
      </c>
      <c r="B4026" s="1">
        <v>44916</v>
      </c>
      <c r="C4026" t="s">
        <v>7380</v>
      </c>
      <c r="D4026" t="s">
        <v>78</v>
      </c>
      <c r="E4026" t="s">
        <v>24</v>
      </c>
      <c r="F4026" t="s">
        <v>2256</v>
      </c>
      <c r="G4026">
        <v>15</v>
      </c>
      <c r="H4026" t="s">
        <v>194</v>
      </c>
      <c r="I4026" t="s">
        <v>195</v>
      </c>
      <c r="J4026" t="s">
        <v>6498</v>
      </c>
      <c r="K4026" t="s">
        <v>7723</v>
      </c>
      <c r="R4026">
        <v>76</v>
      </c>
      <c r="S4026">
        <v>108.54</v>
      </c>
    </row>
    <row r="4027" spans="1:19" x14ac:dyDescent="0.25">
      <c r="A4027" t="s">
        <v>7724</v>
      </c>
      <c r="B4027" s="1">
        <v>44916</v>
      </c>
      <c r="C4027" t="s">
        <v>7725</v>
      </c>
      <c r="D4027" t="s">
        <v>78</v>
      </c>
      <c r="E4027" t="s">
        <v>24</v>
      </c>
      <c r="F4027" t="s">
        <v>237</v>
      </c>
      <c r="G4027">
        <v>5</v>
      </c>
      <c r="H4027" t="s">
        <v>188</v>
      </c>
      <c r="I4027" t="s">
        <v>7726</v>
      </c>
      <c r="J4027" t="s">
        <v>7727</v>
      </c>
      <c r="K4027" t="s">
        <v>7728</v>
      </c>
      <c r="R4027">
        <v>16</v>
      </c>
      <c r="S4027">
        <v>87.3</v>
      </c>
    </row>
    <row r="4028" spans="1:19" x14ac:dyDescent="0.25">
      <c r="A4028" t="s">
        <v>7729</v>
      </c>
      <c r="B4028" s="1">
        <v>44916</v>
      </c>
      <c r="C4028" t="s">
        <v>7730</v>
      </c>
      <c r="D4028" t="s">
        <v>78</v>
      </c>
      <c r="E4028" t="s">
        <v>24</v>
      </c>
      <c r="F4028" t="s">
        <v>208</v>
      </c>
      <c r="G4028">
        <v>10</v>
      </c>
      <c r="H4028" t="s">
        <v>464</v>
      </c>
      <c r="I4028" t="s">
        <v>1571</v>
      </c>
      <c r="J4028" t="s">
        <v>2704</v>
      </c>
      <c r="K4028" t="s">
        <v>7731</v>
      </c>
    </row>
    <row r="4029" spans="1:19" x14ac:dyDescent="0.25">
      <c r="A4029" t="s">
        <v>7786</v>
      </c>
      <c r="B4029" s="1">
        <v>44923</v>
      </c>
      <c r="C4029" t="s">
        <v>7787</v>
      </c>
      <c r="D4029" t="s">
        <v>78</v>
      </c>
      <c r="E4029" t="s">
        <v>24</v>
      </c>
      <c r="F4029" t="s">
        <v>4915</v>
      </c>
      <c r="G4029">
        <v>30</v>
      </c>
      <c r="H4029" t="s">
        <v>1856</v>
      </c>
      <c r="I4029" t="s">
        <v>5938</v>
      </c>
      <c r="J4029" t="s">
        <v>7788</v>
      </c>
      <c r="K4029" t="s">
        <v>7789</v>
      </c>
      <c r="L4029">
        <v>0</v>
      </c>
      <c r="P4029">
        <v>3.07</v>
      </c>
      <c r="Q4029">
        <v>1.57</v>
      </c>
      <c r="R4029">
        <v>185</v>
      </c>
      <c r="S4029">
        <v>120.26</v>
      </c>
    </row>
    <row r="4030" spans="1:19" x14ac:dyDescent="0.25">
      <c r="A4030" t="s">
        <v>7790</v>
      </c>
      <c r="B4030" s="1">
        <v>44923</v>
      </c>
      <c r="C4030" t="s">
        <v>7791</v>
      </c>
      <c r="D4030" t="s">
        <v>78</v>
      </c>
      <c r="G4030">
        <v>8</v>
      </c>
      <c r="H4030" t="s">
        <v>1856</v>
      </c>
      <c r="J4030" t="s">
        <v>7792</v>
      </c>
      <c r="L4030">
        <v>0</v>
      </c>
      <c r="P4030">
        <v>3.03</v>
      </c>
      <c r="Q4030">
        <v>0.43</v>
      </c>
      <c r="R4030">
        <v>30</v>
      </c>
    </row>
    <row r="4031" spans="1:19" x14ac:dyDescent="0.25">
      <c r="A4031" t="s">
        <v>7793</v>
      </c>
      <c r="B4031" s="1">
        <v>44923</v>
      </c>
      <c r="C4031" t="s">
        <v>2538</v>
      </c>
      <c r="D4031" t="s">
        <v>78</v>
      </c>
      <c r="E4031" t="s">
        <v>24</v>
      </c>
      <c r="F4031" t="s">
        <v>200</v>
      </c>
      <c r="G4031">
        <v>30</v>
      </c>
      <c r="H4031" t="s">
        <v>188</v>
      </c>
      <c r="I4031" t="s">
        <v>103</v>
      </c>
      <c r="J4031" t="s">
        <v>7794</v>
      </c>
      <c r="K4031" t="s">
        <v>7795</v>
      </c>
      <c r="R4031">
        <v>90</v>
      </c>
    </row>
    <row r="4032" spans="1:19" x14ac:dyDescent="0.25">
      <c r="A4032" t="s">
        <v>7796</v>
      </c>
      <c r="B4032" s="1">
        <v>44923</v>
      </c>
      <c r="C4032" t="s">
        <v>1361</v>
      </c>
      <c r="D4032" t="s">
        <v>78</v>
      </c>
      <c r="E4032" t="s">
        <v>24</v>
      </c>
      <c r="F4032" t="s">
        <v>237</v>
      </c>
      <c r="G4032">
        <v>5</v>
      </c>
      <c r="H4032" t="s">
        <v>464</v>
      </c>
      <c r="I4032" t="s">
        <v>763</v>
      </c>
      <c r="J4032" t="s">
        <v>2354</v>
      </c>
      <c r="K4032" t="s">
        <v>7797</v>
      </c>
    </row>
    <row r="4033" spans="1:19" x14ac:dyDescent="0.25">
      <c r="A4033" t="s">
        <v>7861</v>
      </c>
      <c r="B4033" s="1">
        <v>44930</v>
      </c>
      <c r="C4033" t="s">
        <v>1012</v>
      </c>
      <c r="D4033" t="s">
        <v>78</v>
      </c>
      <c r="E4033" t="s">
        <v>24</v>
      </c>
      <c r="F4033" t="s">
        <v>200</v>
      </c>
      <c r="G4033">
        <v>45</v>
      </c>
      <c r="H4033" t="s">
        <v>188</v>
      </c>
      <c r="I4033" t="s">
        <v>254</v>
      </c>
      <c r="J4033" t="s">
        <v>1741</v>
      </c>
      <c r="K4033" t="s">
        <v>7862</v>
      </c>
      <c r="R4033">
        <v>147</v>
      </c>
    </row>
    <row r="4034" spans="1:19" x14ac:dyDescent="0.25">
      <c r="A4034" t="s">
        <v>7863</v>
      </c>
      <c r="B4034" s="1">
        <v>44930</v>
      </c>
      <c r="C4034" t="s">
        <v>7864</v>
      </c>
      <c r="D4034" t="s">
        <v>78</v>
      </c>
      <c r="E4034" t="s">
        <v>24</v>
      </c>
      <c r="F4034" t="s">
        <v>243</v>
      </c>
      <c r="G4034">
        <v>45</v>
      </c>
      <c r="H4034" t="s">
        <v>26</v>
      </c>
      <c r="I4034" t="s">
        <v>370</v>
      </c>
      <c r="J4034" t="s">
        <v>439</v>
      </c>
      <c r="K4034" t="s">
        <v>7865</v>
      </c>
      <c r="L4034">
        <v>259</v>
      </c>
      <c r="M4034">
        <v>96</v>
      </c>
      <c r="N4034" s="2">
        <v>0.36</v>
      </c>
      <c r="O4034">
        <v>85</v>
      </c>
      <c r="P4034">
        <v>15.85</v>
      </c>
      <c r="Q4034">
        <v>11.89</v>
      </c>
      <c r="R4034">
        <v>449</v>
      </c>
      <c r="S4034">
        <v>161.63</v>
      </c>
    </row>
    <row r="4035" spans="1:19" x14ac:dyDescent="0.25">
      <c r="A4035" t="s">
        <v>7866</v>
      </c>
      <c r="B4035" s="1">
        <v>44930</v>
      </c>
      <c r="C4035" t="s">
        <v>7867</v>
      </c>
      <c r="D4035" t="s">
        <v>78</v>
      </c>
      <c r="E4035" t="s">
        <v>24</v>
      </c>
      <c r="F4035" t="s">
        <v>660</v>
      </c>
      <c r="G4035">
        <v>5</v>
      </c>
      <c r="H4035" t="s">
        <v>26</v>
      </c>
      <c r="I4035" t="s">
        <v>358</v>
      </c>
      <c r="J4035" t="s">
        <v>7868</v>
      </c>
      <c r="K4035" t="s">
        <v>7869</v>
      </c>
      <c r="L4035">
        <v>15</v>
      </c>
      <c r="M4035">
        <v>52</v>
      </c>
      <c r="N4035" s="2">
        <v>0.28000000000000003</v>
      </c>
      <c r="O4035">
        <v>81</v>
      </c>
      <c r="P4035">
        <v>12.18</v>
      </c>
      <c r="Q4035">
        <v>1.01</v>
      </c>
      <c r="R4035">
        <v>34</v>
      </c>
      <c r="S4035">
        <v>129.12</v>
      </c>
    </row>
    <row r="4036" spans="1:19" x14ac:dyDescent="0.25">
      <c r="A4036" t="s">
        <v>7870</v>
      </c>
      <c r="B4036" s="1">
        <v>44930</v>
      </c>
      <c r="C4036" t="s">
        <v>7442</v>
      </c>
      <c r="D4036" t="s">
        <v>78</v>
      </c>
      <c r="E4036" t="s">
        <v>24</v>
      </c>
      <c r="F4036" t="s">
        <v>6030</v>
      </c>
      <c r="G4036">
        <v>10</v>
      </c>
      <c r="H4036" t="s">
        <v>194</v>
      </c>
      <c r="I4036" t="s">
        <v>195</v>
      </c>
      <c r="J4036" t="s">
        <v>211</v>
      </c>
      <c r="K4036" t="s">
        <v>7871</v>
      </c>
      <c r="R4036">
        <v>45</v>
      </c>
      <c r="S4036">
        <v>103.71</v>
      </c>
    </row>
    <row r="4037" spans="1:19" x14ac:dyDescent="0.25">
      <c r="A4037" t="s">
        <v>7872</v>
      </c>
      <c r="B4037" s="1">
        <v>44930</v>
      </c>
      <c r="C4037" t="s">
        <v>7873</v>
      </c>
      <c r="D4037" t="s">
        <v>78</v>
      </c>
      <c r="E4037" t="s">
        <v>24</v>
      </c>
      <c r="F4037" t="s">
        <v>180</v>
      </c>
      <c r="G4037">
        <v>10</v>
      </c>
      <c r="H4037" t="s">
        <v>194</v>
      </c>
      <c r="I4037" t="s">
        <v>700</v>
      </c>
      <c r="J4037" t="s">
        <v>1282</v>
      </c>
      <c r="K4037" t="s">
        <v>7874</v>
      </c>
      <c r="R4037">
        <v>56</v>
      </c>
      <c r="S4037">
        <v>114.49</v>
      </c>
    </row>
    <row r="4038" spans="1:19" x14ac:dyDescent="0.25">
      <c r="A4038" t="s">
        <v>7875</v>
      </c>
      <c r="B4038" s="1">
        <v>44930</v>
      </c>
      <c r="C4038" t="s">
        <v>1469</v>
      </c>
      <c r="D4038" t="s">
        <v>78</v>
      </c>
      <c r="E4038" t="s">
        <v>24</v>
      </c>
      <c r="F4038" t="s">
        <v>200</v>
      </c>
      <c r="G4038">
        <v>10</v>
      </c>
      <c r="H4038" t="s">
        <v>464</v>
      </c>
      <c r="I4038" t="s">
        <v>763</v>
      </c>
      <c r="J4038" t="s">
        <v>914</v>
      </c>
      <c r="K4038" t="s">
        <v>7876</v>
      </c>
    </row>
    <row r="4039" spans="1:19" x14ac:dyDescent="0.25">
      <c r="A4039" t="s">
        <v>7943</v>
      </c>
      <c r="B4039" s="1">
        <v>44937</v>
      </c>
      <c r="C4039" t="s">
        <v>2729</v>
      </c>
      <c r="D4039" t="s">
        <v>78</v>
      </c>
      <c r="E4039" t="s">
        <v>24</v>
      </c>
      <c r="F4039" t="s">
        <v>243</v>
      </c>
      <c r="G4039">
        <v>30</v>
      </c>
      <c r="H4039" t="s">
        <v>188</v>
      </c>
      <c r="I4039" t="s">
        <v>238</v>
      </c>
      <c r="J4039" t="s">
        <v>982</v>
      </c>
      <c r="K4039" t="s">
        <v>7944</v>
      </c>
      <c r="R4039">
        <v>92</v>
      </c>
    </row>
    <row r="4040" spans="1:19" x14ac:dyDescent="0.25">
      <c r="A4040" t="s">
        <v>7945</v>
      </c>
      <c r="B4040" s="1">
        <v>44937</v>
      </c>
      <c r="C4040" t="s">
        <v>3761</v>
      </c>
      <c r="D4040" t="s">
        <v>78</v>
      </c>
      <c r="E4040" t="s">
        <v>24</v>
      </c>
      <c r="F4040" t="s">
        <v>297</v>
      </c>
      <c r="G4040">
        <v>45</v>
      </c>
      <c r="H4040" t="s">
        <v>7750</v>
      </c>
      <c r="I4040" t="s">
        <v>663</v>
      </c>
      <c r="J4040" t="s">
        <v>769</v>
      </c>
      <c r="K4040" t="s">
        <v>7946</v>
      </c>
      <c r="L4040">
        <v>132</v>
      </c>
      <c r="P4040">
        <v>2.88</v>
      </c>
      <c r="Q4040">
        <v>2.98</v>
      </c>
      <c r="R4040">
        <v>395</v>
      </c>
      <c r="S4040">
        <v>143.80000000000001</v>
      </c>
    </row>
    <row r="4041" spans="1:19" x14ac:dyDescent="0.25">
      <c r="A4041" t="s">
        <v>7985</v>
      </c>
      <c r="B4041" s="1">
        <v>44944</v>
      </c>
      <c r="C4041" t="s">
        <v>7986</v>
      </c>
      <c r="D4041" t="s">
        <v>78</v>
      </c>
      <c r="E4041" t="s">
        <v>24</v>
      </c>
      <c r="F4041" t="s">
        <v>243</v>
      </c>
      <c r="G4041">
        <v>30</v>
      </c>
      <c r="H4041" t="s">
        <v>26</v>
      </c>
      <c r="I4041" t="s">
        <v>370</v>
      </c>
      <c r="J4041" t="s">
        <v>1392</v>
      </c>
      <c r="K4041" t="s">
        <v>7922</v>
      </c>
      <c r="L4041">
        <v>174</v>
      </c>
      <c r="M4041">
        <v>97</v>
      </c>
      <c r="N4041" s="2">
        <v>0.35</v>
      </c>
      <c r="O4041">
        <v>87</v>
      </c>
      <c r="P4041">
        <v>15.87</v>
      </c>
      <c r="Q4041">
        <v>7.93</v>
      </c>
      <c r="R4041">
        <v>325</v>
      </c>
      <c r="S4041">
        <v>159.91999999999999</v>
      </c>
    </row>
    <row r="4042" spans="1:19" x14ac:dyDescent="0.25">
      <c r="A4042" t="s">
        <v>7987</v>
      </c>
      <c r="B4042" s="1">
        <v>44944</v>
      </c>
      <c r="C4042" t="s">
        <v>7988</v>
      </c>
      <c r="D4042" t="s">
        <v>78</v>
      </c>
      <c r="E4042" t="s">
        <v>24</v>
      </c>
      <c r="F4042" t="s">
        <v>323</v>
      </c>
      <c r="G4042">
        <v>30</v>
      </c>
      <c r="H4042" t="s">
        <v>7562</v>
      </c>
      <c r="I4042" t="s">
        <v>7989</v>
      </c>
      <c r="J4042" t="s">
        <v>7990</v>
      </c>
      <c r="K4042" t="s">
        <v>7564</v>
      </c>
      <c r="L4042">
        <v>95</v>
      </c>
      <c r="P4042">
        <v>2.61</v>
      </c>
      <c r="Q4042">
        <v>2.63</v>
      </c>
      <c r="R4042">
        <v>257</v>
      </c>
      <c r="S4042">
        <v>141.85</v>
      </c>
    </row>
    <row r="4043" spans="1:19" x14ac:dyDescent="0.25">
      <c r="A4043" t="s">
        <v>7991</v>
      </c>
      <c r="B4043" s="1">
        <v>44944</v>
      </c>
      <c r="C4043" t="s">
        <v>4066</v>
      </c>
      <c r="D4043" t="s">
        <v>78</v>
      </c>
      <c r="E4043" t="s">
        <v>24</v>
      </c>
      <c r="F4043" t="s">
        <v>215</v>
      </c>
      <c r="G4043">
        <v>30</v>
      </c>
      <c r="H4043" t="s">
        <v>188</v>
      </c>
      <c r="I4043" t="s">
        <v>238</v>
      </c>
      <c r="J4043" t="s">
        <v>1956</v>
      </c>
      <c r="K4043" t="s">
        <v>7992</v>
      </c>
      <c r="R4043">
        <v>94</v>
      </c>
    </row>
    <row r="4044" spans="1:19" x14ac:dyDescent="0.25">
      <c r="A4044" t="s">
        <v>7993</v>
      </c>
      <c r="B4044" s="1">
        <v>44944</v>
      </c>
      <c r="C4044" t="s">
        <v>6501</v>
      </c>
      <c r="D4044" t="s">
        <v>78</v>
      </c>
      <c r="E4044" t="s">
        <v>24</v>
      </c>
      <c r="F4044" t="s">
        <v>554</v>
      </c>
      <c r="G4044">
        <v>20</v>
      </c>
      <c r="H4044" t="s">
        <v>49</v>
      </c>
      <c r="I4044" t="s">
        <v>1960</v>
      </c>
      <c r="J4044" t="s">
        <v>7994</v>
      </c>
      <c r="K4044" t="s">
        <v>7801</v>
      </c>
      <c r="R4044">
        <v>45</v>
      </c>
    </row>
    <row r="4045" spans="1:19" x14ac:dyDescent="0.25">
      <c r="A4045" t="s">
        <v>8041</v>
      </c>
      <c r="B4045" s="1">
        <v>44951</v>
      </c>
      <c r="C4045" t="s">
        <v>384</v>
      </c>
      <c r="D4045" t="s">
        <v>78</v>
      </c>
      <c r="E4045" t="s">
        <v>24</v>
      </c>
      <c r="F4045" t="s">
        <v>554</v>
      </c>
      <c r="G4045">
        <v>20</v>
      </c>
      <c r="H4045" t="s">
        <v>49</v>
      </c>
      <c r="I4045" t="s">
        <v>1960</v>
      </c>
      <c r="J4045" t="s">
        <v>7994</v>
      </c>
      <c r="K4045" t="s">
        <v>7801</v>
      </c>
      <c r="R4045">
        <v>45</v>
      </c>
    </row>
    <row r="4046" spans="1:19" x14ac:dyDescent="0.25">
      <c r="A4046" t="s">
        <v>8042</v>
      </c>
      <c r="B4046" s="1">
        <v>44951</v>
      </c>
      <c r="C4046" t="s">
        <v>482</v>
      </c>
      <c r="D4046" t="s">
        <v>78</v>
      </c>
      <c r="E4046" t="s">
        <v>24</v>
      </c>
      <c r="F4046" t="s">
        <v>554</v>
      </c>
      <c r="G4046">
        <v>15</v>
      </c>
      <c r="H4046" t="s">
        <v>49</v>
      </c>
      <c r="I4046" t="s">
        <v>1960</v>
      </c>
      <c r="J4046" t="s">
        <v>7800</v>
      </c>
      <c r="K4046" t="s">
        <v>7801</v>
      </c>
      <c r="R4046">
        <v>33</v>
      </c>
    </row>
    <row r="4047" spans="1:19" x14ac:dyDescent="0.25">
      <c r="A4047" t="s">
        <v>8043</v>
      </c>
      <c r="B4047" s="1">
        <v>44951</v>
      </c>
      <c r="C4047" t="s">
        <v>4141</v>
      </c>
      <c r="D4047" t="s">
        <v>78</v>
      </c>
      <c r="E4047" t="s">
        <v>24</v>
      </c>
      <c r="F4047" t="s">
        <v>237</v>
      </c>
      <c r="G4047">
        <v>30</v>
      </c>
      <c r="H4047" t="s">
        <v>188</v>
      </c>
      <c r="I4047" t="s">
        <v>189</v>
      </c>
      <c r="J4047" t="s">
        <v>3149</v>
      </c>
      <c r="K4047" t="s">
        <v>8044</v>
      </c>
      <c r="R4047">
        <v>98</v>
      </c>
    </row>
    <row r="4048" spans="1:19" x14ac:dyDescent="0.25">
      <c r="A4048" t="s">
        <v>8045</v>
      </c>
      <c r="B4048" s="1">
        <v>44951</v>
      </c>
      <c r="C4048" t="s">
        <v>2015</v>
      </c>
      <c r="D4048" t="s">
        <v>78</v>
      </c>
      <c r="E4048" t="s">
        <v>24</v>
      </c>
      <c r="F4048" t="s">
        <v>208</v>
      </c>
      <c r="G4048">
        <v>30</v>
      </c>
      <c r="H4048" t="s">
        <v>464</v>
      </c>
      <c r="I4048" t="s">
        <v>943</v>
      </c>
      <c r="J4048" t="s">
        <v>1621</v>
      </c>
      <c r="K4048" t="s">
        <v>8046</v>
      </c>
    </row>
    <row r="4049" spans="1:19" x14ac:dyDescent="0.25">
      <c r="A4049" t="s">
        <v>8104</v>
      </c>
      <c r="B4049" s="1">
        <v>44958</v>
      </c>
      <c r="C4049" t="s">
        <v>8105</v>
      </c>
      <c r="D4049" t="s">
        <v>78</v>
      </c>
      <c r="E4049" t="s">
        <v>24</v>
      </c>
      <c r="F4049" t="s">
        <v>200</v>
      </c>
      <c r="G4049">
        <v>30</v>
      </c>
      <c r="H4049" t="s">
        <v>188</v>
      </c>
      <c r="I4049" t="s">
        <v>238</v>
      </c>
      <c r="J4049" t="s">
        <v>6462</v>
      </c>
      <c r="K4049" t="s">
        <v>8106</v>
      </c>
      <c r="R4049">
        <v>76</v>
      </c>
      <c r="S4049">
        <v>85.59</v>
      </c>
    </row>
    <row r="4050" spans="1:19" x14ac:dyDescent="0.25">
      <c r="A4050" t="s">
        <v>8107</v>
      </c>
      <c r="B4050" s="1">
        <v>44958</v>
      </c>
      <c r="C4050" t="s">
        <v>7661</v>
      </c>
      <c r="D4050" t="s">
        <v>78</v>
      </c>
      <c r="E4050" t="s">
        <v>24</v>
      </c>
      <c r="F4050" t="s">
        <v>292</v>
      </c>
      <c r="G4050">
        <v>30</v>
      </c>
      <c r="H4050" t="s">
        <v>194</v>
      </c>
      <c r="I4050" t="s">
        <v>232</v>
      </c>
      <c r="J4050" t="s">
        <v>233</v>
      </c>
      <c r="K4050" t="s">
        <v>8108</v>
      </c>
      <c r="R4050">
        <v>235</v>
      </c>
      <c r="S4050">
        <v>134.09</v>
      </c>
    </row>
    <row r="4051" spans="1:19" x14ac:dyDescent="0.25">
      <c r="A4051" t="s">
        <v>8109</v>
      </c>
      <c r="B4051" s="1">
        <v>44958</v>
      </c>
      <c r="C4051" t="s">
        <v>8110</v>
      </c>
      <c r="D4051" t="s">
        <v>78</v>
      </c>
      <c r="E4051" t="s">
        <v>24</v>
      </c>
      <c r="F4051" t="s">
        <v>200</v>
      </c>
      <c r="G4051">
        <v>10</v>
      </c>
      <c r="H4051" t="s">
        <v>464</v>
      </c>
      <c r="I4051" t="s">
        <v>579</v>
      </c>
      <c r="J4051" t="s">
        <v>1820</v>
      </c>
      <c r="K4051" t="s">
        <v>8111</v>
      </c>
    </row>
    <row r="4052" spans="1:19" x14ac:dyDescent="0.25">
      <c r="A4052" t="s">
        <v>8172</v>
      </c>
      <c r="B4052" s="1">
        <v>44965</v>
      </c>
      <c r="C4052" t="s">
        <v>8173</v>
      </c>
      <c r="D4052" t="s">
        <v>78</v>
      </c>
      <c r="E4052" t="s">
        <v>24</v>
      </c>
      <c r="F4052" t="s">
        <v>200</v>
      </c>
      <c r="G4052">
        <v>10</v>
      </c>
      <c r="H4052" t="s">
        <v>464</v>
      </c>
      <c r="I4052" t="s">
        <v>579</v>
      </c>
      <c r="J4052" t="s">
        <v>1000</v>
      </c>
      <c r="K4052" t="s">
        <v>8171</v>
      </c>
    </row>
    <row r="4053" spans="1:19" x14ac:dyDescent="0.25">
      <c r="A4053" t="s">
        <v>8174</v>
      </c>
      <c r="B4053" s="1">
        <v>44965</v>
      </c>
      <c r="C4053" t="s">
        <v>8175</v>
      </c>
      <c r="D4053" t="s">
        <v>78</v>
      </c>
      <c r="E4053" t="s">
        <v>24</v>
      </c>
      <c r="F4053" t="s">
        <v>8176</v>
      </c>
      <c r="G4053">
        <v>30</v>
      </c>
      <c r="H4053" t="s">
        <v>26</v>
      </c>
      <c r="I4053" t="s">
        <v>370</v>
      </c>
      <c r="J4053" t="s">
        <v>396</v>
      </c>
      <c r="K4053" t="s">
        <v>8177</v>
      </c>
      <c r="L4053">
        <v>133</v>
      </c>
      <c r="M4053">
        <v>74</v>
      </c>
      <c r="N4053" s="2">
        <v>0.31</v>
      </c>
      <c r="O4053">
        <v>87</v>
      </c>
      <c r="P4053">
        <v>14.08</v>
      </c>
      <c r="Q4053">
        <v>7.04</v>
      </c>
      <c r="R4053">
        <v>295</v>
      </c>
      <c r="S4053">
        <v>151.19</v>
      </c>
    </row>
    <row r="4054" spans="1:19" x14ac:dyDescent="0.25">
      <c r="A4054" t="s">
        <v>8178</v>
      </c>
      <c r="B4054" s="1">
        <v>44965</v>
      </c>
      <c r="C4054" t="s">
        <v>8179</v>
      </c>
      <c r="D4054" t="s">
        <v>78</v>
      </c>
      <c r="E4054" t="s">
        <v>24</v>
      </c>
      <c r="F4054" t="s">
        <v>3250</v>
      </c>
      <c r="G4054">
        <v>5</v>
      </c>
      <c r="H4054" t="s">
        <v>26</v>
      </c>
      <c r="I4054" t="s">
        <v>358</v>
      </c>
      <c r="J4054" t="s">
        <v>359</v>
      </c>
      <c r="K4054" t="s">
        <v>8180</v>
      </c>
      <c r="L4054">
        <v>11</v>
      </c>
      <c r="M4054">
        <v>35</v>
      </c>
      <c r="N4054" s="2">
        <v>0.24</v>
      </c>
      <c r="O4054">
        <v>79</v>
      </c>
      <c r="P4054">
        <v>9.94</v>
      </c>
      <c r="Q4054">
        <v>0.83</v>
      </c>
      <c r="R4054">
        <v>33</v>
      </c>
      <c r="S4054">
        <v>126.62</v>
      </c>
    </row>
    <row r="4055" spans="1:19" x14ac:dyDescent="0.25">
      <c r="A4055" t="s">
        <v>8181</v>
      </c>
      <c r="B4055" s="1">
        <v>44965</v>
      </c>
      <c r="C4055" t="s">
        <v>8182</v>
      </c>
      <c r="D4055" t="s">
        <v>78</v>
      </c>
      <c r="E4055" t="s">
        <v>24</v>
      </c>
      <c r="F4055" t="s">
        <v>292</v>
      </c>
      <c r="G4055">
        <v>30</v>
      </c>
      <c r="H4055" t="s">
        <v>194</v>
      </c>
      <c r="I4055" t="s">
        <v>232</v>
      </c>
      <c r="J4055" t="s">
        <v>8183</v>
      </c>
      <c r="K4055" t="s">
        <v>8184</v>
      </c>
      <c r="R4055">
        <v>233</v>
      </c>
      <c r="S4055">
        <v>133.29</v>
      </c>
    </row>
    <row r="4056" spans="1:19" x14ac:dyDescent="0.25">
      <c r="A4056" t="s">
        <v>8185</v>
      </c>
      <c r="B4056" s="1">
        <v>44965</v>
      </c>
      <c r="C4056" t="s">
        <v>8186</v>
      </c>
      <c r="D4056" t="s">
        <v>78</v>
      </c>
      <c r="E4056" t="s">
        <v>24</v>
      </c>
      <c r="F4056" t="s">
        <v>208</v>
      </c>
      <c r="G4056">
        <v>10</v>
      </c>
      <c r="H4056" t="s">
        <v>464</v>
      </c>
      <c r="I4056" t="s">
        <v>579</v>
      </c>
      <c r="J4056" t="s">
        <v>1975</v>
      </c>
      <c r="K4056" t="s">
        <v>8187</v>
      </c>
    </row>
    <row r="4057" spans="1:19" x14ac:dyDescent="0.25">
      <c r="A4057" t="s">
        <v>8235</v>
      </c>
      <c r="B4057" s="1">
        <v>44972</v>
      </c>
      <c r="C4057" t="s">
        <v>8236</v>
      </c>
      <c r="D4057" t="s">
        <v>78</v>
      </c>
      <c r="E4057" t="s">
        <v>24</v>
      </c>
      <c r="F4057" t="s">
        <v>237</v>
      </c>
      <c r="G4057">
        <v>30</v>
      </c>
      <c r="H4057" t="s">
        <v>188</v>
      </c>
      <c r="I4057" t="s">
        <v>189</v>
      </c>
      <c r="J4057" t="s">
        <v>898</v>
      </c>
      <c r="K4057" t="s">
        <v>8237</v>
      </c>
      <c r="R4057">
        <v>100</v>
      </c>
    </row>
    <row r="4058" spans="1:19" x14ac:dyDescent="0.25">
      <c r="A4058" t="s">
        <v>8238</v>
      </c>
      <c r="B4058" s="1">
        <v>44972</v>
      </c>
      <c r="C4058" t="s">
        <v>165</v>
      </c>
      <c r="D4058" t="s">
        <v>78</v>
      </c>
      <c r="G4058">
        <v>39</v>
      </c>
      <c r="H4058" t="s">
        <v>1856</v>
      </c>
      <c r="J4058" t="s">
        <v>8239</v>
      </c>
      <c r="L4058">
        <v>0</v>
      </c>
      <c r="P4058">
        <v>3.21</v>
      </c>
      <c r="Q4058">
        <v>2.02</v>
      </c>
      <c r="R4058">
        <v>267</v>
      </c>
      <c r="S4058">
        <v>126.53</v>
      </c>
    </row>
    <row r="4059" spans="1:19" x14ac:dyDescent="0.25">
      <c r="A4059" t="s">
        <v>8240</v>
      </c>
      <c r="B4059" s="1">
        <v>44972</v>
      </c>
      <c r="C4059" t="s">
        <v>1361</v>
      </c>
      <c r="D4059" t="s">
        <v>78</v>
      </c>
      <c r="E4059" t="s">
        <v>24</v>
      </c>
      <c r="F4059" t="s">
        <v>2708</v>
      </c>
      <c r="G4059">
        <v>15</v>
      </c>
      <c r="H4059" t="s">
        <v>464</v>
      </c>
      <c r="I4059" t="s">
        <v>579</v>
      </c>
      <c r="J4059" t="s">
        <v>4098</v>
      </c>
      <c r="K4059" t="s">
        <v>8241</v>
      </c>
    </row>
    <row r="4060" spans="1:19" x14ac:dyDescent="0.25">
      <c r="A4060" t="s">
        <v>8294</v>
      </c>
      <c r="B4060" s="1">
        <v>44979</v>
      </c>
      <c r="C4060" t="s">
        <v>3844</v>
      </c>
      <c r="D4060" t="s">
        <v>78</v>
      </c>
      <c r="E4060" t="s">
        <v>24</v>
      </c>
      <c r="F4060" t="s">
        <v>243</v>
      </c>
      <c r="G4060">
        <v>30</v>
      </c>
      <c r="H4060" t="s">
        <v>188</v>
      </c>
      <c r="I4060" t="s">
        <v>189</v>
      </c>
      <c r="J4060" t="s">
        <v>201</v>
      </c>
      <c r="K4060" t="s">
        <v>8295</v>
      </c>
      <c r="R4060">
        <v>94</v>
      </c>
    </row>
    <row r="4061" spans="1:19" x14ac:dyDescent="0.25">
      <c r="A4061" t="s">
        <v>8340</v>
      </c>
      <c r="B4061" s="1">
        <v>44986</v>
      </c>
      <c r="C4061" t="s">
        <v>8341</v>
      </c>
      <c r="D4061" t="s">
        <v>78</v>
      </c>
      <c r="G4061">
        <v>39</v>
      </c>
      <c r="H4061" t="s">
        <v>1856</v>
      </c>
      <c r="J4061" t="s">
        <v>8342</v>
      </c>
      <c r="L4061">
        <v>0</v>
      </c>
      <c r="P4061">
        <v>2.97</v>
      </c>
      <c r="Q4061">
        <v>1.96</v>
      </c>
      <c r="R4061">
        <v>269</v>
      </c>
      <c r="S4061">
        <v>126.57</v>
      </c>
    </row>
    <row r="4062" spans="1:19" x14ac:dyDescent="0.25">
      <c r="A4062" t="s">
        <v>8343</v>
      </c>
      <c r="B4062" s="1">
        <v>44986</v>
      </c>
      <c r="C4062" t="s">
        <v>8344</v>
      </c>
      <c r="D4062" t="s">
        <v>78</v>
      </c>
      <c r="E4062" t="s">
        <v>24</v>
      </c>
      <c r="F4062" t="s">
        <v>323</v>
      </c>
      <c r="G4062">
        <v>45</v>
      </c>
      <c r="H4062" t="s">
        <v>26</v>
      </c>
      <c r="I4062" t="s">
        <v>370</v>
      </c>
      <c r="J4062" t="s">
        <v>479</v>
      </c>
      <c r="K4062" t="s">
        <v>8345</v>
      </c>
      <c r="L4062">
        <v>290</v>
      </c>
      <c r="M4062">
        <v>107</v>
      </c>
      <c r="N4062" s="2">
        <v>0.37</v>
      </c>
      <c r="O4062">
        <v>84</v>
      </c>
      <c r="P4062">
        <v>16.18</v>
      </c>
      <c r="Q4062">
        <v>12.14</v>
      </c>
      <c r="R4062">
        <v>506</v>
      </c>
      <c r="S4062">
        <v>163.9</v>
      </c>
    </row>
    <row r="4063" spans="1:19" x14ac:dyDescent="0.25">
      <c r="A4063" t="s">
        <v>8346</v>
      </c>
      <c r="B4063" s="1">
        <v>44986</v>
      </c>
      <c r="C4063" t="s">
        <v>8347</v>
      </c>
      <c r="D4063" t="s">
        <v>78</v>
      </c>
      <c r="E4063" t="s">
        <v>24</v>
      </c>
      <c r="F4063" t="s">
        <v>768</v>
      </c>
      <c r="G4063">
        <v>10</v>
      </c>
      <c r="H4063" t="s">
        <v>26</v>
      </c>
      <c r="I4063" t="s">
        <v>39</v>
      </c>
      <c r="J4063" t="s">
        <v>7372</v>
      </c>
      <c r="K4063" t="s">
        <v>8348</v>
      </c>
      <c r="L4063">
        <v>34</v>
      </c>
      <c r="M4063">
        <v>56</v>
      </c>
      <c r="N4063" s="2">
        <v>0.3</v>
      </c>
      <c r="O4063">
        <v>78</v>
      </c>
      <c r="P4063">
        <v>12.61</v>
      </c>
      <c r="Q4063">
        <v>2.1</v>
      </c>
      <c r="R4063">
        <v>80</v>
      </c>
      <c r="S4063">
        <v>134.97</v>
      </c>
    </row>
    <row r="4064" spans="1:19" x14ac:dyDescent="0.25">
      <c r="A4064" t="s">
        <v>8349</v>
      </c>
      <c r="B4064" s="1">
        <v>44986</v>
      </c>
      <c r="C4064" t="s">
        <v>8350</v>
      </c>
      <c r="D4064" t="s">
        <v>78</v>
      </c>
      <c r="E4064" t="s">
        <v>24</v>
      </c>
      <c r="F4064" t="s">
        <v>747</v>
      </c>
      <c r="G4064">
        <v>10</v>
      </c>
      <c r="H4064" t="s">
        <v>194</v>
      </c>
      <c r="I4064" t="s">
        <v>700</v>
      </c>
      <c r="J4064" t="s">
        <v>1282</v>
      </c>
      <c r="K4064" t="s">
        <v>8351</v>
      </c>
      <c r="R4064">
        <v>66</v>
      </c>
      <c r="S4064">
        <v>122.25</v>
      </c>
    </row>
    <row r="4065" spans="1:19" x14ac:dyDescent="0.25">
      <c r="A4065" t="s">
        <v>8352</v>
      </c>
      <c r="B4065" s="1">
        <v>44986</v>
      </c>
      <c r="C4065" t="s">
        <v>7518</v>
      </c>
      <c r="D4065" t="s">
        <v>78</v>
      </c>
      <c r="E4065" t="s">
        <v>24</v>
      </c>
      <c r="F4065" t="s">
        <v>231</v>
      </c>
      <c r="G4065">
        <v>5</v>
      </c>
      <c r="H4065" t="s">
        <v>194</v>
      </c>
      <c r="I4065" t="s">
        <v>195</v>
      </c>
      <c r="J4065" t="s">
        <v>8353</v>
      </c>
      <c r="K4065" t="s">
        <v>7961</v>
      </c>
      <c r="R4065">
        <v>20</v>
      </c>
      <c r="S4065">
        <v>92</v>
      </c>
    </row>
    <row r="4066" spans="1:19" x14ac:dyDescent="0.25">
      <c r="A4066" t="s">
        <v>8354</v>
      </c>
      <c r="B4066" s="1">
        <v>44986</v>
      </c>
      <c r="C4066" t="s">
        <v>4316</v>
      </c>
      <c r="D4066" t="s">
        <v>78</v>
      </c>
      <c r="E4066" t="s">
        <v>24</v>
      </c>
      <c r="F4066" t="s">
        <v>231</v>
      </c>
      <c r="G4066">
        <v>15</v>
      </c>
      <c r="H4066" t="s">
        <v>194</v>
      </c>
      <c r="I4066" t="s">
        <v>195</v>
      </c>
      <c r="J4066" t="s">
        <v>1217</v>
      </c>
      <c r="K4066" t="s">
        <v>7961</v>
      </c>
      <c r="R4066">
        <v>60</v>
      </c>
      <c r="S4066">
        <v>92.16</v>
      </c>
    </row>
    <row r="4067" spans="1:19" x14ac:dyDescent="0.25">
      <c r="A4067" t="s">
        <v>8355</v>
      </c>
      <c r="B4067" s="1">
        <v>44986</v>
      </c>
      <c r="C4067" t="s">
        <v>2765</v>
      </c>
      <c r="D4067" t="s">
        <v>78</v>
      </c>
      <c r="E4067" t="s">
        <v>24</v>
      </c>
      <c r="F4067" t="s">
        <v>215</v>
      </c>
      <c r="G4067">
        <v>10</v>
      </c>
      <c r="H4067" t="s">
        <v>188</v>
      </c>
      <c r="I4067" t="s">
        <v>238</v>
      </c>
      <c r="J4067" t="s">
        <v>674</v>
      </c>
      <c r="K4067" t="s">
        <v>8356</v>
      </c>
      <c r="R4067">
        <v>32</v>
      </c>
    </row>
    <row r="4068" spans="1:19" x14ac:dyDescent="0.25">
      <c r="A4068" t="s">
        <v>8357</v>
      </c>
      <c r="B4068" s="1">
        <v>44986</v>
      </c>
      <c r="C4068" t="s">
        <v>2015</v>
      </c>
      <c r="D4068" t="s">
        <v>78</v>
      </c>
      <c r="E4068" t="s">
        <v>24</v>
      </c>
      <c r="F4068" t="s">
        <v>200</v>
      </c>
      <c r="G4068">
        <v>10</v>
      </c>
      <c r="H4068" t="s">
        <v>464</v>
      </c>
      <c r="I4068" t="s">
        <v>763</v>
      </c>
      <c r="J4068" t="s">
        <v>764</v>
      </c>
      <c r="K4068" t="s">
        <v>8356</v>
      </c>
    </row>
    <row r="4069" spans="1:19" x14ac:dyDescent="0.25">
      <c r="A4069" t="s">
        <v>8421</v>
      </c>
      <c r="B4069" s="1">
        <v>44993</v>
      </c>
      <c r="C4069" t="s">
        <v>4613</v>
      </c>
      <c r="D4069" t="s">
        <v>78</v>
      </c>
      <c r="E4069" t="s">
        <v>24</v>
      </c>
      <c r="F4069" t="s">
        <v>231</v>
      </c>
      <c r="G4069">
        <v>10</v>
      </c>
      <c r="H4069" t="s">
        <v>194</v>
      </c>
      <c r="I4069" t="s">
        <v>195</v>
      </c>
      <c r="J4069" t="s">
        <v>7340</v>
      </c>
      <c r="K4069" t="s">
        <v>7961</v>
      </c>
      <c r="R4069">
        <v>54</v>
      </c>
      <c r="S4069">
        <v>112.97</v>
      </c>
    </row>
    <row r="4070" spans="1:19" x14ac:dyDescent="0.25">
      <c r="A4070" t="s">
        <v>8422</v>
      </c>
      <c r="B4070" s="1">
        <v>44993</v>
      </c>
      <c r="C4070" t="s">
        <v>8423</v>
      </c>
      <c r="D4070" t="s">
        <v>78</v>
      </c>
      <c r="E4070" t="s">
        <v>24</v>
      </c>
      <c r="F4070" t="s">
        <v>231</v>
      </c>
      <c r="G4070">
        <v>5</v>
      </c>
      <c r="H4070" t="s">
        <v>194</v>
      </c>
      <c r="I4070" t="s">
        <v>195</v>
      </c>
      <c r="J4070" t="s">
        <v>196</v>
      </c>
      <c r="K4070" t="s">
        <v>7961</v>
      </c>
      <c r="R4070">
        <v>19</v>
      </c>
      <c r="S4070">
        <v>97.62</v>
      </c>
    </row>
    <row r="4071" spans="1:19" x14ac:dyDescent="0.25">
      <c r="A4071" t="s">
        <v>8424</v>
      </c>
      <c r="B4071" s="1">
        <v>44993</v>
      </c>
      <c r="C4071" t="s">
        <v>4506</v>
      </c>
      <c r="D4071" t="s">
        <v>78</v>
      </c>
      <c r="E4071" t="s">
        <v>24</v>
      </c>
      <c r="F4071" t="s">
        <v>323</v>
      </c>
      <c r="G4071">
        <v>30</v>
      </c>
      <c r="H4071" t="s">
        <v>7562</v>
      </c>
      <c r="I4071" t="s">
        <v>7989</v>
      </c>
      <c r="J4071" t="s">
        <v>7990</v>
      </c>
      <c r="K4071" t="s">
        <v>8425</v>
      </c>
      <c r="L4071">
        <v>95</v>
      </c>
      <c r="P4071">
        <v>2.63</v>
      </c>
      <c r="Q4071">
        <v>2.67</v>
      </c>
      <c r="R4071">
        <v>244</v>
      </c>
      <c r="S4071">
        <v>134.29</v>
      </c>
    </row>
    <row r="4072" spans="1:19" x14ac:dyDescent="0.25">
      <c r="A4072" t="s">
        <v>8426</v>
      </c>
      <c r="B4072" s="1">
        <v>44993</v>
      </c>
      <c r="C4072" t="s">
        <v>8427</v>
      </c>
      <c r="D4072" t="s">
        <v>78</v>
      </c>
      <c r="E4072" t="s">
        <v>24</v>
      </c>
      <c r="F4072" t="s">
        <v>237</v>
      </c>
      <c r="G4072">
        <v>10</v>
      </c>
      <c r="H4072" t="s">
        <v>464</v>
      </c>
      <c r="I4072" t="s">
        <v>579</v>
      </c>
      <c r="J4072" t="s">
        <v>1000</v>
      </c>
      <c r="K4072" t="s">
        <v>8428</v>
      </c>
    </row>
    <row r="4073" spans="1:19" x14ac:dyDescent="0.25">
      <c r="A4073" t="s">
        <v>8471</v>
      </c>
      <c r="B4073" s="1">
        <v>45000</v>
      </c>
      <c r="C4073" t="s">
        <v>8472</v>
      </c>
      <c r="D4073" t="s">
        <v>78</v>
      </c>
      <c r="E4073" t="s">
        <v>24</v>
      </c>
      <c r="F4073" t="s">
        <v>237</v>
      </c>
      <c r="G4073">
        <v>30</v>
      </c>
      <c r="H4073" t="s">
        <v>188</v>
      </c>
      <c r="I4073" t="s">
        <v>238</v>
      </c>
      <c r="J4073" t="s">
        <v>6108</v>
      </c>
      <c r="K4073" t="s">
        <v>8473</v>
      </c>
      <c r="R4073">
        <v>100</v>
      </c>
    </row>
    <row r="4074" spans="1:19" x14ac:dyDescent="0.25">
      <c r="A4074" t="s">
        <v>8474</v>
      </c>
      <c r="B4074" s="1">
        <v>45000</v>
      </c>
      <c r="C4074" t="s">
        <v>5935</v>
      </c>
      <c r="D4074" t="s">
        <v>78</v>
      </c>
      <c r="G4074">
        <v>41</v>
      </c>
      <c r="H4074" t="s">
        <v>1856</v>
      </c>
      <c r="J4074" t="s">
        <v>8475</v>
      </c>
      <c r="L4074">
        <v>0</v>
      </c>
      <c r="P4074">
        <v>3.16</v>
      </c>
      <c r="Q4074">
        <v>2.04</v>
      </c>
      <c r="R4074">
        <v>288</v>
      </c>
      <c r="S4074">
        <v>126.28</v>
      </c>
    </row>
    <row r="4075" spans="1:19" x14ac:dyDescent="0.25">
      <c r="A4075" t="s">
        <v>8533</v>
      </c>
      <c r="B4075" s="1">
        <v>45007</v>
      </c>
      <c r="C4075" t="s">
        <v>8534</v>
      </c>
      <c r="D4075" t="s">
        <v>78</v>
      </c>
      <c r="E4075" t="s">
        <v>24</v>
      </c>
      <c r="F4075" t="s">
        <v>208</v>
      </c>
      <c r="G4075">
        <v>5</v>
      </c>
      <c r="H4075" t="s">
        <v>464</v>
      </c>
      <c r="I4075" t="s">
        <v>579</v>
      </c>
      <c r="J4075" t="s">
        <v>2484</v>
      </c>
      <c r="K4075" t="s">
        <v>8535</v>
      </c>
    </row>
    <row r="4076" spans="1:19" x14ac:dyDescent="0.25">
      <c r="A4076" t="s">
        <v>8589</v>
      </c>
      <c r="B4076" s="1">
        <v>45014</v>
      </c>
      <c r="C4076" t="s">
        <v>8590</v>
      </c>
      <c r="D4076" t="s">
        <v>78</v>
      </c>
      <c r="E4076" t="s">
        <v>24</v>
      </c>
      <c r="F4076" t="s">
        <v>200</v>
      </c>
      <c r="G4076">
        <v>5</v>
      </c>
      <c r="H4076" t="s">
        <v>464</v>
      </c>
      <c r="I4076" t="s">
        <v>579</v>
      </c>
      <c r="J4076" t="s">
        <v>5288</v>
      </c>
      <c r="K4076" t="s">
        <v>8591</v>
      </c>
    </row>
    <row r="4077" spans="1:19" x14ac:dyDescent="0.25">
      <c r="A4077" t="s">
        <v>8592</v>
      </c>
      <c r="B4077" s="1">
        <v>45014</v>
      </c>
      <c r="C4077" t="s">
        <v>8593</v>
      </c>
      <c r="D4077" t="s">
        <v>78</v>
      </c>
      <c r="E4077" t="s">
        <v>24</v>
      </c>
      <c r="F4077" t="s">
        <v>314</v>
      </c>
      <c r="G4077">
        <v>30</v>
      </c>
      <c r="H4077" t="s">
        <v>1856</v>
      </c>
      <c r="I4077" t="s">
        <v>1857</v>
      </c>
      <c r="J4077" t="s">
        <v>5334</v>
      </c>
      <c r="K4077" t="s">
        <v>8594</v>
      </c>
      <c r="L4077">
        <v>0</v>
      </c>
      <c r="P4077">
        <v>3.32</v>
      </c>
      <c r="Q4077">
        <v>1.66</v>
      </c>
      <c r="R4077">
        <v>234</v>
      </c>
      <c r="S4077">
        <v>137.13999999999999</v>
      </c>
    </row>
    <row r="4078" spans="1:19" x14ac:dyDescent="0.25">
      <c r="A4078" t="s">
        <v>8595</v>
      </c>
      <c r="B4078" s="1">
        <v>45014</v>
      </c>
      <c r="C4078" t="s">
        <v>4735</v>
      </c>
      <c r="D4078" t="s">
        <v>78</v>
      </c>
      <c r="G4078">
        <v>5</v>
      </c>
      <c r="H4078" t="s">
        <v>1856</v>
      </c>
      <c r="J4078" t="s">
        <v>8596</v>
      </c>
      <c r="L4078">
        <v>0</v>
      </c>
      <c r="P4078">
        <v>2.86</v>
      </c>
      <c r="Q4078">
        <v>0.24</v>
      </c>
      <c r="R4078">
        <v>53</v>
      </c>
      <c r="S4078">
        <v>146.13</v>
      </c>
    </row>
    <row r="4079" spans="1:19" x14ac:dyDescent="0.25">
      <c r="A4079" t="s">
        <v>8597</v>
      </c>
      <c r="B4079" s="1">
        <v>45014</v>
      </c>
      <c r="C4079" t="s">
        <v>1639</v>
      </c>
      <c r="D4079" t="s">
        <v>78</v>
      </c>
      <c r="E4079" t="s">
        <v>24</v>
      </c>
      <c r="F4079" t="s">
        <v>215</v>
      </c>
      <c r="G4079">
        <v>10</v>
      </c>
      <c r="H4079" t="s">
        <v>464</v>
      </c>
      <c r="I4079" t="s">
        <v>1571</v>
      </c>
      <c r="J4079" t="s">
        <v>2704</v>
      </c>
      <c r="K4079" t="s">
        <v>8598</v>
      </c>
    </row>
    <row r="4080" spans="1:19" x14ac:dyDescent="0.25">
      <c r="A4080" t="s">
        <v>8646</v>
      </c>
      <c r="B4080" s="1">
        <v>45021</v>
      </c>
      <c r="C4080" t="s">
        <v>815</v>
      </c>
      <c r="D4080" t="s">
        <v>78</v>
      </c>
      <c r="E4080" t="s">
        <v>24</v>
      </c>
      <c r="F4080" t="s">
        <v>2708</v>
      </c>
      <c r="G4080">
        <v>30</v>
      </c>
      <c r="H4080" t="s">
        <v>188</v>
      </c>
      <c r="I4080" t="s">
        <v>238</v>
      </c>
      <c r="J4080" t="s">
        <v>8647</v>
      </c>
      <c r="K4080" t="s">
        <v>8648</v>
      </c>
      <c r="R4080">
        <v>92</v>
      </c>
    </row>
    <row r="4081" spans="1:19" x14ac:dyDescent="0.25">
      <c r="A4081" t="s">
        <v>8649</v>
      </c>
      <c r="B4081" s="1">
        <v>45021</v>
      </c>
      <c r="C4081" t="s">
        <v>236</v>
      </c>
      <c r="D4081" t="s">
        <v>78</v>
      </c>
      <c r="E4081" t="s">
        <v>24</v>
      </c>
      <c r="F4081" t="s">
        <v>2708</v>
      </c>
      <c r="G4081">
        <v>20</v>
      </c>
      <c r="H4081" t="s">
        <v>464</v>
      </c>
      <c r="I4081" t="s">
        <v>1571</v>
      </c>
      <c r="J4081" t="s">
        <v>1802</v>
      </c>
      <c r="K4081" t="s">
        <v>8650</v>
      </c>
    </row>
    <row r="4082" spans="1:19" x14ac:dyDescent="0.25">
      <c r="A4082" t="s">
        <v>8706</v>
      </c>
      <c r="B4082" s="1">
        <v>45028</v>
      </c>
      <c r="C4082" t="s">
        <v>8707</v>
      </c>
      <c r="D4082" t="s">
        <v>78</v>
      </c>
      <c r="E4082" t="s">
        <v>24</v>
      </c>
      <c r="F4082" t="s">
        <v>200</v>
      </c>
      <c r="G4082">
        <v>30</v>
      </c>
      <c r="H4082" t="s">
        <v>188</v>
      </c>
      <c r="I4082" t="s">
        <v>189</v>
      </c>
      <c r="J4082" t="s">
        <v>4372</v>
      </c>
      <c r="K4082" t="s">
        <v>8708</v>
      </c>
      <c r="R4082">
        <v>100</v>
      </c>
    </row>
    <row r="4083" spans="1:19" x14ac:dyDescent="0.25">
      <c r="A4083" t="s">
        <v>8709</v>
      </c>
      <c r="B4083" s="1">
        <v>45028</v>
      </c>
      <c r="C4083" t="s">
        <v>7422</v>
      </c>
      <c r="D4083" t="s">
        <v>78</v>
      </c>
      <c r="G4083">
        <v>41</v>
      </c>
      <c r="H4083" t="s">
        <v>1856</v>
      </c>
      <c r="J4083" t="s">
        <v>8710</v>
      </c>
      <c r="L4083">
        <v>0</v>
      </c>
      <c r="P4083">
        <v>2.89</v>
      </c>
      <c r="Q4083">
        <v>2.04</v>
      </c>
      <c r="R4083">
        <v>239</v>
      </c>
      <c r="S4083">
        <v>115.91</v>
      </c>
    </row>
    <row r="4084" spans="1:19" x14ac:dyDescent="0.25">
      <c r="A4084" t="s">
        <v>8762</v>
      </c>
      <c r="B4084" s="1">
        <v>45035</v>
      </c>
      <c r="C4084" t="s">
        <v>8763</v>
      </c>
      <c r="D4084" t="s">
        <v>78</v>
      </c>
      <c r="E4084" t="s">
        <v>24</v>
      </c>
      <c r="F4084" t="s">
        <v>231</v>
      </c>
      <c r="G4084">
        <v>45</v>
      </c>
      <c r="H4084" t="s">
        <v>1856</v>
      </c>
      <c r="I4084" t="s">
        <v>4912</v>
      </c>
      <c r="J4084" t="s">
        <v>5607</v>
      </c>
      <c r="K4084" t="s">
        <v>8764</v>
      </c>
      <c r="L4084">
        <v>0</v>
      </c>
      <c r="P4084">
        <v>3.21</v>
      </c>
      <c r="Q4084">
        <v>1.53</v>
      </c>
      <c r="R4084">
        <v>246</v>
      </c>
      <c r="S4084">
        <v>135.07</v>
      </c>
    </row>
    <row r="4085" spans="1:19" x14ac:dyDescent="0.25">
      <c r="A4085" t="s">
        <v>8765</v>
      </c>
      <c r="B4085" s="1">
        <v>45035</v>
      </c>
      <c r="C4085" t="s">
        <v>8766</v>
      </c>
      <c r="D4085" t="s">
        <v>78</v>
      </c>
      <c r="E4085" t="s">
        <v>24</v>
      </c>
      <c r="F4085" t="s">
        <v>335</v>
      </c>
      <c r="G4085">
        <v>10</v>
      </c>
      <c r="H4085" t="s">
        <v>194</v>
      </c>
      <c r="I4085" t="s">
        <v>195</v>
      </c>
      <c r="J4085" t="s">
        <v>211</v>
      </c>
      <c r="K4085" t="s">
        <v>8767</v>
      </c>
      <c r="R4085">
        <v>44</v>
      </c>
    </row>
    <row r="4086" spans="1:19" x14ac:dyDescent="0.25">
      <c r="A4086" t="s">
        <v>8768</v>
      </c>
      <c r="B4086" s="1">
        <v>45035</v>
      </c>
      <c r="C4086" t="s">
        <v>8769</v>
      </c>
      <c r="D4086" t="s">
        <v>78</v>
      </c>
      <c r="E4086" t="s">
        <v>24</v>
      </c>
      <c r="F4086" t="s">
        <v>297</v>
      </c>
      <c r="G4086">
        <v>5</v>
      </c>
      <c r="H4086" t="s">
        <v>49</v>
      </c>
      <c r="I4086" t="s">
        <v>298</v>
      </c>
      <c r="J4086" t="s">
        <v>299</v>
      </c>
      <c r="K4086" t="s">
        <v>8770</v>
      </c>
      <c r="R4086">
        <v>11</v>
      </c>
    </row>
    <row r="4087" spans="1:19" x14ac:dyDescent="0.25">
      <c r="A4087" t="s">
        <v>8816</v>
      </c>
      <c r="B4087" s="1">
        <v>45042</v>
      </c>
      <c r="C4087" t="s">
        <v>8817</v>
      </c>
      <c r="D4087" t="s">
        <v>78</v>
      </c>
      <c r="E4087" t="s">
        <v>24</v>
      </c>
      <c r="F4087" t="s">
        <v>200</v>
      </c>
      <c r="G4087">
        <v>30</v>
      </c>
      <c r="H4087" t="s">
        <v>188</v>
      </c>
      <c r="I4087" t="s">
        <v>189</v>
      </c>
      <c r="J4087" t="s">
        <v>201</v>
      </c>
      <c r="K4087" t="s">
        <v>8818</v>
      </c>
      <c r="R4087">
        <v>98</v>
      </c>
    </row>
    <row r="4088" spans="1:19" x14ac:dyDescent="0.25">
      <c r="A4088" t="s">
        <v>8819</v>
      </c>
      <c r="B4088" s="1">
        <v>45042</v>
      </c>
      <c r="C4088" t="s">
        <v>8820</v>
      </c>
      <c r="D4088" t="s">
        <v>78</v>
      </c>
      <c r="G4088">
        <v>99</v>
      </c>
      <c r="H4088" t="s">
        <v>26</v>
      </c>
      <c r="J4088" t="s">
        <v>8821</v>
      </c>
      <c r="L4088">
        <v>0</v>
      </c>
      <c r="M4088">
        <v>0</v>
      </c>
      <c r="N4088" s="2">
        <v>0</v>
      </c>
      <c r="O4088">
        <v>0</v>
      </c>
      <c r="P4088">
        <v>13.05</v>
      </c>
      <c r="Q4088">
        <v>18.34</v>
      </c>
      <c r="R4088">
        <v>563</v>
      </c>
    </row>
    <row r="4089" spans="1:19" x14ac:dyDescent="0.25">
      <c r="A4089" t="s">
        <v>8856</v>
      </c>
      <c r="B4089" s="1">
        <v>45049</v>
      </c>
      <c r="C4089" t="s">
        <v>8857</v>
      </c>
      <c r="D4089" t="s">
        <v>78</v>
      </c>
      <c r="E4089" t="s">
        <v>24</v>
      </c>
      <c r="F4089" t="s">
        <v>200</v>
      </c>
      <c r="G4089">
        <v>30</v>
      </c>
      <c r="H4089" t="s">
        <v>188</v>
      </c>
      <c r="I4089" t="s">
        <v>238</v>
      </c>
      <c r="J4089" t="s">
        <v>3354</v>
      </c>
      <c r="K4089" t="s">
        <v>8858</v>
      </c>
      <c r="R4089">
        <v>101</v>
      </c>
    </row>
    <row r="4090" spans="1:19" x14ac:dyDescent="0.25">
      <c r="A4090" t="s">
        <v>8859</v>
      </c>
      <c r="B4090" s="1">
        <v>45049</v>
      </c>
      <c r="C4090" t="s">
        <v>8493</v>
      </c>
      <c r="D4090" t="s">
        <v>78</v>
      </c>
      <c r="E4090" t="s">
        <v>24</v>
      </c>
      <c r="F4090" t="s">
        <v>292</v>
      </c>
      <c r="G4090">
        <v>30</v>
      </c>
      <c r="H4090" t="s">
        <v>194</v>
      </c>
      <c r="I4090" t="s">
        <v>232</v>
      </c>
      <c r="J4090" t="s">
        <v>233</v>
      </c>
      <c r="K4090" t="s">
        <v>8860</v>
      </c>
      <c r="R4090">
        <v>239</v>
      </c>
      <c r="S4090">
        <v>135.09</v>
      </c>
    </row>
    <row r="4091" spans="1:19" x14ac:dyDescent="0.25">
      <c r="A4091" t="s">
        <v>8898</v>
      </c>
      <c r="B4091" s="1">
        <v>45056</v>
      </c>
      <c r="C4091" t="s">
        <v>1157</v>
      </c>
      <c r="D4091" t="s">
        <v>78</v>
      </c>
      <c r="E4091" t="s">
        <v>24</v>
      </c>
      <c r="F4091" t="s">
        <v>2708</v>
      </c>
      <c r="G4091">
        <v>30</v>
      </c>
      <c r="H4091" t="s">
        <v>188</v>
      </c>
      <c r="I4091" t="s">
        <v>254</v>
      </c>
      <c r="J4091" t="s">
        <v>255</v>
      </c>
      <c r="K4091" t="s">
        <v>8899</v>
      </c>
      <c r="R4091">
        <v>93</v>
      </c>
    </row>
    <row r="4092" spans="1:19" x14ac:dyDescent="0.25">
      <c r="A4092" t="s">
        <v>8900</v>
      </c>
      <c r="B4092" s="1">
        <v>45056</v>
      </c>
      <c r="C4092" t="s">
        <v>6451</v>
      </c>
      <c r="D4092" t="s">
        <v>78</v>
      </c>
      <c r="E4092" t="s">
        <v>24</v>
      </c>
      <c r="F4092" t="s">
        <v>231</v>
      </c>
      <c r="G4092">
        <v>30</v>
      </c>
      <c r="H4092" t="s">
        <v>194</v>
      </c>
      <c r="I4092" t="s">
        <v>1445</v>
      </c>
      <c r="J4092" t="s">
        <v>8901</v>
      </c>
      <c r="K4092" t="s">
        <v>8902</v>
      </c>
      <c r="R4092">
        <v>142</v>
      </c>
      <c r="S4092">
        <v>106.17</v>
      </c>
    </row>
    <row r="4093" spans="1:19" x14ac:dyDescent="0.25">
      <c r="A4093" t="s">
        <v>8903</v>
      </c>
      <c r="B4093" s="1">
        <v>45056</v>
      </c>
      <c r="C4093" t="s">
        <v>1398</v>
      </c>
      <c r="D4093" t="s">
        <v>78</v>
      </c>
      <c r="E4093" t="s">
        <v>24</v>
      </c>
      <c r="F4093" t="s">
        <v>459</v>
      </c>
      <c r="G4093">
        <v>10</v>
      </c>
      <c r="H4093" t="s">
        <v>464</v>
      </c>
      <c r="I4093" t="s">
        <v>579</v>
      </c>
      <c r="J4093" t="s">
        <v>1975</v>
      </c>
      <c r="K4093" t="s">
        <v>8879</v>
      </c>
    </row>
    <row r="4094" spans="1:19" x14ac:dyDescent="0.25">
      <c r="A4094" t="s">
        <v>8938</v>
      </c>
      <c r="B4094" s="1">
        <v>45063</v>
      </c>
      <c r="C4094" t="s">
        <v>8939</v>
      </c>
      <c r="D4094" t="s">
        <v>78</v>
      </c>
      <c r="E4094" t="s">
        <v>24</v>
      </c>
      <c r="F4094" t="s">
        <v>2256</v>
      </c>
      <c r="G4094">
        <v>15</v>
      </c>
      <c r="H4094" t="s">
        <v>194</v>
      </c>
      <c r="I4094" t="s">
        <v>195</v>
      </c>
      <c r="J4094" t="s">
        <v>6498</v>
      </c>
      <c r="K4094" t="s">
        <v>8940</v>
      </c>
      <c r="R4094">
        <v>95</v>
      </c>
      <c r="S4094">
        <v>120.35</v>
      </c>
    </row>
    <row r="4095" spans="1:19" x14ac:dyDescent="0.25">
      <c r="A4095" t="s">
        <v>8941</v>
      </c>
      <c r="B4095" s="1">
        <v>45063</v>
      </c>
      <c r="C4095" t="s">
        <v>6141</v>
      </c>
      <c r="D4095" t="s">
        <v>78</v>
      </c>
      <c r="E4095" t="s">
        <v>24</v>
      </c>
      <c r="F4095" t="s">
        <v>323</v>
      </c>
      <c r="G4095">
        <v>90</v>
      </c>
      <c r="H4095" t="s">
        <v>26</v>
      </c>
      <c r="I4095" t="s">
        <v>370</v>
      </c>
      <c r="J4095" t="s">
        <v>1278</v>
      </c>
      <c r="K4095" t="s">
        <v>8942</v>
      </c>
      <c r="L4095">
        <v>496</v>
      </c>
      <c r="M4095">
        <v>111</v>
      </c>
      <c r="N4095" s="2">
        <v>0.38</v>
      </c>
      <c r="O4095">
        <v>84</v>
      </c>
      <c r="P4095">
        <v>16.72</v>
      </c>
      <c r="Q4095">
        <v>20.63</v>
      </c>
      <c r="R4095">
        <v>780</v>
      </c>
      <c r="S4095">
        <v>156.16</v>
      </c>
    </row>
    <row r="4096" spans="1:19" x14ac:dyDescent="0.25">
      <c r="A4096" t="s">
        <v>8943</v>
      </c>
      <c r="B4096" s="1">
        <v>45063</v>
      </c>
      <c r="C4096" t="s">
        <v>5656</v>
      </c>
      <c r="D4096" t="s">
        <v>78</v>
      </c>
      <c r="E4096" t="s">
        <v>24</v>
      </c>
      <c r="F4096" t="s">
        <v>170</v>
      </c>
      <c r="G4096">
        <v>5</v>
      </c>
      <c r="H4096" t="s">
        <v>49</v>
      </c>
      <c r="I4096" t="s">
        <v>50</v>
      </c>
      <c r="J4096" t="s">
        <v>51</v>
      </c>
      <c r="K4096" t="s">
        <v>8944</v>
      </c>
      <c r="R4096">
        <v>12</v>
      </c>
    </row>
    <row r="4097" spans="1:19" x14ac:dyDescent="0.25">
      <c r="A4097" t="s">
        <v>8977</v>
      </c>
      <c r="B4097" s="1">
        <v>45070</v>
      </c>
      <c r="C4097" t="s">
        <v>478</v>
      </c>
      <c r="D4097" t="s">
        <v>78</v>
      </c>
      <c r="E4097" t="s">
        <v>24</v>
      </c>
      <c r="F4097" t="s">
        <v>200</v>
      </c>
      <c r="G4097">
        <v>30</v>
      </c>
      <c r="H4097" t="s">
        <v>188</v>
      </c>
      <c r="I4097" t="s">
        <v>189</v>
      </c>
      <c r="J4097" t="s">
        <v>201</v>
      </c>
      <c r="K4097" t="s">
        <v>8978</v>
      </c>
      <c r="R4097">
        <v>91</v>
      </c>
    </row>
    <row r="4098" spans="1:19" x14ac:dyDescent="0.25">
      <c r="A4098" t="s">
        <v>8979</v>
      </c>
      <c r="B4098" s="1">
        <v>45070</v>
      </c>
      <c r="C4098" t="s">
        <v>1191</v>
      </c>
      <c r="D4098" t="s">
        <v>78</v>
      </c>
      <c r="G4098">
        <v>36</v>
      </c>
      <c r="H4098" t="s">
        <v>1856</v>
      </c>
      <c r="J4098" t="s">
        <v>8980</v>
      </c>
      <c r="L4098">
        <v>0</v>
      </c>
      <c r="P4098">
        <v>3.11</v>
      </c>
      <c r="Q4098">
        <v>1.96</v>
      </c>
      <c r="R4098">
        <v>275</v>
      </c>
      <c r="S4098">
        <v>131.61000000000001</v>
      </c>
    </row>
    <row r="4099" spans="1:19" x14ac:dyDescent="0.25">
      <c r="A4099" t="s">
        <v>8981</v>
      </c>
      <c r="B4099" s="1">
        <v>45070</v>
      </c>
      <c r="C4099" t="s">
        <v>2445</v>
      </c>
      <c r="D4099" t="s">
        <v>78</v>
      </c>
      <c r="E4099" t="s">
        <v>24</v>
      </c>
      <c r="F4099" t="s">
        <v>180</v>
      </c>
      <c r="G4099">
        <v>15</v>
      </c>
      <c r="H4099" t="s">
        <v>194</v>
      </c>
      <c r="I4099" t="s">
        <v>195</v>
      </c>
      <c r="J4099" t="s">
        <v>1217</v>
      </c>
      <c r="K4099" t="s">
        <v>8982</v>
      </c>
      <c r="R4099">
        <v>76</v>
      </c>
      <c r="S4099">
        <v>106.43</v>
      </c>
    </row>
    <row r="4100" spans="1:19" x14ac:dyDescent="0.25">
      <c r="A4100" t="s">
        <v>8983</v>
      </c>
      <c r="B4100" s="1">
        <v>45070</v>
      </c>
      <c r="C4100" t="s">
        <v>8984</v>
      </c>
      <c r="D4100" t="s">
        <v>78</v>
      </c>
      <c r="E4100" t="s">
        <v>24</v>
      </c>
      <c r="F4100" t="s">
        <v>243</v>
      </c>
      <c r="G4100">
        <v>45</v>
      </c>
      <c r="H4100" t="s">
        <v>26</v>
      </c>
      <c r="I4100" t="s">
        <v>370</v>
      </c>
      <c r="J4100" t="s">
        <v>439</v>
      </c>
      <c r="K4100" t="s">
        <v>8985</v>
      </c>
      <c r="L4100">
        <v>300</v>
      </c>
      <c r="M4100">
        <v>111</v>
      </c>
      <c r="N4100" s="2">
        <v>0.38</v>
      </c>
      <c r="O4100">
        <v>85</v>
      </c>
      <c r="P4100">
        <v>16.8</v>
      </c>
      <c r="Q4100">
        <v>12.6</v>
      </c>
      <c r="R4100">
        <v>448</v>
      </c>
      <c r="S4100">
        <v>151.47999999999999</v>
      </c>
    </row>
    <row r="4101" spans="1:19" x14ac:dyDescent="0.25">
      <c r="A4101" t="s">
        <v>8986</v>
      </c>
      <c r="B4101" s="1">
        <v>45070</v>
      </c>
      <c r="C4101" t="s">
        <v>7072</v>
      </c>
      <c r="D4101" t="s">
        <v>78</v>
      </c>
      <c r="E4101" t="s">
        <v>24</v>
      </c>
      <c r="F4101" t="s">
        <v>2833</v>
      </c>
      <c r="G4101">
        <v>5</v>
      </c>
      <c r="H4101" t="s">
        <v>26</v>
      </c>
      <c r="I4101" t="s">
        <v>358</v>
      </c>
      <c r="J4101" t="s">
        <v>359</v>
      </c>
      <c r="K4101" t="s">
        <v>8987</v>
      </c>
      <c r="L4101">
        <v>20</v>
      </c>
      <c r="M4101">
        <v>65</v>
      </c>
      <c r="N4101" s="2">
        <v>0.31</v>
      </c>
      <c r="O4101">
        <v>83</v>
      </c>
      <c r="P4101">
        <v>13.44</v>
      </c>
      <c r="Q4101">
        <v>1.1200000000000001</v>
      </c>
      <c r="R4101">
        <v>32</v>
      </c>
      <c r="S4101">
        <v>120.3</v>
      </c>
    </row>
    <row r="4102" spans="1:19" x14ac:dyDescent="0.25">
      <c r="A4102" t="s">
        <v>8988</v>
      </c>
      <c r="B4102" s="1">
        <v>45070</v>
      </c>
      <c r="C4102" t="s">
        <v>2998</v>
      </c>
      <c r="D4102" t="s">
        <v>78</v>
      </c>
      <c r="E4102" t="s">
        <v>24</v>
      </c>
      <c r="F4102" t="s">
        <v>2595</v>
      </c>
      <c r="G4102">
        <v>5</v>
      </c>
      <c r="H4102" t="s">
        <v>49</v>
      </c>
      <c r="I4102" t="s">
        <v>50</v>
      </c>
      <c r="J4102" t="s">
        <v>51</v>
      </c>
      <c r="K4102" t="s">
        <v>8987</v>
      </c>
      <c r="R4102">
        <v>19</v>
      </c>
      <c r="S4102">
        <v>98.34</v>
      </c>
    </row>
    <row r="4103" spans="1:19" x14ac:dyDescent="0.25">
      <c r="A4103" t="s">
        <v>8989</v>
      </c>
      <c r="B4103" s="1">
        <v>45070</v>
      </c>
      <c r="C4103" t="s">
        <v>4138</v>
      </c>
      <c r="D4103" t="s">
        <v>78</v>
      </c>
      <c r="E4103" t="s">
        <v>24</v>
      </c>
      <c r="F4103" t="s">
        <v>237</v>
      </c>
      <c r="G4103">
        <v>15</v>
      </c>
      <c r="H4103" t="s">
        <v>464</v>
      </c>
      <c r="I4103" t="s">
        <v>579</v>
      </c>
      <c r="J4103" t="s">
        <v>4098</v>
      </c>
      <c r="K4103" t="s">
        <v>8990</v>
      </c>
    </row>
    <row r="4104" spans="1:19" x14ac:dyDescent="0.25">
      <c r="A4104" t="s">
        <v>9018</v>
      </c>
      <c r="B4104" s="1">
        <v>45077</v>
      </c>
      <c r="C4104" t="s">
        <v>9019</v>
      </c>
      <c r="D4104" t="s">
        <v>78</v>
      </c>
      <c r="E4104" t="s">
        <v>24</v>
      </c>
      <c r="F4104" t="s">
        <v>215</v>
      </c>
      <c r="G4104">
        <v>30</v>
      </c>
      <c r="H4104" t="s">
        <v>188</v>
      </c>
      <c r="I4104" t="s">
        <v>254</v>
      </c>
      <c r="J4104" t="s">
        <v>6089</v>
      </c>
      <c r="K4104" t="s">
        <v>9020</v>
      </c>
      <c r="R4104">
        <v>85</v>
      </c>
    </row>
    <row r="4105" spans="1:19" x14ac:dyDescent="0.25">
      <c r="A4105" t="s">
        <v>9021</v>
      </c>
      <c r="B4105" s="1">
        <v>45077</v>
      </c>
      <c r="C4105" t="s">
        <v>3208</v>
      </c>
      <c r="D4105" t="s">
        <v>78</v>
      </c>
      <c r="E4105" t="s">
        <v>24</v>
      </c>
      <c r="F4105" t="s">
        <v>2256</v>
      </c>
      <c r="G4105">
        <v>20</v>
      </c>
      <c r="H4105" t="s">
        <v>194</v>
      </c>
      <c r="I4105" t="s">
        <v>195</v>
      </c>
      <c r="J4105" t="s">
        <v>2247</v>
      </c>
      <c r="K4105" t="s">
        <v>9022</v>
      </c>
      <c r="R4105">
        <v>113</v>
      </c>
      <c r="S4105">
        <v>113.86</v>
      </c>
    </row>
    <row r="4106" spans="1:19" x14ac:dyDescent="0.25">
      <c r="A4106" t="s">
        <v>9023</v>
      </c>
      <c r="B4106" s="1">
        <v>45077</v>
      </c>
      <c r="C4106" t="s">
        <v>6617</v>
      </c>
      <c r="D4106" t="s">
        <v>78</v>
      </c>
      <c r="E4106" t="s">
        <v>24</v>
      </c>
      <c r="F4106" t="s">
        <v>323</v>
      </c>
      <c r="G4106">
        <v>45</v>
      </c>
      <c r="H4106" t="s">
        <v>26</v>
      </c>
      <c r="I4106" t="s">
        <v>370</v>
      </c>
      <c r="J4106" t="s">
        <v>439</v>
      </c>
      <c r="K4106" t="s">
        <v>9024</v>
      </c>
      <c r="L4106">
        <v>299</v>
      </c>
      <c r="M4106">
        <v>111</v>
      </c>
      <c r="N4106" s="2">
        <v>0.38</v>
      </c>
      <c r="O4106">
        <v>84</v>
      </c>
      <c r="P4106">
        <v>16.7</v>
      </c>
      <c r="Q4106">
        <v>12.53</v>
      </c>
      <c r="R4106">
        <v>440</v>
      </c>
      <c r="S4106">
        <v>149.88999999999999</v>
      </c>
    </row>
    <row r="4107" spans="1:19" x14ac:dyDescent="0.25">
      <c r="A4107" t="s">
        <v>9025</v>
      </c>
      <c r="B4107" s="1">
        <v>45077</v>
      </c>
      <c r="C4107" t="s">
        <v>1978</v>
      </c>
      <c r="D4107" t="s">
        <v>78</v>
      </c>
      <c r="E4107" t="s">
        <v>24</v>
      </c>
      <c r="F4107" t="s">
        <v>3250</v>
      </c>
      <c r="G4107">
        <v>5</v>
      </c>
      <c r="H4107" t="s">
        <v>49</v>
      </c>
      <c r="I4107" t="s">
        <v>50</v>
      </c>
      <c r="J4107" t="s">
        <v>51</v>
      </c>
      <c r="K4107" t="s">
        <v>9026</v>
      </c>
      <c r="R4107">
        <v>23</v>
      </c>
      <c r="S4107">
        <v>106.37</v>
      </c>
    </row>
    <row r="4108" spans="1:19" x14ac:dyDescent="0.25">
      <c r="A4108" t="s">
        <v>9049</v>
      </c>
      <c r="B4108" s="1">
        <v>45084</v>
      </c>
      <c r="C4108" t="s">
        <v>384</v>
      </c>
      <c r="D4108" t="s">
        <v>78</v>
      </c>
      <c r="E4108" t="s">
        <v>24</v>
      </c>
      <c r="F4108" t="s">
        <v>200</v>
      </c>
      <c r="G4108">
        <v>30</v>
      </c>
      <c r="H4108" t="s">
        <v>188</v>
      </c>
      <c r="I4108" t="s">
        <v>103</v>
      </c>
      <c r="J4108" t="s">
        <v>9050</v>
      </c>
      <c r="K4108" t="s">
        <v>9051</v>
      </c>
      <c r="R4108">
        <v>94</v>
      </c>
    </row>
    <row r="4109" spans="1:19" x14ac:dyDescent="0.25">
      <c r="A4109" t="s">
        <v>9052</v>
      </c>
      <c r="B4109" s="1">
        <v>45084</v>
      </c>
      <c r="C4109" t="s">
        <v>9053</v>
      </c>
      <c r="D4109" t="s">
        <v>78</v>
      </c>
      <c r="G4109">
        <v>37</v>
      </c>
      <c r="H4109" t="s">
        <v>1856</v>
      </c>
      <c r="J4109" t="s">
        <v>9054</v>
      </c>
      <c r="L4109">
        <v>0</v>
      </c>
      <c r="P4109">
        <v>3.44</v>
      </c>
      <c r="Q4109">
        <v>1.87</v>
      </c>
      <c r="R4109">
        <v>228</v>
      </c>
      <c r="S4109">
        <v>117.97</v>
      </c>
    </row>
    <row r="4110" spans="1:19" x14ac:dyDescent="0.25">
      <c r="A4110" t="s">
        <v>9055</v>
      </c>
      <c r="B4110" s="1">
        <v>45084</v>
      </c>
      <c r="C4110" t="s">
        <v>9056</v>
      </c>
      <c r="D4110" t="s">
        <v>78</v>
      </c>
      <c r="E4110" t="s">
        <v>24</v>
      </c>
      <c r="F4110" t="s">
        <v>180</v>
      </c>
      <c r="G4110">
        <v>20</v>
      </c>
      <c r="H4110" t="s">
        <v>194</v>
      </c>
      <c r="I4110" t="s">
        <v>195</v>
      </c>
      <c r="J4110" t="s">
        <v>9057</v>
      </c>
      <c r="K4110" t="s">
        <v>9058</v>
      </c>
      <c r="R4110">
        <v>84</v>
      </c>
      <c r="S4110">
        <v>100.41</v>
      </c>
    </row>
    <row r="4111" spans="1:19" x14ac:dyDescent="0.25">
      <c r="A4111" t="s">
        <v>9059</v>
      </c>
      <c r="B4111" s="1">
        <v>45084</v>
      </c>
      <c r="C4111" t="s">
        <v>6148</v>
      </c>
      <c r="D4111" t="s">
        <v>78</v>
      </c>
      <c r="E4111" t="s">
        <v>24</v>
      </c>
      <c r="F4111" t="s">
        <v>335</v>
      </c>
      <c r="G4111">
        <v>45</v>
      </c>
      <c r="H4111" t="s">
        <v>26</v>
      </c>
      <c r="I4111" t="s">
        <v>370</v>
      </c>
      <c r="J4111" t="s">
        <v>4416</v>
      </c>
      <c r="K4111" t="s">
        <v>9060</v>
      </c>
      <c r="L4111">
        <v>306</v>
      </c>
      <c r="M4111">
        <v>113</v>
      </c>
      <c r="N4111" s="2">
        <v>0.39</v>
      </c>
      <c r="O4111">
        <v>82</v>
      </c>
      <c r="P4111">
        <v>16.98</v>
      </c>
      <c r="Q4111">
        <v>12.73</v>
      </c>
      <c r="R4111">
        <v>372</v>
      </c>
      <c r="S4111">
        <v>136.72999999999999</v>
      </c>
    </row>
    <row r="4112" spans="1:19" x14ac:dyDescent="0.25">
      <c r="A4112" t="s">
        <v>9061</v>
      </c>
      <c r="B4112" s="1">
        <v>45084</v>
      </c>
      <c r="C4112" t="s">
        <v>1978</v>
      </c>
      <c r="D4112" t="s">
        <v>78</v>
      </c>
      <c r="E4112" t="s">
        <v>24</v>
      </c>
      <c r="F4112" t="s">
        <v>243</v>
      </c>
      <c r="G4112">
        <v>10</v>
      </c>
      <c r="H4112" t="s">
        <v>194</v>
      </c>
      <c r="I4112" t="s">
        <v>700</v>
      </c>
      <c r="J4112" t="s">
        <v>1282</v>
      </c>
      <c r="K4112" t="s">
        <v>9062</v>
      </c>
      <c r="R4112">
        <v>48</v>
      </c>
      <c r="S4112">
        <v>107.43</v>
      </c>
    </row>
    <row r="4113" spans="1:19" x14ac:dyDescent="0.25">
      <c r="A4113" t="s">
        <v>9063</v>
      </c>
      <c r="B4113" s="1">
        <v>45084</v>
      </c>
      <c r="C4113" t="s">
        <v>2307</v>
      </c>
      <c r="D4113" t="s">
        <v>78</v>
      </c>
      <c r="E4113" t="s">
        <v>24</v>
      </c>
      <c r="F4113" t="s">
        <v>237</v>
      </c>
      <c r="G4113">
        <v>10</v>
      </c>
      <c r="H4113" t="s">
        <v>464</v>
      </c>
      <c r="I4113" t="s">
        <v>579</v>
      </c>
      <c r="J4113" t="s">
        <v>914</v>
      </c>
      <c r="K4113" t="s">
        <v>9064</v>
      </c>
    </row>
    <row r="4114" spans="1:19" x14ac:dyDescent="0.25">
      <c r="A4114" t="s">
        <v>9093</v>
      </c>
      <c r="B4114" s="1">
        <v>45091</v>
      </c>
      <c r="C4114" t="s">
        <v>841</v>
      </c>
      <c r="D4114" t="s">
        <v>78</v>
      </c>
      <c r="E4114" t="s">
        <v>24</v>
      </c>
      <c r="F4114" t="s">
        <v>215</v>
      </c>
      <c r="G4114">
        <v>10</v>
      </c>
      <c r="H4114" t="s">
        <v>464</v>
      </c>
      <c r="I4114" t="s">
        <v>943</v>
      </c>
      <c r="J4114" t="s">
        <v>944</v>
      </c>
      <c r="K4114" t="s">
        <v>9094</v>
      </c>
    </row>
    <row r="4115" spans="1:19" x14ac:dyDescent="0.25">
      <c r="A4115" t="s">
        <v>9121</v>
      </c>
      <c r="B4115" s="1">
        <v>45098</v>
      </c>
      <c r="C4115" t="s">
        <v>569</v>
      </c>
      <c r="D4115" t="s">
        <v>78</v>
      </c>
      <c r="E4115" t="s">
        <v>24</v>
      </c>
      <c r="F4115" t="s">
        <v>237</v>
      </c>
      <c r="G4115">
        <v>30</v>
      </c>
      <c r="H4115" t="s">
        <v>188</v>
      </c>
      <c r="I4115" t="s">
        <v>238</v>
      </c>
      <c r="J4115" t="s">
        <v>8360</v>
      </c>
      <c r="K4115" t="s">
        <v>9122</v>
      </c>
      <c r="R4115">
        <v>99</v>
      </c>
    </row>
    <row r="4116" spans="1:19" x14ac:dyDescent="0.25">
      <c r="A4116" t="s">
        <v>9123</v>
      </c>
      <c r="B4116" s="1">
        <v>45098</v>
      </c>
      <c r="C4116" t="s">
        <v>3122</v>
      </c>
      <c r="D4116" t="s">
        <v>78</v>
      </c>
      <c r="E4116" t="s">
        <v>24</v>
      </c>
      <c r="F4116" t="s">
        <v>335</v>
      </c>
      <c r="G4116">
        <v>45</v>
      </c>
      <c r="H4116" t="s">
        <v>26</v>
      </c>
      <c r="I4116" t="s">
        <v>370</v>
      </c>
      <c r="J4116" t="s">
        <v>4416</v>
      </c>
      <c r="K4116" t="s">
        <v>9060</v>
      </c>
      <c r="L4116">
        <v>307</v>
      </c>
      <c r="M4116">
        <v>114</v>
      </c>
      <c r="N4116" s="2">
        <v>0.39</v>
      </c>
      <c r="O4116">
        <v>84</v>
      </c>
      <c r="P4116">
        <v>16.98</v>
      </c>
      <c r="Q4116">
        <v>12.73</v>
      </c>
      <c r="R4116">
        <v>466</v>
      </c>
      <c r="S4116">
        <v>155.11000000000001</v>
      </c>
    </row>
    <row r="4117" spans="1:19" x14ac:dyDescent="0.25">
      <c r="A4117" t="s">
        <v>9124</v>
      </c>
      <c r="B4117" s="1">
        <v>45098</v>
      </c>
      <c r="C4117" t="s">
        <v>2137</v>
      </c>
      <c r="D4117" t="s">
        <v>78</v>
      </c>
      <c r="E4117" t="s">
        <v>24</v>
      </c>
      <c r="F4117" t="s">
        <v>2833</v>
      </c>
      <c r="G4117">
        <v>5</v>
      </c>
      <c r="H4117" t="s">
        <v>49</v>
      </c>
      <c r="I4117" t="s">
        <v>50</v>
      </c>
      <c r="J4117" t="s">
        <v>51</v>
      </c>
      <c r="K4117" t="s">
        <v>9125</v>
      </c>
      <c r="R4117">
        <v>32</v>
      </c>
      <c r="S4117">
        <v>121.38</v>
      </c>
    </row>
    <row r="4118" spans="1:19" x14ac:dyDescent="0.25">
      <c r="A4118" t="s">
        <v>9126</v>
      </c>
      <c r="B4118" s="1">
        <v>45098</v>
      </c>
      <c r="C4118" t="s">
        <v>4369</v>
      </c>
      <c r="D4118" t="s">
        <v>78</v>
      </c>
      <c r="E4118" t="s">
        <v>24</v>
      </c>
      <c r="F4118" t="s">
        <v>208</v>
      </c>
      <c r="G4118">
        <v>10</v>
      </c>
      <c r="H4118" t="s">
        <v>464</v>
      </c>
      <c r="I4118" t="s">
        <v>579</v>
      </c>
      <c r="J4118" t="s">
        <v>1820</v>
      </c>
      <c r="K4118" t="s">
        <v>9127</v>
      </c>
    </row>
    <row r="4119" spans="1:19" x14ac:dyDescent="0.25">
      <c r="A4119" t="s">
        <v>9153</v>
      </c>
      <c r="B4119" s="1">
        <v>45105</v>
      </c>
      <c r="C4119" t="s">
        <v>2939</v>
      </c>
      <c r="D4119" t="s">
        <v>78</v>
      </c>
      <c r="E4119" t="s">
        <v>24</v>
      </c>
      <c r="F4119" t="s">
        <v>243</v>
      </c>
      <c r="G4119">
        <v>45</v>
      </c>
      <c r="H4119" t="s">
        <v>26</v>
      </c>
      <c r="I4119" t="s">
        <v>370</v>
      </c>
      <c r="J4119" t="s">
        <v>479</v>
      </c>
      <c r="K4119" t="s">
        <v>6371</v>
      </c>
      <c r="L4119">
        <v>292</v>
      </c>
      <c r="M4119">
        <v>108</v>
      </c>
      <c r="N4119" s="2">
        <v>0.37</v>
      </c>
      <c r="O4119">
        <v>83</v>
      </c>
      <c r="P4119">
        <v>16.3</v>
      </c>
      <c r="Q4119">
        <v>12.22</v>
      </c>
      <c r="R4119">
        <v>467</v>
      </c>
      <c r="S4119">
        <v>155.32</v>
      </c>
    </row>
    <row r="4120" spans="1:19" x14ac:dyDescent="0.25">
      <c r="A4120" t="s">
        <v>9154</v>
      </c>
      <c r="B4120" s="1">
        <v>45105</v>
      </c>
      <c r="C4120" t="s">
        <v>5359</v>
      </c>
      <c r="D4120" t="s">
        <v>78</v>
      </c>
      <c r="E4120" t="s">
        <v>24</v>
      </c>
      <c r="F4120" t="s">
        <v>768</v>
      </c>
      <c r="G4120">
        <v>10</v>
      </c>
      <c r="H4120" t="s">
        <v>194</v>
      </c>
      <c r="I4120" t="s">
        <v>700</v>
      </c>
      <c r="J4120" t="s">
        <v>1282</v>
      </c>
      <c r="K4120" t="s">
        <v>9155</v>
      </c>
      <c r="R4120">
        <v>47</v>
      </c>
    </row>
    <row r="4121" spans="1:19" x14ac:dyDescent="0.25">
      <c r="A4121" t="s">
        <v>9156</v>
      </c>
      <c r="B4121" s="1">
        <v>45105</v>
      </c>
      <c r="C4121" t="s">
        <v>807</v>
      </c>
      <c r="D4121" t="s">
        <v>78</v>
      </c>
      <c r="E4121" t="s">
        <v>24</v>
      </c>
      <c r="F4121" t="s">
        <v>2256</v>
      </c>
      <c r="G4121">
        <v>10</v>
      </c>
      <c r="H4121" t="s">
        <v>194</v>
      </c>
      <c r="I4121" t="s">
        <v>195</v>
      </c>
      <c r="J4121" t="s">
        <v>5762</v>
      </c>
      <c r="K4121" t="s">
        <v>9157</v>
      </c>
      <c r="R4121">
        <v>61</v>
      </c>
      <c r="S4121">
        <v>115.69</v>
      </c>
    </row>
    <row r="4122" spans="1:19" x14ac:dyDescent="0.25">
      <c r="A4122" t="s">
        <v>9158</v>
      </c>
      <c r="B4122" s="1">
        <v>45105</v>
      </c>
      <c r="C4122" t="s">
        <v>649</v>
      </c>
      <c r="D4122" t="s">
        <v>78</v>
      </c>
      <c r="E4122" t="s">
        <v>24</v>
      </c>
      <c r="F4122" t="s">
        <v>243</v>
      </c>
      <c r="G4122">
        <v>45</v>
      </c>
      <c r="H4122" t="s">
        <v>188</v>
      </c>
      <c r="I4122" t="s">
        <v>189</v>
      </c>
      <c r="J4122" t="s">
        <v>244</v>
      </c>
      <c r="K4122" t="s">
        <v>9159</v>
      </c>
      <c r="R4122">
        <v>193</v>
      </c>
      <c r="S4122">
        <v>99.98</v>
      </c>
    </row>
    <row r="4123" spans="1:19" x14ac:dyDescent="0.25">
      <c r="A4123" t="s">
        <v>9160</v>
      </c>
      <c r="B4123" s="1">
        <v>45105</v>
      </c>
      <c r="C4123" t="s">
        <v>2415</v>
      </c>
      <c r="D4123" t="s">
        <v>78</v>
      </c>
      <c r="E4123" t="s">
        <v>24</v>
      </c>
      <c r="F4123" t="s">
        <v>200</v>
      </c>
      <c r="G4123">
        <v>10</v>
      </c>
      <c r="H4123" t="s">
        <v>464</v>
      </c>
      <c r="I4123" t="s">
        <v>579</v>
      </c>
      <c r="J4123" t="s">
        <v>986</v>
      </c>
      <c r="K4123" t="s">
        <v>9161</v>
      </c>
    </row>
    <row r="4124" spans="1:19" x14ac:dyDescent="0.25">
      <c r="A4124" t="s">
        <v>9208</v>
      </c>
      <c r="B4124" s="1">
        <v>45112</v>
      </c>
      <c r="C4124" t="s">
        <v>1658</v>
      </c>
      <c r="D4124" t="s">
        <v>78</v>
      </c>
      <c r="E4124" t="s">
        <v>24</v>
      </c>
      <c r="F4124" t="s">
        <v>215</v>
      </c>
      <c r="G4124">
        <v>10</v>
      </c>
      <c r="H4124" t="s">
        <v>464</v>
      </c>
      <c r="I4124" t="s">
        <v>579</v>
      </c>
      <c r="J4124" t="s">
        <v>602</v>
      </c>
      <c r="K4124" t="s">
        <v>9209</v>
      </c>
    </row>
    <row r="4125" spans="1:19" x14ac:dyDescent="0.25">
      <c r="A4125" t="s">
        <v>9257</v>
      </c>
      <c r="B4125" s="1">
        <v>45119</v>
      </c>
      <c r="C4125" t="s">
        <v>3509</v>
      </c>
      <c r="D4125" t="s">
        <v>78</v>
      </c>
      <c r="G4125">
        <v>40</v>
      </c>
      <c r="H4125" t="s">
        <v>1856</v>
      </c>
      <c r="J4125" t="s">
        <v>9258</v>
      </c>
      <c r="L4125">
        <v>0</v>
      </c>
      <c r="P4125">
        <v>3.11</v>
      </c>
      <c r="Q4125">
        <v>1.95</v>
      </c>
      <c r="R4125">
        <v>284</v>
      </c>
      <c r="S4125">
        <v>126.55</v>
      </c>
    </row>
    <row r="4126" spans="1:19" x14ac:dyDescent="0.25">
      <c r="A4126" t="s">
        <v>9259</v>
      </c>
      <c r="B4126" s="1">
        <v>45119</v>
      </c>
      <c r="C4126" t="s">
        <v>9260</v>
      </c>
      <c r="D4126" t="s">
        <v>78</v>
      </c>
      <c r="E4126" t="s">
        <v>24</v>
      </c>
      <c r="F4126" t="s">
        <v>323</v>
      </c>
      <c r="G4126">
        <v>45</v>
      </c>
      <c r="H4126" t="s">
        <v>26</v>
      </c>
      <c r="I4126" t="s">
        <v>370</v>
      </c>
      <c r="J4126" t="s">
        <v>439</v>
      </c>
      <c r="K4126" t="s">
        <v>9261</v>
      </c>
      <c r="L4126">
        <v>312</v>
      </c>
      <c r="M4126">
        <v>115</v>
      </c>
      <c r="N4126" s="2">
        <v>0.39</v>
      </c>
      <c r="O4126">
        <v>84</v>
      </c>
      <c r="P4126">
        <v>17.09</v>
      </c>
      <c r="Q4126">
        <v>12.82</v>
      </c>
      <c r="R4126">
        <v>438</v>
      </c>
      <c r="S4126">
        <v>149.59</v>
      </c>
    </row>
    <row r="4127" spans="1:19" x14ac:dyDescent="0.25">
      <c r="A4127" t="s">
        <v>9262</v>
      </c>
      <c r="B4127" s="1">
        <v>45119</v>
      </c>
      <c r="C4127" t="s">
        <v>9263</v>
      </c>
      <c r="D4127" t="s">
        <v>78</v>
      </c>
      <c r="E4127" t="s">
        <v>24</v>
      </c>
      <c r="F4127" t="s">
        <v>490</v>
      </c>
      <c r="G4127">
        <v>5</v>
      </c>
      <c r="H4127" t="s">
        <v>26</v>
      </c>
      <c r="I4127" t="s">
        <v>358</v>
      </c>
      <c r="J4127" t="s">
        <v>359</v>
      </c>
      <c r="K4127" t="s">
        <v>9264</v>
      </c>
      <c r="L4127">
        <v>19</v>
      </c>
      <c r="M4127">
        <v>64</v>
      </c>
      <c r="N4127" s="2">
        <v>0.3</v>
      </c>
      <c r="O4127">
        <v>84</v>
      </c>
      <c r="P4127">
        <v>13.34</v>
      </c>
      <c r="Q4127">
        <v>1.1100000000000001</v>
      </c>
      <c r="R4127">
        <v>34</v>
      </c>
      <c r="S4127">
        <v>124.41</v>
      </c>
    </row>
    <row r="4128" spans="1:19" x14ac:dyDescent="0.25">
      <c r="A4128" t="s">
        <v>9265</v>
      </c>
      <c r="B4128" s="1">
        <v>45119</v>
      </c>
      <c r="C4128" t="s">
        <v>9266</v>
      </c>
      <c r="D4128" t="s">
        <v>78</v>
      </c>
      <c r="E4128" t="s">
        <v>24</v>
      </c>
      <c r="F4128" t="s">
        <v>490</v>
      </c>
      <c r="G4128">
        <v>5</v>
      </c>
      <c r="H4128" t="s">
        <v>49</v>
      </c>
      <c r="I4128" t="s">
        <v>50</v>
      </c>
      <c r="J4128" t="s">
        <v>51</v>
      </c>
      <c r="K4128" t="s">
        <v>9267</v>
      </c>
      <c r="R4128">
        <v>18</v>
      </c>
      <c r="S4128">
        <v>96.2</v>
      </c>
    </row>
    <row r="4129" spans="1:19" x14ac:dyDescent="0.25">
      <c r="A4129" t="s">
        <v>9268</v>
      </c>
      <c r="B4129" s="1">
        <v>45119</v>
      </c>
      <c r="C4129" t="s">
        <v>6363</v>
      </c>
      <c r="D4129" t="s">
        <v>78</v>
      </c>
      <c r="E4129" t="s">
        <v>24</v>
      </c>
      <c r="F4129" t="s">
        <v>215</v>
      </c>
      <c r="G4129">
        <v>15</v>
      </c>
      <c r="H4129" t="s">
        <v>464</v>
      </c>
      <c r="I4129" t="s">
        <v>1571</v>
      </c>
      <c r="J4129" t="s">
        <v>9172</v>
      </c>
      <c r="K4129" t="s">
        <v>9269</v>
      </c>
    </row>
    <row r="4130" spans="1:19" x14ac:dyDescent="0.25">
      <c r="A4130" t="s">
        <v>9310</v>
      </c>
      <c r="B4130" s="1">
        <v>45126</v>
      </c>
      <c r="C4130" t="s">
        <v>7186</v>
      </c>
      <c r="D4130" t="s">
        <v>78</v>
      </c>
      <c r="G4130">
        <v>40</v>
      </c>
      <c r="H4130" t="s">
        <v>1856</v>
      </c>
      <c r="J4130" t="s">
        <v>9311</v>
      </c>
      <c r="L4130">
        <v>0</v>
      </c>
      <c r="P4130">
        <v>3.19</v>
      </c>
      <c r="Q4130">
        <v>2.06</v>
      </c>
      <c r="R4130">
        <v>275</v>
      </c>
      <c r="S4130">
        <v>123.99</v>
      </c>
    </row>
    <row r="4131" spans="1:19" x14ac:dyDescent="0.25">
      <c r="A4131" t="s">
        <v>9312</v>
      </c>
      <c r="B4131" s="1">
        <v>45126</v>
      </c>
      <c r="C4131" t="s">
        <v>9313</v>
      </c>
      <c r="D4131" t="s">
        <v>78</v>
      </c>
      <c r="E4131" t="s">
        <v>24</v>
      </c>
      <c r="F4131" t="s">
        <v>2256</v>
      </c>
      <c r="G4131">
        <v>15</v>
      </c>
      <c r="H4131" t="s">
        <v>194</v>
      </c>
      <c r="I4131" t="s">
        <v>195</v>
      </c>
      <c r="J4131" t="s">
        <v>6498</v>
      </c>
      <c r="K4131" t="s">
        <v>9314</v>
      </c>
      <c r="R4131">
        <v>68</v>
      </c>
      <c r="S4131">
        <v>103.79</v>
      </c>
    </row>
    <row r="4132" spans="1:19" x14ac:dyDescent="0.25">
      <c r="A4132" t="s">
        <v>9315</v>
      </c>
      <c r="B4132" s="1">
        <v>45126</v>
      </c>
      <c r="C4132" t="s">
        <v>6370</v>
      </c>
      <c r="D4132" t="s">
        <v>78</v>
      </c>
      <c r="E4132" t="s">
        <v>24</v>
      </c>
      <c r="F4132" t="s">
        <v>323</v>
      </c>
      <c r="G4132">
        <v>45</v>
      </c>
      <c r="H4132" t="s">
        <v>26</v>
      </c>
      <c r="I4132" t="s">
        <v>370</v>
      </c>
      <c r="J4132" t="s">
        <v>479</v>
      </c>
      <c r="K4132" t="s">
        <v>9316</v>
      </c>
      <c r="L4132">
        <v>330</v>
      </c>
      <c r="M4132">
        <v>125</v>
      </c>
      <c r="N4132" s="2">
        <v>0.4</v>
      </c>
      <c r="O4132">
        <v>83</v>
      </c>
      <c r="P4132">
        <v>17.36</v>
      </c>
      <c r="Q4132">
        <v>12.79</v>
      </c>
      <c r="R4132">
        <v>423</v>
      </c>
      <c r="S4132">
        <v>154</v>
      </c>
    </row>
    <row r="4133" spans="1:19" x14ac:dyDescent="0.25">
      <c r="A4133" t="s">
        <v>9317</v>
      </c>
      <c r="B4133" s="1">
        <v>45126</v>
      </c>
      <c r="C4133" t="s">
        <v>6967</v>
      </c>
      <c r="D4133" t="s">
        <v>78</v>
      </c>
      <c r="E4133" t="s">
        <v>24</v>
      </c>
      <c r="F4133" t="s">
        <v>243</v>
      </c>
      <c r="G4133">
        <v>5</v>
      </c>
      <c r="H4133" t="s">
        <v>26</v>
      </c>
      <c r="I4133" t="s">
        <v>358</v>
      </c>
      <c r="J4133" t="s">
        <v>359</v>
      </c>
      <c r="K4133" t="s">
        <v>9318</v>
      </c>
      <c r="L4133">
        <v>17</v>
      </c>
      <c r="M4133">
        <v>58</v>
      </c>
      <c r="N4133" s="2">
        <v>0.28999999999999998</v>
      </c>
      <c r="O4133">
        <v>85</v>
      </c>
      <c r="P4133">
        <v>12.65</v>
      </c>
      <c r="Q4133">
        <v>1.05</v>
      </c>
      <c r="R4133">
        <v>33</v>
      </c>
      <c r="S4133">
        <v>127.52</v>
      </c>
    </row>
    <row r="4134" spans="1:19" x14ac:dyDescent="0.25">
      <c r="A4134" t="s">
        <v>9319</v>
      </c>
      <c r="B4134" s="1">
        <v>45126</v>
      </c>
      <c r="C4134" t="s">
        <v>6962</v>
      </c>
      <c r="D4134" t="s">
        <v>78</v>
      </c>
      <c r="E4134" t="s">
        <v>24</v>
      </c>
      <c r="F4134" t="s">
        <v>768</v>
      </c>
      <c r="G4134">
        <v>10</v>
      </c>
      <c r="H4134" t="s">
        <v>194</v>
      </c>
      <c r="I4134" t="s">
        <v>700</v>
      </c>
      <c r="J4134" t="s">
        <v>1282</v>
      </c>
      <c r="K4134" t="s">
        <v>9320</v>
      </c>
      <c r="R4134">
        <v>51</v>
      </c>
      <c r="S4134">
        <v>108.76</v>
      </c>
    </row>
    <row r="4135" spans="1:19" x14ac:dyDescent="0.25">
      <c r="A4135" t="s">
        <v>9321</v>
      </c>
      <c r="B4135" s="1">
        <v>45126</v>
      </c>
      <c r="C4135" t="s">
        <v>48</v>
      </c>
      <c r="D4135" t="s">
        <v>78</v>
      </c>
      <c r="E4135" t="s">
        <v>24</v>
      </c>
      <c r="F4135" t="s">
        <v>200</v>
      </c>
      <c r="G4135">
        <v>30</v>
      </c>
      <c r="H4135" t="s">
        <v>188</v>
      </c>
      <c r="I4135" t="s">
        <v>189</v>
      </c>
      <c r="J4135" t="s">
        <v>3951</v>
      </c>
      <c r="K4135" t="s">
        <v>9322</v>
      </c>
      <c r="S4135">
        <v>92.49</v>
      </c>
    </row>
    <row r="4136" spans="1:19" x14ac:dyDescent="0.25">
      <c r="A4136" t="s">
        <v>9367</v>
      </c>
      <c r="B4136" s="1">
        <v>45133</v>
      </c>
      <c r="C4136" t="s">
        <v>9368</v>
      </c>
      <c r="D4136" t="s">
        <v>78</v>
      </c>
      <c r="E4136" t="s">
        <v>24</v>
      </c>
      <c r="F4136" t="s">
        <v>208</v>
      </c>
      <c r="G4136">
        <v>30</v>
      </c>
      <c r="H4136" t="s">
        <v>464</v>
      </c>
      <c r="I4136" t="s">
        <v>943</v>
      </c>
      <c r="J4136" t="s">
        <v>1621</v>
      </c>
      <c r="K4136" t="s">
        <v>9369</v>
      </c>
    </row>
    <row r="4137" spans="1:19" x14ac:dyDescent="0.25">
      <c r="A4137" t="s">
        <v>9442</v>
      </c>
      <c r="B4137" s="1">
        <v>45147</v>
      </c>
      <c r="C4137" t="s">
        <v>3489</v>
      </c>
      <c r="D4137" t="s">
        <v>78</v>
      </c>
      <c r="E4137" t="s">
        <v>24</v>
      </c>
      <c r="F4137" t="s">
        <v>2708</v>
      </c>
      <c r="G4137">
        <v>30</v>
      </c>
      <c r="H4137" t="s">
        <v>188</v>
      </c>
      <c r="I4137" t="s">
        <v>189</v>
      </c>
      <c r="J4137" t="s">
        <v>9443</v>
      </c>
      <c r="K4137" t="s">
        <v>9444</v>
      </c>
      <c r="R4137">
        <v>95</v>
      </c>
    </row>
    <row r="4138" spans="1:19" x14ac:dyDescent="0.25">
      <c r="A4138" t="s">
        <v>9445</v>
      </c>
      <c r="B4138" s="1">
        <v>45147</v>
      </c>
      <c r="C4138" t="s">
        <v>2941</v>
      </c>
      <c r="D4138" t="s">
        <v>78</v>
      </c>
      <c r="E4138" t="s">
        <v>24</v>
      </c>
      <c r="F4138" t="s">
        <v>243</v>
      </c>
      <c r="G4138">
        <v>45</v>
      </c>
      <c r="H4138" t="s">
        <v>26</v>
      </c>
      <c r="I4138" t="s">
        <v>370</v>
      </c>
      <c r="J4138" t="s">
        <v>439</v>
      </c>
      <c r="K4138" t="s">
        <v>9446</v>
      </c>
      <c r="L4138">
        <v>266</v>
      </c>
      <c r="M4138">
        <v>99</v>
      </c>
      <c r="N4138" s="2">
        <v>0.38</v>
      </c>
      <c r="O4138">
        <v>80</v>
      </c>
      <c r="P4138">
        <v>15.97</v>
      </c>
      <c r="Q4138">
        <v>11.98</v>
      </c>
      <c r="R4138">
        <v>358</v>
      </c>
      <c r="S4138">
        <v>134.26</v>
      </c>
    </row>
    <row r="4139" spans="1:19" x14ac:dyDescent="0.25">
      <c r="A4139" t="s">
        <v>9447</v>
      </c>
      <c r="B4139" s="1">
        <v>45147</v>
      </c>
      <c r="C4139" t="s">
        <v>1298</v>
      </c>
      <c r="D4139" t="s">
        <v>78</v>
      </c>
      <c r="E4139" t="s">
        <v>24</v>
      </c>
      <c r="F4139" t="s">
        <v>208</v>
      </c>
      <c r="G4139">
        <v>10</v>
      </c>
      <c r="H4139" t="s">
        <v>464</v>
      </c>
      <c r="I4139" t="s">
        <v>943</v>
      </c>
      <c r="J4139" t="s">
        <v>944</v>
      </c>
      <c r="K4139" t="s">
        <v>9448</v>
      </c>
    </row>
    <row r="4140" spans="1:19" x14ac:dyDescent="0.25">
      <c r="A4140" t="s">
        <v>9488</v>
      </c>
      <c r="B4140" s="1">
        <v>45154</v>
      </c>
      <c r="C4140" t="s">
        <v>659</v>
      </c>
      <c r="D4140" t="s">
        <v>78</v>
      </c>
      <c r="E4140" t="s">
        <v>24</v>
      </c>
      <c r="F4140" t="s">
        <v>237</v>
      </c>
      <c r="G4140">
        <v>30</v>
      </c>
      <c r="H4140" t="s">
        <v>188</v>
      </c>
      <c r="I4140" t="s">
        <v>189</v>
      </c>
      <c r="J4140" t="s">
        <v>9489</v>
      </c>
      <c r="K4140" t="s">
        <v>9490</v>
      </c>
      <c r="R4140">
        <v>100</v>
      </c>
    </row>
    <row r="4141" spans="1:19" x14ac:dyDescent="0.25">
      <c r="A4141" t="s">
        <v>9491</v>
      </c>
      <c r="B4141" s="1">
        <v>45154</v>
      </c>
      <c r="C4141" t="s">
        <v>9492</v>
      </c>
      <c r="D4141" t="s">
        <v>78</v>
      </c>
      <c r="E4141" t="s">
        <v>24</v>
      </c>
      <c r="F4141" t="s">
        <v>323</v>
      </c>
      <c r="G4141">
        <v>10</v>
      </c>
      <c r="H4141" t="s">
        <v>26</v>
      </c>
      <c r="I4141" t="s">
        <v>370</v>
      </c>
      <c r="J4141" t="s">
        <v>381</v>
      </c>
      <c r="K4141" t="s">
        <v>9493</v>
      </c>
      <c r="L4141">
        <v>64</v>
      </c>
      <c r="M4141">
        <v>106</v>
      </c>
      <c r="N4141" s="2">
        <v>0.35</v>
      </c>
      <c r="O4141">
        <v>91</v>
      </c>
      <c r="P4141">
        <v>16.23</v>
      </c>
      <c r="Q4141">
        <v>2.71</v>
      </c>
      <c r="R4141">
        <v>92</v>
      </c>
      <c r="S4141">
        <v>144.97</v>
      </c>
    </row>
    <row r="4142" spans="1:19" x14ac:dyDescent="0.25">
      <c r="A4142" t="s">
        <v>9494</v>
      </c>
      <c r="B4142" s="1">
        <v>45154</v>
      </c>
      <c r="C4142" t="s">
        <v>1683</v>
      </c>
      <c r="D4142" t="s">
        <v>78</v>
      </c>
      <c r="E4142" t="s">
        <v>24</v>
      </c>
      <c r="F4142" t="s">
        <v>323</v>
      </c>
      <c r="G4142">
        <v>20</v>
      </c>
      <c r="H4142" t="s">
        <v>26</v>
      </c>
      <c r="I4142" t="s">
        <v>370</v>
      </c>
      <c r="J4142" t="s">
        <v>385</v>
      </c>
      <c r="K4142" t="s">
        <v>9493</v>
      </c>
      <c r="L4142">
        <v>206</v>
      </c>
      <c r="M4142">
        <v>172</v>
      </c>
      <c r="N4142" s="2">
        <v>0.47</v>
      </c>
      <c r="O4142">
        <v>81</v>
      </c>
      <c r="P4142">
        <v>20.14</v>
      </c>
      <c r="Q4142">
        <v>6.71</v>
      </c>
      <c r="R4142">
        <v>248</v>
      </c>
      <c r="S4142">
        <v>173.06</v>
      </c>
    </row>
    <row r="4143" spans="1:19" x14ac:dyDescent="0.25">
      <c r="A4143" t="s">
        <v>9495</v>
      </c>
      <c r="B4143" s="1">
        <v>45154</v>
      </c>
      <c r="C4143" t="s">
        <v>6447</v>
      </c>
      <c r="D4143" t="s">
        <v>78</v>
      </c>
      <c r="E4143" t="s">
        <v>24</v>
      </c>
      <c r="F4143" t="s">
        <v>323</v>
      </c>
      <c r="G4143">
        <v>30</v>
      </c>
      <c r="H4143" t="s">
        <v>26</v>
      </c>
      <c r="I4143" t="s">
        <v>39</v>
      </c>
      <c r="J4143" t="s">
        <v>407</v>
      </c>
      <c r="K4143" t="s">
        <v>7101</v>
      </c>
      <c r="L4143">
        <v>48</v>
      </c>
      <c r="M4143">
        <v>55</v>
      </c>
      <c r="N4143" s="2">
        <v>0.3</v>
      </c>
      <c r="O4143">
        <v>77</v>
      </c>
      <c r="P4143">
        <v>12.33</v>
      </c>
      <c r="Q4143">
        <v>3.01</v>
      </c>
      <c r="R4143">
        <v>130</v>
      </c>
      <c r="S4143">
        <v>141.6</v>
      </c>
    </row>
    <row r="4144" spans="1:19" x14ac:dyDescent="0.25">
      <c r="A4144" t="s">
        <v>9496</v>
      </c>
      <c r="B4144" s="1">
        <v>45154</v>
      </c>
      <c r="C4144" t="s">
        <v>3792</v>
      </c>
      <c r="D4144" t="s">
        <v>78</v>
      </c>
      <c r="E4144" t="s">
        <v>24</v>
      </c>
      <c r="F4144" t="s">
        <v>208</v>
      </c>
      <c r="G4144">
        <v>15</v>
      </c>
      <c r="H4144" t="s">
        <v>464</v>
      </c>
      <c r="I4144" t="s">
        <v>763</v>
      </c>
      <c r="J4144" t="s">
        <v>2926</v>
      </c>
      <c r="K4144" t="s">
        <v>8928</v>
      </c>
    </row>
    <row r="4145" spans="1:19" x14ac:dyDescent="0.25">
      <c r="A4145" t="s">
        <v>9552</v>
      </c>
      <c r="B4145" s="1">
        <v>45161</v>
      </c>
      <c r="C4145" t="s">
        <v>1740</v>
      </c>
      <c r="D4145" t="s">
        <v>78</v>
      </c>
      <c r="E4145" t="s">
        <v>24</v>
      </c>
      <c r="F4145" t="s">
        <v>2708</v>
      </c>
      <c r="G4145">
        <v>30</v>
      </c>
      <c r="H4145" t="s">
        <v>188</v>
      </c>
      <c r="I4145" t="s">
        <v>254</v>
      </c>
      <c r="J4145" t="s">
        <v>9553</v>
      </c>
      <c r="K4145" t="s">
        <v>9554</v>
      </c>
      <c r="R4145">
        <v>92</v>
      </c>
    </row>
    <row r="4146" spans="1:19" x14ac:dyDescent="0.25">
      <c r="A4146" t="s">
        <v>9555</v>
      </c>
      <c r="B4146" s="1">
        <v>45161</v>
      </c>
      <c r="C4146" t="s">
        <v>9556</v>
      </c>
      <c r="D4146" t="s">
        <v>78</v>
      </c>
      <c r="E4146" t="s">
        <v>24</v>
      </c>
      <c r="F4146" t="s">
        <v>323</v>
      </c>
      <c r="G4146">
        <v>60</v>
      </c>
      <c r="H4146" t="s">
        <v>26</v>
      </c>
      <c r="I4146" t="s">
        <v>370</v>
      </c>
      <c r="J4146" t="s">
        <v>498</v>
      </c>
      <c r="K4146" t="s">
        <v>9557</v>
      </c>
      <c r="L4146">
        <v>430</v>
      </c>
      <c r="M4146">
        <v>119</v>
      </c>
      <c r="N4146" s="2">
        <v>0.4</v>
      </c>
      <c r="O4146">
        <v>83</v>
      </c>
      <c r="P4146">
        <v>17.329999999999998</v>
      </c>
      <c r="Q4146">
        <v>17.329999999999998</v>
      </c>
      <c r="R4146">
        <v>601</v>
      </c>
      <c r="S4146">
        <v>151.94999999999999</v>
      </c>
    </row>
    <row r="4147" spans="1:19" x14ac:dyDescent="0.25">
      <c r="A4147" t="s">
        <v>9558</v>
      </c>
      <c r="B4147" s="1">
        <v>45161</v>
      </c>
      <c r="C4147" t="s">
        <v>9559</v>
      </c>
      <c r="D4147" t="s">
        <v>78</v>
      </c>
      <c r="E4147" t="s">
        <v>24</v>
      </c>
      <c r="F4147" t="s">
        <v>768</v>
      </c>
      <c r="G4147">
        <v>5</v>
      </c>
      <c r="H4147" t="s">
        <v>26</v>
      </c>
      <c r="I4147" t="s">
        <v>358</v>
      </c>
      <c r="J4147" t="s">
        <v>359</v>
      </c>
      <c r="K4147" t="s">
        <v>9560</v>
      </c>
      <c r="L4147">
        <v>14</v>
      </c>
      <c r="M4147">
        <v>48</v>
      </c>
      <c r="N4147" s="2">
        <v>0.28000000000000003</v>
      </c>
      <c r="O4147">
        <v>76</v>
      </c>
      <c r="P4147">
        <v>11.67</v>
      </c>
      <c r="Q4147">
        <v>0.97</v>
      </c>
      <c r="R4147">
        <v>30</v>
      </c>
      <c r="S4147">
        <v>117.53</v>
      </c>
    </row>
    <row r="4148" spans="1:19" x14ac:dyDescent="0.25">
      <c r="A4148" t="s">
        <v>9561</v>
      </c>
      <c r="B4148" s="1">
        <v>45161</v>
      </c>
      <c r="C4148" t="s">
        <v>9562</v>
      </c>
      <c r="D4148" t="s">
        <v>78</v>
      </c>
      <c r="E4148" t="s">
        <v>24</v>
      </c>
      <c r="F4148" t="s">
        <v>180</v>
      </c>
      <c r="G4148">
        <v>10</v>
      </c>
      <c r="H4148" t="s">
        <v>194</v>
      </c>
      <c r="I4148" t="s">
        <v>700</v>
      </c>
      <c r="J4148" t="s">
        <v>1282</v>
      </c>
      <c r="K4148" t="s">
        <v>9563</v>
      </c>
      <c r="R4148">
        <v>51</v>
      </c>
      <c r="S4148">
        <v>109.67</v>
      </c>
    </row>
    <row r="4149" spans="1:19" x14ac:dyDescent="0.25">
      <c r="A4149" t="s">
        <v>9564</v>
      </c>
      <c r="B4149" s="1">
        <v>45161</v>
      </c>
      <c r="C4149" t="s">
        <v>9565</v>
      </c>
      <c r="D4149" t="s">
        <v>78</v>
      </c>
      <c r="E4149" t="s">
        <v>24</v>
      </c>
      <c r="F4149" t="s">
        <v>590</v>
      </c>
      <c r="G4149">
        <v>5</v>
      </c>
      <c r="H4149" t="s">
        <v>49</v>
      </c>
      <c r="I4149" t="s">
        <v>50</v>
      </c>
      <c r="J4149" t="s">
        <v>51</v>
      </c>
      <c r="K4149" t="s">
        <v>9566</v>
      </c>
      <c r="R4149">
        <v>19</v>
      </c>
      <c r="S4149">
        <v>96.99</v>
      </c>
    </row>
    <row r="4150" spans="1:19" x14ac:dyDescent="0.25">
      <c r="A4150" t="s">
        <v>9567</v>
      </c>
      <c r="B4150" s="1">
        <v>45161</v>
      </c>
      <c r="C4150" t="s">
        <v>1476</v>
      </c>
      <c r="D4150" t="s">
        <v>78</v>
      </c>
      <c r="E4150" t="s">
        <v>24</v>
      </c>
      <c r="F4150" t="s">
        <v>208</v>
      </c>
      <c r="G4150">
        <v>15</v>
      </c>
      <c r="H4150" t="s">
        <v>464</v>
      </c>
      <c r="I4150" t="s">
        <v>1617</v>
      </c>
      <c r="J4150" t="s">
        <v>2866</v>
      </c>
      <c r="K4150" t="s">
        <v>9568</v>
      </c>
    </row>
    <row r="4151" spans="1:19" x14ac:dyDescent="0.25">
      <c r="A4151" t="s">
        <v>9601</v>
      </c>
      <c r="B4151" s="1">
        <v>45168</v>
      </c>
      <c r="C4151" t="s">
        <v>1662</v>
      </c>
      <c r="D4151" t="s">
        <v>78</v>
      </c>
      <c r="E4151" t="s">
        <v>24</v>
      </c>
      <c r="F4151" t="s">
        <v>305</v>
      </c>
      <c r="G4151">
        <v>30</v>
      </c>
      <c r="H4151" t="s">
        <v>194</v>
      </c>
      <c r="I4151" t="s">
        <v>232</v>
      </c>
      <c r="J4151" t="s">
        <v>9602</v>
      </c>
      <c r="K4151" t="s">
        <v>9603</v>
      </c>
      <c r="R4151">
        <v>141</v>
      </c>
    </row>
    <row r="4152" spans="1:19" x14ac:dyDescent="0.25">
      <c r="A4152" t="s">
        <v>9604</v>
      </c>
      <c r="B4152" s="1">
        <v>45168</v>
      </c>
      <c r="C4152" t="s">
        <v>9605</v>
      </c>
      <c r="D4152" t="s">
        <v>78</v>
      </c>
      <c r="E4152" t="s">
        <v>24</v>
      </c>
      <c r="F4152" t="s">
        <v>180</v>
      </c>
      <c r="G4152">
        <v>10</v>
      </c>
      <c r="H4152" t="s">
        <v>194</v>
      </c>
      <c r="I4152" t="s">
        <v>195</v>
      </c>
      <c r="J4152" t="s">
        <v>211</v>
      </c>
      <c r="K4152" t="s">
        <v>9606</v>
      </c>
      <c r="R4152">
        <v>50</v>
      </c>
      <c r="S4152">
        <v>107.83</v>
      </c>
    </row>
    <row r="4153" spans="1:19" x14ac:dyDescent="0.25">
      <c r="A4153" t="s">
        <v>9607</v>
      </c>
      <c r="B4153" s="1">
        <v>45168</v>
      </c>
      <c r="C4153" t="s">
        <v>9608</v>
      </c>
      <c r="D4153" t="s">
        <v>78</v>
      </c>
      <c r="E4153" t="s">
        <v>24</v>
      </c>
      <c r="F4153" t="s">
        <v>297</v>
      </c>
      <c r="G4153">
        <v>10</v>
      </c>
      <c r="H4153" t="s">
        <v>49</v>
      </c>
      <c r="I4153" t="s">
        <v>298</v>
      </c>
      <c r="J4153" t="s">
        <v>315</v>
      </c>
      <c r="K4153" t="s">
        <v>9609</v>
      </c>
      <c r="R4153">
        <v>27</v>
      </c>
      <c r="S4153">
        <v>86.64</v>
      </c>
    </row>
    <row r="4154" spans="1:19" x14ac:dyDescent="0.25">
      <c r="A4154" t="s">
        <v>9610</v>
      </c>
      <c r="B4154" s="1">
        <v>45168</v>
      </c>
      <c r="C4154" t="s">
        <v>3533</v>
      </c>
      <c r="D4154" t="s">
        <v>78</v>
      </c>
      <c r="E4154" t="s">
        <v>24</v>
      </c>
      <c r="F4154" t="s">
        <v>237</v>
      </c>
      <c r="G4154">
        <v>15</v>
      </c>
      <c r="H4154" t="s">
        <v>464</v>
      </c>
      <c r="I4154" t="s">
        <v>1617</v>
      </c>
      <c r="J4154" t="s">
        <v>2838</v>
      </c>
      <c r="K4154" t="s">
        <v>9611</v>
      </c>
    </row>
    <row r="4155" spans="1:19" x14ac:dyDescent="0.25">
      <c r="A4155" t="s">
        <v>9663</v>
      </c>
      <c r="B4155" s="1">
        <v>45175</v>
      </c>
      <c r="C4155" t="s">
        <v>2071</v>
      </c>
      <c r="D4155" t="s">
        <v>78</v>
      </c>
      <c r="E4155" t="s">
        <v>24</v>
      </c>
      <c r="F4155" t="s">
        <v>215</v>
      </c>
      <c r="G4155">
        <v>30</v>
      </c>
      <c r="H4155" t="s">
        <v>464</v>
      </c>
      <c r="I4155" t="s">
        <v>943</v>
      </c>
      <c r="J4155" t="s">
        <v>1621</v>
      </c>
      <c r="K4155" t="s">
        <v>1681</v>
      </c>
    </row>
    <row r="4156" spans="1:19" x14ac:dyDescent="0.25">
      <c r="A4156" t="s">
        <v>9724</v>
      </c>
      <c r="B4156" s="1">
        <v>45182</v>
      </c>
      <c r="C4156" t="s">
        <v>3604</v>
      </c>
      <c r="D4156" t="s">
        <v>78</v>
      </c>
      <c r="E4156" t="s">
        <v>24</v>
      </c>
      <c r="F4156" t="s">
        <v>200</v>
      </c>
      <c r="G4156">
        <v>30</v>
      </c>
      <c r="H4156" t="s">
        <v>188</v>
      </c>
      <c r="I4156" t="s">
        <v>189</v>
      </c>
      <c r="J4156" t="s">
        <v>201</v>
      </c>
      <c r="K4156" t="s">
        <v>9725</v>
      </c>
      <c r="R4156">
        <v>98</v>
      </c>
    </row>
    <row r="4157" spans="1:19" x14ac:dyDescent="0.25">
      <c r="A4157" t="s">
        <v>9726</v>
      </c>
      <c r="B4157" s="1">
        <v>45182</v>
      </c>
      <c r="C4157" t="s">
        <v>8698</v>
      </c>
      <c r="D4157" t="s">
        <v>78</v>
      </c>
      <c r="E4157" t="s">
        <v>24</v>
      </c>
      <c r="F4157" t="s">
        <v>305</v>
      </c>
      <c r="G4157">
        <v>30</v>
      </c>
      <c r="H4157" t="s">
        <v>194</v>
      </c>
      <c r="I4157" t="s">
        <v>232</v>
      </c>
      <c r="J4157" t="s">
        <v>9727</v>
      </c>
      <c r="K4157" t="s">
        <v>9728</v>
      </c>
      <c r="R4157">
        <v>212</v>
      </c>
      <c r="S4157">
        <v>149.78</v>
      </c>
    </row>
    <row r="4158" spans="1:19" x14ac:dyDescent="0.25">
      <c r="A4158" t="s">
        <v>9729</v>
      </c>
      <c r="B4158" s="1">
        <v>45182</v>
      </c>
      <c r="C4158" t="s">
        <v>2943</v>
      </c>
      <c r="D4158" t="s">
        <v>78</v>
      </c>
      <c r="E4158" t="s">
        <v>24</v>
      </c>
      <c r="F4158" t="s">
        <v>7754</v>
      </c>
      <c r="G4158">
        <v>30</v>
      </c>
      <c r="H4158" t="s">
        <v>7562</v>
      </c>
      <c r="I4158" t="s">
        <v>7989</v>
      </c>
      <c r="J4158" t="s">
        <v>7990</v>
      </c>
      <c r="K4158" t="s">
        <v>9730</v>
      </c>
      <c r="L4158">
        <v>108</v>
      </c>
      <c r="P4158">
        <v>2.67</v>
      </c>
      <c r="Q4158">
        <v>2.99</v>
      </c>
      <c r="R4158">
        <v>275</v>
      </c>
      <c r="S4158">
        <v>142.81</v>
      </c>
    </row>
    <row r="4159" spans="1:19" x14ac:dyDescent="0.25">
      <c r="A4159" t="s">
        <v>9731</v>
      </c>
      <c r="B4159" s="1">
        <v>45182</v>
      </c>
      <c r="C4159" t="s">
        <v>6560</v>
      </c>
      <c r="D4159" t="s">
        <v>78</v>
      </c>
      <c r="E4159" t="s">
        <v>24</v>
      </c>
      <c r="F4159" t="s">
        <v>237</v>
      </c>
      <c r="G4159">
        <v>10</v>
      </c>
      <c r="H4159" t="s">
        <v>464</v>
      </c>
      <c r="I4159" t="s">
        <v>579</v>
      </c>
      <c r="J4159" t="s">
        <v>580</v>
      </c>
      <c r="K4159" t="s">
        <v>9732</v>
      </c>
    </row>
    <row r="4160" spans="1:19" x14ac:dyDescent="0.25">
      <c r="A4160" t="s">
        <v>9753</v>
      </c>
      <c r="B4160" s="1">
        <v>45189</v>
      </c>
      <c r="C4160" t="s">
        <v>6709</v>
      </c>
      <c r="D4160" t="s">
        <v>78</v>
      </c>
      <c r="E4160" t="s">
        <v>24</v>
      </c>
      <c r="F4160" t="s">
        <v>323</v>
      </c>
      <c r="G4160">
        <v>45</v>
      </c>
      <c r="H4160" t="s">
        <v>26</v>
      </c>
      <c r="I4160" t="s">
        <v>370</v>
      </c>
      <c r="J4160" t="s">
        <v>479</v>
      </c>
      <c r="K4160" t="s">
        <v>9754</v>
      </c>
      <c r="L4160">
        <v>295</v>
      </c>
      <c r="M4160">
        <v>109</v>
      </c>
      <c r="N4160" s="2">
        <v>0.36</v>
      </c>
      <c r="O4160">
        <v>86</v>
      </c>
      <c r="P4160">
        <v>16.27</v>
      </c>
      <c r="Q4160">
        <v>12.2</v>
      </c>
      <c r="R4160">
        <v>538</v>
      </c>
      <c r="S4160">
        <v>168.98</v>
      </c>
    </row>
    <row r="4161" spans="1:21" x14ac:dyDescent="0.25">
      <c r="A4161" t="s">
        <v>9755</v>
      </c>
      <c r="B4161" s="1">
        <v>45189</v>
      </c>
      <c r="C4161" t="s">
        <v>7174</v>
      </c>
      <c r="D4161" t="s">
        <v>78</v>
      </c>
      <c r="E4161" t="s">
        <v>24</v>
      </c>
      <c r="F4161" t="s">
        <v>243</v>
      </c>
      <c r="G4161">
        <v>15</v>
      </c>
      <c r="H4161" t="s">
        <v>26</v>
      </c>
      <c r="I4161" t="s">
        <v>39</v>
      </c>
      <c r="J4161" t="s">
        <v>366</v>
      </c>
      <c r="K4161" t="s">
        <v>9756</v>
      </c>
      <c r="L4161">
        <v>61</v>
      </c>
      <c r="M4161">
        <v>68</v>
      </c>
      <c r="N4161" s="2">
        <v>0.34</v>
      </c>
      <c r="O4161">
        <v>77</v>
      </c>
      <c r="P4161">
        <v>13.76</v>
      </c>
      <c r="Q4161">
        <v>3.44</v>
      </c>
      <c r="R4161">
        <v>138</v>
      </c>
      <c r="S4161">
        <v>144.96</v>
      </c>
    </row>
    <row r="4162" spans="1:21" x14ac:dyDescent="0.25">
      <c r="A4162" t="s">
        <v>9757</v>
      </c>
      <c r="B4162" s="1">
        <v>45189</v>
      </c>
      <c r="C4162" t="s">
        <v>5889</v>
      </c>
      <c r="D4162" t="s">
        <v>78</v>
      </c>
      <c r="E4162" t="s">
        <v>24</v>
      </c>
      <c r="F4162" t="s">
        <v>354</v>
      </c>
      <c r="G4162">
        <v>10</v>
      </c>
      <c r="H4162" t="s">
        <v>194</v>
      </c>
      <c r="I4162" t="s">
        <v>700</v>
      </c>
      <c r="J4162" t="s">
        <v>1282</v>
      </c>
      <c r="K4162" t="s">
        <v>9758</v>
      </c>
      <c r="R4162">
        <v>67</v>
      </c>
      <c r="S4162">
        <v>122.92</v>
      </c>
    </row>
    <row r="4163" spans="1:21" x14ac:dyDescent="0.25">
      <c r="A4163" t="s">
        <v>9759</v>
      </c>
      <c r="B4163" s="1">
        <v>45189</v>
      </c>
      <c r="C4163" t="s">
        <v>4550</v>
      </c>
      <c r="D4163" t="s">
        <v>78</v>
      </c>
      <c r="E4163" t="s">
        <v>24</v>
      </c>
      <c r="F4163" t="s">
        <v>215</v>
      </c>
      <c r="G4163">
        <v>20</v>
      </c>
      <c r="H4163" t="s">
        <v>464</v>
      </c>
      <c r="I4163" t="s">
        <v>943</v>
      </c>
      <c r="J4163" t="s">
        <v>1347</v>
      </c>
      <c r="K4163" t="s">
        <v>9760</v>
      </c>
    </row>
    <row r="4164" spans="1:21" x14ac:dyDescent="0.25">
      <c r="A4164" t="s">
        <v>9803</v>
      </c>
      <c r="B4164" s="1">
        <v>45196</v>
      </c>
      <c r="C4164" t="s">
        <v>2794</v>
      </c>
      <c r="D4164" t="s">
        <v>78</v>
      </c>
      <c r="E4164" t="s">
        <v>24</v>
      </c>
      <c r="F4164" t="s">
        <v>208</v>
      </c>
      <c r="G4164">
        <v>30</v>
      </c>
      <c r="H4164" t="s">
        <v>464</v>
      </c>
      <c r="I4164" t="s">
        <v>943</v>
      </c>
      <c r="J4164" t="s">
        <v>1621</v>
      </c>
      <c r="K4164" t="s">
        <v>9804</v>
      </c>
    </row>
    <row r="4165" spans="1:21" x14ac:dyDescent="0.25">
      <c r="A4165" t="s">
        <v>9847</v>
      </c>
      <c r="B4165" s="1">
        <v>45203</v>
      </c>
      <c r="C4165" t="s">
        <v>9848</v>
      </c>
      <c r="D4165" t="s">
        <v>78</v>
      </c>
      <c r="E4165" t="s">
        <v>24</v>
      </c>
      <c r="F4165" t="s">
        <v>323</v>
      </c>
      <c r="G4165">
        <v>30</v>
      </c>
      <c r="H4165" t="s">
        <v>26</v>
      </c>
      <c r="I4165" t="s">
        <v>370</v>
      </c>
      <c r="J4165" t="s">
        <v>3832</v>
      </c>
      <c r="K4165" t="s">
        <v>9849</v>
      </c>
      <c r="L4165">
        <v>190</v>
      </c>
      <c r="M4165">
        <v>106</v>
      </c>
      <c r="N4165" s="2">
        <v>0.37</v>
      </c>
      <c r="O4165">
        <v>85</v>
      </c>
      <c r="P4165">
        <v>16.36</v>
      </c>
      <c r="Q4165">
        <v>8.18</v>
      </c>
      <c r="R4165">
        <v>334</v>
      </c>
      <c r="S4165">
        <v>161.71</v>
      </c>
    </row>
    <row r="4166" spans="1:21" x14ac:dyDescent="0.25">
      <c r="A4166" t="s">
        <v>9850</v>
      </c>
      <c r="B4166" s="1">
        <v>45203</v>
      </c>
      <c r="C4166" t="s">
        <v>6795</v>
      </c>
      <c r="D4166" t="s">
        <v>78</v>
      </c>
      <c r="E4166" t="s">
        <v>24</v>
      </c>
      <c r="F4166" t="s">
        <v>768</v>
      </c>
      <c r="G4166">
        <v>15</v>
      </c>
      <c r="H4166" t="s">
        <v>26</v>
      </c>
      <c r="I4166" t="s">
        <v>39</v>
      </c>
      <c r="J4166" t="s">
        <v>366</v>
      </c>
      <c r="K4166" t="s">
        <v>9851</v>
      </c>
      <c r="L4166">
        <v>72</v>
      </c>
      <c r="M4166">
        <v>80</v>
      </c>
      <c r="N4166" s="2">
        <v>0.35</v>
      </c>
      <c r="O4166">
        <v>78</v>
      </c>
      <c r="P4166">
        <v>14.49</v>
      </c>
      <c r="Q4166">
        <v>3.63</v>
      </c>
      <c r="R4166">
        <v>140</v>
      </c>
      <c r="S4166">
        <v>145.86000000000001</v>
      </c>
    </row>
    <row r="4167" spans="1:21" x14ac:dyDescent="0.25">
      <c r="A4167" t="s">
        <v>9852</v>
      </c>
      <c r="B4167" s="1">
        <v>45203</v>
      </c>
      <c r="C4167" t="s">
        <v>8493</v>
      </c>
      <c r="D4167" t="s">
        <v>78</v>
      </c>
      <c r="E4167" t="s">
        <v>24</v>
      </c>
      <c r="F4167" t="s">
        <v>33</v>
      </c>
      <c r="G4167">
        <v>5</v>
      </c>
      <c r="H4167" t="s">
        <v>26</v>
      </c>
      <c r="I4167" t="s">
        <v>358</v>
      </c>
      <c r="J4167" t="s">
        <v>359</v>
      </c>
      <c r="K4167" t="s">
        <v>9853</v>
      </c>
      <c r="L4167">
        <v>14</v>
      </c>
      <c r="M4167">
        <v>48</v>
      </c>
      <c r="N4167" s="2">
        <v>0.26</v>
      </c>
      <c r="O4167">
        <v>86</v>
      </c>
      <c r="P4167">
        <v>11.7</v>
      </c>
      <c r="Q4167">
        <v>0.97</v>
      </c>
      <c r="R4167">
        <v>35</v>
      </c>
      <c r="S4167">
        <v>127.23</v>
      </c>
    </row>
    <row r="4168" spans="1:21" x14ac:dyDescent="0.25">
      <c r="A4168" t="s">
        <v>9854</v>
      </c>
      <c r="B4168" s="1">
        <v>45203</v>
      </c>
      <c r="C4168" t="s">
        <v>9005</v>
      </c>
      <c r="D4168" t="s">
        <v>78</v>
      </c>
      <c r="E4168" t="s">
        <v>24</v>
      </c>
      <c r="F4168" t="s">
        <v>305</v>
      </c>
      <c r="G4168">
        <v>30</v>
      </c>
      <c r="H4168" t="s">
        <v>194</v>
      </c>
      <c r="I4168" t="s">
        <v>1445</v>
      </c>
      <c r="J4168" t="s">
        <v>4124</v>
      </c>
      <c r="K4168" t="s">
        <v>9855</v>
      </c>
      <c r="R4168">
        <v>140</v>
      </c>
      <c r="S4168">
        <v>99.64</v>
      </c>
    </row>
    <row r="4169" spans="1:21" x14ac:dyDescent="0.25">
      <c r="A4169" t="s">
        <v>9856</v>
      </c>
      <c r="B4169" s="1">
        <v>45203</v>
      </c>
      <c r="C4169" t="s">
        <v>7230</v>
      </c>
      <c r="D4169" t="s">
        <v>78</v>
      </c>
      <c r="E4169" t="s">
        <v>24</v>
      </c>
      <c r="F4169" t="s">
        <v>200</v>
      </c>
      <c r="G4169">
        <v>30</v>
      </c>
      <c r="H4169" t="s">
        <v>188</v>
      </c>
      <c r="I4169" t="s">
        <v>189</v>
      </c>
      <c r="J4169" t="s">
        <v>4372</v>
      </c>
      <c r="K4169" t="s">
        <v>9857</v>
      </c>
      <c r="R4169">
        <v>144</v>
      </c>
      <c r="S4169">
        <v>106.65</v>
      </c>
    </row>
    <row r="4170" spans="1:21" x14ac:dyDescent="0.25">
      <c r="A4170" t="s">
        <v>9878</v>
      </c>
      <c r="B4170" s="1">
        <v>45210</v>
      </c>
      <c r="C4170" t="s">
        <v>9879</v>
      </c>
      <c r="D4170" t="s">
        <v>78</v>
      </c>
      <c r="E4170" t="s">
        <v>24</v>
      </c>
      <c r="F4170" t="s">
        <v>237</v>
      </c>
      <c r="G4170">
        <v>30</v>
      </c>
      <c r="H4170" t="s">
        <v>188</v>
      </c>
      <c r="I4170" t="s">
        <v>254</v>
      </c>
      <c r="J4170" t="s">
        <v>5574</v>
      </c>
      <c r="K4170" t="s">
        <v>9880</v>
      </c>
      <c r="R4170">
        <v>99</v>
      </c>
    </row>
    <row r="4171" spans="1:21" x14ac:dyDescent="0.25">
      <c r="A4171" t="s">
        <v>9881</v>
      </c>
      <c r="B4171" s="1">
        <v>45210</v>
      </c>
      <c r="C4171" t="s">
        <v>3446</v>
      </c>
      <c r="D4171" t="s">
        <v>78</v>
      </c>
      <c r="E4171" t="s">
        <v>24</v>
      </c>
      <c r="F4171" t="s">
        <v>335</v>
      </c>
      <c r="G4171">
        <v>45</v>
      </c>
      <c r="H4171" t="s">
        <v>26</v>
      </c>
      <c r="I4171" t="s">
        <v>370</v>
      </c>
      <c r="J4171" t="s">
        <v>439</v>
      </c>
      <c r="K4171" t="s">
        <v>3260</v>
      </c>
      <c r="L4171">
        <v>298</v>
      </c>
      <c r="M4171">
        <v>110</v>
      </c>
      <c r="N4171" s="2">
        <v>0.38</v>
      </c>
      <c r="O4171">
        <v>85</v>
      </c>
      <c r="P4171">
        <v>16.75</v>
      </c>
      <c r="Q4171">
        <v>12.57</v>
      </c>
      <c r="R4171">
        <v>496</v>
      </c>
      <c r="S4171">
        <v>165.22</v>
      </c>
    </row>
    <row r="4172" spans="1:21" x14ac:dyDescent="0.25">
      <c r="A4172" t="s">
        <v>9882</v>
      </c>
      <c r="B4172" s="1">
        <v>45210</v>
      </c>
      <c r="C4172" t="s">
        <v>9883</v>
      </c>
      <c r="D4172" t="s">
        <v>78</v>
      </c>
      <c r="E4172" t="s">
        <v>24</v>
      </c>
      <c r="F4172" t="s">
        <v>323</v>
      </c>
      <c r="G4172">
        <v>10</v>
      </c>
      <c r="H4172" t="s">
        <v>26</v>
      </c>
      <c r="I4172" t="s">
        <v>358</v>
      </c>
      <c r="J4172" t="s">
        <v>389</v>
      </c>
      <c r="K4172" t="s">
        <v>9884</v>
      </c>
      <c r="L4172">
        <v>32</v>
      </c>
      <c r="M4172">
        <v>54</v>
      </c>
      <c r="N4172" s="2">
        <v>0.28000000000000003</v>
      </c>
      <c r="O4172">
        <v>81</v>
      </c>
      <c r="P4172">
        <v>12.41</v>
      </c>
      <c r="Q4172">
        <v>2.0699999999999998</v>
      </c>
      <c r="R4172">
        <v>83</v>
      </c>
      <c r="S4172">
        <v>137.28</v>
      </c>
    </row>
    <row r="4173" spans="1:21" x14ac:dyDescent="0.25">
      <c r="A4173" t="s">
        <v>9885</v>
      </c>
      <c r="B4173" s="1">
        <v>45210</v>
      </c>
      <c r="C4173" t="s">
        <v>2656</v>
      </c>
      <c r="D4173" t="s">
        <v>78</v>
      </c>
      <c r="E4173" t="s">
        <v>24</v>
      </c>
      <c r="F4173" t="s">
        <v>2833</v>
      </c>
      <c r="G4173">
        <v>5</v>
      </c>
      <c r="H4173" t="s">
        <v>49</v>
      </c>
      <c r="I4173" t="s">
        <v>50</v>
      </c>
      <c r="J4173" t="s">
        <v>51</v>
      </c>
      <c r="K4173" t="s">
        <v>9886</v>
      </c>
      <c r="R4173">
        <v>28</v>
      </c>
      <c r="S4173">
        <v>114.26</v>
      </c>
    </row>
    <row r="4174" spans="1:21" x14ac:dyDescent="0.25">
      <c r="A4174" t="s">
        <v>9933</v>
      </c>
      <c r="B4174" s="1">
        <v>45217</v>
      </c>
      <c r="C4174" t="s">
        <v>9934</v>
      </c>
      <c r="D4174" t="s">
        <v>78</v>
      </c>
      <c r="E4174" t="s">
        <v>24</v>
      </c>
      <c r="F4174" t="s">
        <v>231</v>
      </c>
      <c r="G4174">
        <v>60</v>
      </c>
      <c r="H4174" t="s">
        <v>9935</v>
      </c>
      <c r="I4174" t="s">
        <v>39</v>
      </c>
      <c r="J4174" t="s">
        <v>9936</v>
      </c>
      <c r="K4174" t="s">
        <v>9937</v>
      </c>
      <c r="L4174">
        <v>0</v>
      </c>
      <c r="P4174">
        <v>3.07</v>
      </c>
      <c r="Q4174">
        <v>1.35</v>
      </c>
      <c r="R4174">
        <v>508</v>
      </c>
      <c r="S4174">
        <v>138.15</v>
      </c>
      <c r="T4174">
        <v>0</v>
      </c>
      <c r="U4174" s="3">
        <v>0.81388888888888888</v>
      </c>
    </row>
    <row r="4175" spans="1:21" x14ac:dyDescent="0.25">
      <c r="A4175" t="s">
        <v>9938</v>
      </c>
      <c r="B4175" s="1">
        <v>45217</v>
      </c>
      <c r="C4175" t="s">
        <v>9939</v>
      </c>
      <c r="D4175" t="s">
        <v>78</v>
      </c>
      <c r="E4175" t="s">
        <v>24</v>
      </c>
      <c r="F4175" t="s">
        <v>237</v>
      </c>
      <c r="G4175">
        <v>20</v>
      </c>
      <c r="H4175" t="s">
        <v>464</v>
      </c>
      <c r="I4175" t="s">
        <v>943</v>
      </c>
      <c r="J4175" t="s">
        <v>1347</v>
      </c>
      <c r="K4175" t="s">
        <v>9940</v>
      </c>
    </row>
    <row r="4176" spans="1:21" x14ac:dyDescent="0.25">
      <c r="A4176" t="s">
        <v>9981</v>
      </c>
      <c r="B4176" s="1">
        <v>45224</v>
      </c>
      <c r="C4176" t="s">
        <v>9982</v>
      </c>
      <c r="D4176" t="s">
        <v>78</v>
      </c>
      <c r="E4176" t="s">
        <v>24</v>
      </c>
      <c r="F4176" t="s">
        <v>6030</v>
      </c>
      <c r="G4176">
        <v>10</v>
      </c>
      <c r="H4176" t="s">
        <v>194</v>
      </c>
      <c r="I4176" t="s">
        <v>195</v>
      </c>
      <c r="J4176" t="s">
        <v>211</v>
      </c>
      <c r="K4176" t="s">
        <v>9983</v>
      </c>
      <c r="R4176">
        <v>46</v>
      </c>
      <c r="S4176">
        <v>104.96</v>
      </c>
    </row>
    <row r="4177" spans="1:19" x14ac:dyDescent="0.25">
      <c r="A4177" t="s">
        <v>9984</v>
      </c>
      <c r="B4177" s="1">
        <v>45224</v>
      </c>
      <c r="C4177" t="s">
        <v>9809</v>
      </c>
      <c r="D4177" t="s">
        <v>78</v>
      </c>
      <c r="E4177" t="s">
        <v>24</v>
      </c>
      <c r="F4177" t="s">
        <v>335</v>
      </c>
      <c r="G4177">
        <v>20</v>
      </c>
      <c r="H4177" t="s">
        <v>194</v>
      </c>
      <c r="I4177" t="s">
        <v>1445</v>
      </c>
      <c r="J4177" t="s">
        <v>9985</v>
      </c>
      <c r="K4177" t="s">
        <v>9986</v>
      </c>
      <c r="R4177">
        <v>141</v>
      </c>
      <c r="S4177">
        <v>126.56</v>
      </c>
    </row>
    <row r="4178" spans="1:19" x14ac:dyDescent="0.25">
      <c r="A4178" t="s">
        <v>9987</v>
      </c>
      <c r="B4178" s="1">
        <v>45224</v>
      </c>
      <c r="C4178" t="s">
        <v>8984</v>
      </c>
      <c r="D4178" t="s">
        <v>78</v>
      </c>
      <c r="E4178" t="s">
        <v>24</v>
      </c>
      <c r="F4178" t="s">
        <v>323</v>
      </c>
      <c r="G4178">
        <v>60</v>
      </c>
      <c r="H4178" t="s">
        <v>26</v>
      </c>
      <c r="I4178" t="s">
        <v>370</v>
      </c>
      <c r="J4178" t="s">
        <v>498</v>
      </c>
      <c r="K4178" t="s">
        <v>9988</v>
      </c>
      <c r="L4178">
        <v>402</v>
      </c>
      <c r="M4178">
        <v>112</v>
      </c>
      <c r="N4178" s="2">
        <v>0.4</v>
      </c>
      <c r="O4178">
        <v>81</v>
      </c>
      <c r="P4178">
        <v>16.850000000000001</v>
      </c>
      <c r="Q4178">
        <v>16.850000000000001</v>
      </c>
      <c r="R4178">
        <v>679</v>
      </c>
      <c r="S4178">
        <v>163.29</v>
      </c>
    </row>
    <row r="4179" spans="1:19" x14ac:dyDescent="0.25">
      <c r="A4179" t="s">
        <v>9989</v>
      </c>
      <c r="B4179" s="1">
        <v>45224</v>
      </c>
      <c r="C4179" t="s">
        <v>9149</v>
      </c>
      <c r="D4179" t="s">
        <v>78</v>
      </c>
      <c r="E4179" t="s">
        <v>24</v>
      </c>
      <c r="F4179" t="s">
        <v>2876</v>
      </c>
      <c r="G4179">
        <v>5</v>
      </c>
      <c r="H4179" t="s">
        <v>26</v>
      </c>
      <c r="I4179" t="s">
        <v>358</v>
      </c>
      <c r="J4179" t="s">
        <v>359</v>
      </c>
      <c r="K4179" t="s">
        <v>9990</v>
      </c>
      <c r="L4179">
        <v>13</v>
      </c>
      <c r="M4179">
        <v>44</v>
      </c>
      <c r="N4179" s="2">
        <v>0.26</v>
      </c>
      <c r="O4179">
        <v>83</v>
      </c>
      <c r="P4179">
        <v>11.18</v>
      </c>
      <c r="Q4179">
        <v>0.93</v>
      </c>
      <c r="R4179">
        <v>39</v>
      </c>
      <c r="S4179">
        <v>133.54</v>
      </c>
    </row>
    <row r="4180" spans="1:19" x14ac:dyDescent="0.25">
      <c r="A4180" t="s">
        <v>9991</v>
      </c>
      <c r="B4180" s="1">
        <v>45224</v>
      </c>
      <c r="C4180" t="s">
        <v>2240</v>
      </c>
      <c r="D4180" t="s">
        <v>78</v>
      </c>
      <c r="E4180" t="s">
        <v>24</v>
      </c>
      <c r="F4180" t="s">
        <v>2708</v>
      </c>
      <c r="G4180">
        <v>15</v>
      </c>
      <c r="H4180" t="s">
        <v>464</v>
      </c>
      <c r="I4180" t="s">
        <v>579</v>
      </c>
      <c r="J4180" t="s">
        <v>4321</v>
      </c>
      <c r="K4180" t="s">
        <v>9992</v>
      </c>
    </row>
    <row r="4181" spans="1:19" x14ac:dyDescent="0.25">
      <c r="A4181" t="s">
        <v>10017</v>
      </c>
      <c r="B4181" s="1">
        <v>45231</v>
      </c>
      <c r="C4181" t="s">
        <v>10018</v>
      </c>
      <c r="D4181" t="s">
        <v>78</v>
      </c>
      <c r="E4181" t="s">
        <v>24</v>
      </c>
      <c r="F4181" t="s">
        <v>2708</v>
      </c>
      <c r="G4181">
        <v>30</v>
      </c>
      <c r="H4181" t="s">
        <v>188</v>
      </c>
      <c r="I4181" t="s">
        <v>189</v>
      </c>
      <c r="J4181" t="s">
        <v>3149</v>
      </c>
      <c r="K4181" t="s">
        <v>10019</v>
      </c>
      <c r="R4181">
        <v>94</v>
      </c>
    </row>
    <row r="4182" spans="1:19" x14ac:dyDescent="0.25">
      <c r="A4182" t="s">
        <v>10020</v>
      </c>
      <c r="B4182" s="1">
        <v>45231</v>
      </c>
      <c r="C4182" t="s">
        <v>10021</v>
      </c>
      <c r="D4182" t="s">
        <v>78</v>
      </c>
      <c r="E4182" t="s">
        <v>24</v>
      </c>
      <c r="F4182" t="s">
        <v>323</v>
      </c>
      <c r="G4182">
        <v>45</v>
      </c>
      <c r="H4182" t="s">
        <v>26</v>
      </c>
      <c r="I4182" t="s">
        <v>370</v>
      </c>
      <c r="J4182" t="s">
        <v>439</v>
      </c>
      <c r="K4182" t="s">
        <v>10022</v>
      </c>
      <c r="L4182">
        <v>281</v>
      </c>
      <c r="M4182">
        <v>104</v>
      </c>
      <c r="N4182" s="2">
        <v>0.37</v>
      </c>
      <c r="O4182">
        <v>86</v>
      </c>
      <c r="P4182">
        <v>16.39</v>
      </c>
      <c r="Q4182">
        <v>12.29</v>
      </c>
      <c r="R4182">
        <v>457</v>
      </c>
      <c r="S4182">
        <v>153.26</v>
      </c>
    </row>
    <row r="4183" spans="1:19" x14ac:dyDescent="0.25">
      <c r="A4183" t="s">
        <v>10023</v>
      </c>
      <c r="B4183" s="1">
        <v>45231</v>
      </c>
      <c r="C4183" t="s">
        <v>1398</v>
      </c>
      <c r="D4183" t="s">
        <v>78</v>
      </c>
      <c r="E4183" t="s">
        <v>24</v>
      </c>
      <c r="F4183" t="s">
        <v>215</v>
      </c>
      <c r="G4183">
        <v>10</v>
      </c>
      <c r="H4183" t="s">
        <v>464</v>
      </c>
      <c r="I4183" t="s">
        <v>763</v>
      </c>
      <c r="J4183" t="s">
        <v>4348</v>
      </c>
      <c r="K4183" t="s">
        <v>10024</v>
      </c>
    </row>
    <row r="4184" spans="1:19" x14ac:dyDescent="0.25">
      <c r="A4184" t="s">
        <v>10073</v>
      </c>
      <c r="B4184" s="1">
        <v>45238</v>
      </c>
      <c r="C4184" t="s">
        <v>659</v>
      </c>
      <c r="D4184" t="s">
        <v>78</v>
      </c>
      <c r="E4184" t="s">
        <v>24</v>
      </c>
      <c r="F4184" t="s">
        <v>237</v>
      </c>
      <c r="G4184">
        <v>30</v>
      </c>
      <c r="H4184" t="s">
        <v>188</v>
      </c>
      <c r="I4184" t="s">
        <v>254</v>
      </c>
      <c r="J4184" t="s">
        <v>255</v>
      </c>
      <c r="K4184" t="s">
        <v>10062</v>
      </c>
      <c r="R4184">
        <v>96</v>
      </c>
    </row>
    <row r="4185" spans="1:19" x14ac:dyDescent="0.25">
      <c r="A4185" t="s">
        <v>10074</v>
      </c>
      <c r="B4185" s="1">
        <v>45238</v>
      </c>
      <c r="C4185" t="s">
        <v>10075</v>
      </c>
      <c r="D4185" t="s">
        <v>78</v>
      </c>
      <c r="E4185" t="s">
        <v>24</v>
      </c>
      <c r="F4185" t="s">
        <v>7754</v>
      </c>
      <c r="G4185">
        <v>30</v>
      </c>
      <c r="H4185" t="s">
        <v>7562</v>
      </c>
      <c r="I4185" t="s">
        <v>7989</v>
      </c>
      <c r="J4185" t="s">
        <v>7990</v>
      </c>
      <c r="K4185" t="s">
        <v>10076</v>
      </c>
      <c r="L4185">
        <v>112</v>
      </c>
      <c r="P4185">
        <v>2.73</v>
      </c>
      <c r="Q4185">
        <v>2.89</v>
      </c>
      <c r="R4185">
        <v>260</v>
      </c>
      <c r="S4185">
        <v>141.81</v>
      </c>
    </row>
    <row r="4186" spans="1:19" x14ac:dyDescent="0.25">
      <c r="A4186" t="s">
        <v>10077</v>
      </c>
      <c r="B4186" s="1">
        <v>45238</v>
      </c>
      <c r="C4186" t="s">
        <v>10078</v>
      </c>
      <c r="D4186" t="s">
        <v>78</v>
      </c>
      <c r="E4186" t="s">
        <v>24</v>
      </c>
      <c r="F4186" t="s">
        <v>2256</v>
      </c>
      <c r="G4186">
        <v>10</v>
      </c>
      <c r="H4186" t="s">
        <v>194</v>
      </c>
      <c r="I4186" t="s">
        <v>195</v>
      </c>
      <c r="J4186" t="s">
        <v>5762</v>
      </c>
      <c r="K4186" t="s">
        <v>10079</v>
      </c>
      <c r="R4186">
        <v>51</v>
      </c>
      <c r="S4186">
        <v>108.62</v>
      </c>
    </row>
    <row r="4187" spans="1:19" x14ac:dyDescent="0.25">
      <c r="A4187" t="s">
        <v>10124</v>
      </c>
      <c r="B4187" s="1">
        <v>45245</v>
      </c>
      <c r="C4187" t="s">
        <v>4849</v>
      </c>
      <c r="D4187" t="s">
        <v>78</v>
      </c>
      <c r="E4187" t="s">
        <v>24</v>
      </c>
      <c r="F4187" t="s">
        <v>1203</v>
      </c>
      <c r="G4187">
        <v>30</v>
      </c>
      <c r="H4187" t="s">
        <v>1856</v>
      </c>
      <c r="I4187" t="s">
        <v>44</v>
      </c>
      <c r="J4187" t="s">
        <v>5150</v>
      </c>
      <c r="K4187" t="s">
        <v>10125</v>
      </c>
      <c r="L4187">
        <v>0</v>
      </c>
      <c r="P4187">
        <v>3.26</v>
      </c>
      <c r="Q4187">
        <v>1.52</v>
      </c>
      <c r="R4187">
        <v>221</v>
      </c>
      <c r="S4187">
        <v>128.38999999999999</v>
      </c>
    </row>
    <row r="4188" spans="1:19" x14ac:dyDescent="0.25">
      <c r="A4188" t="s">
        <v>10126</v>
      </c>
      <c r="B4188" s="1">
        <v>45245</v>
      </c>
      <c r="C4188" t="s">
        <v>854</v>
      </c>
      <c r="D4188" t="s">
        <v>78</v>
      </c>
      <c r="E4188" t="s">
        <v>24</v>
      </c>
      <c r="F4188" t="s">
        <v>1203</v>
      </c>
      <c r="G4188">
        <v>15</v>
      </c>
      <c r="H4188" t="s">
        <v>1856</v>
      </c>
      <c r="I4188" t="s">
        <v>44</v>
      </c>
      <c r="J4188" t="s">
        <v>10127</v>
      </c>
      <c r="K4188" t="s">
        <v>10128</v>
      </c>
      <c r="L4188">
        <v>0</v>
      </c>
      <c r="P4188">
        <v>3.38</v>
      </c>
      <c r="Q4188">
        <v>0.8</v>
      </c>
      <c r="R4188">
        <v>127</v>
      </c>
      <c r="S4188">
        <v>137.07</v>
      </c>
    </row>
    <row r="4189" spans="1:19" x14ac:dyDescent="0.25">
      <c r="A4189" t="s">
        <v>10129</v>
      </c>
      <c r="B4189" s="1">
        <v>45245</v>
      </c>
      <c r="C4189" t="s">
        <v>762</v>
      </c>
      <c r="D4189" t="s">
        <v>78</v>
      </c>
      <c r="E4189" t="s">
        <v>24</v>
      </c>
      <c r="F4189" t="s">
        <v>180</v>
      </c>
      <c r="G4189">
        <v>15</v>
      </c>
      <c r="H4189" t="s">
        <v>194</v>
      </c>
      <c r="I4189" t="s">
        <v>195</v>
      </c>
      <c r="J4189" t="s">
        <v>1217</v>
      </c>
      <c r="K4189" t="s">
        <v>10130</v>
      </c>
      <c r="R4189">
        <v>101</v>
      </c>
      <c r="S4189">
        <v>117.52</v>
      </c>
    </row>
    <row r="4190" spans="1:19" x14ac:dyDescent="0.25">
      <c r="A4190" t="s">
        <v>10131</v>
      </c>
      <c r="B4190" s="1">
        <v>45245</v>
      </c>
      <c r="C4190" t="s">
        <v>9859</v>
      </c>
      <c r="D4190" t="s">
        <v>78</v>
      </c>
      <c r="E4190" t="s">
        <v>24</v>
      </c>
      <c r="F4190" t="s">
        <v>208</v>
      </c>
      <c r="G4190">
        <v>15</v>
      </c>
      <c r="H4190" t="s">
        <v>464</v>
      </c>
      <c r="I4190" t="s">
        <v>579</v>
      </c>
      <c r="J4190" t="s">
        <v>2861</v>
      </c>
      <c r="K4190" t="s">
        <v>10132</v>
      </c>
    </row>
    <row r="4191" spans="1:19" x14ac:dyDescent="0.25">
      <c r="A4191" t="s">
        <v>10171</v>
      </c>
      <c r="B4191" s="1">
        <v>45252</v>
      </c>
      <c r="C4191" t="s">
        <v>4177</v>
      </c>
      <c r="D4191" t="s">
        <v>78</v>
      </c>
      <c r="E4191" t="s">
        <v>24</v>
      </c>
      <c r="F4191" t="s">
        <v>323</v>
      </c>
      <c r="G4191">
        <v>60</v>
      </c>
      <c r="H4191" t="s">
        <v>26</v>
      </c>
      <c r="I4191" t="s">
        <v>370</v>
      </c>
      <c r="J4191" t="s">
        <v>646</v>
      </c>
      <c r="K4191" t="s">
        <v>10172</v>
      </c>
      <c r="L4191">
        <v>120</v>
      </c>
      <c r="M4191">
        <v>98</v>
      </c>
      <c r="N4191" s="2">
        <v>0.36</v>
      </c>
      <c r="O4191">
        <v>86</v>
      </c>
      <c r="P4191">
        <v>15.83</v>
      </c>
      <c r="Q4191">
        <v>5.39</v>
      </c>
      <c r="R4191">
        <v>217</v>
      </c>
      <c r="S4191">
        <v>156.46</v>
      </c>
    </row>
    <row r="4192" spans="1:19" x14ac:dyDescent="0.25">
      <c r="A4192" t="s">
        <v>10173</v>
      </c>
      <c r="B4192" s="1">
        <v>45252</v>
      </c>
      <c r="C4192" t="s">
        <v>4301</v>
      </c>
      <c r="D4192" t="s">
        <v>78</v>
      </c>
      <c r="E4192" t="s">
        <v>24</v>
      </c>
      <c r="F4192" t="s">
        <v>180</v>
      </c>
      <c r="G4192">
        <v>30</v>
      </c>
      <c r="H4192" t="s">
        <v>26</v>
      </c>
      <c r="I4192" t="s">
        <v>39</v>
      </c>
      <c r="J4192" t="s">
        <v>407</v>
      </c>
      <c r="K4192" t="s">
        <v>10174</v>
      </c>
      <c r="L4192">
        <v>170</v>
      </c>
      <c r="M4192">
        <v>95</v>
      </c>
      <c r="N4192" s="2">
        <v>0.36</v>
      </c>
      <c r="O4192">
        <v>84</v>
      </c>
      <c r="P4192">
        <v>15.82</v>
      </c>
      <c r="Q4192">
        <v>7.91</v>
      </c>
      <c r="R4192">
        <v>320</v>
      </c>
      <c r="S4192">
        <v>156.16999999999999</v>
      </c>
    </row>
    <row r="4193" spans="1:19" x14ac:dyDescent="0.25">
      <c r="A4193" t="s">
        <v>10175</v>
      </c>
      <c r="B4193" s="1">
        <v>45252</v>
      </c>
      <c r="C4193" t="s">
        <v>762</v>
      </c>
      <c r="D4193" t="s">
        <v>78</v>
      </c>
      <c r="E4193" t="s">
        <v>24</v>
      </c>
      <c r="F4193" t="s">
        <v>2256</v>
      </c>
      <c r="G4193">
        <v>10</v>
      </c>
      <c r="H4193" t="s">
        <v>194</v>
      </c>
      <c r="I4193" t="s">
        <v>195</v>
      </c>
      <c r="J4193" t="s">
        <v>211</v>
      </c>
      <c r="K4193" t="s">
        <v>10176</v>
      </c>
      <c r="R4193">
        <v>46</v>
      </c>
    </row>
    <row r="4194" spans="1:19" x14ac:dyDescent="0.25">
      <c r="A4194" t="s">
        <v>10177</v>
      </c>
      <c r="B4194" s="1">
        <v>45252</v>
      </c>
      <c r="C4194" t="s">
        <v>10178</v>
      </c>
      <c r="D4194" t="s">
        <v>78</v>
      </c>
      <c r="E4194" t="s">
        <v>24</v>
      </c>
      <c r="F4194" t="s">
        <v>215</v>
      </c>
      <c r="G4194">
        <v>20</v>
      </c>
      <c r="H4194" t="s">
        <v>188</v>
      </c>
      <c r="I4194" t="s">
        <v>238</v>
      </c>
      <c r="J4194" t="s">
        <v>796</v>
      </c>
      <c r="K4194" t="s">
        <v>10179</v>
      </c>
      <c r="R4194">
        <v>64</v>
      </c>
    </row>
    <row r="4195" spans="1:19" x14ac:dyDescent="0.25">
      <c r="A4195" t="s">
        <v>10207</v>
      </c>
      <c r="B4195" s="1">
        <v>45259</v>
      </c>
      <c r="C4195" t="s">
        <v>3712</v>
      </c>
      <c r="D4195" t="s">
        <v>78</v>
      </c>
      <c r="E4195" t="s">
        <v>24</v>
      </c>
      <c r="F4195" t="s">
        <v>208</v>
      </c>
      <c r="G4195">
        <v>30</v>
      </c>
      <c r="H4195" t="s">
        <v>464</v>
      </c>
      <c r="I4195" t="s">
        <v>943</v>
      </c>
      <c r="J4195" t="s">
        <v>1621</v>
      </c>
      <c r="K4195" t="s">
        <v>10208</v>
      </c>
    </row>
    <row r="4196" spans="1:19" x14ac:dyDescent="0.25">
      <c r="A4196" t="s">
        <v>10257</v>
      </c>
      <c r="B4196" s="1">
        <v>45266</v>
      </c>
      <c r="C4196" t="s">
        <v>8347</v>
      </c>
      <c r="D4196" t="s">
        <v>78</v>
      </c>
      <c r="E4196" t="s">
        <v>24</v>
      </c>
      <c r="F4196" t="s">
        <v>170</v>
      </c>
      <c r="G4196">
        <v>10</v>
      </c>
      <c r="H4196" t="s">
        <v>194</v>
      </c>
      <c r="I4196" t="s">
        <v>195</v>
      </c>
      <c r="J4196" t="s">
        <v>211</v>
      </c>
      <c r="K4196" t="s">
        <v>10258</v>
      </c>
      <c r="R4196">
        <v>46</v>
      </c>
      <c r="S4196">
        <v>103.84</v>
      </c>
    </row>
    <row r="4197" spans="1:19" x14ac:dyDescent="0.25">
      <c r="A4197" t="s">
        <v>10259</v>
      </c>
      <c r="B4197" s="1">
        <v>45266</v>
      </c>
      <c r="C4197" t="s">
        <v>10260</v>
      </c>
      <c r="D4197" t="s">
        <v>78</v>
      </c>
      <c r="E4197" t="s">
        <v>24</v>
      </c>
      <c r="F4197" t="s">
        <v>7754</v>
      </c>
      <c r="G4197">
        <v>30</v>
      </c>
      <c r="H4197" t="s">
        <v>7562</v>
      </c>
      <c r="I4197" t="s">
        <v>7989</v>
      </c>
      <c r="J4197" t="s">
        <v>7990</v>
      </c>
      <c r="K4197" t="s">
        <v>10261</v>
      </c>
      <c r="L4197">
        <v>109</v>
      </c>
      <c r="P4197">
        <v>2.68</v>
      </c>
      <c r="Q4197">
        <v>3</v>
      </c>
      <c r="R4197">
        <v>283</v>
      </c>
      <c r="S4197">
        <v>143.94999999999999</v>
      </c>
    </row>
    <row r="4198" spans="1:19" x14ac:dyDescent="0.25">
      <c r="A4198" t="s">
        <v>10262</v>
      </c>
      <c r="B4198" s="1">
        <v>45266</v>
      </c>
      <c r="C4198" t="s">
        <v>4343</v>
      </c>
      <c r="D4198" t="s">
        <v>78</v>
      </c>
      <c r="E4198" t="s">
        <v>24</v>
      </c>
      <c r="F4198" t="s">
        <v>170</v>
      </c>
      <c r="G4198">
        <v>20</v>
      </c>
      <c r="H4198" t="s">
        <v>194</v>
      </c>
      <c r="I4198" t="s">
        <v>691</v>
      </c>
      <c r="J4198" t="s">
        <v>920</v>
      </c>
      <c r="K4198" t="s">
        <v>10263</v>
      </c>
      <c r="R4198">
        <v>121</v>
      </c>
      <c r="S4198">
        <v>124.77</v>
      </c>
    </row>
    <row r="4199" spans="1:19" x14ac:dyDescent="0.25">
      <c r="A4199" t="s">
        <v>10264</v>
      </c>
      <c r="B4199" s="1">
        <v>45266</v>
      </c>
      <c r="C4199" t="s">
        <v>4369</v>
      </c>
      <c r="D4199" t="s">
        <v>78</v>
      </c>
      <c r="E4199" t="s">
        <v>24</v>
      </c>
      <c r="F4199" t="s">
        <v>243</v>
      </c>
      <c r="G4199">
        <v>10</v>
      </c>
      <c r="H4199" t="s">
        <v>188</v>
      </c>
      <c r="I4199" t="s">
        <v>238</v>
      </c>
      <c r="J4199" t="s">
        <v>674</v>
      </c>
      <c r="K4199" t="s">
        <v>10265</v>
      </c>
      <c r="R4199">
        <v>32</v>
      </c>
    </row>
    <row r="4200" spans="1:19" x14ac:dyDescent="0.25">
      <c r="A4200" t="s">
        <v>10266</v>
      </c>
      <c r="B4200" s="1">
        <v>45266</v>
      </c>
      <c r="C4200" t="s">
        <v>841</v>
      </c>
      <c r="D4200" t="s">
        <v>78</v>
      </c>
      <c r="E4200" t="s">
        <v>24</v>
      </c>
      <c r="F4200" t="s">
        <v>2708</v>
      </c>
      <c r="G4200">
        <v>15</v>
      </c>
      <c r="H4200" t="s">
        <v>464</v>
      </c>
      <c r="I4200" t="s">
        <v>579</v>
      </c>
      <c r="J4200" t="s">
        <v>9514</v>
      </c>
      <c r="K4200" t="s">
        <v>10267</v>
      </c>
    </row>
    <row r="4201" spans="1:19" x14ac:dyDescent="0.25">
      <c r="A4201" t="s">
        <v>10314</v>
      </c>
      <c r="B4201" s="1">
        <v>45273</v>
      </c>
      <c r="C4201" t="s">
        <v>10315</v>
      </c>
      <c r="D4201" t="s">
        <v>78</v>
      </c>
      <c r="E4201" t="s">
        <v>24</v>
      </c>
      <c r="F4201" t="s">
        <v>200</v>
      </c>
      <c r="G4201">
        <v>30</v>
      </c>
      <c r="H4201" t="s">
        <v>188</v>
      </c>
      <c r="I4201" t="s">
        <v>189</v>
      </c>
      <c r="J4201" t="s">
        <v>201</v>
      </c>
      <c r="K4201" t="s">
        <v>10316</v>
      </c>
      <c r="R4201">
        <v>101</v>
      </c>
    </row>
    <row r="4202" spans="1:19" x14ac:dyDescent="0.25">
      <c r="A4202" t="s">
        <v>10317</v>
      </c>
      <c r="B4202" s="1">
        <v>45273</v>
      </c>
      <c r="C4202" t="s">
        <v>10318</v>
      </c>
      <c r="D4202" t="s">
        <v>78</v>
      </c>
      <c r="E4202" t="s">
        <v>24</v>
      </c>
      <c r="F4202" t="s">
        <v>305</v>
      </c>
      <c r="G4202">
        <v>20</v>
      </c>
      <c r="H4202" t="s">
        <v>194</v>
      </c>
      <c r="I4202" t="s">
        <v>1445</v>
      </c>
      <c r="J4202" t="s">
        <v>3313</v>
      </c>
      <c r="K4202" t="s">
        <v>10319</v>
      </c>
      <c r="R4202">
        <v>119</v>
      </c>
      <c r="S4202">
        <v>116.42</v>
      </c>
    </row>
    <row r="4203" spans="1:19" x14ac:dyDescent="0.25">
      <c r="A4203" t="s">
        <v>10320</v>
      </c>
      <c r="B4203" s="1">
        <v>45273</v>
      </c>
      <c r="C4203" t="s">
        <v>10310</v>
      </c>
      <c r="D4203" t="s">
        <v>78</v>
      </c>
      <c r="E4203" t="s">
        <v>24</v>
      </c>
      <c r="F4203" t="s">
        <v>5142</v>
      </c>
      <c r="G4203">
        <v>10</v>
      </c>
      <c r="H4203" t="s">
        <v>194</v>
      </c>
      <c r="I4203" t="s">
        <v>195</v>
      </c>
      <c r="J4203" t="s">
        <v>5762</v>
      </c>
      <c r="K4203" t="s">
        <v>10321</v>
      </c>
      <c r="R4203">
        <v>60</v>
      </c>
      <c r="S4203">
        <v>133.26</v>
      </c>
    </row>
    <row r="4204" spans="1:19" x14ac:dyDescent="0.25">
      <c r="A4204" t="s">
        <v>10322</v>
      </c>
      <c r="B4204" s="1">
        <v>45273</v>
      </c>
      <c r="C4204" t="s">
        <v>4759</v>
      </c>
      <c r="D4204" t="s">
        <v>78</v>
      </c>
      <c r="E4204" t="s">
        <v>24</v>
      </c>
      <c r="F4204" t="s">
        <v>7754</v>
      </c>
      <c r="G4204">
        <v>30</v>
      </c>
      <c r="H4204" t="s">
        <v>7562</v>
      </c>
      <c r="I4204" t="s">
        <v>7989</v>
      </c>
      <c r="J4204" t="s">
        <v>7990</v>
      </c>
      <c r="K4204" t="s">
        <v>10323</v>
      </c>
      <c r="L4204">
        <v>107</v>
      </c>
      <c r="P4204">
        <v>2.67</v>
      </c>
      <c r="Q4204">
        <v>2.98</v>
      </c>
      <c r="R4204">
        <v>267</v>
      </c>
      <c r="S4204">
        <v>145.86000000000001</v>
      </c>
    </row>
    <row r="4205" spans="1:19" x14ac:dyDescent="0.25">
      <c r="A4205" t="s">
        <v>10324</v>
      </c>
      <c r="B4205" s="1">
        <v>45273</v>
      </c>
      <c r="C4205" t="s">
        <v>7880</v>
      </c>
      <c r="D4205" t="s">
        <v>78</v>
      </c>
      <c r="E4205" t="s">
        <v>24</v>
      </c>
      <c r="F4205" t="s">
        <v>7777</v>
      </c>
      <c r="G4205">
        <v>5</v>
      </c>
      <c r="H4205" t="s">
        <v>49</v>
      </c>
      <c r="I4205" t="s">
        <v>7782</v>
      </c>
      <c r="J4205" t="s">
        <v>7783</v>
      </c>
      <c r="K4205" t="s">
        <v>10275</v>
      </c>
      <c r="R4205">
        <v>22</v>
      </c>
      <c r="S4205">
        <v>103.79</v>
      </c>
    </row>
    <row r="4206" spans="1:19" x14ac:dyDescent="0.25">
      <c r="A4206" t="s">
        <v>10325</v>
      </c>
      <c r="B4206" s="1">
        <v>45273</v>
      </c>
      <c r="C4206" t="s">
        <v>2483</v>
      </c>
      <c r="D4206" t="s">
        <v>78</v>
      </c>
      <c r="E4206" t="s">
        <v>24</v>
      </c>
      <c r="F4206" t="s">
        <v>237</v>
      </c>
      <c r="G4206">
        <v>10</v>
      </c>
      <c r="H4206" t="s">
        <v>464</v>
      </c>
      <c r="I4206" t="s">
        <v>579</v>
      </c>
      <c r="J4206" t="s">
        <v>602</v>
      </c>
      <c r="K4206" t="s">
        <v>10326</v>
      </c>
    </row>
    <row r="4207" spans="1:19" x14ac:dyDescent="0.25">
      <c r="A4207" t="s">
        <v>10359</v>
      </c>
      <c r="B4207" s="1">
        <v>45280</v>
      </c>
      <c r="C4207" t="s">
        <v>8834</v>
      </c>
      <c r="D4207" t="s">
        <v>78</v>
      </c>
      <c r="E4207" t="s">
        <v>24</v>
      </c>
      <c r="F4207" t="s">
        <v>200</v>
      </c>
      <c r="G4207">
        <v>5</v>
      </c>
      <c r="H4207" t="s">
        <v>464</v>
      </c>
      <c r="I4207" t="s">
        <v>579</v>
      </c>
      <c r="J4207" t="s">
        <v>10360</v>
      </c>
      <c r="K4207" t="s">
        <v>10361</v>
      </c>
    </row>
    <row r="4208" spans="1:19" x14ac:dyDescent="0.25">
      <c r="A4208" t="s">
        <v>10406</v>
      </c>
      <c r="B4208" s="1">
        <v>45287</v>
      </c>
      <c r="C4208" t="s">
        <v>1367</v>
      </c>
      <c r="D4208" t="s">
        <v>78</v>
      </c>
      <c r="E4208" t="s">
        <v>24</v>
      </c>
      <c r="F4208" t="s">
        <v>2708</v>
      </c>
      <c r="G4208">
        <v>10</v>
      </c>
      <c r="H4208" t="s">
        <v>464</v>
      </c>
      <c r="I4208" t="s">
        <v>579</v>
      </c>
      <c r="J4208" t="s">
        <v>1000</v>
      </c>
      <c r="K4208" t="s">
        <v>10407</v>
      </c>
    </row>
    <row r="4209" spans="1:19" x14ac:dyDescent="0.25">
      <c r="A4209" t="s">
        <v>10451</v>
      </c>
      <c r="B4209" s="1">
        <v>45294</v>
      </c>
      <c r="C4209" t="s">
        <v>10452</v>
      </c>
      <c r="D4209" t="s">
        <v>78</v>
      </c>
      <c r="G4209">
        <v>41</v>
      </c>
      <c r="H4209" t="s">
        <v>1856</v>
      </c>
      <c r="J4209" t="s">
        <v>10453</v>
      </c>
      <c r="L4209">
        <v>0</v>
      </c>
      <c r="P4209">
        <v>3.09</v>
      </c>
      <c r="Q4209">
        <v>1.9</v>
      </c>
      <c r="R4209">
        <v>160</v>
      </c>
    </row>
    <row r="4210" spans="1:19" x14ac:dyDescent="0.25">
      <c r="A4210" t="s">
        <v>10454</v>
      </c>
      <c r="B4210" s="1">
        <v>45294</v>
      </c>
      <c r="C4210" t="s">
        <v>4613</v>
      </c>
      <c r="D4210" t="s">
        <v>78</v>
      </c>
      <c r="E4210" t="s">
        <v>24</v>
      </c>
      <c r="F4210" t="s">
        <v>297</v>
      </c>
      <c r="G4210">
        <v>30</v>
      </c>
      <c r="H4210" t="s">
        <v>194</v>
      </c>
      <c r="I4210" t="s">
        <v>691</v>
      </c>
      <c r="J4210" t="s">
        <v>10386</v>
      </c>
      <c r="K4210" t="s">
        <v>10455</v>
      </c>
      <c r="R4210">
        <v>231</v>
      </c>
      <c r="S4210">
        <v>130.52000000000001</v>
      </c>
    </row>
    <row r="4211" spans="1:19" x14ac:dyDescent="0.25">
      <c r="A4211" t="s">
        <v>10456</v>
      </c>
      <c r="B4211" s="1">
        <v>45294</v>
      </c>
      <c r="C4211" t="s">
        <v>4283</v>
      </c>
      <c r="D4211" t="s">
        <v>78</v>
      </c>
      <c r="E4211" t="s">
        <v>24</v>
      </c>
      <c r="F4211" t="s">
        <v>335</v>
      </c>
      <c r="G4211">
        <v>10</v>
      </c>
      <c r="H4211" t="s">
        <v>194</v>
      </c>
      <c r="I4211" t="s">
        <v>195</v>
      </c>
      <c r="J4211" t="s">
        <v>211</v>
      </c>
      <c r="K4211" t="s">
        <v>10457</v>
      </c>
      <c r="R4211">
        <v>49</v>
      </c>
      <c r="S4211">
        <v>106.37</v>
      </c>
    </row>
    <row r="4212" spans="1:19" x14ac:dyDescent="0.25">
      <c r="A4212" t="s">
        <v>10458</v>
      </c>
      <c r="B4212" s="1">
        <v>45294</v>
      </c>
      <c r="C4212" t="s">
        <v>4690</v>
      </c>
      <c r="D4212" t="s">
        <v>78</v>
      </c>
      <c r="E4212" t="s">
        <v>24</v>
      </c>
      <c r="F4212" t="s">
        <v>335</v>
      </c>
      <c r="G4212">
        <v>10</v>
      </c>
      <c r="H4212" t="s">
        <v>194</v>
      </c>
      <c r="I4212" t="s">
        <v>1445</v>
      </c>
      <c r="J4212" t="s">
        <v>1446</v>
      </c>
      <c r="K4212" t="s">
        <v>10459</v>
      </c>
      <c r="R4212">
        <v>53</v>
      </c>
      <c r="S4212">
        <v>109.05</v>
      </c>
    </row>
    <row r="4213" spans="1:19" x14ac:dyDescent="0.25">
      <c r="A4213" t="s">
        <v>10460</v>
      </c>
      <c r="B4213" s="1">
        <v>45294</v>
      </c>
      <c r="C4213" t="s">
        <v>10461</v>
      </c>
      <c r="D4213" t="s">
        <v>78</v>
      </c>
      <c r="E4213" t="s">
        <v>24</v>
      </c>
      <c r="F4213" t="s">
        <v>7754</v>
      </c>
      <c r="G4213">
        <v>20</v>
      </c>
      <c r="H4213" t="s">
        <v>7562</v>
      </c>
      <c r="I4213" t="s">
        <v>7989</v>
      </c>
      <c r="J4213" t="s">
        <v>9893</v>
      </c>
      <c r="K4213" t="s">
        <v>10462</v>
      </c>
      <c r="L4213">
        <v>49</v>
      </c>
      <c r="P4213">
        <v>2.62</v>
      </c>
      <c r="Q4213">
        <v>1.39</v>
      </c>
      <c r="R4213">
        <v>105</v>
      </c>
      <c r="S4213">
        <v>129.84</v>
      </c>
    </row>
    <row r="4214" spans="1:19" x14ac:dyDescent="0.25">
      <c r="A4214" t="s">
        <v>10463</v>
      </c>
      <c r="B4214" s="1">
        <v>45294</v>
      </c>
      <c r="C4214" t="s">
        <v>1552</v>
      </c>
      <c r="D4214" t="s">
        <v>78</v>
      </c>
      <c r="E4214" t="s">
        <v>24</v>
      </c>
      <c r="F4214" t="s">
        <v>2708</v>
      </c>
      <c r="G4214">
        <v>20</v>
      </c>
      <c r="H4214" t="s">
        <v>464</v>
      </c>
      <c r="I4214" t="s">
        <v>103</v>
      </c>
      <c r="J4214" t="s">
        <v>10464</v>
      </c>
      <c r="K4214" t="s">
        <v>9911</v>
      </c>
    </row>
    <row r="4215" spans="1:19" x14ac:dyDescent="0.25">
      <c r="A4215" t="s">
        <v>10524</v>
      </c>
      <c r="B4215" s="1">
        <v>45301</v>
      </c>
      <c r="C4215" t="s">
        <v>10525</v>
      </c>
      <c r="D4215" t="s">
        <v>78</v>
      </c>
      <c r="G4215">
        <v>101</v>
      </c>
      <c r="H4215" t="s">
        <v>1856</v>
      </c>
      <c r="J4215" t="s">
        <v>10526</v>
      </c>
      <c r="L4215">
        <v>0</v>
      </c>
      <c r="P4215">
        <v>2.88</v>
      </c>
      <c r="Q4215">
        <v>1.92</v>
      </c>
      <c r="R4215">
        <v>393</v>
      </c>
    </row>
    <row r="4216" spans="1:19" x14ac:dyDescent="0.25">
      <c r="A4216" t="s">
        <v>10527</v>
      </c>
      <c r="B4216" s="1">
        <v>45301</v>
      </c>
      <c r="C4216" t="s">
        <v>10421</v>
      </c>
      <c r="D4216" t="s">
        <v>78</v>
      </c>
      <c r="E4216" t="s">
        <v>24</v>
      </c>
      <c r="F4216" t="s">
        <v>335</v>
      </c>
      <c r="G4216">
        <v>45</v>
      </c>
      <c r="H4216" t="s">
        <v>26</v>
      </c>
      <c r="I4216" t="s">
        <v>370</v>
      </c>
      <c r="J4216" t="s">
        <v>4416</v>
      </c>
      <c r="K4216" t="s">
        <v>10528</v>
      </c>
      <c r="L4216">
        <v>265</v>
      </c>
      <c r="M4216">
        <v>107</v>
      </c>
      <c r="N4216" s="2">
        <v>0.39</v>
      </c>
      <c r="O4216">
        <v>81</v>
      </c>
      <c r="P4216">
        <v>16.45</v>
      </c>
      <c r="Q4216">
        <v>11.47</v>
      </c>
      <c r="R4216">
        <v>410</v>
      </c>
      <c r="S4216">
        <v>151.19</v>
      </c>
    </row>
    <row r="4217" spans="1:19" x14ac:dyDescent="0.25">
      <c r="A4217" t="s">
        <v>10529</v>
      </c>
      <c r="B4217" s="1">
        <v>45301</v>
      </c>
      <c r="C4217" t="s">
        <v>2100</v>
      </c>
      <c r="D4217" t="s">
        <v>78</v>
      </c>
      <c r="E4217" t="s">
        <v>24</v>
      </c>
      <c r="F4217" t="s">
        <v>2708</v>
      </c>
      <c r="G4217">
        <v>30</v>
      </c>
      <c r="H4217" t="s">
        <v>464</v>
      </c>
      <c r="I4217" t="s">
        <v>943</v>
      </c>
      <c r="J4217" t="s">
        <v>1621</v>
      </c>
      <c r="K4217" t="s">
        <v>10530</v>
      </c>
    </row>
    <row r="4218" spans="1:19" x14ac:dyDescent="0.25">
      <c r="A4218" t="s">
        <v>10565</v>
      </c>
      <c r="B4218" s="1">
        <v>45308</v>
      </c>
      <c r="C4218" t="s">
        <v>10566</v>
      </c>
      <c r="D4218" t="s">
        <v>78</v>
      </c>
      <c r="E4218" t="s">
        <v>24</v>
      </c>
      <c r="F4218" t="s">
        <v>590</v>
      </c>
      <c r="G4218">
        <v>45</v>
      </c>
      <c r="H4218" t="s">
        <v>26</v>
      </c>
      <c r="I4218" t="s">
        <v>370</v>
      </c>
      <c r="J4218" t="s">
        <v>4280</v>
      </c>
      <c r="K4218" t="s">
        <v>10567</v>
      </c>
      <c r="L4218">
        <v>277</v>
      </c>
      <c r="M4218">
        <v>103</v>
      </c>
      <c r="N4218" s="2">
        <v>0.37</v>
      </c>
      <c r="O4218">
        <v>85</v>
      </c>
      <c r="P4218">
        <v>16.29</v>
      </c>
      <c r="Q4218">
        <v>12.22</v>
      </c>
      <c r="R4218">
        <v>437</v>
      </c>
      <c r="S4218">
        <v>148.41999999999999</v>
      </c>
    </row>
    <row r="4219" spans="1:19" x14ac:dyDescent="0.25">
      <c r="A4219" t="s">
        <v>10568</v>
      </c>
      <c r="B4219" s="1">
        <v>45308</v>
      </c>
      <c r="C4219" t="s">
        <v>4613</v>
      </c>
      <c r="D4219" t="s">
        <v>78</v>
      </c>
      <c r="E4219" t="s">
        <v>24</v>
      </c>
      <c r="F4219" t="s">
        <v>747</v>
      </c>
      <c r="G4219">
        <v>10</v>
      </c>
      <c r="H4219" t="s">
        <v>26</v>
      </c>
      <c r="I4219" t="s">
        <v>358</v>
      </c>
      <c r="J4219" t="s">
        <v>389</v>
      </c>
      <c r="K4219" t="s">
        <v>10286</v>
      </c>
      <c r="L4219">
        <v>42</v>
      </c>
      <c r="M4219">
        <v>70</v>
      </c>
      <c r="N4219" s="2">
        <v>0.32</v>
      </c>
      <c r="O4219">
        <v>80</v>
      </c>
      <c r="P4219">
        <v>13.85</v>
      </c>
      <c r="Q4219">
        <v>2.31</v>
      </c>
      <c r="R4219">
        <v>80</v>
      </c>
      <c r="S4219">
        <v>133.59</v>
      </c>
    </row>
    <row r="4220" spans="1:19" x14ac:dyDescent="0.25">
      <c r="A4220" t="s">
        <v>10569</v>
      </c>
      <c r="B4220" s="1">
        <v>45308</v>
      </c>
      <c r="C4220" t="s">
        <v>4764</v>
      </c>
      <c r="D4220" t="s">
        <v>78</v>
      </c>
      <c r="E4220" t="s">
        <v>24</v>
      </c>
      <c r="F4220" t="s">
        <v>180</v>
      </c>
      <c r="G4220">
        <v>5</v>
      </c>
      <c r="H4220" t="s">
        <v>49</v>
      </c>
      <c r="I4220" t="s">
        <v>50</v>
      </c>
      <c r="J4220" t="s">
        <v>51</v>
      </c>
      <c r="K4220" t="s">
        <v>10495</v>
      </c>
      <c r="R4220">
        <v>12</v>
      </c>
    </row>
  </sheetData>
  <autoFilter ref="A1:U4220" xr:uid="{00000000-0009-0000-0000-000002000000}"/>
  <sortState xmlns:xlrd2="http://schemas.microsoft.com/office/spreadsheetml/2017/richdata2" ref="A2:U4220">
    <sortCondition ref="D1:D4220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Sheet1</vt:lpstr>
      <vt:lpstr>Pivots</vt:lpstr>
      <vt:lpstr>Sheet4</vt:lpstr>
      <vt:lpstr>workouts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Henry Deane</cp:lastModifiedBy>
  <dcterms:created xsi:type="dcterms:W3CDTF">2024-04-25T20:31:34Z</dcterms:created>
  <dcterms:modified xsi:type="dcterms:W3CDTF">2024-05-03T01:10:25Z</dcterms:modified>
</cp:coreProperties>
</file>